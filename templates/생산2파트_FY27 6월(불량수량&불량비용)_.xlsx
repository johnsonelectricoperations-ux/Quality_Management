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Carp130001\품질관리공유\품질관리 문서\01 사무실\00 품질실적\00.KPI 종합품질실적(마감자료)\2.종합 불량수량 및 금액 산출자료(마감자료)\2027년(FY)\27년 6월\"/>
    </mc:Choice>
  </mc:AlternateContent>
  <xr:revisionPtr revIDLastSave="0" documentId="13_ncr:1_{879656D4-16CB-4876-8763-EB79D58F4358}" xr6:coauthVersionLast="47" xr6:coauthVersionMax="47" xr10:uidLastSave="{00000000-0000-0000-0000-000000000000}"/>
  <bookViews>
    <workbookView xWindow="-120" yWindow="-120" windowWidth="29040" windowHeight="15720" tabRatio="859" xr2:uid="{00000000-000D-0000-FFFF-FFFF00000000}"/>
  </bookViews>
  <sheets>
    <sheet name="종합" sheetId="8" r:id="rId1"/>
    <sheet name="성형셋팅" sheetId="2" r:id="rId2"/>
    <sheet name="성형공정" sheetId="1" r:id="rId3"/>
    <sheet name="성형공정 (외주소재불량)" sheetId="18" r:id="rId4"/>
    <sheet name="소결공정" sheetId="11" r:id="rId5"/>
    <sheet name="정형셋팅" sheetId="4" r:id="rId6"/>
    <sheet name="정형공정" sheetId="10" r:id="rId7"/>
    <sheet name="A8LF 가공셋팅" sheetId="16" r:id="rId8"/>
    <sheet name="가공불량" sheetId="14" state="hidden" r:id="rId9"/>
    <sheet name="A8LF 가공공정" sheetId="15" r:id="rId10"/>
    <sheet name="후처리공정" sheetId="5" r:id="rId11"/>
    <sheet name="외주 소재불량 (공정불분명)" sheetId="7" r:id="rId12"/>
    <sheet name="Pending품 폐기" sheetId="6" r:id="rId13"/>
  </sheets>
  <externalReferences>
    <externalReference r:id="rId14"/>
  </externalReferences>
  <definedNames>
    <definedName name="_xlnm._FilterDatabase" localSheetId="9" hidden="1">'A8LF 가공공정'!$A$2:$F$33</definedName>
    <definedName name="_xlnm._FilterDatabase" localSheetId="7" hidden="1">'A8LF 가공셋팅'!$A$2:$F$33</definedName>
    <definedName name="_xlnm._FilterDatabase" localSheetId="12" hidden="1">'Pending품 폐기'!$A$2:$D$5</definedName>
    <definedName name="_xlnm._FilterDatabase" localSheetId="8" hidden="1">가공불량!$A$2:$D$24</definedName>
    <definedName name="_xlnm._FilterDatabase" localSheetId="2" hidden="1">성형공정!$A$2:$F$21</definedName>
    <definedName name="_xlnm._FilterDatabase" localSheetId="3" hidden="1">'성형공정 (외주소재불량)'!$A$2:$F$33</definedName>
    <definedName name="_xlnm._FilterDatabase" localSheetId="1" hidden="1">성형셋팅!$A$2:$F$44</definedName>
    <definedName name="_xlnm._FilterDatabase" localSheetId="4" hidden="1">소결공정!$A$2:$F$34</definedName>
    <definedName name="_xlnm._FilterDatabase" localSheetId="11" hidden="1">'외주 소재불량 (공정불분명)'!$A$2:$D$6</definedName>
    <definedName name="_xlnm._FilterDatabase" localSheetId="6" hidden="1">정형공정!$A$2:$F$5</definedName>
    <definedName name="_xlnm._FilterDatabase" localSheetId="5" hidden="1">정형셋팅!$A$2:$F$12</definedName>
    <definedName name="_xlnm._FilterDatabase" localSheetId="10" hidden="1">후처리공정!$A$2:$F$33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0" l="1"/>
  <c r="F5" i="10" s="1"/>
  <c r="F3" i="10" s="1"/>
  <c r="F3" i="11" l="1"/>
  <c r="F3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4" i="11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4" i="7"/>
  <c r="E5" i="5"/>
  <c r="E6" i="5"/>
  <c r="E7" i="5"/>
  <c r="E8" i="5"/>
  <c r="E9" i="5"/>
  <c r="E10" i="5"/>
  <c r="E11" i="5"/>
  <c r="E12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4" i="5"/>
  <c r="E5" i="1"/>
  <c r="E6" i="1"/>
  <c r="E8" i="1"/>
  <c r="E9" i="1"/>
  <c r="E10" i="1"/>
  <c r="E11" i="1"/>
  <c r="E12" i="1"/>
  <c r="E13" i="1"/>
  <c r="E14" i="1"/>
  <c r="E15" i="1"/>
  <c r="E16" i="1"/>
  <c r="E17" i="1"/>
  <c r="E4" i="1"/>
  <c r="F40" i="2" l="1"/>
  <c r="F41" i="2"/>
  <c r="F42" i="2"/>
  <c r="F43" i="2"/>
  <c r="F44" i="2"/>
  <c r="F45" i="2"/>
  <c r="F46" i="2"/>
  <c r="F11" i="7" l="1"/>
  <c r="F12" i="7"/>
  <c r="F14" i="7"/>
  <c r="F15" i="7"/>
  <c r="F16" i="7"/>
  <c r="F17" i="7"/>
  <c r="F18" i="7"/>
  <c r="F19" i="7"/>
  <c r="F20" i="7"/>
  <c r="F21" i="7"/>
  <c r="F22" i="7"/>
  <c r="F4" i="7"/>
  <c r="F5" i="7"/>
  <c r="F6" i="7"/>
  <c r="F7" i="7"/>
  <c r="F8" i="7"/>
  <c r="F9" i="7"/>
  <c r="F10" i="7"/>
  <c r="F13" i="7"/>
  <c r="D3" i="7"/>
  <c r="D3" i="5"/>
  <c r="D3" i="15"/>
  <c r="F11" i="5"/>
  <c r="F12" i="5"/>
  <c r="F19" i="5"/>
  <c r="F21" i="5"/>
  <c r="F22" i="5"/>
  <c r="F24" i="5"/>
  <c r="F25" i="5"/>
  <c r="F26" i="5"/>
  <c r="F27" i="5"/>
  <c r="F28" i="5"/>
  <c r="F4" i="5"/>
  <c r="F23" i="5"/>
  <c r="F20" i="5"/>
  <c r="F18" i="5"/>
  <c r="F17" i="5"/>
  <c r="F16" i="5"/>
  <c r="F15" i="5"/>
  <c r="F14" i="5"/>
  <c r="F13" i="5"/>
  <c r="F10" i="5"/>
  <c r="F9" i="5"/>
  <c r="F8" i="5"/>
  <c r="F7" i="5"/>
  <c r="F6" i="5"/>
  <c r="F5" i="5"/>
  <c r="F5" i="15"/>
  <c r="F4" i="15"/>
  <c r="F3" i="15" l="1"/>
  <c r="F3" i="5"/>
  <c r="F3" i="7"/>
  <c r="F5" i="16"/>
  <c r="F4" i="16"/>
  <c r="F3" i="16" l="1"/>
  <c r="D3" i="16"/>
  <c r="D3" i="4"/>
  <c r="F19" i="11" l="1"/>
  <c r="F27" i="11"/>
  <c r="F28" i="11"/>
  <c r="F29" i="11"/>
  <c r="F30" i="11"/>
  <c r="F31" i="11"/>
  <c r="F32" i="11"/>
  <c r="F3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20" i="11"/>
  <c r="F21" i="11"/>
  <c r="F22" i="11"/>
  <c r="F23" i="11"/>
  <c r="F24" i="11"/>
  <c r="F25" i="11"/>
  <c r="F26" i="11"/>
  <c r="D3" i="11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4" i="18"/>
  <c r="D3" i="18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4" i="1"/>
  <c r="D3" i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" i="2"/>
  <c r="D3" i="2"/>
  <c r="F3" i="18" l="1"/>
  <c r="F3" i="1"/>
  <c r="F3" i="2"/>
  <c r="E7" i="8"/>
  <c r="E12" i="8" l="1"/>
  <c r="F4" i="10" l="1"/>
  <c r="F4" i="4"/>
  <c r="F3" i="4" s="1"/>
  <c r="K12" i="8" l="1"/>
  <c r="K7" i="8"/>
  <c r="N15" i="8" s="1"/>
  <c r="L7" i="8"/>
  <c r="L12" i="8" l="1"/>
  <c r="H4" i="10" l="1"/>
  <c r="D3" i="10" l="1"/>
  <c r="C7" i="8"/>
  <c r="F3" i="6" l="1"/>
  <c r="F7" i="8" l="1"/>
  <c r="B9" i="8" l="1"/>
  <c r="D3" i="6" l="1"/>
  <c r="F4" i="14" l="1"/>
  <c r="D3" i="14" l="1"/>
  <c r="I7" i="8" l="1"/>
  <c r="G7" i="8"/>
  <c r="D7" i="8"/>
  <c r="F3" i="14" l="1"/>
  <c r="J12" i="8" s="1"/>
  <c r="M12" i="8"/>
  <c r="H12" i="8" l="1"/>
  <c r="J7" i="8" l="1"/>
  <c r="M7" i="8" l="1"/>
  <c r="N7" i="8"/>
  <c r="H7" i="8"/>
  <c r="O7" i="8" l="1"/>
  <c r="N16" i="8"/>
  <c r="I12" i="8"/>
  <c r="N12" i="8" l="1"/>
  <c r="G12" i="8" l="1"/>
  <c r="O15" i="8" s="1"/>
  <c r="F12" i="8" l="1"/>
  <c r="O12" i="8" l="1"/>
  <c r="O16" i="8"/>
  <c r="D12" i="8"/>
  <c r="C12" i="8" l="1"/>
</calcChain>
</file>

<file path=xl/sharedStrings.xml><?xml version="1.0" encoding="utf-8"?>
<sst xmlns="http://schemas.openxmlformats.org/spreadsheetml/2006/main" count="736" uniqueCount="164">
  <si>
    <t>공정/셋팅불량현황_hsc</t>
  </si>
  <si>
    <t>품번</t>
  </si>
  <si>
    <t>품명</t>
  </si>
  <si>
    <t>규격</t>
  </si>
  <si>
    <t>합계</t>
  </si>
  <si>
    <t>TOTAL</t>
  </si>
  <si>
    <t>D136000JN00</t>
  </si>
  <si>
    <t>D136101RA00</t>
  </si>
  <si>
    <t>D146400RA00</t>
  </si>
  <si>
    <t>E151000RA00</t>
  </si>
  <si>
    <t>D500100RA00</t>
  </si>
  <si>
    <t>D500400RN00</t>
  </si>
  <si>
    <t>D500500RA00</t>
  </si>
  <si>
    <t>D500600RA00</t>
  </si>
  <si>
    <t>D501000RA00</t>
  </si>
  <si>
    <t>1000-501210</t>
  </si>
  <si>
    <t>1000-501220</t>
  </si>
  <si>
    <t>1000-501310</t>
  </si>
  <si>
    <t>1000-501320</t>
  </si>
  <si>
    <t>1000-501410</t>
  </si>
  <si>
    <t>1000-501510</t>
  </si>
  <si>
    <t>1000-501520</t>
  </si>
  <si>
    <t>1000-501610</t>
  </si>
  <si>
    <t>1000-501620</t>
  </si>
  <si>
    <t>1000-600110</t>
  </si>
  <si>
    <t>1000-600120</t>
  </si>
  <si>
    <t>1000-600900</t>
  </si>
  <si>
    <t>1000-601110</t>
  </si>
  <si>
    <t>1000-601120</t>
  </si>
  <si>
    <t>셋팅</t>
  </si>
  <si>
    <t>D500900RN00</t>
  </si>
  <si>
    <t>1000-501420</t>
  </si>
  <si>
    <t>TOTAL</t>
    <phoneticPr fontId="3" type="noConversion"/>
  </si>
  <si>
    <t>공정</t>
  </si>
  <si>
    <t>성형</t>
  </si>
  <si>
    <t>소결</t>
  </si>
  <si>
    <t>정형</t>
  </si>
  <si>
    <t>후처리</t>
  </si>
  <si>
    <t>Pend`g품 폐기</t>
  </si>
  <si>
    <t>(소재불량)</t>
  </si>
  <si>
    <t>불량수량</t>
  </si>
  <si>
    <t>※ 생산2Part 공정별 종합 불량현황 ※</t>
    <phoneticPr fontId="3" type="noConversion"/>
  </si>
  <si>
    <t>공정/셋팅불량현황_hsc</t>
    <phoneticPr fontId="3" type="noConversion"/>
  </si>
  <si>
    <t>가공불량</t>
    <phoneticPr fontId="3" type="noConversion"/>
  </si>
  <si>
    <t>Setting Loss</t>
    <phoneticPr fontId="3" type="noConversion"/>
  </si>
  <si>
    <t>공정불량</t>
    <phoneticPr fontId="3" type="noConversion"/>
  </si>
  <si>
    <t>단가</t>
    <phoneticPr fontId="3" type="noConversion"/>
  </si>
  <si>
    <t>비용</t>
    <phoneticPr fontId="3" type="noConversion"/>
  </si>
  <si>
    <t>a8lf carrier 2종(6004,6007)</t>
    <phoneticPr fontId="3" type="noConversion"/>
  </si>
  <si>
    <t>-</t>
    <phoneticPr fontId="3" type="noConversion"/>
  </si>
  <si>
    <t>외주업체</t>
    <phoneticPr fontId="3" type="noConversion"/>
  </si>
  <si>
    <t>불량수량</t>
    <phoneticPr fontId="3" type="noConversion"/>
  </si>
  <si>
    <t>불량비용</t>
    <phoneticPr fontId="3" type="noConversion"/>
  </si>
  <si>
    <t>단가</t>
    <phoneticPr fontId="3" type="noConversion"/>
  </si>
  <si>
    <t>합계</t>
    <phoneticPr fontId="3" type="noConversion"/>
  </si>
  <si>
    <t>6004-00</t>
  </si>
  <si>
    <t>합계</t>
    <phoneticPr fontId="3" type="noConversion"/>
  </si>
  <si>
    <t>A8LF 가공셋팅</t>
    <phoneticPr fontId="3" type="noConversion"/>
  </si>
  <si>
    <t>A8LF 가공공정</t>
    <phoneticPr fontId="3" type="noConversion"/>
  </si>
  <si>
    <t>CARRIER-PLANET,MID (A8LF2)</t>
  </si>
  <si>
    <t>6007-00</t>
    <phoneticPr fontId="3" type="noConversion"/>
  </si>
  <si>
    <t>6004-00</t>
    <phoneticPr fontId="3" type="noConversion"/>
  </si>
  <si>
    <t>CARRIER-PLANET,MID (A8LF1)</t>
  </si>
  <si>
    <t>성형-MOTOR PULLEY</t>
  </si>
  <si>
    <t>성형-BALL NUT PULLEY</t>
  </si>
  <si>
    <t>1510-01</t>
  </si>
  <si>
    <t>1695-00</t>
  </si>
  <si>
    <t>1785-00</t>
  </si>
  <si>
    <t>성형-BELT PULLEY</t>
  </si>
  <si>
    <t>1986-00</t>
  </si>
  <si>
    <t>1987-00</t>
  </si>
  <si>
    <t>2059-00</t>
  </si>
  <si>
    <t>2206-00</t>
  </si>
  <si>
    <t>성형-PLATE 1-2-3-4 CLU BKG</t>
  </si>
  <si>
    <t>5001-00</t>
  </si>
  <si>
    <t>5004-00</t>
  </si>
  <si>
    <t>성형-WHEEL-A/TRANS INPUT SHF SPD SEN RELUCTOR</t>
  </si>
  <si>
    <t>5005-00</t>
  </si>
  <si>
    <t>5006-00</t>
  </si>
  <si>
    <t>5009-00</t>
  </si>
  <si>
    <t>성형-WHEEL-A/TRANS INPUT SHF SPD</t>
  </si>
  <si>
    <t>5010-00</t>
  </si>
  <si>
    <t>성형-CARRIER-REACTION</t>
  </si>
  <si>
    <t>5013-20</t>
  </si>
  <si>
    <t>성형-CARRIER-INPUT</t>
  </si>
  <si>
    <t>5014-20</t>
  </si>
  <si>
    <t>5015-20</t>
  </si>
  <si>
    <t>5016-20</t>
  </si>
  <si>
    <t>성형-CARRIER PLANET MID</t>
  </si>
  <si>
    <t>성형-CARRIER PALNET</t>
  </si>
  <si>
    <t>6011-20</t>
  </si>
  <si>
    <t>6017-20</t>
  </si>
  <si>
    <t>성형-HOUSING GUIDE RING</t>
  </si>
  <si>
    <t>6019-00</t>
  </si>
  <si>
    <t>6020-10</t>
  </si>
  <si>
    <t>5013-10</t>
  </si>
  <si>
    <t>5015-10</t>
  </si>
  <si>
    <t>6004-10</t>
  </si>
  <si>
    <t>6007-10</t>
  </si>
  <si>
    <t>6011-10</t>
  </si>
  <si>
    <t>6017-10</t>
  </si>
  <si>
    <t>1361-01</t>
  </si>
  <si>
    <t>5014-10</t>
  </si>
  <si>
    <t>MOTOR PULLEY</t>
  </si>
  <si>
    <t>PULLEY LARGE</t>
  </si>
  <si>
    <t>BELT PULLEY</t>
  </si>
  <si>
    <t>PLATE 1-2-3-4 CLU BKG</t>
  </si>
  <si>
    <t>PLATE LOW &amp; REV CLU BKG</t>
  </si>
  <si>
    <t>CARRIER-REACTION</t>
  </si>
  <si>
    <t>CARRIER-INPUT</t>
  </si>
  <si>
    <t>CARRIER - REACTION</t>
  </si>
  <si>
    <t>CARRIER PLANET MID</t>
  </si>
  <si>
    <t>CARRIER PALNET</t>
  </si>
  <si>
    <t>5013-00</t>
  </si>
  <si>
    <t>5014-00</t>
  </si>
  <si>
    <t>5015-00</t>
  </si>
  <si>
    <t>5016-00</t>
  </si>
  <si>
    <t>6017-00</t>
  </si>
  <si>
    <t>6023-00</t>
  </si>
  <si>
    <t>5016-10</t>
  </si>
  <si>
    <t>6004-20</t>
  </si>
  <si>
    <t>성형-SUB ASSY-CARRIER PLANET, MID&amp;RR</t>
  </si>
  <si>
    <t>6027-10</t>
  </si>
  <si>
    <t>6027-20</t>
  </si>
  <si>
    <t/>
  </si>
  <si>
    <t>6011-00</t>
  </si>
  <si>
    <t>6017-01</t>
  </si>
  <si>
    <t>1987-01</t>
  </si>
  <si>
    <t>1903-00</t>
  </si>
  <si>
    <t>1914-00</t>
  </si>
  <si>
    <t>6007-20</t>
  </si>
  <si>
    <t>PULLEY</t>
  </si>
  <si>
    <t>성형-PLATE LOW &amp; REV CLU BKG</t>
  </si>
  <si>
    <t>6027-30</t>
  </si>
  <si>
    <t>HOUSING GUIDE RING</t>
  </si>
  <si>
    <t>WHEEL</t>
  </si>
  <si>
    <t>6023-10</t>
  </si>
  <si>
    <t>6026-10</t>
  </si>
  <si>
    <t>6026-30</t>
  </si>
  <si>
    <t>BALL NUT PULLEY</t>
  </si>
  <si>
    <t>1510-00</t>
  </si>
  <si>
    <t>WHEEL-A/TRANS INPUT SHF SPD SEN RELUCTOR</t>
  </si>
  <si>
    <t>WHEEL-A/TRANS INPUT SHF SPD</t>
  </si>
  <si>
    <t>CARRIER PLANET, MID&amp;RR</t>
  </si>
  <si>
    <t>외주가공-CARRIER PLANET MID</t>
  </si>
  <si>
    <t>6027-00</t>
  </si>
  <si>
    <t>6026-00</t>
  </si>
  <si>
    <t>외주소재불량</t>
  </si>
  <si>
    <t>6020-00</t>
  </si>
  <si>
    <t>성형-PULLEY</t>
  </si>
  <si>
    <t>성형-CAM PLATE</t>
  </si>
  <si>
    <t>2140-00</t>
  </si>
  <si>
    <t>성형-DRIVE PULLEY</t>
  </si>
  <si>
    <t>6020-20</t>
  </si>
  <si>
    <t>6026-20</t>
  </si>
  <si>
    <t>5017-10</t>
  </si>
  <si>
    <t>6월</t>
  </si>
  <si>
    <t>1360-00</t>
  </si>
  <si>
    <t>1781-00</t>
  </si>
  <si>
    <t>2202-00</t>
  </si>
  <si>
    <t>성형-CARRIER - REACTION</t>
  </si>
  <si>
    <t>성형-CARRIER - INPUT</t>
  </si>
  <si>
    <t>CARRIER - INPUT</t>
  </si>
  <si>
    <t>6007-00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</si>
</sst>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64" formatCode="_-&quot;₩&quot;* #,##0_-;\-&quot;₩&quot;* #,##0_-;_-&quot;₩&quot;* &quot;-&quot;??_-;_-@_-"/>
  </numFmts>
  <fonts count="14">
    <font>
      <sz val="11"/>
      <color theme="1"/>
      <name val="Calibri"/>
      <family val="2"/>
      <charset val="129"/>
      <scheme val="minor"/>
    </font>
    <font>
      <sz val="9"/>
      <color rgb="FF333333"/>
      <name val="굴림"/>
      <family val="3"/>
      <charset val="129"/>
    </font>
    <font>
      <b/>
      <sz val="14"/>
      <name val="굴림"/>
      <family val="3"/>
      <charset val="129"/>
    </font>
    <font>
      <sz val="8"/>
      <name val="Calibri"/>
      <family val="2"/>
      <charset val="129"/>
      <scheme val="minor"/>
    </font>
    <font>
      <b/>
      <sz val="9"/>
      <color rgb="FF333333"/>
      <name val="굴림"/>
      <family val="3"/>
      <charset val="129"/>
    </font>
    <font>
      <b/>
      <sz val="11"/>
      <color theme="1"/>
      <name val="Calibri"/>
      <family val="3"/>
      <charset val="129"/>
      <scheme val="minor"/>
    </font>
    <font>
      <sz val="9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sz val="9"/>
      <color theme="1"/>
      <name val="Calibri"/>
      <family val="2"/>
      <charset val="129"/>
      <scheme val="minor"/>
    </font>
    <font>
      <b/>
      <sz val="11"/>
      <color rgb="FF0000FF"/>
      <name val="Calibri"/>
      <family val="3"/>
      <charset val="129"/>
      <scheme val="minor"/>
    </font>
    <font>
      <sz val="9"/>
      <name val="굴림"/>
      <family val="3"/>
      <charset val="129"/>
    </font>
    <font>
      <sz val="9"/>
      <color theme="1"/>
      <name val="굴림"/>
      <family val="3"/>
      <charset val="129"/>
    </font>
    <font>
      <sz val="10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6" fillId="0" borderId="0" applyAlignment="0">
      <alignment vertical="top" wrapText="1"/>
      <protection locked="0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</cellStyleXfs>
  <cellXfs count="87">
    <xf numFmtId="0" fontId="0" fillId="0" borderId="0" xfId="0">
      <alignment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3" fontId="4" fillId="4" borderId="3" xfId="0" applyNumberFormat="1" applyFont="1" applyFill="1" applyBorder="1" applyAlignment="1">
      <alignment horizontal="right" vertical="center" wrapText="1"/>
    </xf>
    <xf numFmtId="0" fontId="5" fillId="0" borderId="0" xfId="0" applyFo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49" fontId="0" fillId="0" borderId="0" xfId="0" applyNumberFormat="1">
      <alignment vertical="center"/>
    </xf>
    <xf numFmtId="42" fontId="4" fillId="4" borderId="3" xfId="4" applyFont="1" applyFill="1" applyBorder="1" applyAlignment="1">
      <alignment horizontal="right" vertical="center" wrapText="1"/>
    </xf>
    <xf numFmtId="42" fontId="5" fillId="10" borderId="5" xfId="4" applyFont="1" applyFill="1" applyBorder="1" applyAlignment="1">
      <alignment horizontal="center" vertical="center"/>
    </xf>
    <xf numFmtId="42" fontId="5" fillId="5" borderId="5" xfId="4" applyFont="1" applyFill="1" applyBorder="1">
      <alignment vertical="center"/>
    </xf>
    <xf numFmtId="41" fontId="0" fillId="0" borderId="0" xfId="3" applyFont="1">
      <alignment vertical="center"/>
    </xf>
    <xf numFmtId="0" fontId="0" fillId="0" borderId="0" xfId="0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1" fontId="8" fillId="4" borderId="0" xfId="3" applyFont="1" applyFill="1" applyBorder="1" applyAlignment="1">
      <alignment horizontal="center" vertical="center"/>
    </xf>
    <xf numFmtId="42" fontId="8" fillId="4" borderId="0" xfId="4" applyFont="1" applyFill="1" applyBorder="1" applyAlignment="1">
      <alignment horizontal="center" vertical="center"/>
    </xf>
    <xf numFmtId="41" fontId="9" fillId="0" borderId="0" xfId="3" applyFont="1" applyAlignment="1">
      <alignment horizontal="center" vertical="center"/>
    </xf>
    <xf numFmtId="41" fontId="10" fillId="10" borderId="5" xfId="3" applyFont="1" applyFill="1" applyBorder="1" applyAlignment="1">
      <alignment horizontal="center" vertical="center"/>
    </xf>
    <xf numFmtId="41" fontId="10" fillId="5" borderId="5" xfId="3" applyFont="1" applyFill="1" applyBorder="1">
      <alignment vertical="center"/>
    </xf>
    <xf numFmtId="41" fontId="0" fillId="0" borderId="0" xfId="0" applyNumberFormat="1">
      <alignment vertical="center"/>
    </xf>
    <xf numFmtId="3" fontId="1" fillId="11" borderId="3" xfId="0" applyNumberFormat="1" applyFont="1" applyFill="1" applyBorder="1" applyAlignment="1">
      <alignment horizontal="right" vertical="center" wrapText="1"/>
    </xf>
    <xf numFmtId="49" fontId="1" fillId="0" borderId="10" xfId="0" applyNumberFormat="1" applyFont="1" applyBorder="1" applyAlignment="1">
      <alignment horizontal="left" vertical="center" wrapText="1"/>
    </xf>
    <xf numFmtId="49" fontId="4" fillId="4" borderId="11" xfId="0" applyNumberFormat="1" applyFont="1" applyFill="1" applyBorder="1" applyAlignment="1">
      <alignment horizontal="left" vertical="center" wrapText="1"/>
    </xf>
    <xf numFmtId="49" fontId="4" fillId="4" borderId="12" xfId="0" applyNumberFormat="1" applyFont="1" applyFill="1" applyBorder="1" applyAlignment="1">
      <alignment horizontal="left" vertical="center" wrapText="1"/>
    </xf>
    <xf numFmtId="17" fontId="11" fillId="11" borderId="5" xfId="0" quotePrefix="1" applyNumberFormat="1" applyFont="1" applyFill="1" applyBorder="1" applyAlignment="1">
      <alignment horizontal="center" vertical="center"/>
    </xf>
    <xf numFmtId="41" fontId="11" fillId="11" borderId="5" xfId="3" applyFont="1" applyFill="1" applyBorder="1" applyAlignment="1">
      <alignment horizontal="center" vertical="center"/>
    </xf>
    <xf numFmtId="49" fontId="1" fillId="3" borderId="10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41" fontId="4" fillId="4" borderId="5" xfId="3" applyFont="1" applyFill="1" applyBorder="1" applyAlignment="1">
      <alignment horizontal="right" vertical="center" wrapText="1"/>
    </xf>
    <xf numFmtId="42" fontId="4" fillId="4" borderId="5" xfId="4" applyFont="1" applyFill="1" applyBorder="1" applyAlignment="1">
      <alignment horizontal="right" vertical="center" wrapText="1"/>
    </xf>
    <xf numFmtId="0" fontId="11" fillId="11" borderId="5" xfId="0" applyFont="1" applyFill="1" applyBorder="1" applyAlignment="1">
      <alignment horizontal="left" vertical="center"/>
    </xf>
    <xf numFmtId="3" fontId="4" fillId="4" borderId="12" xfId="0" applyNumberFormat="1" applyFont="1" applyFill="1" applyBorder="1" applyAlignment="1">
      <alignment horizontal="right" vertical="center" wrapText="1"/>
    </xf>
    <xf numFmtId="42" fontId="4" fillId="4" borderId="12" xfId="4" applyFont="1" applyFill="1" applyBorder="1" applyAlignment="1">
      <alignment horizontal="righ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2" fillId="0" borderId="5" xfId="0" applyFont="1" applyBorder="1">
      <alignment vertical="center"/>
    </xf>
    <xf numFmtId="49" fontId="1" fillId="0" borderId="5" xfId="0" quotePrefix="1" applyNumberFormat="1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 shrinkToFit="1"/>
    </xf>
    <xf numFmtId="49" fontId="13" fillId="0" borderId="5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left" vertical="center" wrapText="1"/>
    </xf>
    <xf numFmtId="3" fontId="1" fillId="0" borderId="12" xfId="0" applyNumberFormat="1" applyFont="1" applyBorder="1" applyAlignment="1">
      <alignment horizontal="right" vertical="center" wrapText="1"/>
    </xf>
    <xf numFmtId="0" fontId="0" fillId="0" borderId="5" xfId="0" applyBorder="1">
      <alignment vertical="center"/>
    </xf>
    <xf numFmtId="0" fontId="9" fillId="0" borderId="0" xfId="0" applyFont="1">
      <alignment vertical="center"/>
    </xf>
    <xf numFmtId="17" fontId="12" fillId="0" borderId="5" xfId="0" applyNumberFormat="1" applyFont="1" applyBorder="1">
      <alignment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17" fontId="12" fillId="0" borderId="5" xfId="0" quotePrefix="1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17" fontId="12" fillId="0" borderId="5" xfId="0" applyNumberFormat="1" applyFont="1" applyBorder="1" applyAlignment="1">
      <alignment horizontal="center" vertical="center"/>
    </xf>
    <xf numFmtId="49" fontId="1" fillId="0" borderId="5" xfId="0" quotePrefix="1" applyNumberFormat="1" applyFont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17" fontId="1" fillId="0" borderId="3" xfId="0" quotePrefix="1" applyNumberFormat="1" applyFont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1" fillId="0" borderId="3" xfId="0" quotePrefix="1" applyNumberFormat="1" applyFont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/>
    </xf>
    <xf numFmtId="164" fontId="0" fillId="0" borderId="0" xfId="0" applyNumberFormat="1">
      <alignment vertical="center"/>
    </xf>
    <xf numFmtId="9" fontId="0" fillId="0" borderId="0" xfId="6" applyFont="1" applyAlignment="1">
      <alignment vertical="center"/>
    </xf>
    <xf numFmtId="17" fontId="12" fillId="0" borderId="5" xfId="0" quotePrefix="1" applyNumberFormat="1" applyFont="1" applyBorder="1">
      <alignment vertical="center"/>
    </xf>
    <xf numFmtId="41" fontId="10" fillId="12" borderId="5" xfId="3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</cellXfs>
  <cellStyles count="7">
    <cellStyle name="백분율" xfId="6" builtinId="5"/>
    <cellStyle name="쉼표 [0]" xfId="3" builtinId="6"/>
    <cellStyle name="쉼표 [0] 2" xfId="2" xr:uid="{00000000-0005-0000-0000-000001000000}"/>
    <cellStyle name="쉼표 [0] 3" xfId="5" xr:uid="{00000000-0005-0000-0000-000002000000}"/>
    <cellStyle name="통화 [0]" xfId="4" builtinId="7"/>
    <cellStyle name="표준" xfId="0" builtinId="0"/>
    <cellStyle name="표준 2" xfId="1" xr:uid="{00000000-0005-0000-0000-000005000000}"/>
  </cellStyles>
  <dxfs count="8">
    <dxf>
      <font>
        <color rgb="FFC00000"/>
      </font>
      <fill>
        <patternFill>
          <bgColor theme="5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51228;&#54408;&#48324;%20&#45800;&#44032;%20Master_Rev23(FY25).xlsx" TargetMode="External"/><Relationship Id="rId2" Type="http://schemas.openxmlformats.org/officeDocument/2006/relationships/externalLinkPath" Target="file:///\\Carp130001\&#54408;&#51656;&#44288;&#47532;&#44277;&#50976;\&#54408;&#51656;&#44288;&#47532;%20&#47928;&#49436;\01%20&#49324;&#47924;&#49892;\00%20&#54408;&#51656;&#49892;&#51201;\00.KPI%20&#51333;&#54633;&#54408;&#51656;&#49892;&#51201;(&#47560;&#44048;&#51088;&#47308;)\2.&#51333;&#54633;%20&#48520;&#47049;&#49688;&#47049;%20&#48143;%20&#44552;&#50529;%20&#49328;&#52636;&#51088;&#47308;(&#47560;&#44048;&#51088;&#47308;)\&#51228;&#54408;&#48324;%20&#45800;&#44032;%20Master_Rev23(FY25).xlsx" TargetMode="External"/><Relationship Id="rId1" Type="http://schemas.openxmlformats.org/officeDocument/2006/relationships/externalLinkPath" Target="/&#54408;&#51656;&#44288;&#47532;%20&#47928;&#49436;/01%20&#49324;&#47924;&#49892;/00%20&#54408;&#51656;&#49892;&#51201;/00.KPI%20&#51333;&#54633;&#54408;&#51656;&#49892;&#51201;(&#47560;&#44048;&#51088;&#47308;)/2.&#51333;&#54633;%20&#48520;&#47049;&#49688;&#47049;%20&#48143;%20&#44552;&#50529;%20&#49328;&#52636;&#51088;&#47308;(&#47560;&#44048;&#51088;&#47308;)/&#51228;&#54408;&#48324;%20&#45800;&#44032;%20Master_Rev23(FY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v.History"/>
      <sheetName val="단가산출"/>
      <sheetName val="정형공정 적용리스트"/>
      <sheetName val="TEMP."/>
    </sheetNames>
    <sheetDataSet>
      <sheetData sheetId="0"/>
      <sheetData sheetId="1">
        <row r="1">
          <cell r="N1" t="str">
            <v>ERP 완제품 단가정보 업데이트 CELL</v>
          </cell>
        </row>
        <row r="2">
          <cell r="B2" t="str">
            <v>성형품</v>
          </cell>
          <cell r="N2" t="str">
            <v>완제품</v>
          </cell>
        </row>
        <row r="3">
          <cell r="B3" t="str">
            <v>TM No.</v>
          </cell>
          <cell r="C3" t="str">
            <v>품종</v>
          </cell>
          <cell r="D3" t="str">
            <v>단가\</v>
          </cell>
          <cell r="N3" t="str">
            <v>TM No.</v>
          </cell>
          <cell r="O3" t="str">
            <v>품종</v>
          </cell>
          <cell r="P3" t="str">
            <v>단가\</v>
          </cell>
        </row>
        <row r="4">
          <cell r="B4" t="str">
            <v>614-05</v>
          </cell>
          <cell r="C4" t="str">
            <v>GAS SPRING PISTON</v>
          </cell>
          <cell r="D4">
            <v>9</v>
          </cell>
          <cell r="N4" t="str">
            <v>614-05</v>
          </cell>
          <cell r="O4" t="str">
            <v>GAS SPRING PISTON</v>
          </cell>
          <cell r="P4">
            <v>18</v>
          </cell>
        </row>
        <row r="5">
          <cell r="B5" t="str">
            <v>1262-00</v>
          </cell>
          <cell r="C5" t="str">
            <v>LATCH</v>
          </cell>
          <cell r="D5">
            <v>15.6</v>
          </cell>
          <cell r="N5" t="str">
            <v>1262-00</v>
          </cell>
          <cell r="O5" t="str">
            <v>LATCH</v>
          </cell>
          <cell r="P5">
            <v>26</v>
          </cell>
        </row>
        <row r="6">
          <cell r="B6" t="str">
            <v>433-00</v>
          </cell>
          <cell r="C6" t="str">
            <v>CHECK VALVE</v>
          </cell>
          <cell r="D6">
            <v>16.2</v>
          </cell>
          <cell r="N6" t="str">
            <v>433-00</v>
          </cell>
          <cell r="O6" t="str">
            <v>CHECK VALVE</v>
          </cell>
          <cell r="P6">
            <v>27</v>
          </cell>
        </row>
        <row r="7">
          <cell r="B7" t="str">
            <v>369-00</v>
          </cell>
          <cell r="C7" t="str">
            <v>V/V PLATE</v>
          </cell>
          <cell r="D7">
            <v>20.399999999999999</v>
          </cell>
          <cell r="N7" t="str">
            <v>369-00</v>
          </cell>
          <cell r="O7" t="str">
            <v>V/V PLATE</v>
          </cell>
          <cell r="P7">
            <v>34</v>
          </cell>
        </row>
        <row r="8">
          <cell r="B8" t="str">
            <v>014-00</v>
          </cell>
          <cell r="C8" t="str">
            <v>RETAINER GUIDE</v>
          </cell>
          <cell r="D8">
            <v>17.5</v>
          </cell>
          <cell r="N8" t="str">
            <v>014-00</v>
          </cell>
          <cell r="O8" t="str">
            <v>RETAINER GUIDE</v>
          </cell>
          <cell r="P8">
            <v>35</v>
          </cell>
        </row>
        <row r="9">
          <cell r="B9" t="str">
            <v>229-00</v>
          </cell>
          <cell r="C9" t="str">
            <v>RETAINER GUIDE</v>
          </cell>
          <cell r="D9">
            <v>19</v>
          </cell>
          <cell r="N9" t="str">
            <v>229-00</v>
          </cell>
          <cell r="O9" t="str">
            <v>RETAINER GUIDE</v>
          </cell>
          <cell r="P9">
            <v>38</v>
          </cell>
        </row>
        <row r="10">
          <cell r="B10" t="str">
            <v>940-00</v>
          </cell>
          <cell r="C10" t="str">
            <v>PLANE WASHER</v>
          </cell>
          <cell r="D10">
            <v>24.599999999999998</v>
          </cell>
          <cell r="N10" t="str">
            <v>940-00</v>
          </cell>
          <cell r="O10" t="str">
            <v>PLANE WASHER</v>
          </cell>
          <cell r="P10">
            <v>41</v>
          </cell>
        </row>
        <row r="11">
          <cell r="B11" t="str">
            <v>435-00</v>
          </cell>
          <cell r="C11" t="str">
            <v>ROTARY VALVE(B)</v>
          </cell>
          <cell r="D11">
            <v>27</v>
          </cell>
          <cell r="N11" t="str">
            <v>435-00</v>
          </cell>
          <cell r="O11" t="str">
            <v>ROTARY VALVE(B)</v>
          </cell>
          <cell r="P11">
            <v>45</v>
          </cell>
        </row>
        <row r="12">
          <cell r="B12" t="str">
            <v>016-00</v>
          </cell>
          <cell r="C12" t="str">
            <v>RETAINER GUIDE</v>
          </cell>
          <cell r="D12">
            <v>23</v>
          </cell>
          <cell r="N12" t="str">
            <v>016-00</v>
          </cell>
          <cell r="O12" t="str">
            <v>RETAINER GUIDE</v>
          </cell>
          <cell r="P12">
            <v>46</v>
          </cell>
        </row>
        <row r="13">
          <cell r="B13" t="str">
            <v>016-00</v>
          </cell>
          <cell r="C13" t="str">
            <v>RETAINER GUIDE</v>
          </cell>
          <cell r="D13">
            <v>23</v>
          </cell>
          <cell r="N13" t="str">
            <v>016-00</v>
          </cell>
          <cell r="O13" t="str">
            <v>RETAINER GUIDE</v>
          </cell>
          <cell r="P13">
            <v>46</v>
          </cell>
        </row>
        <row r="14">
          <cell r="B14" t="str">
            <v>242-01</v>
          </cell>
          <cell r="C14" t="str">
            <v>GAS SPRING PISTON</v>
          </cell>
          <cell r="D14">
            <v>23.5</v>
          </cell>
          <cell r="N14" t="str">
            <v>242-01</v>
          </cell>
          <cell r="O14" t="str">
            <v>GAS SPRING PISTON</v>
          </cell>
          <cell r="P14">
            <v>47</v>
          </cell>
        </row>
        <row r="15">
          <cell r="B15" t="str">
            <v>604-00</v>
          </cell>
          <cell r="C15" t="str">
            <v>COLLAR</v>
          </cell>
          <cell r="D15">
            <v>28.2</v>
          </cell>
          <cell r="N15" t="str">
            <v>604-00</v>
          </cell>
          <cell r="O15" t="str">
            <v>COLLAR</v>
          </cell>
          <cell r="P15">
            <v>47</v>
          </cell>
        </row>
        <row r="16">
          <cell r="B16" t="str">
            <v>016-00</v>
          </cell>
          <cell r="C16" t="str">
            <v>RETAINER GUIDE</v>
          </cell>
          <cell r="D16">
            <v>23</v>
          </cell>
          <cell r="N16" t="str">
            <v>016-00</v>
          </cell>
          <cell r="O16" t="str">
            <v>RETAINER GUIDE</v>
          </cell>
          <cell r="P16">
            <v>46</v>
          </cell>
        </row>
        <row r="17">
          <cell r="B17" t="str">
            <v>316-00</v>
          </cell>
          <cell r="C17" t="str">
            <v>NUT ADJUSTER(LH)</v>
          </cell>
          <cell r="D17">
            <v>31.2</v>
          </cell>
          <cell r="N17" t="str">
            <v>316-00</v>
          </cell>
          <cell r="O17" t="str">
            <v>NUT ADJUSTER(LH)</v>
          </cell>
          <cell r="P17">
            <v>52</v>
          </cell>
        </row>
        <row r="18">
          <cell r="B18" t="str">
            <v>317-00</v>
          </cell>
          <cell r="C18" t="str">
            <v>NUT ADJUSTER(RH)</v>
          </cell>
          <cell r="D18">
            <v>31.2</v>
          </cell>
          <cell r="N18" t="str">
            <v>317-00</v>
          </cell>
          <cell r="O18" t="str">
            <v>NUT ADJUSTER(RH)</v>
          </cell>
          <cell r="P18">
            <v>52</v>
          </cell>
        </row>
        <row r="19">
          <cell r="B19" t="str">
            <v>426-00</v>
          </cell>
          <cell r="C19" t="str">
            <v>COMP,RETAINER</v>
          </cell>
          <cell r="D19">
            <v>26.5</v>
          </cell>
          <cell r="N19" t="str">
            <v>426-00</v>
          </cell>
          <cell r="O19" t="str">
            <v>COMP,RETAINER</v>
          </cell>
          <cell r="P19">
            <v>53</v>
          </cell>
        </row>
        <row r="20">
          <cell r="B20" t="str">
            <v>428-01</v>
          </cell>
          <cell r="C20" t="str">
            <v>COMP,RETAINER</v>
          </cell>
          <cell r="D20">
            <v>26.5</v>
          </cell>
          <cell r="N20" t="str">
            <v>428-01</v>
          </cell>
          <cell r="O20" t="str">
            <v>COMP,RETAINER</v>
          </cell>
          <cell r="P20">
            <v>53</v>
          </cell>
        </row>
        <row r="21">
          <cell r="B21" t="str">
            <v>426-00</v>
          </cell>
          <cell r="C21" t="str">
            <v>COMP,RETAINER</v>
          </cell>
          <cell r="D21">
            <v>26.5</v>
          </cell>
          <cell r="N21" t="str">
            <v>426-00</v>
          </cell>
          <cell r="O21" t="str">
            <v>COMP,RETAINER</v>
          </cell>
          <cell r="P21">
            <v>53</v>
          </cell>
        </row>
        <row r="22">
          <cell r="B22" t="str">
            <v>204-00</v>
          </cell>
          <cell r="C22" t="str">
            <v>BODY</v>
          </cell>
          <cell r="D22">
            <v>27.5</v>
          </cell>
          <cell r="N22" t="str">
            <v>204-00</v>
          </cell>
          <cell r="O22" t="str">
            <v>BODY</v>
          </cell>
          <cell r="P22">
            <v>55</v>
          </cell>
        </row>
        <row r="23">
          <cell r="B23" t="str">
            <v>428-01</v>
          </cell>
          <cell r="C23" t="str">
            <v>COMP,RETAINER</v>
          </cell>
          <cell r="D23">
            <v>26.5</v>
          </cell>
          <cell r="N23" t="str">
            <v>428-01</v>
          </cell>
          <cell r="O23" t="str">
            <v>COMP,RETAINER</v>
          </cell>
          <cell r="P23">
            <v>53</v>
          </cell>
        </row>
        <row r="24">
          <cell r="B24" t="str">
            <v>409-00</v>
          </cell>
          <cell r="C24" t="str">
            <v>REB,RETAINER</v>
          </cell>
          <cell r="D24">
            <v>28</v>
          </cell>
          <cell r="N24" t="str">
            <v>409-00</v>
          </cell>
          <cell r="O24" t="str">
            <v>REB,RETAINER</v>
          </cell>
          <cell r="P24">
            <v>56</v>
          </cell>
        </row>
        <row r="25">
          <cell r="B25" t="str">
            <v>404-00</v>
          </cell>
          <cell r="C25" t="str">
            <v>COMP,RETAINER</v>
          </cell>
          <cell r="D25">
            <v>28.5</v>
          </cell>
          <cell r="N25" t="str">
            <v>404-00</v>
          </cell>
          <cell r="O25" t="str">
            <v>COMP,RETAINER</v>
          </cell>
          <cell r="P25">
            <v>57</v>
          </cell>
        </row>
        <row r="26">
          <cell r="B26" t="str">
            <v>415-00</v>
          </cell>
          <cell r="C26" t="str">
            <v>COMP,RETAINER</v>
          </cell>
          <cell r="D26">
            <v>28.5</v>
          </cell>
          <cell r="N26" t="str">
            <v>415-00</v>
          </cell>
          <cell r="O26" t="str">
            <v>COMP,RETAINER</v>
          </cell>
          <cell r="P26">
            <v>57</v>
          </cell>
        </row>
        <row r="27">
          <cell r="B27" t="str">
            <v>415-00</v>
          </cell>
          <cell r="C27" t="str">
            <v>COMP,RETAINER</v>
          </cell>
          <cell r="D27">
            <v>28.5</v>
          </cell>
          <cell r="N27" t="str">
            <v>415-00</v>
          </cell>
          <cell r="O27" t="str">
            <v>COMP,RETAINER</v>
          </cell>
          <cell r="P27">
            <v>57</v>
          </cell>
        </row>
        <row r="28">
          <cell r="B28" t="str">
            <v>427-00</v>
          </cell>
          <cell r="C28" t="str">
            <v>REB,RETAINER</v>
          </cell>
          <cell r="D28">
            <v>28.5</v>
          </cell>
          <cell r="N28" t="str">
            <v>427-00</v>
          </cell>
          <cell r="O28" t="str">
            <v>REB,RETAINER</v>
          </cell>
          <cell r="P28">
            <v>57</v>
          </cell>
        </row>
        <row r="29">
          <cell r="B29" t="str">
            <v>458-00</v>
          </cell>
          <cell r="C29" t="str">
            <v>REB,RETAINER</v>
          </cell>
          <cell r="D29">
            <v>28.5</v>
          </cell>
          <cell r="N29" t="str">
            <v>458-00</v>
          </cell>
          <cell r="O29" t="str">
            <v>REB,RETAINER</v>
          </cell>
          <cell r="P29">
            <v>57</v>
          </cell>
        </row>
        <row r="30">
          <cell r="B30" t="str">
            <v>458-00</v>
          </cell>
          <cell r="C30" t="str">
            <v>REB,RETAINER</v>
          </cell>
          <cell r="D30">
            <v>28.5</v>
          </cell>
          <cell r="N30" t="str">
            <v>458-00</v>
          </cell>
          <cell r="O30" t="str">
            <v>REB,RETAINER</v>
          </cell>
          <cell r="P30">
            <v>57</v>
          </cell>
        </row>
        <row r="31">
          <cell r="B31" t="str">
            <v>402-00</v>
          </cell>
          <cell r="C31" t="str">
            <v>COMP,RETAINER</v>
          </cell>
          <cell r="D31">
            <v>29</v>
          </cell>
          <cell r="N31" t="str">
            <v>402-00</v>
          </cell>
          <cell r="O31" t="str">
            <v>COMP,RETAINER</v>
          </cell>
          <cell r="P31">
            <v>58</v>
          </cell>
        </row>
        <row r="32">
          <cell r="B32" t="str">
            <v>402-00</v>
          </cell>
          <cell r="C32" t="str">
            <v>COMP,RETAINER</v>
          </cell>
          <cell r="D32">
            <v>29</v>
          </cell>
          <cell r="N32" t="str">
            <v>402-00</v>
          </cell>
          <cell r="O32" t="str">
            <v>COMP,RETAINER</v>
          </cell>
          <cell r="P32">
            <v>58</v>
          </cell>
        </row>
        <row r="33">
          <cell r="B33" t="str">
            <v>415-00</v>
          </cell>
          <cell r="C33" t="str">
            <v>COMP,RETAINER</v>
          </cell>
          <cell r="D33">
            <v>28.5</v>
          </cell>
          <cell r="N33" t="str">
            <v>415-00</v>
          </cell>
          <cell r="O33" t="str">
            <v>COMP,RETAINER</v>
          </cell>
          <cell r="P33">
            <v>57</v>
          </cell>
        </row>
        <row r="34">
          <cell r="B34" t="str">
            <v>407-00</v>
          </cell>
          <cell r="C34" t="str">
            <v>REB,RETAINER</v>
          </cell>
          <cell r="D34">
            <v>29.5</v>
          </cell>
          <cell r="N34" t="str">
            <v>407-00</v>
          </cell>
          <cell r="O34" t="str">
            <v>REB,RETAINER</v>
          </cell>
          <cell r="P34">
            <v>59</v>
          </cell>
        </row>
        <row r="35">
          <cell r="B35" t="str">
            <v>411-00</v>
          </cell>
          <cell r="C35" t="str">
            <v>COMP,RETAINER</v>
          </cell>
          <cell r="D35">
            <v>29.5</v>
          </cell>
          <cell r="N35" t="str">
            <v>411-00</v>
          </cell>
          <cell r="O35" t="str">
            <v>COMP,RETAINER</v>
          </cell>
          <cell r="P35">
            <v>59</v>
          </cell>
        </row>
        <row r="36">
          <cell r="B36" t="str">
            <v>431-00</v>
          </cell>
          <cell r="C36" t="str">
            <v>REB,RETAINER</v>
          </cell>
          <cell r="D36">
            <v>29.5</v>
          </cell>
          <cell r="N36" t="str">
            <v>431-00</v>
          </cell>
          <cell r="O36" t="str">
            <v>REB,RETAINER</v>
          </cell>
          <cell r="P36">
            <v>59</v>
          </cell>
        </row>
        <row r="37">
          <cell r="B37" t="str">
            <v>401-00</v>
          </cell>
          <cell r="C37" t="str">
            <v>COMP,RETAINER</v>
          </cell>
          <cell r="D37">
            <v>30</v>
          </cell>
          <cell r="N37" t="str">
            <v>401-00</v>
          </cell>
          <cell r="O37" t="str">
            <v>COMP,RETAINER</v>
          </cell>
          <cell r="P37">
            <v>60</v>
          </cell>
        </row>
        <row r="38">
          <cell r="B38" t="str">
            <v>414-00</v>
          </cell>
          <cell r="C38" t="str">
            <v>COMP,RETAINER</v>
          </cell>
          <cell r="D38">
            <v>30</v>
          </cell>
          <cell r="N38" t="str">
            <v>414-00</v>
          </cell>
          <cell r="O38" t="str">
            <v>COMP,RETAINER</v>
          </cell>
          <cell r="P38">
            <v>60</v>
          </cell>
        </row>
        <row r="39">
          <cell r="B39" t="str">
            <v>412-00</v>
          </cell>
          <cell r="C39" t="str">
            <v>REB,RETAINER</v>
          </cell>
          <cell r="D39">
            <v>31</v>
          </cell>
          <cell r="N39" t="str">
            <v>412-00</v>
          </cell>
          <cell r="O39" t="str">
            <v>REB,RETAINER</v>
          </cell>
          <cell r="P39">
            <v>62</v>
          </cell>
        </row>
        <row r="40">
          <cell r="B40" t="str">
            <v>405-00</v>
          </cell>
          <cell r="C40" t="str">
            <v>COMP,RETAINER</v>
          </cell>
          <cell r="D40">
            <v>32</v>
          </cell>
          <cell r="N40" t="str">
            <v>405-00</v>
          </cell>
          <cell r="O40" t="str">
            <v>COMP,RETAINER</v>
          </cell>
          <cell r="P40">
            <v>64</v>
          </cell>
        </row>
        <row r="41">
          <cell r="B41" t="str">
            <v>419-00</v>
          </cell>
          <cell r="C41" t="str">
            <v>REB,RETAINER</v>
          </cell>
          <cell r="D41">
            <v>32</v>
          </cell>
          <cell r="N41" t="str">
            <v>419-00</v>
          </cell>
          <cell r="O41" t="str">
            <v>REB,RETAINER</v>
          </cell>
          <cell r="P41">
            <v>64</v>
          </cell>
        </row>
        <row r="42">
          <cell r="B42" t="str">
            <v>016-00</v>
          </cell>
          <cell r="C42" t="str">
            <v>RETAINER GUIDE</v>
          </cell>
          <cell r="D42">
            <v>23</v>
          </cell>
          <cell r="N42" t="str">
            <v>016-00</v>
          </cell>
          <cell r="O42" t="str">
            <v>RETAINER GUIDE</v>
          </cell>
          <cell r="P42">
            <v>46</v>
          </cell>
        </row>
        <row r="43">
          <cell r="B43" t="str">
            <v>732-02</v>
          </cell>
          <cell r="C43" t="str">
            <v>GAS SPRING PISTON</v>
          </cell>
          <cell r="D43">
            <v>32.5</v>
          </cell>
          <cell r="N43" t="str">
            <v>732-02</v>
          </cell>
          <cell r="O43" t="str">
            <v>GAS SPRING PISTON</v>
          </cell>
          <cell r="P43">
            <v>65</v>
          </cell>
        </row>
        <row r="44">
          <cell r="B44" t="str">
            <v>732-03</v>
          </cell>
          <cell r="C44" t="str">
            <v>GAS SPRING PISTON</v>
          </cell>
          <cell r="D44">
            <v>32.5</v>
          </cell>
          <cell r="N44" t="str">
            <v>732-03</v>
          </cell>
          <cell r="O44" t="str">
            <v>GAS SPRING PISTON</v>
          </cell>
          <cell r="P44">
            <v>65</v>
          </cell>
        </row>
        <row r="45">
          <cell r="B45" t="str">
            <v>406-00</v>
          </cell>
          <cell r="C45" t="str">
            <v>REB,RETAINER</v>
          </cell>
          <cell r="D45">
            <v>33</v>
          </cell>
          <cell r="N45" t="str">
            <v>406-00</v>
          </cell>
          <cell r="O45" t="str">
            <v>REB,RETAINER</v>
          </cell>
          <cell r="P45">
            <v>66</v>
          </cell>
        </row>
        <row r="46">
          <cell r="B46" t="str">
            <v>408-00</v>
          </cell>
          <cell r="C46" t="str">
            <v>REB,RETAINER</v>
          </cell>
          <cell r="D46">
            <v>33</v>
          </cell>
          <cell r="N46" t="str">
            <v>408-00</v>
          </cell>
          <cell r="O46" t="str">
            <v>REB,RETAINER</v>
          </cell>
          <cell r="P46">
            <v>66</v>
          </cell>
        </row>
        <row r="47">
          <cell r="B47" t="str">
            <v>494-01</v>
          </cell>
          <cell r="C47" t="str">
            <v>REB,RETAINER</v>
          </cell>
          <cell r="D47">
            <v>33</v>
          </cell>
          <cell r="N47" t="str">
            <v>494-01</v>
          </cell>
          <cell r="O47" t="str">
            <v>REB,RETAINER</v>
          </cell>
          <cell r="P47">
            <v>66</v>
          </cell>
        </row>
        <row r="48">
          <cell r="B48" t="str">
            <v>494-02</v>
          </cell>
          <cell r="C48" t="str">
            <v>REB,RETAINER</v>
          </cell>
          <cell r="D48">
            <v>33.5</v>
          </cell>
          <cell r="N48" t="str">
            <v>494-02</v>
          </cell>
          <cell r="O48" t="str">
            <v>REB,RETAINER</v>
          </cell>
          <cell r="P48">
            <v>67</v>
          </cell>
        </row>
        <row r="49">
          <cell r="B49" t="str">
            <v>403-00</v>
          </cell>
          <cell r="C49" t="str">
            <v>COMP,RETAINER</v>
          </cell>
          <cell r="D49">
            <v>34</v>
          </cell>
          <cell r="N49" t="str">
            <v>403-00</v>
          </cell>
          <cell r="O49" t="str">
            <v>COMP,RETAINER</v>
          </cell>
          <cell r="P49">
            <v>68</v>
          </cell>
        </row>
        <row r="50">
          <cell r="B50" t="str">
            <v>843-00</v>
          </cell>
          <cell r="C50" t="str">
            <v>NUT ADJUSTER(LH)</v>
          </cell>
          <cell r="D50">
            <v>40.799999999999997</v>
          </cell>
          <cell r="N50" t="str">
            <v>843-00</v>
          </cell>
          <cell r="O50" t="str">
            <v>NUT ADJUSTER(LH)</v>
          </cell>
          <cell r="P50">
            <v>68</v>
          </cell>
        </row>
        <row r="51">
          <cell r="B51" t="str">
            <v>843-00</v>
          </cell>
          <cell r="C51" t="str">
            <v>NUT ADJUSTER(LH)</v>
          </cell>
          <cell r="D51">
            <v>40.799999999999997</v>
          </cell>
          <cell r="N51" t="str">
            <v>843-00</v>
          </cell>
          <cell r="O51" t="str">
            <v>NUT ADJUSTER(LH)</v>
          </cell>
          <cell r="P51">
            <v>68</v>
          </cell>
        </row>
        <row r="52">
          <cell r="B52" t="str">
            <v>844-00</v>
          </cell>
          <cell r="C52" t="str">
            <v>NUT ADJUSTER(RH)</v>
          </cell>
          <cell r="D52">
            <v>40.799999999999997</v>
          </cell>
          <cell r="N52" t="str">
            <v>844-00</v>
          </cell>
          <cell r="O52" t="str">
            <v>NUT ADJUSTER(RH)</v>
          </cell>
          <cell r="P52">
            <v>68</v>
          </cell>
        </row>
        <row r="53">
          <cell r="B53" t="str">
            <v>844-00</v>
          </cell>
          <cell r="C53" t="str">
            <v>NUT ADJUSTER(RH)</v>
          </cell>
          <cell r="D53">
            <v>40.799999999999997</v>
          </cell>
          <cell r="N53" t="str">
            <v>844-00</v>
          </cell>
          <cell r="O53" t="str">
            <v>NUT ADJUSTER(RH)</v>
          </cell>
          <cell r="P53">
            <v>68</v>
          </cell>
        </row>
        <row r="54">
          <cell r="B54" t="str">
            <v>494-01</v>
          </cell>
          <cell r="C54" t="str">
            <v>REB,RETAINER</v>
          </cell>
          <cell r="D54">
            <v>33</v>
          </cell>
          <cell r="N54" t="str">
            <v>494-01</v>
          </cell>
          <cell r="O54" t="str">
            <v>REB,RETAINER</v>
          </cell>
          <cell r="P54">
            <v>66</v>
          </cell>
        </row>
        <row r="55">
          <cell r="B55" t="str">
            <v>575-00</v>
          </cell>
          <cell r="C55" t="str">
            <v>REB,RETAINER</v>
          </cell>
          <cell r="D55">
            <v>34.5</v>
          </cell>
          <cell r="N55" t="str">
            <v>575-00</v>
          </cell>
          <cell r="O55" t="str">
            <v>REB,RETAINER</v>
          </cell>
          <cell r="P55">
            <v>69</v>
          </cell>
        </row>
        <row r="56">
          <cell r="B56" t="str">
            <v>420-00</v>
          </cell>
          <cell r="C56" t="str">
            <v>COMP,RETAINER</v>
          </cell>
          <cell r="D56">
            <v>35</v>
          </cell>
          <cell r="N56" t="str">
            <v>420-00</v>
          </cell>
          <cell r="O56" t="str">
            <v>COMP,RETAINER</v>
          </cell>
          <cell r="P56">
            <v>70</v>
          </cell>
        </row>
        <row r="57">
          <cell r="B57" t="str">
            <v>511-00</v>
          </cell>
          <cell r="C57" t="str">
            <v>BACK UP WASHER</v>
          </cell>
          <cell r="D57">
            <v>42.6</v>
          </cell>
          <cell r="N57" t="str">
            <v>511-00</v>
          </cell>
          <cell r="O57" t="str">
            <v>BACK UP WASHER</v>
          </cell>
          <cell r="P57">
            <v>71</v>
          </cell>
        </row>
        <row r="58">
          <cell r="B58" t="str">
            <v>203-01</v>
          </cell>
          <cell r="C58" t="str">
            <v>PISTON</v>
          </cell>
          <cell r="D58">
            <v>36</v>
          </cell>
          <cell r="N58" t="str">
            <v>203-01</v>
          </cell>
          <cell r="O58" t="str">
            <v>PISTON</v>
          </cell>
          <cell r="P58">
            <v>72</v>
          </cell>
        </row>
        <row r="59">
          <cell r="B59" t="str">
            <v>431-03</v>
          </cell>
          <cell r="C59" t="str">
            <v>REB,RETAINER</v>
          </cell>
          <cell r="D59">
            <v>36.5</v>
          </cell>
          <cell r="N59" t="str">
            <v>431-03</v>
          </cell>
          <cell r="O59" t="str">
            <v>REB,RETAINER</v>
          </cell>
          <cell r="P59">
            <v>73</v>
          </cell>
        </row>
        <row r="60">
          <cell r="B60" t="str">
            <v>4SA1015</v>
          </cell>
          <cell r="C60" t="str">
            <v>DU-BUSH</v>
          </cell>
          <cell r="D60">
            <v>43.8</v>
          </cell>
          <cell r="N60" t="str">
            <v>4SA1015</v>
          </cell>
          <cell r="O60" t="str">
            <v>DU-BUSH</v>
          </cell>
          <cell r="P60">
            <v>73</v>
          </cell>
        </row>
        <row r="61">
          <cell r="B61" t="str">
            <v>557-00</v>
          </cell>
          <cell r="C61" t="str">
            <v>BODY</v>
          </cell>
          <cell r="D61">
            <v>37</v>
          </cell>
          <cell r="N61" t="str">
            <v>557-00</v>
          </cell>
          <cell r="O61" t="str">
            <v>BODY</v>
          </cell>
          <cell r="P61">
            <v>74</v>
          </cell>
        </row>
        <row r="62">
          <cell r="B62" t="str">
            <v>830-00</v>
          </cell>
          <cell r="C62" t="str">
            <v>GAS SPRING PISTON</v>
          </cell>
          <cell r="D62">
            <v>37</v>
          </cell>
          <cell r="N62" t="str">
            <v>830-00</v>
          </cell>
          <cell r="O62" t="str">
            <v>GAS SPRING PISTON</v>
          </cell>
          <cell r="P62">
            <v>74</v>
          </cell>
        </row>
        <row r="63">
          <cell r="B63" t="str">
            <v>054-00</v>
          </cell>
          <cell r="C63" t="str">
            <v>RETAINER GUIDE</v>
          </cell>
          <cell r="D63">
            <v>37.5</v>
          </cell>
          <cell r="N63" t="str">
            <v>054-00</v>
          </cell>
          <cell r="O63" t="str">
            <v>RETAINER GUIDE</v>
          </cell>
          <cell r="P63">
            <v>75</v>
          </cell>
        </row>
        <row r="64">
          <cell r="B64" t="str">
            <v>366-00</v>
          </cell>
          <cell r="C64" t="str">
            <v>BODY</v>
          </cell>
          <cell r="D64">
            <v>38</v>
          </cell>
          <cell r="N64" t="str">
            <v>366-00</v>
          </cell>
          <cell r="O64" t="str">
            <v>BODY</v>
          </cell>
          <cell r="P64">
            <v>76</v>
          </cell>
        </row>
        <row r="65">
          <cell r="B65" t="str">
            <v>685-04</v>
          </cell>
          <cell r="C65" t="str">
            <v>REB,RETAINER</v>
          </cell>
          <cell r="D65">
            <v>38</v>
          </cell>
          <cell r="N65" t="str">
            <v>685-04</v>
          </cell>
          <cell r="O65" t="str">
            <v>REB,RETAINER</v>
          </cell>
          <cell r="P65">
            <v>76</v>
          </cell>
        </row>
        <row r="66">
          <cell r="B66" t="str">
            <v>690-01</v>
          </cell>
          <cell r="C66" t="str">
            <v>COMP,RETAINER</v>
          </cell>
          <cell r="D66">
            <v>38</v>
          </cell>
          <cell r="N66" t="str">
            <v>690-01</v>
          </cell>
          <cell r="O66" t="str">
            <v>COMP,RETAINER</v>
          </cell>
          <cell r="P66">
            <v>76</v>
          </cell>
        </row>
        <row r="67">
          <cell r="B67" t="str">
            <v>690-02</v>
          </cell>
          <cell r="C67" t="str">
            <v>COMP,RETAINER</v>
          </cell>
          <cell r="D67">
            <v>38</v>
          </cell>
          <cell r="N67" t="str">
            <v>690-02</v>
          </cell>
          <cell r="O67" t="str">
            <v>COMP,RETAINER</v>
          </cell>
          <cell r="P67">
            <v>76</v>
          </cell>
        </row>
        <row r="68">
          <cell r="B68" t="str">
            <v>410-00</v>
          </cell>
          <cell r="C68" t="str">
            <v>REB,RETAINER</v>
          </cell>
          <cell r="D68">
            <v>38.5</v>
          </cell>
          <cell r="N68" t="str">
            <v>410-00</v>
          </cell>
          <cell r="O68" t="str">
            <v>REB,RETAINER</v>
          </cell>
          <cell r="P68">
            <v>77</v>
          </cell>
        </row>
        <row r="69">
          <cell r="B69" t="str">
            <v>807-01</v>
          </cell>
          <cell r="C69" t="str">
            <v>REB,RETAINER</v>
          </cell>
          <cell r="D69">
            <v>38.5</v>
          </cell>
          <cell r="N69" t="str">
            <v>807-01</v>
          </cell>
          <cell r="O69" t="str">
            <v>REB,RETAINER</v>
          </cell>
          <cell r="P69">
            <v>77</v>
          </cell>
        </row>
        <row r="70">
          <cell r="B70" t="str">
            <v>853-22</v>
          </cell>
          <cell r="C70" t="str">
            <v>REB,RETAINER</v>
          </cell>
          <cell r="D70">
            <v>38.5</v>
          </cell>
          <cell r="N70" t="str">
            <v>853-22</v>
          </cell>
          <cell r="O70" t="str">
            <v>REB,RETAINER</v>
          </cell>
          <cell r="P70">
            <v>77</v>
          </cell>
        </row>
        <row r="71">
          <cell r="B71" t="str">
            <v>4A13636</v>
          </cell>
          <cell r="C71" t="str">
            <v>DU-BUSH</v>
          </cell>
          <cell r="D71">
            <v>46.8</v>
          </cell>
          <cell r="N71" t="str">
            <v>4A13636</v>
          </cell>
          <cell r="O71" t="str">
            <v>DU-BUSH</v>
          </cell>
          <cell r="P71">
            <v>78</v>
          </cell>
        </row>
        <row r="72">
          <cell r="B72" t="str">
            <v>685-02</v>
          </cell>
          <cell r="C72" t="str">
            <v>REB,RETAINER</v>
          </cell>
          <cell r="D72">
            <v>39</v>
          </cell>
          <cell r="N72" t="str">
            <v>685-02</v>
          </cell>
          <cell r="O72" t="str">
            <v>REB,RETAINER</v>
          </cell>
          <cell r="P72">
            <v>78</v>
          </cell>
        </row>
        <row r="73">
          <cell r="B73" t="str">
            <v>686-01</v>
          </cell>
          <cell r="C73" t="str">
            <v>COMP,RETAINER</v>
          </cell>
          <cell r="D73">
            <v>39</v>
          </cell>
          <cell r="N73" t="str">
            <v>686-01</v>
          </cell>
          <cell r="O73" t="str">
            <v>COMP,RETAINER</v>
          </cell>
          <cell r="P73">
            <v>78</v>
          </cell>
        </row>
        <row r="74">
          <cell r="B74" t="str">
            <v>494-05</v>
          </cell>
          <cell r="C74" t="str">
            <v>REB,RETAINER</v>
          </cell>
          <cell r="D74">
            <v>39.5</v>
          </cell>
          <cell r="N74" t="str">
            <v>494-05</v>
          </cell>
          <cell r="O74" t="str">
            <v>REB,RETAINER</v>
          </cell>
          <cell r="P74">
            <v>79</v>
          </cell>
        </row>
        <row r="75">
          <cell r="B75" t="str">
            <v>1102-00</v>
          </cell>
          <cell r="C75" t="str">
            <v>PINION GEAR</v>
          </cell>
          <cell r="D75">
            <v>48</v>
          </cell>
          <cell r="N75" t="str">
            <v>1102-00</v>
          </cell>
          <cell r="O75" t="str">
            <v>PINION GEAR</v>
          </cell>
          <cell r="P75">
            <v>80</v>
          </cell>
        </row>
        <row r="76">
          <cell r="B76" t="str">
            <v>804-01</v>
          </cell>
          <cell r="C76" t="str">
            <v>COMP,RETAINER</v>
          </cell>
          <cell r="D76">
            <v>40</v>
          </cell>
          <cell r="N76" t="str">
            <v>804-01</v>
          </cell>
          <cell r="O76" t="str">
            <v>COMP,RETAINER</v>
          </cell>
          <cell r="P76">
            <v>80</v>
          </cell>
        </row>
        <row r="77">
          <cell r="B77" t="str">
            <v>1815-00</v>
          </cell>
          <cell r="C77" t="str">
            <v>PLANETARY GEAR</v>
          </cell>
          <cell r="D77">
            <v>48.6</v>
          </cell>
          <cell r="N77" t="str">
            <v>1815-00</v>
          </cell>
          <cell r="O77" t="str">
            <v>PLANETARY GEAR</v>
          </cell>
          <cell r="P77">
            <v>81</v>
          </cell>
        </row>
        <row r="78">
          <cell r="B78" t="str">
            <v>458-00</v>
          </cell>
          <cell r="C78" t="str">
            <v>REB,RETAINER</v>
          </cell>
          <cell r="D78">
            <v>28.5</v>
          </cell>
          <cell r="N78" t="str">
            <v>458-00</v>
          </cell>
          <cell r="O78" t="str">
            <v>REB,RETAINER</v>
          </cell>
          <cell r="P78">
            <v>57</v>
          </cell>
        </row>
        <row r="79">
          <cell r="B79" t="str">
            <v>494-04</v>
          </cell>
          <cell r="C79" t="str">
            <v>REB,RETAINER</v>
          </cell>
          <cell r="D79">
            <v>40.5</v>
          </cell>
          <cell r="N79" t="str">
            <v>494-04</v>
          </cell>
          <cell r="O79" t="str">
            <v>REB,RETAINER</v>
          </cell>
          <cell r="P79">
            <v>81</v>
          </cell>
        </row>
        <row r="80">
          <cell r="B80" t="str">
            <v>626-00</v>
          </cell>
          <cell r="C80" t="str">
            <v>REB,RETAINER</v>
          </cell>
          <cell r="D80">
            <v>40.5</v>
          </cell>
          <cell r="N80" t="str">
            <v>626-00</v>
          </cell>
          <cell r="O80" t="str">
            <v>REB,RETAINER</v>
          </cell>
          <cell r="P80">
            <v>81</v>
          </cell>
        </row>
        <row r="81">
          <cell r="B81" t="str">
            <v>656-00</v>
          </cell>
          <cell r="C81" t="str">
            <v>COMP,RETAINER</v>
          </cell>
          <cell r="D81">
            <v>40.5</v>
          </cell>
          <cell r="N81" t="str">
            <v>656-00</v>
          </cell>
          <cell r="O81" t="str">
            <v>COMP,RETAINER</v>
          </cell>
          <cell r="P81">
            <v>81</v>
          </cell>
        </row>
        <row r="82">
          <cell r="B82" t="str">
            <v>656-00</v>
          </cell>
          <cell r="C82" t="str">
            <v>COMP,RETAINER</v>
          </cell>
          <cell r="D82">
            <v>40.5</v>
          </cell>
          <cell r="N82" t="str">
            <v>656-00</v>
          </cell>
          <cell r="O82" t="str">
            <v>COMP,RETAINER</v>
          </cell>
          <cell r="P82">
            <v>81</v>
          </cell>
        </row>
        <row r="83">
          <cell r="B83" t="str">
            <v>687-01</v>
          </cell>
          <cell r="C83" t="str">
            <v>COMP,RETAINER</v>
          </cell>
          <cell r="D83">
            <v>40.5</v>
          </cell>
          <cell r="N83" t="str">
            <v>687-01</v>
          </cell>
          <cell r="O83" t="str">
            <v>COMP,RETAINER</v>
          </cell>
          <cell r="P83">
            <v>81</v>
          </cell>
        </row>
        <row r="84">
          <cell r="B84" t="str">
            <v>687-02</v>
          </cell>
          <cell r="C84" t="str">
            <v>COMP,RETAINER</v>
          </cell>
          <cell r="D84">
            <v>40.5</v>
          </cell>
          <cell r="N84" t="str">
            <v>687-02</v>
          </cell>
          <cell r="O84" t="str">
            <v>COMP,RETAINER</v>
          </cell>
          <cell r="P84">
            <v>81</v>
          </cell>
        </row>
        <row r="85">
          <cell r="B85" t="str">
            <v>945-00</v>
          </cell>
          <cell r="C85" t="str">
            <v>CAP</v>
          </cell>
          <cell r="D85">
            <v>48.6</v>
          </cell>
          <cell r="N85" t="str">
            <v>945-00</v>
          </cell>
          <cell r="O85" t="str">
            <v>CAP</v>
          </cell>
          <cell r="P85">
            <v>81</v>
          </cell>
        </row>
        <row r="86">
          <cell r="B86" t="str">
            <v>3SA1154</v>
          </cell>
          <cell r="C86" t="str">
            <v>PISTON RING</v>
          </cell>
          <cell r="D86" t="e">
            <v>#N/A</v>
          </cell>
          <cell r="N86" t="str">
            <v>3SA1154</v>
          </cell>
          <cell r="O86" t="str">
            <v>PISTON RING</v>
          </cell>
          <cell r="P86">
            <v>82</v>
          </cell>
        </row>
        <row r="87">
          <cell r="B87" t="str">
            <v>459-00</v>
          </cell>
          <cell r="C87" t="str">
            <v>REB,RETAINER</v>
          </cell>
          <cell r="D87">
            <v>41</v>
          </cell>
          <cell r="N87" t="str">
            <v>459-00</v>
          </cell>
          <cell r="O87" t="str">
            <v>REB,RETAINER</v>
          </cell>
          <cell r="P87">
            <v>82</v>
          </cell>
        </row>
        <row r="88">
          <cell r="B88" t="str">
            <v>494-02</v>
          </cell>
          <cell r="C88" t="str">
            <v>REB,RETAINER</v>
          </cell>
          <cell r="D88">
            <v>33.5</v>
          </cell>
          <cell r="N88" t="str">
            <v>494-02</v>
          </cell>
          <cell r="O88" t="str">
            <v>REB,RETAINER</v>
          </cell>
          <cell r="P88">
            <v>67</v>
          </cell>
        </row>
        <row r="89">
          <cell r="B89" t="str">
            <v>687-02</v>
          </cell>
          <cell r="C89" t="str">
            <v>COMP,RETAINER</v>
          </cell>
          <cell r="D89">
            <v>40.5</v>
          </cell>
          <cell r="N89" t="str">
            <v>687-02</v>
          </cell>
          <cell r="O89" t="str">
            <v>COMP,RETAINER</v>
          </cell>
          <cell r="P89">
            <v>81</v>
          </cell>
        </row>
        <row r="90">
          <cell r="B90" t="str">
            <v>687-02</v>
          </cell>
          <cell r="C90" t="str">
            <v>COMP,RETAINER</v>
          </cell>
          <cell r="D90">
            <v>40.5</v>
          </cell>
          <cell r="N90" t="str">
            <v>687-02</v>
          </cell>
          <cell r="O90" t="str">
            <v>COMP,RETAINER</v>
          </cell>
          <cell r="P90">
            <v>81</v>
          </cell>
        </row>
        <row r="91">
          <cell r="B91" t="str">
            <v>688-00</v>
          </cell>
          <cell r="C91" t="str">
            <v>REB,RETAINER</v>
          </cell>
          <cell r="D91">
            <v>41</v>
          </cell>
          <cell r="N91" t="str">
            <v>688-00</v>
          </cell>
          <cell r="O91" t="str">
            <v>REB,RETAINER</v>
          </cell>
          <cell r="P91">
            <v>82</v>
          </cell>
        </row>
        <row r="92">
          <cell r="B92" t="str">
            <v>961-00</v>
          </cell>
          <cell r="C92" t="str">
            <v>GUIDE WASHER</v>
          </cell>
          <cell r="D92">
            <v>41</v>
          </cell>
          <cell r="N92" t="str">
            <v>961-00</v>
          </cell>
          <cell r="O92" t="str">
            <v>GUIDE WASHER</v>
          </cell>
          <cell r="P92">
            <v>82</v>
          </cell>
        </row>
        <row r="93">
          <cell r="B93" t="str">
            <v>494-04</v>
          </cell>
          <cell r="C93" t="str">
            <v>REB,RETAINER</v>
          </cell>
          <cell r="D93">
            <v>40.5</v>
          </cell>
          <cell r="N93" t="str">
            <v>494-04</v>
          </cell>
          <cell r="O93" t="str">
            <v>REB,RETAINER</v>
          </cell>
          <cell r="P93">
            <v>81</v>
          </cell>
        </row>
        <row r="94">
          <cell r="B94" t="str">
            <v>494-04</v>
          </cell>
          <cell r="C94" t="str">
            <v>REB,RETAINER</v>
          </cell>
          <cell r="D94">
            <v>40.5</v>
          </cell>
          <cell r="N94" t="str">
            <v>494-04</v>
          </cell>
          <cell r="O94" t="str">
            <v>REB,RETAINER</v>
          </cell>
          <cell r="P94">
            <v>81</v>
          </cell>
        </row>
        <row r="95">
          <cell r="B95" t="str">
            <v>1815-00</v>
          </cell>
          <cell r="C95" t="str">
            <v>PLANETARY GEAR</v>
          </cell>
          <cell r="D95">
            <v>48.6</v>
          </cell>
          <cell r="N95" t="str">
            <v>1815-00</v>
          </cell>
          <cell r="O95" t="str">
            <v>PLANETARY GEAR</v>
          </cell>
          <cell r="P95">
            <v>81</v>
          </cell>
        </row>
        <row r="96">
          <cell r="B96" t="str">
            <v>807-02</v>
          </cell>
          <cell r="C96" t="str">
            <v>REB,RETAINER</v>
          </cell>
          <cell r="D96">
            <v>42</v>
          </cell>
          <cell r="N96" t="str">
            <v>807-02</v>
          </cell>
          <cell r="O96" t="str">
            <v>REB,RETAINER</v>
          </cell>
          <cell r="P96">
            <v>84</v>
          </cell>
        </row>
        <row r="97">
          <cell r="B97" t="str">
            <v>430-00</v>
          </cell>
          <cell r="C97" t="str">
            <v>SLEEVE</v>
          </cell>
          <cell r="D97">
            <v>42.5</v>
          </cell>
          <cell r="N97" t="str">
            <v>430-00</v>
          </cell>
          <cell r="O97" t="str">
            <v>SLEEVE</v>
          </cell>
          <cell r="P97">
            <v>85</v>
          </cell>
        </row>
        <row r="98">
          <cell r="B98" t="str">
            <v>515-00</v>
          </cell>
          <cell r="C98" t="str">
            <v>COMP,RETAINER</v>
          </cell>
          <cell r="D98">
            <v>42.5</v>
          </cell>
          <cell r="N98" t="str">
            <v>515-00</v>
          </cell>
          <cell r="O98" t="str">
            <v>COMP,RETAINER</v>
          </cell>
          <cell r="P98">
            <v>85</v>
          </cell>
        </row>
        <row r="99">
          <cell r="B99" t="str">
            <v>807-06</v>
          </cell>
          <cell r="C99" t="str">
            <v>REB,RETAINER</v>
          </cell>
          <cell r="D99">
            <v>42.5</v>
          </cell>
          <cell r="N99" t="str">
            <v>807-06</v>
          </cell>
          <cell r="O99" t="str">
            <v>REB,RETAINER</v>
          </cell>
          <cell r="P99">
            <v>85</v>
          </cell>
        </row>
        <row r="100">
          <cell r="B100" t="str">
            <v>807-06</v>
          </cell>
          <cell r="C100" t="str">
            <v>REB,RETAINER</v>
          </cell>
          <cell r="D100">
            <v>42.5</v>
          </cell>
          <cell r="N100" t="str">
            <v>807-06</v>
          </cell>
          <cell r="O100" t="str">
            <v>REB,RETAINER</v>
          </cell>
          <cell r="P100">
            <v>85</v>
          </cell>
        </row>
        <row r="101">
          <cell r="B101" t="str">
            <v>687-03</v>
          </cell>
          <cell r="C101" t="str">
            <v>COMP,RETAINER</v>
          </cell>
          <cell r="D101">
            <v>43</v>
          </cell>
          <cell r="N101" t="str">
            <v>687-03</v>
          </cell>
          <cell r="O101" t="str">
            <v>COMP,RETAINER</v>
          </cell>
          <cell r="P101">
            <v>86</v>
          </cell>
        </row>
        <row r="102">
          <cell r="B102" t="str">
            <v>807-02</v>
          </cell>
          <cell r="C102" t="str">
            <v>REB,RETAINER</v>
          </cell>
          <cell r="D102">
            <v>42</v>
          </cell>
          <cell r="N102" t="str">
            <v>807-02</v>
          </cell>
          <cell r="O102" t="str">
            <v>REB,RETAINER</v>
          </cell>
          <cell r="P102">
            <v>84</v>
          </cell>
        </row>
        <row r="103">
          <cell r="B103" t="str">
            <v>807-02</v>
          </cell>
          <cell r="C103" t="str">
            <v>REB,RETAINER</v>
          </cell>
          <cell r="D103">
            <v>42</v>
          </cell>
          <cell r="N103" t="str">
            <v>807-02</v>
          </cell>
          <cell r="O103" t="str">
            <v>REB,RETAINER</v>
          </cell>
          <cell r="P103">
            <v>84</v>
          </cell>
        </row>
        <row r="104">
          <cell r="B104" t="str">
            <v>1105-00</v>
          </cell>
          <cell r="C104" t="str">
            <v>BEARING</v>
          </cell>
          <cell r="D104">
            <v>54</v>
          </cell>
          <cell r="N104" t="str">
            <v>1105-00</v>
          </cell>
          <cell r="O104" t="str">
            <v>BEARING</v>
          </cell>
          <cell r="P104">
            <v>90</v>
          </cell>
        </row>
        <row r="105">
          <cell r="B105" t="str">
            <v>450*450</v>
          </cell>
          <cell r="C105" t="str">
            <v>VCI BAG</v>
          </cell>
          <cell r="D105">
            <v>54.6</v>
          </cell>
          <cell r="N105" t="str">
            <v>450*450</v>
          </cell>
          <cell r="O105" t="str">
            <v>VCI BAG</v>
          </cell>
          <cell r="P105">
            <v>91</v>
          </cell>
        </row>
        <row r="106">
          <cell r="B106" t="str">
            <v>749-13</v>
          </cell>
          <cell r="C106" t="str">
            <v>REB,RETAINER</v>
          </cell>
          <cell r="D106">
            <v>45.5</v>
          </cell>
          <cell r="N106" t="str">
            <v>749-13</v>
          </cell>
          <cell r="O106" t="str">
            <v>REB,RETAINER</v>
          </cell>
          <cell r="P106">
            <v>91</v>
          </cell>
        </row>
        <row r="107">
          <cell r="B107" t="str">
            <v>513-00</v>
          </cell>
          <cell r="C107" t="str">
            <v>COMP,RETAINER</v>
          </cell>
          <cell r="D107">
            <v>46.5</v>
          </cell>
          <cell r="N107" t="str">
            <v>513-00</v>
          </cell>
          <cell r="O107" t="str">
            <v>COMP,RETAINER</v>
          </cell>
          <cell r="P107">
            <v>93</v>
          </cell>
        </row>
        <row r="108">
          <cell r="B108" t="str">
            <v>686-02</v>
          </cell>
          <cell r="C108" t="str">
            <v>COMP,RETAINER</v>
          </cell>
          <cell r="D108">
            <v>46.5</v>
          </cell>
          <cell r="N108" t="str">
            <v>686-02</v>
          </cell>
          <cell r="O108" t="str">
            <v>COMP,RETAINER</v>
          </cell>
          <cell r="P108">
            <v>93</v>
          </cell>
        </row>
        <row r="109">
          <cell r="B109" t="str">
            <v>1326-00</v>
          </cell>
          <cell r="C109" t="str">
            <v>HYD STOP UPPER</v>
          </cell>
          <cell r="D109">
            <v>57</v>
          </cell>
          <cell r="N109" t="str">
            <v>1326-00</v>
          </cell>
          <cell r="O109" t="str">
            <v>HYD STOP UPPER</v>
          </cell>
          <cell r="P109">
            <v>95</v>
          </cell>
        </row>
        <row r="110">
          <cell r="B110" t="str">
            <v>1326-00</v>
          </cell>
          <cell r="C110" t="str">
            <v>HYD STOP UPPER</v>
          </cell>
          <cell r="D110">
            <v>57</v>
          </cell>
          <cell r="N110" t="str">
            <v>1326-00</v>
          </cell>
          <cell r="O110" t="str">
            <v>HYD STOP UPPER</v>
          </cell>
          <cell r="P110">
            <v>95</v>
          </cell>
        </row>
        <row r="111">
          <cell r="B111" t="str">
            <v>355-00</v>
          </cell>
          <cell r="C111" t="str">
            <v>BACK UP WASHER</v>
          </cell>
          <cell r="D111">
            <v>57</v>
          </cell>
          <cell r="N111" t="str">
            <v>355-00</v>
          </cell>
          <cell r="O111" t="str">
            <v>BACK UP WASHER</v>
          </cell>
          <cell r="P111">
            <v>95</v>
          </cell>
        </row>
        <row r="112">
          <cell r="B112" t="str">
            <v>554-02</v>
          </cell>
          <cell r="C112" t="str">
            <v>GAS SPRING PISTON</v>
          </cell>
          <cell r="D112">
            <v>47.5</v>
          </cell>
          <cell r="N112" t="str">
            <v>554-02</v>
          </cell>
          <cell r="O112" t="str">
            <v>GAS SPRING PISTON</v>
          </cell>
          <cell r="P112">
            <v>95</v>
          </cell>
        </row>
        <row r="113">
          <cell r="B113" t="str">
            <v>637-01</v>
          </cell>
          <cell r="C113" t="str">
            <v>SLEEVE GUIDE</v>
          </cell>
          <cell r="D113">
            <v>57</v>
          </cell>
          <cell r="N113" t="str">
            <v>637-01</v>
          </cell>
          <cell r="O113" t="str">
            <v>SLEEVE GUIDE</v>
          </cell>
          <cell r="P113">
            <v>95</v>
          </cell>
        </row>
        <row r="114">
          <cell r="B114" t="str">
            <v>807-05</v>
          </cell>
          <cell r="C114" t="str">
            <v>REB,RETAINER</v>
          </cell>
          <cell r="D114">
            <v>47.5</v>
          </cell>
          <cell r="N114" t="str">
            <v>807-05</v>
          </cell>
          <cell r="O114" t="str">
            <v>REB,RETAINER</v>
          </cell>
          <cell r="P114">
            <v>95</v>
          </cell>
        </row>
        <row r="115">
          <cell r="B115" t="str">
            <v>807-07</v>
          </cell>
          <cell r="C115" t="str">
            <v>REB,RETAINER</v>
          </cell>
          <cell r="D115">
            <v>47.5</v>
          </cell>
          <cell r="N115" t="str">
            <v>807-07</v>
          </cell>
          <cell r="O115" t="str">
            <v>REB,RETAINER</v>
          </cell>
          <cell r="P115">
            <v>95</v>
          </cell>
        </row>
        <row r="116">
          <cell r="B116" t="str">
            <v>883-00</v>
          </cell>
          <cell r="C116" t="str">
            <v>NUT ADJUSTER(RH)</v>
          </cell>
          <cell r="D116">
            <v>57</v>
          </cell>
          <cell r="N116" t="str">
            <v>883-00</v>
          </cell>
          <cell r="O116" t="str">
            <v>NUT ADJUSTER(RH)</v>
          </cell>
          <cell r="P116">
            <v>95</v>
          </cell>
        </row>
        <row r="117">
          <cell r="B117" t="str">
            <v>884-00</v>
          </cell>
          <cell r="C117" t="str">
            <v>NUT ADJUSTER(LH)</v>
          </cell>
          <cell r="D117">
            <v>57</v>
          </cell>
          <cell r="N117" t="str">
            <v>884-00</v>
          </cell>
          <cell r="O117" t="str">
            <v>NUT ADJUSTER(LH)</v>
          </cell>
          <cell r="P117">
            <v>95</v>
          </cell>
        </row>
        <row r="118">
          <cell r="B118" t="str">
            <v>494-07</v>
          </cell>
          <cell r="C118" t="str">
            <v>REB,RETAINER</v>
          </cell>
          <cell r="D118">
            <v>48</v>
          </cell>
          <cell r="N118" t="str">
            <v>494-07</v>
          </cell>
          <cell r="O118" t="str">
            <v>REB,RETAINER</v>
          </cell>
          <cell r="P118">
            <v>96</v>
          </cell>
        </row>
        <row r="119">
          <cell r="B119" t="str">
            <v>494-07</v>
          </cell>
          <cell r="C119" t="str">
            <v>REB,RETAINER</v>
          </cell>
          <cell r="D119">
            <v>48</v>
          </cell>
          <cell r="N119" t="str">
            <v>494-07</v>
          </cell>
          <cell r="O119" t="str">
            <v>REB,RETAINER</v>
          </cell>
          <cell r="P119">
            <v>96</v>
          </cell>
        </row>
        <row r="120">
          <cell r="B120" t="str">
            <v>593-00</v>
          </cell>
          <cell r="C120" t="str">
            <v>GUIDE BUSH</v>
          </cell>
          <cell r="D120">
            <v>48</v>
          </cell>
          <cell r="N120" t="str">
            <v>593-00</v>
          </cell>
          <cell r="O120" t="str">
            <v>GUIDE BUSH</v>
          </cell>
          <cell r="P120">
            <v>96</v>
          </cell>
        </row>
        <row r="121">
          <cell r="B121" t="str">
            <v>807-05</v>
          </cell>
          <cell r="C121" t="str">
            <v>REB,RETAINER</v>
          </cell>
          <cell r="D121">
            <v>47.5</v>
          </cell>
          <cell r="N121" t="str">
            <v>807-05</v>
          </cell>
          <cell r="O121" t="str">
            <v>REB,RETAINER</v>
          </cell>
          <cell r="P121">
            <v>95</v>
          </cell>
        </row>
        <row r="122">
          <cell r="B122" t="str">
            <v>807-07</v>
          </cell>
          <cell r="C122" t="str">
            <v>REB,RETAINER</v>
          </cell>
          <cell r="D122">
            <v>47.5</v>
          </cell>
          <cell r="N122" t="str">
            <v>807-07</v>
          </cell>
          <cell r="O122" t="str">
            <v>REB,RETAINER</v>
          </cell>
          <cell r="P122">
            <v>95</v>
          </cell>
        </row>
        <row r="123">
          <cell r="B123" t="str">
            <v>937-00</v>
          </cell>
          <cell r="C123" t="str">
            <v>TRANSVERSE PIN</v>
          </cell>
          <cell r="D123">
            <v>57.599999999999994</v>
          </cell>
          <cell r="N123" t="str">
            <v>937-00</v>
          </cell>
          <cell r="O123" t="str">
            <v>TRANSVERSE PIN</v>
          </cell>
          <cell r="P123">
            <v>96</v>
          </cell>
        </row>
        <row r="124">
          <cell r="B124" t="str">
            <v>937-00</v>
          </cell>
          <cell r="C124" t="str">
            <v>TRANSVERSE PIN</v>
          </cell>
          <cell r="D124">
            <v>57.599999999999994</v>
          </cell>
          <cell r="N124" t="str">
            <v>937-00</v>
          </cell>
          <cell r="O124" t="str">
            <v>TRANSVERSE PIN</v>
          </cell>
          <cell r="P124">
            <v>96</v>
          </cell>
        </row>
        <row r="125">
          <cell r="B125" t="str">
            <v>1447-00</v>
          </cell>
          <cell r="C125" t="str">
            <v>SLIP CAP</v>
          </cell>
          <cell r="D125">
            <v>58.199999999999996</v>
          </cell>
          <cell r="N125" t="str">
            <v>1447-00</v>
          </cell>
          <cell r="O125" t="str">
            <v>SLIP CAP</v>
          </cell>
          <cell r="P125">
            <v>97</v>
          </cell>
        </row>
        <row r="126">
          <cell r="B126" t="str">
            <v>1762-01</v>
          </cell>
          <cell r="C126" t="str">
            <v>GUIDE SLEEVE</v>
          </cell>
          <cell r="D126">
            <v>58.199999999999996</v>
          </cell>
          <cell r="N126" t="str">
            <v>1762-01</v>
          </cell>
          <cell r="O126" t="str">
            <v>GUIDE SLEEVE</v>
          </cell>
          <cell r="P126">
            <v>97</v>
          </cell>
        </row>
        <row r="127">
          <cell r="B127" t="str">
            <v>1762-02</v>
          </cell>
          <cell r="C127" t="str">
            <v>GUIDE SLEEVE</v>
          </cell>
          <cell r="D127">
            <v>58.199999999999996</v>
          </cell>
          <cell r="N127" t="str">
            <v>1762-02</v>
          </cell>
          <cell r="O127" t="str">
            <v>GUIDE SLEEVE</v>
          </cell>
          <cell r="P127">
            <v>97</v>
          </cell>
        </row>
        <row r="128">
          <cell r="B128" t="str">
            <v>437-02</v>
          </cell>
          <cell r="C128" t="str">
            <v>GAS SPRING PISTON</v>
          </cell>
          <cell r="D128">
            <v>48.5</v>
          </cell>
          <cell r="N128" t="str">
            <v>437-02</v>
          </cell>
          <cell r="O128" t="str">
            <v>GAS SPRING PISTON</v>
          </cell>
          <cell r="P128">
            <v>97</v>
          </cell>
        </row>
        <row r="129">
          <cell r="B129" t="str">
            <v>937-00</v>
          </cell>
          <cell r="C129" t="str">
            <v>TRANSVERSE PIN</v>
          </cell>
          <cell r="D129">
            <v>57.599999999999994</v>
          </cell>
          <cell r="N129" t="str">
            <v>937-00</v>
          </cell>
          <cell r="O129" t="str">
            <v>TRANSVERSE PIN</v>
          </cell>
          <cell r="P129">
            <v>96</v>
          </cell>
        </row>
        <row r="130">
          <cell r="B130" t="str">
            <v>1472-00</v>
          </cell>
          <cell r="C130" t="str">
            <v>SLIP CAP</v>
          </cell>
          <cell r="D130">
            <v>58.8</v>
          </cell>
          <cell r="N130" t="str">
            <v>1472-00</v>
          </cell>
          <cell r="O130" t="str">
            <v>SLIP CAP</v>
          </cell>
          <cell r="P130">
            <v>98</v>
          </cell>
        </row>
        <row r="131">
          <cell r="B131" t="str">
            <v>656-01</v>
          </cell>
          <cell r="C131" t="str">
            <v>COMP,RETAINER</v>
          </cell>
          <cell r="D131">
            <v>49</v>
          </cell>
          <cell r="N131" t="str">
            <v>656-01</v>
          </cell>
          <cell r="O131" t="str">
            <v>COMP,RETAINER</v>
          </cell>
          <cell r="P131">
            <v>98</v>
          </cell>
        </row>
        <row r="132">
          <cell r="B132" t="str">
            <v>807-01</v>
          </cell>
          <cell r="C132" t="str">
            <v>REB,RETAINER</v>
          </cell>
          <cell r="D132">
            <v>38.5</v>
          </cell>
          <cell r="N132" t="str">
            <v>807-01</v>
          </cell>
          <cell r="O132" t="str">
            <v>REB,RETAINER</v>
          </cell>
          <cell r="P132">
            <v>77</v>
          </cell>
        </row>
        <row r="133">
          <cell r="B133" t="str">
            <v>807-04</v>
          </cell>
          <cell r="C133" t="str">
            <v>REB,RETAINER</v>
          </cell>
          <cell r="D133">
            <v>49</v>
          </cell>
          <cell r="N133" t="str">
            <v>807-04</v>
          </cell>
          <cell r="O133" t="str">
            <v>REB,RETAINER</v>
          </cell>
          <cell r="P133">
            <v>98</v>
          </cell>
        </row>
        <row r="134">
          <cell r="B134" t="str">
            <v>807-04</v>
          </cell>
          <cell r="C134" t="str">
            <v>REB,RETAINER</v>
          </cell>
          <cell r="D134">
            <v>49</v>
          </cell>
          <cell r="N134" t="str">
            <v>807-04</v>
          </cell>
          <cell r="O134" t="str">
            <v>REB,RETAINER</v>
          </cell>
          <cell r="P134">
            <v>98</v>
          </cell>
        </row>
        <row r="135">
          <cell r="B135" t="str">
            <v>807-06</v>
          </cell>
          <cell r="C135" t="str">
            <v>REB,RETAINER</v>
          </cell>
          <cell r="D135">
            <v>42.5</v>
          </cell>
          <cell r="N135" t="str">
            <v>807-06</v>
          </cell>
          <cell r="O135" t="str">
            <v>REB,RETAINER</v>
          </cell>
          <cell r="P135">
            <v>85</v>
          </cell>
        </row>
        <row r="136">
          <cell r="B136" t="str">
            <v>807-06</v>
          </cell>
          <cell r="C136" t="str">
            <v>REB,RETAINER</v>
          </cell>
          <cell r="D136">
            <v>42.5</v>
          </cell>
          <cell r="N136" t="str">
            <v>807-06</v>
          </cell>
          <cell r="O136" t="str">
            <v>REB,RETAINER</v>
          </cell>
          <cell r="P136">
            <v>85</v>
          </cell>
        </row>
        <row r="137">
          <cell r="B137" t="str">
            <v>807-07</v>
          </cell>
          <cell r="C137" t="str">
            <v>REB,RETAINER</v>
          </cell>
          <cell r="D137">
            <v>47.5</v>
          </cell>
          <cell r="N137" t="str">
            <v>807-07</v>
          </cell>
          <cell r="O137" t="str">
            <v>REB,RETAINER</v>
          </cell>
          <cell r="P137">
            <v>95</v>
          </cell>
        </row>
        <row r="138">
          <cell r="B138" t="str">
            <v>807-07</v>
          </cell>
          <cell r="C138" t="str">
            <v>REB,RETAINER</v>
          </cell>
          <cell r="D138">
            <v>47.5</v>
          </cell>
          <cell r="N138" t="str">
            <v>807-07</v>
          </cell>
          <cell r="O138" t="str">
            <v>REB,RETAINER</v>
          </cell>
          <cell r="P138">
            <v>95</v>
          </cell>
        </row>
        <row r="139">
          <cell r="B139" t="str">
            <v>494-08</v>
          </cell>
          <cell r="C139" t="str">
            <v>REB,RETAINER</v>
          </cell>
          <cell r="D139">
            <v>49.5</v>
          </cell>
          <cell r="N139" t="str">
            <v>494-08</v>
          </cell>
          <cell r="O139" t="str">
            <v>REB,RETAINER</v>
          </cell>
          <cell r="P139">
            <v>99</v>
          </cell>
        </row>
        <row r="140">
          <cell r="B140" t="str">
            <v>494-08</v>
          </cell>
          <cell r="C140" t="str">
            <v>REB,RETAINER</v>
          </cell>
          <cell r="D140">
            <v>49.5</v>
          </cell>
          <cell r="N140" t="str">
            <v>494-08</v>
          </cell>
          <cell r="O140" t="str">
            <v>REB,RETAINER</v>
          </cell>
          <cell r="P140">
            <v>99</v>
          </cell>
        </row>
        <row r="141">
          <cell r="B141" t="str">
            <v>252-00</v>
          </cell>
          <cell r="C141" t="str">
            <v>BODY</v>
          </cell>
          <cell r="D141">
            <v>50</v>
          </cell>
          <cell r="N141" t="str">
            <v>252-00</v>
          </cell>
          <cell r="O141" t="str">
            <v>BODY</v>
          </cell>
          <cell r="P141">
            <v>100</v>
          </cell>
        </row>
        <row r="142">
          <cell r="B142" t="str">
            <v>427-00</v>
          </cell>
          <cell r="C142" t="str">
            <v>REB,RETAINER</v>
          </cell>
          <cell r="D142">
            <v>28.5</v>
          </cell>
          <cell r="N142" t="str">
            <v>427-00</v>
          </cell>
          <cell r="O142" t="str">
            <v>REB,RETAINER</v>
          </cell>
          <cell r="P142">
            <v>57</v>
          </cell>
        </row>
        <row r="143">
          <cell r="B143" t="str">
            <v>427-00</v>
          </cell>
          <cell r="C143" t="str">
            <v>REB,RETAINER</v>
          </cell>
          <cell r="D143">
            <v>28.5</v>
          </cell>
          <cell r="N143" t="str">
            <v>427-00</v>
          </cell>
          <cell r="O143" t="str">
            <v>REB,RETAINER</v>
          </cell>
          <cell r="P143">
            <v>57</v>
          </cell>
        </row>
        <row r="144">
          <cell r="B144" t="str">
            <v>494-06</v>
          </cell>
          <cell r="C144" t="str">
            <v>REB,RETAINER</v>
          </cell>
          <cell r="D144">
            <v>50</v>
          </cell>
          <cell r="N144" t="str">
            <v>494-06</v>
          </cell>
          <cell r="O144" t="str">
            <v>REB,RETAINER</v>
          </cell>
          <cell r="P144">
            <v>100</v>
          </cell>
        </row>
        <row r="145">
          <cell r="B145" t="str">
            <v>554-03</v>
          </cell>
          <cell r="C145" t="str">
            <v>GAS SPRING PISTON</v>
          </cell>
          <cell r="D145">
            <v>50</v>
          </cell>
          <cell r="N145" t="str">
            <v>554-03</v>
          </cell>
          <cell r="O145" t="str">
            <v>GAS SPRING PISTON</v>
          </cell>
          <cell r="P145">
            <v>100</v>
          </cell>
        </row>
        <row r="146">
          <cell r="B146" t="str">
            <v>807-02</v>
          </cell>
          <cell r="C146" t="str">
            <v>REB,RETAINER</v>
          </cell>
          <cell r="D146">
            <v>42</v>
          </cell>
          <cell r="N146" t="str">
            <v>807-02</v>
          </cell>
          <cell r="O146" t="str">
            <v>REB,RETAINER</v>
          </cell>
          <cell r="P146">
            <v>84</v>
          </cell>
        </row>
        <row r="147">
          <cell r="B147" t="str">
            <v>823-00</v>
          </cell>
          <cell r="C147" t="str">
            <v>COLLAR</v>
          </cell>
          <cell r="D147">
            <v>60</v>
          </cell>
          <cell r="N147" t="str">
            <v>823-00</v>
          </cell>
          <cell r="O147" t="str">
            <v>COLLAR</v>
          </cell>
          <cell r="P147">
            <v>100</v>
          </cell>
        </row>
        <row r="148">
          <cell r="B148" t="str">
            <v>409-00</v>
          </cell>
          <cell r="C148" t="str">
            <v>REB,RETAINER</v>
          </cell>
          <cell r="D148">
            <v>28</v>
          </cell>
          <cell r="N148" t="str">
            <v>409-00</v>
          </cell>
          <cell r="O148" t="str">
            <v>REB,RETAINER</v>
          </cell>
          <cell r="P148">
            <v>56</v>
          </cell>
        </row>
        <row r="149">
          <cell r="B149" t="str">
            <v>409-00</v>
          </cell>
          <cell r="C149" t="str">
            <v>REB,RETAINER</v>
          </cell>
          <cell r="D149">
            <v>28</v>
          </cell>
          <cell r="N149" t="str">
            <v>409-00</v>
          </cell>
          <cell r="O149" t="str">
            <v>REB,RETAINER</v>
          </cell>
          <cell r="P149">
            <v>56</v>
          </cell>
        </row>
        <row r="150">
          <cell r="B150" t="str">
            <v>413-00</v>
          </cell>
          <cell r="C150" t="str">
            <v>REB,RETAINER</v>
          </cell>
          <cell r="D150">
            <v>50.5</v>
          </cell>
          <cell r="N150" t="str">
            <v>413-00</v>
          </cell>
          <cell r="O150" t="str">
            <v>REB,RETAINER</v>
          </cell>
          <cell r="P150">
            <v>101</v>
          </cell>
        </row>
        <row r="151">
          <cell r="B151" t="str">
            <v>515-00</v>
          </cell>
          <cell r="C151" t="str">
            <v>COMP,RETAINER</v>
          </cell>
          <cell r="D151">
            <v>42.5</v>
          </cell>
          <cell r="N151" t="str">
            <v>515-00</v>
          </cell>
          <cell r="O151" t="str">
            <v>COMP,RETAINER</v>
          </cell>
          <cell r="P151">
            <v>85</v>
          </cell>
        </row>
        <row r="152">
          <cell r="B152" t="str">
            <v>515-00</v>
          </cell>
          <cell r="C152" t="str">
            <v>COMP,RETAINER</v>
          </cell>
          <cell r="D152">
            <v>42.5</v>
          </cell>
          <cell r="N152" t="str">
            <v>515-00</v>
          </cell>
          <cell r="O152" t="str">
            <v>COMP,RETAINER</v>
          </cell>
          <cell r="P152">
            <v>85</v>
          </cell>
        </row>
        <row r="153">
          <cell r="B153" t="str">
            <v>515-01</v>
          </cell>
          <cell r="C153" t="str">
            <v>COMP,RETAINER</v>
          </cell>
          <cell r="D153">
            <v>50.5</v>
          </cell>
          <cell r="N153" t="str">
            <v>515-01</v>
          </cell>
          <cell r="O153" t="str">
            <v>COMP,RETAINER</v>
          </cell>
          <cell r="P153">
            <v>101</v>
          </cell>
        </row>
        <row r="154">
          <cell r="B154" t="str">
            <v>3SA1154</v>
          </cell>
          <cell r="C154" t="str">
            <v>PISTON RING</v>
          </cell>
          <cell r="D154" t="e">
            <v>#N/A</v>
          </cell>
          <cell r="N154" t="str">
            <v>3SA1154</v>
          </cell>
          <cell r="O154" t="str">
            <v>PISTON RING</v>
          </cell>
          <cell r="P154">
            <v>82</v>
          </cell>
        </row>
        <row r="155">
          <cell r="B155" t="str">
            <v>494-06</v>
          </cell>
          <cell r="C155" t="str">
            <v>REB,RETAINER</v>
          </cell>
          <cell r="D155">
            <v>50</v>
          </cell>
          <cell r="N155" t="str">
            <v>494-06</v>
          </cell>
          <cell r="O155" t="str">
            <v>REB,RETAINER</v>
          </cell>
          <cell r="P155">
            <v>100</v>
          </cell>
        </row>
        <row r="156">
          <cell r="B156" t="str">
            <v>803-01</v>
          </cell>
          <cell r="C156" t="str">
            <v>REB,RETAINER</v>
          </cell>
          <cell r="D156">
            <v>51</v>
          </cell>
          <cell r="N156" t="str">
            <v>803-01</v>
          </cell>
          <cell r="O156" t="str">
            <v>REB,RETAINER</v>
          </cell>
          <cell r="P156">
            <v>102</v>
          </cell>
        </row>
        <row r="157">
          <cell r="B157" t="str">
            <v>404-00</v>
          </cell>
          <cell r="C157" t="str">
            <v>COMP,RETAINER</v>
          </cell>
          <cell r="D157">
            <v>28.5</v>
          </cell>
          <cell r="N157" t="str">
            <v>404-00</v>
          </cell>
          <cell r="O157" t="str">
            <v>COMP,RETAINER</v>
          </cell>
          <cell r="P157">
            <v>57</v>
          </cell>
        </row>
        <row r="158">
          <cell r="B158" t="str">
            <v>404-00</v>
          </cell>
          <cell r="C158" t="str">
            <v>COMP,RETAINER</v>
          </cell>
          <cell r="D158">
            <v>28.5</v>
          </cell>
          <cell r="N158" t="str">
            <v>404-00</v>
          </cell>
          <cell r="O158" t="str">
            <v>COMP,RETAINER</v>
          </cell>
          <cell r="P158">
            <v>57</v>
          </cell>
        </row>
        <row r="159">
          <cell r="B159" t="str">
            <v>434-00</v>
          </cell>
          <cell r="C159" t="str">
            <v>ROTARY VALVE(A)</v>
          </cell>
          <cell r="D159">
            <v>61.8</v>
          </cell>
          <cell r="N159" t="str">
            <v>434-00</v>
          </cell>
          <cell r="O159" t="str">
            <v>ROTARY VALVE(A)</v>
          </cell>
          <cell r="P159">
            <v>103</v>
          </cell>
        </row>
        <row r="160">
          <cell r="B160" t="str">
            <v>807-07</v>
          </cell>
          <cell r="C160" t="str">
            <v>REB,RETAINER</v>
          </cell>
          <cell r="D160">
            <v>47.5</v>
          </cell>
          <cell r="N160" t="str">
            <v>807-07</v>
          </cell>
          <cell r="O160" t="str">
            <v>REB,RETAINER</v>
          </cell>
          <cell r="P160">
            <v>95</v>
          </cell>
        </row>
        <row r="161">
          <cell r="B161" t="str">
            <v>1762-02</v>
          </cell>
          <cell r="C161" t="str">
            <v>GUIDE SLEEVE</v>
          </cell>
          <cell r="D161">
            <v>58.199999999999996</v>
          </cell>
          <cell r="N161" t="str">
            <v>1762-02</v>
          </cell>
          <cell r="O161" t="str">
            <v>GUIDE SLEEVE</v>
          </cell>
          <cell r="P161">
            <v>97</v>
          </cell>
        </row>
        <row r="162">
          <cell r="B162" t="str">
            <v>807-11</v>
          </cell>
          <cell r="C162" t="str">
            <v>REB,RETAINER</v>
          </cell>
          <cell r="D162">
            <v>52</v>
          </cell>
          <cell r="N162" t="str">
            <v>807-11</v>
          </cell>
          <cell r="O162" t="str">
            <v>REB,RETAINER</v>
          </cell>
          <cell r="P162">
            <v>104</v>
          </cell>
        </row>
        <row r="163">
          <cell r="B163" t="str">
            <v>1945-01</v>
          </cell>
          <cell r="C163" t="str">
            <v>GUIDE SLEEVE</v>
          </cell>
          <cell r="D163">
            <v>63</v>
          </cell>
          <cell r="N163" t="str">
            <v>1945-01</v>
          </cell>
          <cell r="O163" t="str">
            <v>GUIDE SLEEVE</v>
          </cell>
          <cell r="P163">
            <v>105</v>
          </cell>
        </row>
        <row r="164">
          <cell r="B164" t="str">
            <v>690-02</v>
          </cell>
          <cell r="C164" t="str">
            <v>COMP,RETAINER</v>
          </cell>
          <cell r="D164">
            <v>38</v>
          </cell>
          <cell r="N164" t="str">
            <v>690-02</v>
          </cell>
          <cell r="O164" t="str">
            <v>COMP,RETAINER</v>
          </cell>
          <cell r="P164">
            <v>76</v>
          </cell>
        </row>
        <row r="165">
          <cell r="B165" t="str">
            <v>807-05</v>
          </cell>
          <cell r="C165" t="str">
            <v>REB,RETAINER</v>
          </cell>
          <cell r="D165">
            <v>47.5</v>
          </cell>
          <cell r="N165" t="str">
            <v>807-05</v>
          </cell>
          <cell r="O165" t="str">
            <v>REB,RETAINER</v>
          </cell>
          <cell r="P165">
            <v>95</v>
          </cell>
        </row>
        <row r="166">
          <cell r="B166" t="str">
            <v>386-00</v>
          </cell>
          <cell r="C166" t="str">
            <v>BODY</v>
          </cell>
          <cell r="D166">
            <v>53.5</v>
          </cell>
          <cell r="N166" t="str">
            <v>386-00</v>
          </cell>
          <cell r="O166" t="str">
            <v>BODY</v>
          </cell>
          <cell r="P166">
            <v>107</v>
          </cell>
        </row>
        <row r="167">
          <cell r="B167" t="str">
            <v>614-01</v>
          </cell>
          <cell r="C167" t="str">
            <v>GAS SPRING PISTON</v>
          </cell>
          <cell r="D167">
            <v>53.5</v>
          </cell>
          <cell r="N167" t="str">
            <v>614-01</v>
          </cell>
          <cell r="O167" t="str">
            <v>GAS SPRING PISTON</v>
          </cell>
          <cell r="P167">
            <v>107</v>
          </cell>
        </row>
        <row r="168">
          <cell r="B168" t="str">
            <v>807-05</v>
          </cell>
          <cell r="C168" t="str">
            <v>REB,RETAINER</v>
          </cell>
          <cell r="D168">
            <v>47.5</v>
          </cell>
          <cell r="N168" t="str">
            <v>807-05</v>
          </cell>
          <cell r="O168" t="str">
            <v>REB,RETAINER</v>
          </cell>
          <cell r="P168">
            <v>95</v>
          </cell>
        </row>
        <row r="169">
          <cell r="B169" t="str">
            <v>494-08</v>
          </cell>
          <cell r="C169" t="str">
            <v>REB,RETAINER</v>
          </cell>
          <cell r="D169">
            <v>49.5</v>
          </cell>
          <cell r="N169" t="str">
            <v>494-08</v>
          </cell>
          <cell r="O169" t="str">
            <v>REB,RETAINER</v>
          </cell>
          <cell r="P169">
            <v>99</v>
          </cell>
        </row>
        <row r="170">
          <cell r="B170" t="str">
            <v>614-03</v>
          </cell>
          <cell r="C170" t="str">
            <v>GAS SPRING PISTON</v>
          </cell>
          <cell r="D170">
            <v>54</v>
          </cell>
          <cell r="N170" t="str">
            <v>614-03</v>
          </cell>
          <cell r="O170" t="str">
            <v>GAS SPRING PISTON</v>
          </cell>
          <cell r="P170">
            <v>108</v>
          </cell>
        </row>
        <row r="171">
          <cell r="B171" t="str">
            <v>793-00</v>
          </cell>
          <cell r="C171" t="str">
            <v>GAS SPRING PISTON</v>
          </cell>
          <cell r="D171">
            <v>54</v>
          </cell>
          <cell r="N171" t="str">
            <v>793-00</v>
          </cell>
          <cell r="O171" t="str">
            <v>GAS SPRING PISTON</v>
          </cell>
          <cell r="P171">
            <v>108</v>
          </cell>
        </row>
        <row r="172">
          <cell r="B172" t="str">
            <v>386-00</v>
          </cell>
          <cell r="C172" t="str">
            <v>BODY</v>
          </cell>
          <cell r="D172">
            <v>53.5</v>
          </cell>
          <cell r="N172" t="str">
            <v>386-00</v>
          </cell>
          <cell r="O172" t="str">
            <v>BODY</v>
          </cell>
          <cell r="P172">
            <v>107</v>
          </cell>
        </row>
        <row r="173">
          <cell r="B173" t="str">
            <v>386-00</v>
          </cell>
          <cell r="C173" t="str">
            <v>BODY</v>
          </cell>
          <cell r="D173">
            <v>53.5</v>
          </cell>
          <cell r="N173" t="str">
            <v>386-00</v>
          </cell>
          <cell r="O173" t="str">
            <v>BODY</v>
          </cell>
          <cell r="P173">
            <v>107</v>
          </cell>
        </row>
        <row r="174">
          <cell r="B174" t="str">
            <v>807-05</v>
          </cell>
          <cell r="C174" t="str">
            <v>REB,RETAINER</v>
          </cell>
          <cell r="D174">
            <v>47.5</v>
          </cell>
          <cell r="N174" t="str">
            <v>807-05</v>
          </cell>
          <cell r="O174" t="str">
            <v>REB,RETAINER</v>
          </cell>
          <cell r="P174">
            <v>95</v>
          </cell>
        </row>
        <row r="175">
          <cell r="B175" t="str">
            <v>437-03</v>
          </cell>
          <cell r="C175" t="str">
            <v>GAS SPRING PISTON</v>
          </cell>
          <cell r="D175">
            <v>55.5</v>
          </cell>
          <cell r="N175" t="str">
            <v>437-03</v>
          </cell>
          <cell r="O175" t="str">
            <v>GAS SPRING PISTON</v>
          </cell>
          <cell r="P175">
            <v>111</v>
          </cell>
        </row>
        <row r="176">
          <cell r="B176" t="str">
            <v>920-00</v>
          </cell>
          <cell r="C176" t="str">
            <v>BUSH</v>
          </cell>
          <cell r="D176">
            <v>66.599999999999994</v>
          </cell>
          <cell r="N176" t="str">
            <v>920-00</v>
          </cell>
          <cell r="O176" t="str">
            <v>BUSH</v>
          </cell>
          <cell r="P176">
            <v>111</v>
          </cell>
        </row>
        <row r="177">
          <cell r="B177" t="str">
            <v>920-00</v>
          </cell>
          <cell r="C177" t="str">
            <v>BUSH</v>
          </cell>
          <cell r="D177">
            <v>66.599999999999994</v>
          </cell>
          <cell r="N177" t="str">
            <v>920-00</v>
          </cell>
          <cell r="O177" t="str">
            <v>BUSH</v>
          </cell>
          <cell r="P177">
            <v>111</v>
          </cell>
        </row>
        <row r="178">
          <cell r="B178" t="str">
            <v>920-00</v>
          </cell>
          <cell r="C178" t="str">
            <v>BUSH</v>
          </cell>
          <cell r="D178">
            <v>66.599999999999994</v>
          </cell>
          <cell r="N178" t="str">
            <v>920-00</v>
          </cell>
          <cell r="O178" t="str">
            <v>BUSH</v>
          </cell>
          <cell r="P178">
            <v>111</v>
          </cell>
        </row>
        <row r="179">
          <cell r="B179" t="str">
            <v>855-00</v>
          </cell>
          <cell r="C179" t="str">
            <v>COMP,RETAINER</v>
          </cell>
          <cell r="D179">
            <v>56.5</v>
          </cell>
          <cell r="N179" t="str">
            <v>855-00</v>
          </cell>
          <cell r="O179" t="str">
            <v>COMP,RETAINER</v>
          </cell>
          <cell r="P179">
            <v>113</v>
          </cell>
        </row>
        <row r="180">
          <cell r="B180" t="str">
            <v>3SA1141</v>
          </cell>
          <cell r="C180" t="str">
            <v>PISTON RING</v>
          </cell>
          <cell r="D180" t="e">
            <v>#N/A</v>
          </cell>
          <cell r="N180" t="str">
            <v>3SA1141</v>
          </cell>
          <cell r="O180" t="str">
            <v>PISTON RING</v>
          </cell>
          <cell r="P180">
            <v>114</v>
          </cell>
        </row>
        <row r="181">
          <cell r="B181" t="str">
            <v>442-00</v>
          </cell>
          <cell r="C181" t="str">
            <v>BACK UP WASHER</v>
          </cell>
          <cell r="D181">
            <v>69</v>
          </cell>
          <cell r="N181" t="str">
            <v>442-00</v>
          </cell>
          <cell r="O181" t="str">
            <v>BACK UP WASHER</v>
          </cell>
          <cell r="P181">
            <v>115</v>
          </cell>
        </row>
        <row r="182">
          <cell r="B182" t="str">
            <v>553-00</v>
          </cell>
          <cell r="C182" t="str">
            <v>STOPPER</v>
          </cell>
          <cell r="D182">
            <v>69</v>
          </cell>
          <cell r="N182" t="str">
            <v>553-00</v>
          </cell>
          <cell r="O182" t="str">
            <v>STOPPER</v>
          </cell>
          <cell r="P182">
            <v>115</v>
          </cell>
        </row>
        <row r="183">
          <cell r="B183" t="str">
            <v>637-00</v>
          </cell>
          <cell r="C183" t="str">
            <v>SLEEVE GUIDE</v>
          </cell>
          <cell r="D183">
            <v>57.5</v>
          </cell>
          <cell r="N183" t="str">
            <v>637-00</v>
          </cell>
          <cell r="O183" t="str">
            <v>SLEEVE GUIDE</v>
          </cell>
          <cell r="P183">
            <v>115</v>
          </cell>
        </row>
        <row r="184">
          <cell r="B184" t="str">
            <v>939-00</v>
          </cell>
          <cell r="C184" t="str">
            <v>STOP PLATE</v>
          </cell>
          <cell r="D184">
            <v>69</v>
          </cell>
          <cell r="N184" t="str">
            <v>939-00</v>
          </cell>
          <cell r="O184" t="str">
            <v>STOP PLATE</v>
          </cell>
          <cell r="P184">
            <v>115</v>
          </cell>
        </row>
        <row r="185">
          <cell r="B185" t="str">
            <v>431-02</v>
          </cell>
          <cell r="C185" t="str">
            <v>REB,RETAINER</v>
          </cell>
          <cell r="D185">
            <v>58.5</v>
          </cell>
          <cell r="N185" t="str">
            <v>431-02</v>
          </cell>
          <cell r="O185" t="str">
            <v>REB,RETAINER</v>
          </cell>
          <cell r="P185">
            <v>117</v>
          </cell>
        </row>
        <row r="186">
          <cell r="B186" t="str">
            <v>009-04</v>
          </cell>
          <cell r="C186" t="str">
            <v>PISTON</v>
          </cell>
          <cell r="D186">
            <v>59</v>
          </cell>
          <cell r="N186" t="str">
            <v>009-04</v>
          </cell>
          <cell r="O186" t="str">
            <v>PISTON</v>
          </cell>
          <cell r="P186">
            <v>118</v>
          </cell>
        </row>
        <row r="187">
          <cell r="B187" t="str">
            <v>429-01</v>
          </cell>
          <cell r="C187" t="str">
            <v>PISTON</v>
          </cell>
          <cell r="D187">
            <v>59</v>
          </cell>
          <cell r="N187" t="str">
            <v>429-01</v>
          </cell>
          <cell r="O187" t="str">
            <v>PISTON</v>
          </cell>
          <cell r="P187">
            <v>118</v>
          </cell>
        </row>
        <row r="188">
          <cell r="B188" t="str">
            <v>614-04</v>
          </cell>
          <cell r="C188" t="str">
            <v>GAS SPRING PISTON</v>
          </cell>
          <cell r="D188">
            <v>59</v>
          </cell>
          <cell r="N188" t="str">
            <v>614-04</v>
          </cell>
          <cell r="O188" t="str">
            <v>GAS SPRING PISTON</v>
          </cell>
          <cell r="P188">
            <v>118</v>
          </cell>
        </row>
        <row r="189">
          <cell r="B189" t="str">
            <v>251-00</v>
          </cell>
          <cell r="C189" t="str">
            <v>BODY</v>
          </cell>
          <cell r="D189">
            <v>59.5</v>
          </cell>
          <cell r="N189" t="str">
            <v>251-00</v>
          </cell>
          <cell r="O189" t="str">
            <v>BODY</v>
          </cell>
          <cell r="P189">
            <v>119</v>
          </cell>
        </row>
        <row r="190">
          <cell r="B190" t="str">
            <v>718-00</v>
          </cell>
          <cell r="C190" t="str">
            <v>BUSH,SPACER</v>
          </cell>
          <cell r="D190">
            <v>72</v>
          </cell>
          <cell r="N190" t="str">
            <v>718-00</v>
          </cell>
          <cell r="O190" t="str">
            <v>BUSH,SPACER</v>
          </cell>
          <cell r="P190">
            <v>120</v>
          </cell>
        </row>
        <row r="191">
          <cell r="B191" t="str">
            <v>771-00</v>
          </cell>
          <cell r="C191" t="str">
            <v>BUSH,SPACER</v>
          </cell>
          <cell r="D191">
            <v>72</v>
          </cell>
          <cell r="N191" t="str">
            <v>771-00</v>
          </cell>
          <cell r="O191" t="str">
            <v>BUSH,SPACER</v>
          </cell>
          <cell r="P191">
            <v>120</v>
          </cell>
        </row>
        <row r="192">
          <cell r="B192" t="str">
            <v>807-09</v>
          </cell>
          <cell r="C192" t="str">
            <v>REB,RETAINER</v>
          </cell>
          <cell r="D192">
            <v>60</v>
          </cell>
          <cell r="N192" t="str">
            <v>807-09</v>
          </cell>
          <cell r="O192" t="str">
            <v>REB,RETAINER</v>
          </cell>
          <cell r="P192">
            <v>120</v>
          </cell>
        </row>
        <row r="193">
          <cell r="B193" t="str">
            <v>807-08</v>
          </cell>
          <cell r="C193" t="str">
            <v>REB,RETAINER</v>
          </cell>
          <cell r="D193">
            <v>61</v>
          </cell>
          <cell r="N193" t="str">
            <v>807-08</v>
          </cell>
          <cell r="O193" t="str">
            <v>REB,RETAINER</v>
          </cell>
          <cell r="P193">
            <v>122</v>
          </cell>
        </row>
        <row r="194">
          <cell r="B194" t="str">
            <v>871-00</v>
          </cell>
          <cell r="C194" t="str">
            <v>SEAT DAMPER BODY</v>
          </cell>
          <cell r="D194">
            <v>61</v>
          </cell>
          <cell r="N194" t="str">
            <v>871-00</v>
          </cell>
          <cell r="O194" t="str">
            <v>SEAT DAMPER BODY</v>
          </cell>
          <cell r="P194">
            <v>122</v>
          </cell>
        </row>
        <row r="195">
          <cell r="B195" t="str">
            <v>059-00</v>
          </cell>
          <cell r="C195" t="str">
            <v>RETAINER GUIDE</v>
          </cell>
          <cell r="D195">
            <v>62</v>
          </cell>
          <cell r="N195" t="str">
            <v>059-00</v>
          </cell>
          <cell r="O195" t="str">
            <v>RETAINER GUIDE</v>
          </cell>
          <cell r="P195">
            <v>124</v>
          </cell>
        </row>
        <row r="196">
          <cell r="B196" t="str">
            <v>687-03</v>
          </cell>
          <cell r="C196" t="str">
            <v>COMP,RETAINER</v>
          </cell>
          <cell r="D196">
            <v>43</v>
          </cell>
          <cell r="N196" t="str">
            <v>687-03</v>
          </cell>
          <cell r="O196" t="str">
            <v>COMP,RETAINER</v>
          </cell>
          <cell r="P196">
            <v>86</v>
          </cell>
        </row>
        <row r="197">
          <cell r="B197" t="str">
            <v>687-03</v>
          </cell>
          <cell r="C197" t="str">
            <v>COMP,RETAINER</v>
          </cell>
          <cell r="D197">
            <v>43</v>
          </cell>
          <cell r="N197" t="str">
            <v>687-03</v>
          </cell>
          <cell r="O197" t="str">
            <v>COMP,RETAINER</v>
          </cell>
          <cell r="P197">
            <v>86</v>
          </cell>
        </row>
        <row r="198">
          <cell r="B198" t="str">
            <v>1189-00</v>
          </cell>
          <cell r="C198" t="str">
            <v>GUIDE</v>
          </cell>
          <cell r="D198">
            <v>62.5</v>
          </cell>
          <cell r="N198" t="str">
            <v>1189-00</v>
          </cell>
          <cell r="O198" t="str">
            <v>GUIDE</v>
          </cell>
          <cell r="P198">
            <v>125</v>
          </cell>
        </row>
        <row r="199">
          <cell r="B199" t="str">
            <v>1513-00</v>
          </cell>
          <cell r="C199" t="str">
            <v>GUIDE</v>
          </cell>
          <cell r="D199">
            <v>62.5</v>
          </cell>
          <cell r="N199" t="str">
            <v>1513-00</v>
          </cell>
          <cell r="O199" t="str">
            <v>GUIDE</v>
          </cell>
          <cell r="P199">
            <v>125</v>
          </cell>
        </row>
        <row r="200">
          <cell r="B200" t="str">
            <v>685-05</v>
          </cell>
          <cell r="C200" t="str">
            <v>REB,RETAINER</v>
          </cell>
          <cell r="D200">
            <v>62.5</v>
          </cell>
          <cell r="N200" t="str">
            <v>685-05</v>
          </cell>
          <cell r="O200" t="str">
            <v>REB,RETAINER</v>
          </cell>
          <cell r="P200">
            <v>125</v>
          </cell>
        </row>
        <row r="201">
          <cell r="B201" t="str">
            <v>552-00</v>
          </cell>
          <cell r="C201" t="str">
            <v>ROD GUIDE ASS'Y</v>
          </cell>
          <cell r="D201">
            <v>63</v>
          </cell>
          <cell r="N201" t="str">
            <v>552-00</v>
          </cell>
          <cell r="O201" t="str">
            <v>ROD GUIDE ASS'Y</v>
          </cell>
          <cell r="P201">
            <v>126</v>
          </cell>
        </row>
        <row r="202">
          <cell r="B202" t="str">
            <v>313-00</v>
          </cell>
          <cell r="C202" t="str">
            <v>ROD GUIDE ASS'Y</v>
          </cell>
          <cell r="D202">
            <v>64</v>
          </cell>
          <cell r="N202" t="str">
            <v>313-00</v>
          </cell>
          <cell r="O202" t="str">
            <v>ROD GUIDE ASS'Y</v>
          </cell>
          <cell r="P202">
            <v>128</v>
          </cell>
        </row>
        <row r="203">
          <cell r="B203" t="str">
            <v>807-08</v>
          </cell>
          <cell r="C203" t="str">
            <v>REB,RETAINER</v>
          </cell>
          <cell r="D203">
            <v>61</v>
          </cell>
          <cell r="N203" t="str">
            <v>807-08</v>
          </cell>
          <cell r="O203" t="str">
            <v>REB,RETAINER</v>
          </cell>
          <cell r="P203">
            <v>122</v>
          </cell>
        </row>
        <row r="204">
          <cell r="B204" t="str">
            <v>807-08</v>
          </cell>
          <cell r="C204" t="str">
            <v>REB,RETAINER</v>
          </cell>
          <cell r="D204">
            <v>61</v>
          </cell>
          <cell r="N204" t="str">
            <v>807-08</v>
          </cell>
          <cell r="O204" t="str">
            <v>REB,RETAINER</v>
          </cell>
          <cell r="P204">
            <v>122</v>
          </cell>
        </row>
        <row r="205">
          <cell r="B205" t="str">
            <v>429-00</v>
          </cell>
          <cell r="C205" t="str">
            <v>PISTON</v>
          </cell>
          <cell r="D205">
            <v>64.5</v>
          </cell>
          <cell r="N205" t="str">
            <v>429-00</v>
          </cell>
          <cell r="O205" t="str">
            <v>PISTON</v>
          </cell>
          <cell r="P205">
            <v>129</v>
          </cell>
        </row>
        <row r="206">
          <cell r="B206" t="str">
            <v>614-02</v>
          </cell>
          <cell r="C206" t="str">
            <v>GAS SPRING PISTON</v>
          </cell>
          <cell r="D206">
            <v>64.5</v>
          </cell>
          <cell r="N206" t="str">
            <v>614-02</v>
          </cell>
          <cell r="O206" t="str">
            <v>GAS SPRING PISTON</v>
          </cell>
          <cell r="P206">
            <v>129</v>
          </cell>
        </row>
        <row r="207">
          <cell r="B207" t="str">
            <v>749-03</v>
          </cell>
          <cell r="C207" t="str">
            <v>REB,RETAINER</v>
          </cell>
          <cell r="D207">
            <v>64.5</v>
          </cell>
          <cell r="N207" t="str">
            <v>749-03</v>
          </cell>
          <cell r="O207" t="str">
            <v>REB,RETAINER</v>
          </cell>
          <cell r="P207">
            <v>129</v>
          </cell>
        </row>
        <row r="208">
          <cell r="B208" t="str">
            <v>749-05</v>
          </cell>
          <cell r="C208" t="str">
            <v>REB,RETAINER</v>
          </cell>
          <cell r="D208">
            <v>64.5</v>
          </cell>
          <cell r="N208" t="str">
            <v>749-05</v>
          </cell>
          <cell r="O208" t="str">
            <v>REB,RETAINER</v>
          </cell>
          <cell r="P208">
            <v>129</v>
          </cell>
        </row>
        <row r="209">
          <cell r="B209" t="str">
            <v>749-11</v>
          </cell>
          <cell r="C209" t="str">
            <v>REB,RETAINER</v>
          </cell>
          <cell r="D209">
            <v>64.5</v>
          </cell>
          <cell r="N209" t="str">
            <v>749-11</v>
          </cell>
          <cell r="O209" t="str">
            <v>REB,RETAINER</v>
          </cell>
          <cell r="P209">
            <v>129</v>
          </cell>
        </row>
        <row r="210">
          <cell r="B210" t="str">
            <v>807-08</v>
          </cell>
          <cell r="C210" t="str">
            <v>REB,RETAINER</v>
          </cell>
          <cell r="D210">
            <v>61</v>
          </cell>
          <cell r="N210" t="str">
            <v>807-08</v>
          </cell>
          <cell r="O210" t="str">
            <v>REB,RETAINER</v>
          </cell>
          <cell r="P210">
            <v>122</v>
          </cell>
        </row>
        <row r="211">
          <cell r="B211" t="str">
            <v>853-00</v>
          </cell>
          <cell r="C211" t="str">
            <v>REB,RETAINER</v>
          </cell>
          <cell r="D211">
            <v>64.5</v>
          </cell>
          <cell r="N211" t="str">
            <v>853-00</v>
          </cell>
          <cell r="O211" t="str">
            <v>REB,RETAINER</v>
          </cell>
          <cell r="P211">
            <v>129</v>
          </cell>
        </row>
        <row r="212">
          <cell r="B212" t="str">
            <v>1472-00</v>
          </cell>
          <cell r="C212" t="str">
            <v>SLIP CAP</v>
          </cell>
          <cell r="D212">
            <v>58.8</v>
          </cell>
          <cell r="N212" t="str">
            <v>1472-00</v>
          </cell>
          <cell r="O212" t="str">
            <v>SLIP CAP</v>
          </cell>
          <cell r="P212">
            <v>98</v>
          </cell>
        </row>
        <row r="213">
          <cell r="B213" t="str">
            <v>807-09</v>
          </cell>
          <cell r="C213" t="str">
            <v>REB,RETAINER</v>
          </cell>
          <cell r="D213">
            <v>60</v>
          </cell>
          <cell r="N213" t="str">
            <v>807-09</v>
          </cell>
          <cell r="O213" t="str">
            <v>REB,RETAINER</v>
          </cell>
          <cell r="P213">
            <v>120</v>
          </cell>
        </row>
        <row r="214">
          <cell r="B214" t="str">
            <v>1474-00</v>
          </cell>
          <cell r="C214" t="str">
            <v>GUIDE</v>
          </cell>
          <cell r="D214">
            <v>65.5</v>
          </cell>
          <cell r="N214" t="str">
            <v>1474-00</v>
          </cell>
          <cell r="O214" t="str">
            <v>GUIDE</v>
          </cell>
          <cell r="P214">
            <v>131</v>
          </cell>
        </row>
        <row r="215">
          <cell r="B215" t="str">
            <v>703-01</v>
          </cell>
          <cell r="C215" t="str">
            <v>REB,RETAINER</v>
          </cell>
          <cell r="D215">
            <v>65.5</v>
          </cell>
          <cell r="N215" t="str">
            <v>703-01</v>
          </cell>
          <cell r="O215" t="str">
            <v>REB,RETAINER</v>
          </cell>
          <cell r="P215">
            <v>131</v>
          </cell>
        </row>
        <row r="216">
          <cell r="B216" t="str">
            <v>749-01</v>
          </cell>
          <cell r="C216" t="str">
            <v>REB,RETAINER</v>
          </cell>
          <cell r="D216">
            <v>65.5</v>
          </cell>
          <cell r="N216" t="str">
            <v>749-01</v>
          </cell>
          <cell r="O216" t="str">
            <v>REB,RETAINER</v>
          </cell>
          <cell r="P216">
            <v>131</v>
          </cell>
        </row>
        <row r="217">
          <cell r="B217" t="str">
            <v>749-07</v>
          </cell>
          <cell r="C217" t="str">
            <v>REB,RETAINER</v>
          </cell>
          <cell r="D217">
            <v>65.5</v>
          </cell>
          <cell r="N217" t="str">
            <v>749-07</v>
          </cell>
          <cell r="O217" t="str">
            <v>REB,RETAINER</v>
          </cell>
          <cell r="P217">
            <v>131</v>
          </cell>
        </row>
        <row r="218">
          <cell r="B218" t="str">
            <v>749-09</v>
          </cell>
          <cell r="C218" t="str">
            <v>REB,RETAINER</v>
          </cell>
          <cell r="D218">
            <v>65.5</v>
          </cell>
          <cell r="N218" t="str">
            <v>749-09</v>
          </cell>
          <cell r="O218" t="str">
            <v>REB,RETAINER</v>
          </cell>
          <cell r="P218">
            <v>131</v>
          </cell>
        </row>
        <row r="219">
          <cell r="B219" t="str">
            <v>749-13</v>
          </cell>
          <cell r="C219" t="str">
            <v>REB,RETAINER</v>
          </cell>
          <cell r="D219">
            <v>45.5</v>
          </cell>
          <cell r="N219" t="str">
            <v>749-13</v>
          </cell>
          <cell r="O219" t="str">
            <v>REB,RETAINER</v>
          </cell>
          <cell r="P219">
            <v>91</v>
          </cell>
        </row>
        <row r="220">
          <cell r="B220" t="str">
            <v>749-15</v>
          </cell>
          <cell r="C220" t="str">
            <v>REB,RETAINER</v>
          </cell>
          <cell r="D220">
            <v>65.5</v>
          </cell>
          <cell r="N220" t="str">
            <v>749-15</v>
          </cell>
          <cell r="O220" t="str">
            <v>REB,RETAINER</v>
          </cell>
          <cell r="P220">
            <v>131</v>
          </cell>
        </row>
        <row r="221">
          <cell r="B221" t="str">
            <v>1045-00</v>
          </cell>
          <cell r="C221" t="str">
            <v>IBJ STOPPER</v>
          </cell>
          <cell r="D221">
            <v>79.2</v>
          </cell>
          <cell r="N221" t="str">
            <v>1045-00</v>
          </cell>
          <cell r="O221" t="str">
            <v>IBJ STOPPER</v>
          </cell>
          <cell r="P221">
            <v>132</v>
          </cell>
        </row>
        <row r="222">
          <cell r="B222" t="str">
            <v>1327-00</v>
          </cell>
          <cell r="C222" t="str">
            <v>HYD STOP LOWER</v>
          </cell>
          <cell r="D222">
            <v>79.2</v>
          </cell>
          <cell r="N222" t="str">
            <v>1327-00</v>
          </cell>
          <cell r="O222" t="str">
            <v>HYD STOP LOWER</v>
          </cell>
          <cell r="P222">
            <v>132</v>
          </cell>
        </row>
        <row r="223">
          <cell r="B223" t="str">
            <v>1327-00</v>
          </cell>
          <cell r="C223" t="str">
            <v>HYD STOP LOWER</v>
          </cell>
          <cell r="D223">
            <v>79.2</v>
          </cell>
          <cell r="N223" t="str">
            <v>1327-00</v>
          </cell>
          <cell r="O223" t="str">
            <v>HYD STOP LOWER</v>
          </cell>
          <cell r="P223">
            <v>132</v>
          </cell>
        </row>
        <row r="224">
          <cell r="B224" t="str">
            <v>429-03</v>
          </cell>
          <cell r="C224" t="str">
            <v>PISTON</v>
          </cell>
          <cell r="D224">
            <v>66</v>
          </cell>
          <cell r="N224" t="str">
            <v>429-03</v>
          </cell>
          <cell r="O224" t="str">
            <v>PISTON</v>
          </cell>
          <cell r="P224">
            <v>132</v>
          </cell>
        </row>
        <row r="225">
          <cell r="B225" t="str">
            <v>807-09</v>
          </cell>
          <cell r="C225" t="str">
            <v>REB,RETAINER</v>
          </cell>
          <cell r="D225">
            <v>60</v>
          </cell>
          <cell r="N225" t="str">
            <v>807-09</v>
          </cell>
          <cell r="O225" t="str">
            <v>REB,RETAINER</v>
          </cell>
          <cell r="P225">
            <v>120</v>
          </cell>
        </row>
        <row r="226">
          <cell r="B226" t="str">
            <v>853-18</v>
          </cell>
          <cell r="C226" t="str">
            <v>REB,RETAINER</v>
          </cell>
          <cell r="D226">
            <v>66</v>
          </cell>
          <cell r="N226" t="str">
            <v>853-18</v>
          </cell>
          <cell r="O226" t="str">
            <v>REB,RETAINER</v>
          </cell>
          <cell r="P226">
            <v>132</v>
          </cell>
        </row>
        <row r="227">
          <cell r="B227" t="str">
            <v>1945-00</v>
          </cell>
          <cell r="C227" t="str">
            <v>GUIDE SLEEVE</v>
          </cell>
          <cell r="D227">
            <v>79.8</v>
          </cell>
          <cell r="N227" t="str">
            <v>1945-00</v>
          </cell>
          <cell r="O227" t="str">
            <v>GUIDE SLEEVE</v>
          </cell>
          <cell r="P227">
            <v>133</v>
          </cell>
        </row>
        <row r="228">
          <cell r="B228" t="str">
            <v>388-02</v>
          </cell>
          <cell r="C228" t="str">
            <v>PISTON</v>
          </cell>
          <cell r="D228">
            <v>66.5</v>
          </cell>
          <cell r="N228" t="str">
            <v>388-02</v>
          </cell>
          <cell r="O228" t="str">
            <v>PISTON</v>
          </cell>
          <cell r="P228">
            <v>133</v>
          </cell>
        </row>
        <row r="229">
          <cell r="B229" t="str">
            <v>480-00</v>
          </cell>
          <cell r="C229" t="str">
            <v>RACK BUSH</v>
          </cell>
          <cell r="D229">
            <v>79.8</v>
          </cell>
          <cell r="N229" t="str">
            <v>480-00</v>
          </cell>
          <cell r="O229" t="str">
            <v>RACK BUSH</v>
          </cell>
          <cell r="P229">
            <v>133</v>
          </cell>
        </row>
        <row r="230">
          <cell r="B230" t="str">
            <v>601-00</v>
          </cell>
          <cell r="C230" t="str">
            <v>PIN</v>
          </cell>
          <cell r="D230">
            <v>79.8</v>
          </cell>
          <cell r="N230" t="str">
            <v>601-00</v>
          </cell>
          <cell r="O230" t="str">
            <v>PIN</v>
          </cell>
          <cell r="P230">
            <v>133</v>
          </cell>
        </row>
        <row r="231">
          <cell r="B231" t="str">
            <v>749-10</v>
          </cell>
          <cell r="C231" t="str">
            <v>REB,RETAINER</v>
          </cell>
          <cell r="D231">
            <v>66.5</v>
          </cell>
          <cell r="N231" t="str">
            <v>749-10</v>
          </cell>
          <cell r="O231" t="str">
            <v>REB,RETAINER</v>
          </cell>
          <cell r="P231">
            <v>133</v>
          </cell>
        </row>
        <row r="232">
          <cell r="B232" t="str">
            <v>385-01</v>
          </cell>
          <cell r="C232" t="str">
            <v>PISTON</v>
          </cell>
          <cell r="D232">
            <v>67</v>
          </cell>
          <cell r="N232" t="str">
            <v>385-01</v>
          </cell>
          <cell r="O232" t="str">
            <v>PISTON</v>
          </cell>
          <cell r="P232">
            <v>134</v>
          </cell>
        </row>
        <row r="233">
          <cell r="B233" t="str">
            <v>449-00</v>
          </cell>
          <cell r="C233" t="str">
            <v>BODY</v>
          </cell>
          <cell r="D233">
            <v>67</v>
          </cell>
          <cell r="N233" t="str">
            <v>449-00</v>
          </cell>
          <cell r="O233" t="str">
            <v>BODY</v>
          </cell>
          <cell r="P233">
            <v>134</v>
          </cell>
        </row>
        <row r="234">
          <cell r="B234" t="str">
            <v>749-04</v>
          </cell>
          <cell r="C234" t="str">
            <v>REB,RETAINER</v>
          </cell>
          <cell r="D234">
            <v>67</v>
          </cell>
          <cell r="N234" t="str">
            <v>749-04</v>
          </cell>
          <cell r="O234" t="str">
            <v>REB,RETAINER</v>
          </cell>
          <cell r="P234">
            <v>134</v>
          </cell>
        </row>
        <row r="235">
          <cell r="B235" t="str">
            <v>853-18</v>
          </cell>
          <cell r="C235" t="str">
            <v>REB,RETAINER</v>
          </cell>
          <cell r="D235">
            <v>66</v>
          </cell>
          <cell r="N235" t="str">
            <v>853-18</v>
          </cell>
          <cell r="O235" t="str">
            <v>REB,RETAINER</v>
          </cell>
          <cell r="P235">
            <v>132</v>
          </cell>
        </row>
        <row r="236">
          <cell r="B236" t="str">
            <v>1762-00</v>
          </cell>
          <cell r="C236" t="str">
            <v>GUIDE SLEEVE</v>
          </cell>
          <cell r="D236">
            <v>67.5</v>
          </cell>
          <cell r="N236" t="str">
            <v>1762-00</v>
          </cell>
          <cell r="O236" t="str">
            <v>GUIDE SLEEVE</v>
          </cell>
          <cell r="P236">
            <v>135</v>
          </cell>
        </row>
        <row r="237">
          <cell r="B237" t="str">
            <v>1762-00</v>
          </cell>
          <cell r="C237" t="str">
            <v>GUIDE SLEEVE</v>
          </cell>
          <cell r="D237">
            <v>67.5</v>
          </cell>
          <cell r="N237" t="str">
            <v>1762-00</v>
          </cell>
          <cell r="O237" t="str">
            <v>GUIDE SLEEVE</v>
          </cell>
          <cell r="P237">
            <v>135</v>
          </cell>
        </row>
        <row r="238">
          <cell r="B238" t="str">
            <v>853-19</v>
          </cell>
          <cell r="C238" t="str">
            <v>REB,RETAINER</v>
          </cell>
          <cell r="D238">
            <v>67.5</v>
          </cell>
          <cell r="N238" t="str">
            <v>853-19</v>
          </cell>
          <cell r="O238" t="str">
            <v>REB,RETAINER</v>
          </cell>
          <cell r="P238">
            <v>135</v>
          </cell>
        </row>
        <row r="239">
          <cell r="B239" t="str">
            <v>853-21</v>
          </cell>
          <cell r="C239" t="str">
            <v>REB,RETAINER</v>
          </cell>
          <cell r="D239">
            <v>67.5</v>
          </cell>
          <cell r="N239" t="str">
            <v>853-21</v>
          </cell>
          <cell r="O239" t="str">
            <v>REB,RETAINER</v>
          </cell>
          <cell r="P239">
            <v>135</v>
          </cell>
        </row>
        <row r="240">
          <cell r="B240" t="str">
            <v>749-06</v>
          </cell>
          <cell r="C240" t="str">
            <v>REB,RETAINER</v>
          </cell>
          <cell r="D240">
            <v>68</v>
          </cell>
          <cell r="N240" t="str">
            <v>749-06</v>
          </cell>
          <cell r="O240" t="str">
            <v>REB,RETAINER</v>
          </cell>
          <cell r="P240">
            <v>136</v>
          </cell>
        </row>
        <row r="241">
          <cell r="B241" t="str">
            <v>749-10</v>
          </cell>
          <cell r="C241" t="str">
            <v>REB,RETAINER</v>
          </cell>
          <cell r="D241">
            <v>66.5</v>
          </cell>
          <cell r="N241" t="str">
            <v>749-10</v>
          </cell>
          <cell r="O241" t="str">
            <v>REB,RETAINER</v>
          </cell>
          <cell r="P241">
            <v>133</v>
          </cell>
        </row>
        <row r="242">
          <cell r="B242" t="str">
            <v>853-24</v>
          </cell>
          <cell r="C242" t="str">
            <v>REB,RETAINER</v>
          </cell>
          <cell r="D242">
            <v>68</v>
          </cell>
          <cell r="N242" t="str">
            <v>853-24</v>
          </cell>
          <cell r="O242" t="str">
            <v>REB,RETAINER</v>
          </cell>
          <cell r="P242">
            <v>136</v>
          </cell>
        </row>
        <row r="243">
          <cell r="B243" t="str">
            <v>494-05</v>
          </cell>
          <cell r="C243" t="str">
            <v>REB,RETAINER</v>
          </cell>
          <cell r="D243">
            <v>39.5</v>
          </cell>
          <cell r="N243" t="str">
            <v>494-05</v>
          </cell>
          <cell r="O243" t="str">
            <v>REB,RETAINER</v>
          </cell>
          <cell r="P243">
            <v>79</v>
          </cell>
        </row>
        <row r="244">
          <cell r="B244" t="str">
            <v>749-16</v>
          </cell>
          <cell r="C244" t="str">
            <v>REB,RETAINER</v>
          </cell>
          <cell r="D244">
            <v>68.5</v>
          </cell>
          <cell r="N244" t="str">
            <v>749-16</v>
          </cell>
          <cell r="O244" t="str">
            <v>REB,RETAINER</v>
          </cell>
          <cell r="P244">
            <v>137</v>
          </cell>
        </row>
        <row r="245">
          <cell r="B245" t="str">
            <v>853-19</v>
          </cell>
          <cell r="C245" t="str">
            <v>REB,RETAINER</v>
          </cell>
          <cell r="D245">
            <v>67.5</v>
          </cell>
          <cell r="N245" t="str">
            <v>853-19</v>
          </cell>
          <cell r="O245" t="str">
            <v>REB,RETAINER</v>
          </cell>
          <cell r="P245">
            <v>135</v>
          </cell>
        </row>
        <row r="246">
          <cell r="B246" t="str">
            <v>853-20</v>
          </cell>
          <cell r="C246" t="str">
            <v>REB,RETAINER</v>
          </cell>
          <cell r="D246">
            <v>68.5</v>
          </cell>
          <cell r="N246" t="str">
            <v>853-20</v>
          </cell>
          <cell r="O246" t="str">
            <v>REB,RETAINER</v>
          </cell>
          <cell r="P246">
            <v>137</v>
          </cell>
        </row>
        <row r="247">
          <cell r="B247" t="str">
            <v>807-11</v>
          </cell>
          <cell r="C247" t="str">
            <v>REB,RETAINER</v>
          </cell>
          <cell r="D247">
            <v>52</v>
          </cell>
          <cell r="N247" t="str">
            <v>807-11</v>
          </cell>
          <cell r="O247" t="str">
            <v>REB,RETAINER</v>
          </cell>
          <cell r="P247">
            <v>104</v>
          </cell>
        </row>
        <row r="248">
          <cell r="B248" t="str">
            <v>853-18</v>
          </cell>
          <cell r="C248" t="str">
            <v>REB,RETAINER</v>
          </cell>
          <cell r="D248">
            <v>66</v>
          </cell>
          <cell r="N248" t="str">
            <v>853-18</v>
          </cell>
          <cell r="O248" t="str">
            <v>REB,RETAINER</v>
          </cell>
          <cell r="P248">
            <v>132</v>
          </cell>
        </row>
        <row r="249">
          <cell r="B249" t="str">
            <v>853-24</v>
          </cell>
          <cell r="C249" t="str">
            <v>REB,RETAINER</v>
          </cell>
          <cell r="D249">
            <v>68</v>
          </cell>
          <cell r="N249" t="str">
            <v>853-24</v>
          </cell>
          <cell r="O249" t="str">
            <v>REB,RETAINER</v>
          </cell>
          <cell r="P249">
            <v>136</v>
          </cell>
        </row>
        <row r="250">
          <cell r="B250" t="str">
            <v>853-27</v>
          </cell>
          <cell r="C250" t="str">
            <v>REB,RETAINER</v>
          </cell>
          <cell r="D250">
            <v>69</v>
          </cell>
          <cell r="N250" t="str">
            <v>853-27</v>
          </cell>
          <cell r="O250" t="str">
            <v>REB,RETAINER</v>
          </cell>
          <cell r="P250">
            <v>138</v>
          </cell>
        </row>
        <row r="251">
          <cell r="B251" t="str">
            <v>381-00</v>
          </cell>
          <cell r="C251" t="str">
            <v>BACK UP WASHER</v>
          </cell>
          <cell r="D251">
            <v>83.399999999999991</v>
          </cell>
          <cell r="N251" t="str">
            <v>381-00</v>
          </cell>
          <cell r="O251" t="str">
            <v>BACK UP WASHER</v>
          </cell>
          <cell r="P251">
            <v>139</v>
          </cell>
        </row>
        <row r="252">
          <cell r="B252" t="str">
            <v>424-00</v>
          </cell>
          <cell r="C252" t="str">
            <v>ROD GUIDE ASS'Y</v>
          </cell>
          <cell r="D252">
            <v>69.5</v>
          </cell>
          <cell r="N252" t="str">
            <v>424-00</v>
          </cell>
          <cell r="O252" t="str">
            <v>ROD GUIDE ASS'Y</v>
          </cell>
          <cell r="P252">
            <v>139</v>
          </cell>
        </row>
        <row r="253">
          <cell r="B253" t="str">
            <v>853-28</v>
          </cell>
          <cell r="C253" t="str">
            <v>REB,RETAINER</v>
          </cell>
          <cell r="D253">
            <v>69.5</v>
          </cell>
          <cell r="N253" t="str">
            <v>853-28</v>
          </cell>
          <cell r="O253" t="str">
            <v>REB,RETAINER</v>
          </cell>
          <cell r="P253">
            <v>139</v>
          </cell>
        </row>
        <row r="254">
          <cell r="B254" t="str">
            <v>853-28</v>
          </cell>
          <cell r="C254" t="str">
            <v>REB,RETAINER</v>
          </cell>
          <cell r="D254">
            <v>69.5</v>
          </cell>
          <cell r="N254" t="str">
            <v>853-28</v>
          </cell>
          <cell r="O254" t="str">
            <v>REB,RETAINER</v>
          </cell>
          <cell r="P254">
            <v>139</v>
          </cell>
        </row>
        <row r="255">
          <cell r="B255" t="str">
            <v>1306-00</v>
          </cell>
          <cell r="C255" t="str">
            <v>GUIDE SLEEVE</v>
          </cell>
          <cell r="D255">
            <v>70</v>
          </cell>
          <cell r="N255" t="str">
            <v>1306-00</v>
          </cell>
          <cell r="O255" t="str">
            <v>GUIDE SLEEVE</v>
          </cell>
          <cell r="P255">
            <v>140</v>
          </cell>
        </row>
        <row r="256">
          <cell r="B256" t="str">
            <v>1306-00</v>
          </cell>
          <cell r="C256" t="str">
            <v>GUIDE SLEEVE</v>
          </cell>
          <cell r="D256">
            <v>70</v>
          </cell>
          <cell r="N256" t="str">
            <v>1306-00</v>
          </cell>
          <cell r="O256" t="str">
            <v>GUIDE SLEEVE</v>
          </cell>
          <cell r="P256">
            <v>140</v>
          </cell>
        </row>
        <row r="257">
          <cell r="B257" t="str">
            <v>1306-00</v>
          </cell>
          <cell r="C257" t="str">
            <v>GUIDE SLEEVE</v>
          </cell>
          <cell r="D257">
            <v>70</v>
          </cell>
          <cell r="N257" t="str">
            <v>1306-00</v>
          </cell>
          <cell r="O257" t="str">
            <v>GUIDE SLEEVE</v>
          </cell>
          <cell r="P257">
            <v>140</v>
          </cell>
        </row>
        <row r="258">
          <cell r="B258" t="str">
            <v>749-02</v>
          </cell>
          <cell r="C258" t="str">
            <v>REB,RETAINER</v>
          </cell>
          <cell r="D258">
            <v>70</v>
          </cell>
          <cell r="N258" t="str">
            <v>749-02</v>
          </cell>
          <cell r="O258" t="str">
            <v>REB,RETAINER</v>
          </cell>
          <cell r="P258">
            <v>140</v>
          </cell>
        </row>
        <row r="259">
          <cell r="B259" t="str">
            <v>853-25</v>
          </cell>
          <cell r="C259" t="str">
            <v>REB,RETAINER</v>
          </cell>
          <cell r="D259">
            <v>70</v>
          </cell>
          <cell r="N259" t="str">
            <v>853-25</v>
          </cell>
          <cell r="O259" t="str">
            <v>REB,RETAINER</v>
          </cell>
          <cell r="P259">
            <v>140</v>
          </cell>
        </row>
        <row r="260">
          <cell r="B260" t="str">
            <v>853-27</v>
          </cell>
          <cell r="C260" t="str">
            <v>REB,RETAINER</v>
          </cell>
          <cell r="D260">
            <v>69</v>
          </cell>
          <cell r="N260" t="str">
            <v>853-27</v>
          </cell>
          <cell r="O260" t="str">
            <v>REB,RETAINER</v>
          </cell>
          <cell r="P260">
            <v>138</v>
          </cell>
        </row>
        <row r="261">
          <cell r="B261" t="str">
            <v>1466-00</v>
          </cell>
          <cell r="C261" t="str">
            <v>PINION GEAR</v>
          </cell>
          <cell r="D261">
            <v>84.6</v>
          </cell>
          <cell r="N261" t="str">
            <v>1466-00</v>
          </cell>
          <cell r="O261" t="str">
            <v>PINION GEAR</v>
          </cell>
          <cell r="P261">
            <v>141</v>
          </cell>
        </row>
        <row r="262">
          <cell r="B262" t="str">
            <v>1466-00</v>
          </cell>
          <cell r="C262" t="str">
            <v>PINION GEAR</v>
          </cell>
          <cell r="D262">
            <v>84.6</v>
          </cell>
          <cell r="N262" t="str">
            <v>1466-00</v>
          </cell>
          <cell r="O262" t="str">
            <v>PINION GEAR</v>
          </cell>
          <cell r="P262">
            <v>141</v>
          </cell>
        </row>
        <row r="263">
          <cell r="B263" t="str">
            <v>1466-00</v>
          </cell>
          <cell r="C263" t="str">
            <v>PINION GEAR</v>
          </cell>
          <cell r="D263">
            <v>84.6</v>
          </cell>
          <cell r="N263" t="str">
            <v>1466-00</v>
          </cell>
          <cell r="O263" t="str">
            <v>PINION GEAR</v>
          </cell>
          <cell r="P263">
            <v>141</v>
          </cell>
        </row>
        <row r="264">
          <cell r="B264" t="str">
            <v>1466-00</v>
          </cell>
          <cell r="C264" t="str">
            <v>PINION GEAR</v>
          </cell>
          <cell r="D264">
            <v>84.6</v>
          </cell>
          <cell r="N264" t="str">
            <v>1466-00</v>
          </cell>
          <cell r="O264" t="str">
            <v>PINION GEAR</v>
          </cell>
          <cell r="P264">
            <v>141</v>
          </cell>
        </row>
        <row r="265">
          <cell r="B265" t="str">
            <v>1466-00</v>
          </cell>
          <cell r="C265" t="str">
            <v>PINION GEAR</v>
          </cell>
          <cell r="D265">
            <v>84.6</v>
          </cell>
          <cell r="N265" t="str">
            <v>1466-00</v>
          </cell>
          <cell r="O265" t="str">
            <v>PINION GEAR</v>
          </cell>
          <cell r="P265">
            <v>141</v>
          </cell>
        </row>
        <row r="266">
          <cell r="B266" t="str">
            <v>1466-00</v>
          </cell>
          <cell r="C266" t="str">
            <v>PINION GEAR</v>
          </cell>
          <cell r="D266">
            <v>84.6</v>
          </cell>
          <cell r="N266" t="str">
            <v>1466-00</v>
          </cell>
          <cell r="O266" t="str">
            <v>PINION GEAR</v>
          </cell>
          <cell r="P266">
            <v>141</v>
          </cell>
        </row>
        <row r="267">
          <cell r="B267" t="str">
            <v>807-05</v>
          </cell>
          <cell r="C267" t="str">
            <v>REB,RETAINER</v>
          </cell>
          <cell r="D267">
            <v>47.5</v>
          </cell>
          <cell r="N267" t="str">
            <v>807-05</v>
          </cell>
          <cell r="O267" t="str">
            <v>REB,RETAINER</v>
          </cell>
          <cell r="P267">
            <v>95</v>
          </cell>
        </row>
        <row r="268">
          <cell r="B268" t="str">
            <v>853-19</v>
          </cell>
          <cell r="C268" t="str">
            <v>REB,RETAINER</v>
          </cell>
          <cell r="D268">
            <v>67.5</v>
          </cell>
          <cell r="N268" t="str">
            <v>853-19</v>
          </cell>
          <cell r="O268" t="str">
            <v>REB,RETAINER</v>
          </cell>
          <cell r="P268">
            <v>135</v>
          </cell>
        </row>
        <row r="269">
          <cell r="B269" t="str">
            <v>853-26</v>
          </cell>
          <cell r="C269" t="str">
            <v>REB,RETAINER</v>
          </cell>
          <cell r="D269">
            <v>70.5</v>
          </cell>
          <cell r="N269" t="str">
            <v>853-26</v>
          </cell>
          <cell r="O269" t="str">
            <v>REB,RETAINER</v>
          </cell>
          <cell r="P269">
            <v>141</v>
          </cell>
        </row>
        <row r="270">
          <cell r="B270" t="str">
            <v>853-23</v>
          </cell>
          <cell r="C270" t="str">
            <v>REB,RETAINER</v>
          </cell>
          <cell r="D270">
            <v>71</v>
          </cell>
          <cell r="N270" t="str">
            <v>853-23</v>
          </cell>
          <cell r="O270" t="str">
            <v>REB,RETAINER</v>
          </cell>
          <cell r="P270">
            <v>142</v>
          </cell>
        </row>
        <row r="271">
          <cell r="B271" t="str">
            <v>853-23</v>
          </cell>
          <cell r="C271" t="str">
            <v>REB,RETAINER</v>
          </cell>
          <cell r="D271">
            <v>71</v>
          </cell>
          <cell r="N271" t="str">
            <v>853-23</v>
          </cell>
          <cell r="O271" t="str">
            <v>REB,RETAINER</v>
          </cell>
          <cell r="P271">
            <v>142</v>
          </cell>
        </row>
        <row r="272">
          <cell r="B272" t="str">
            <v>853-24</v>
          </cell>
          <cell r="C272" t="str">
            <v>REB,RETAINER</v>
          </cell>
          <cell r="D272">
            <v>68</v>
          </cell>
          <cell r="N272" t="str">
            <v>853-24</v>
          </cell>
          <cell r="O272" t="str">
            <v>REB,RETAINER</v>
          </cell>
          <cell r="P272">
            <v>136</v>
          </cell>
        </row>
        <row r="273">
          <cell r="B273" t="str">
            <v>853-25</v>
          </cell>
          <cell r="C273" t="str">
            <v>REB,RETAINER</v>
          </cell>
          <cell r="D273">
            <v>70</v>
          </cell>
          <cell r="N273" t="str">
            <v>853-25</v>
          </cell>
          <cell r="O273" t="str">
            <v>REB,RETAINER</v>
          </cell>
          <cell r="P273">
            <v>140</v>
          </cell>
        </row>
        <row r="274">
          <cell r="B274" t="str">
            <v>1762-00</v>
          </cell>
          <cell r="C274" t="str">
            <v>GUIDE SLEEVE</v>
          </cell>
          <cell r="D274">
            <v>67.5</v>
          </cell>
          <cell r="N274" t="str">
            <v>1762-00</v>
          </cell>
          <cell r="O274" t="str">
            <v>GUIDE SLEEVE</v>
          </cell>
          <cell r="P274">
            <v>135</v>
          </cell>
        </row>
        <row r="275">
          <cell r="B275" t="str">
            <v>1762-01</v>
          </cell>
          <cell r="C275" t="str">
            <v>GUIDE SLEEVE</v>
          </cell>
          <cell r="D275">
            <v>58.199999999999996</v>
          </cell>
          <cell r="N275" t="str">
            <v>1762-01</v>
          </cell>
          <cell r="O275" t="str">
            <v>GUIDE SLEEVE</v>
          </cell>
          <cell r="P275">
            <v>97</v>
          </cell>
        </row>
        <row r="276">
          <cell r="B276" t="str">
            <v>585*500</v>
          </cell>
          <cell r="C276" t="str">
            <v>VCI BAG</v>
          </cell>
          <cell r="D276">
            <v>85.8</v>
          </cell>
          <cell r="N276" t="str">
            <v>585*500</v>
          </cell>
          <cell r="O276" t="str">
            <v>VCI BAG</v>
          </cell>
          <cell r="P276">
            <v>143</v>
          </cell>
        </row>
        <row r="277">
          <cell r="B277" t="str">
            <v>637P</v>
          </cell>
          <cell r="C277" t="str">
            <v>SLEEVE GUIDE</v>
          </cell>
          <cell r="D277">
            <v>85.8</v>
          </cell>
          <cell r="N277" t="str">
            <v>637P</v>
          </cell>
          <cell r="O277" t="str">
            <v>SLEEVE GUIDE</v>
          </cell>
          <cell r="P277">
            <v>143</v>
          </cell>
        </row>
        <row r="278">
          <cell r="B278" t="str">
            <v>719-00</v>
          </cell>
          <cell r="C278" t="str">
            <v>RING PRESSURE</v>
          </cell>
          <cell r="D278">
            <v>85.8</v>
          </cell>
          <cell r="N278" t="str">
            <v>719-00</v>
          </cell>
          <cell r="O278" t="str">
            <v>RING PRESSURE</v>
          </cell>
          <cell r="P278">
            <v>143</v>
          </cell>
        </row>
        <row r="279">
          <cell r="B279" t="str">
            <v>749-07</v>
          </cell>
          <cell r="C279" t="str">
            <v>REB,RETAINER</v>
          </cell>
          <cell r="D279">
            <v>65.5</v>
          </cell>
          <cell r="N279" t="str">
            <v>749-07</v>
          </cell>
          <cell r="O279" t="str">
            <v>REB,RETAINER</v>
          </cell>
          <cell r="P279">
            <v>131</v>
          </cell>
        </row>
        <row r="280">
          <cell r="B280" t="str">
            <v>772-00</v>
          </cell>
          <cell r="C280" t="str">
            <v>RING PRESSURE</v>
          </cell>
          <cell r="D280">
            <v>85.8</v>
          </cell>
          <cell r="N280" t="str">
            <v>772-00</v>
          </cell>
          <cell r="O280" t="str">
            <v>RING PRESSURE</v>
          </cell>
          <cell r="P280">
            <v>143</v>
          </cell>
        </row>
        <row r="281">
          <cell r="B281" t="str">
            <v>853-23</v>
          </cell>
          <cell r="C281" t="str">
            <v>REB,RETAINER</v>
          </cell>
          <cell r="D281">
            <v>71</v>
          </cell>
          <cell r="N281" t="str">
            <v>853-23</v>
          </cell>
          <cell r="O281" t="str">
            <v>REB,RETAINER</v>
          </cell>
          <cell r="P281">
            <v>142</v>
          </cell>
        </row>
        <row r="282">
          <cell r="B282" t="str">
            <v>853-24</v>
          </cell>
          <cell r="C282" t="str">
            <v>REB,RETAINER</v>
          </cell>
          <cell r="D282">
            <v>68</v>
          </cell>
          <cell r="N282" t="str">
            <v>853-24</v>
          </cell>
          <cell r="O282" t="str">
            <v>REB,RETAINER</v>
          </cell>
          <cell r="P282">
            <v>136</v>
          </cell>
        </row>
        <row r="283">
          <cell r="B283" t="str">
            <v>853-24</v>
          </cell>
          <cell r="C283" t="str">
            <v>REB,RETAINER</v>
          </cell>
          <cell r="D283">
            <v>68</v>
          </cell>
          <cell r="N283" t="str">
            <v>853-24</v>
          </cell>
          <cell r="O283" t="str">
            <v>REB,RETAINER</v>
          </cell>
          <cell r="P283">
            <v>136</v>
          </cell>
        </row>
        <row r="284">
          <cell r="B284" t="str">
            <v>853-26</v>
          </cell>
          <cell r="C284" t="str">
            <v>REB,RETAINER</v>
          </cell>
          <cell r="D284">
            <v>70.5</v>
          </cell>
          <cell r="N284" t="str">
            <v>853-26</v>
          </cell>
          <cell r="O284" t="str">
            <v>REB,RETAINER</v>
          </cell>
          <cell r="P284">
            <v>141</v>
          </cell>
        </row>
        <row r="285">
          <cell r="B285" t="str">
            <v>674-01</v>
          </cell>
          <cell r="C285" t="str">
            <v>REB,RETAINER</v>
          </cell>
          <cell r="D285">
            <v>72</v>
          </cell>
          <cell r="N285" t="str">
            <v>674-01</v>
          </cell>
          <cell r="O285" t="str">
            <v>REB,RETAINER</v>
          </cell>
          <cell r="P285">
            <v>144</v>
          </cell>
        </row>
        <row r="286">
          <cell r="B286" t="str">
            <v>674-01</v>
          </cell>
          <cell r="C286" t="str">
            <v>REB,RETAINER</v>
          </cell>
          <cell r="D286">
            <v>72</v>
          </cell>
          <cell r="N286" t="str">
            <v>674-01</v>
          </cell>
          <cell r="O286" t="str">
            <v>REB,RETAINER</v>
          </cell>
          <cell r="P286">
            <v>144</v>
          </cell>
        </row>
        <row r="287">
          <cell r="B287" t="str">
            <v>749-07</v>
          </cell>
          <cell r="C287" t="str">
            <v>REB,RETAINER</v>
          </cell>
          <cell r="D287">
            <v>65.5</v>
          </cell>
          <cell r="N287" t="str">
            <v>749-07</v>
          </cell>
          <cell r="O287" t="str">
            <v>REB,RETAINER</v>
          </cell>
          <cell r="P287">
            <v>131</v>
          </cell>
        </row>
        <row r="288">
          <cell r="B288" t="str">
            <v>749-15</v>
          </cell>
          <cell r="C288" t="str">
            <v>REB,RETAINER</v>
          </cell>
          <cell r="D288">
            <v>65.5</v>
          </cell>
          <cell r="N288" t="str">
            <v>749-15</v>
          </cell>
          <cell r="O288" t="str">
            <v>REB,RETAINER</v>
          </cell>
          <cell r="P288">
            <v>131</v>
          </cell>
        </row>
        <row r="289">
          <cell r="B289" t="str">
            <v>749-15</v>
          </cell>
          <cell r="C289" t="str">
            <v>REB,RETAINER</v>
          </cell>
          <cell r="D289">
            <v>65.5</v>
          </cell>
          <cell r="N289" t="str">
            <v>749-15</v>
          </cell>
          <cell r="O289" t="str">
            <v>REB,RETAINER</v>
          </cell>
          <cell r="P289">
            <v>131</v>
          </cell>
        </row>
        <row r="290">
          <cell r="B290" t="str">
            <v>807-09</v>
          </cell>
          <cell r="C290" t="str">
            <v>REB,RETAINER</v>
          </cell>
          <cell r="D290">
            <v>60</v>
          </cell>
          <cell r="N290" t="str">
            <v>807-09</v>
          </cell>
          <cell r="O290" t="str">
            <v>REB,RETAINER</v>
          </cell>
          <cell r="P290">
            <v>120</v>
          </cell>
        </row>
        <row r="291">
          <cell r="B291" t="str">
            <v>749-13</v>
          </cell>
          <cell r="C291" t="str">
            <v>REB,RETAINER</v>
          </cell>
          <cell r="D291">
            <v>45.5</v>
          </cell>
          <cell r="N291" t="str">
            <v>749-13</v>
          </cell>
          <cell r="O291" t="str">
            <v>REB,RETAINER</v>
          </cell>
          <cell r="P291">
            <v>91</v>
          </cell>
        </row>
        <row r="292">
          <cell r="B292" t="str">
            <v>807-03</v>
          </cell>
          <cell r="C292" t="str">
            <v>REB,RETAINER</v>
          </cell>
          <cell r="D292">
            <v>72.5</v>
          </cell>
          <cell r="N292" t="str">
            <v>807-03</v>
          </cell>
          <cell r="O292" t="str">
            <v>REB,RETAINER</v>
          </cell>
          <cell r="P292">
            <v>145</v>
          </cell>
        </row>
        <row r="293">
          <cell r="B293" t="str">
            <v>853-19</v>
          </cell>
          <cell r="C293" t="str">
            <v>REB,RETAINER</v>
          </cell>
          <cell r="D293">
            <v>67.5</v>
          </cell>
          <cell r="N293" t="str">
            <v>853-19</v>
          </cell>
          <cell r="O293" t="str">
            <v>REB,RETAINER</v>
          </cell>
          <cell r="P293">
            <v>135</v>
          </cell>
        </row>
        <row r="294">
          <cell r="B294" t="str">
            <v>853-21</v>
          </cell>
          <cell r="C294" t="str">
            <v>REB,RETAINER</v>
          </cell>
          <cell r="D294">
            <v>67.5</v>
          </cell>
          <cell r="N294" t="str">
            <v>853-21</v>
          </cell>
          <cell r="O294" t="str">
            <v>REB,RETAINER</v>
          </cell>
          <cell r="P294">
            <v>135</v>
          </cell>
        </row>
        <row r="295">
          <cell r="B295" t="str">
            <v>674-01</v>
          </cell>
          <cell r="C295" t="str">
            <v>REB,RETAINER</v>
          </cell>
          <cell r="D295">
            <v>72</v>
          </cell>
          <cell r="N295" t="str">
            <v>674-01</v>
          </cell>
          <cell r="O295" t="str">
            <v>REB,RETAINER</v>
          </cell>
          <cell r="P295">
            <v>144</v>
          </cell>
        </row>
        <row r="296">
          <cell r="B296" t="str">
            <v>749-02</v>
          </cell>
          <cell r="C296" t="str">
            <v>REB,RETAINER</v>
          </cell>
          <cell r="D296">
            <v>70</v>
          </cell>
          <cell r="N296" t="str">
            <v>749-02</v>
          </cell>
          <cell r="O296" t="str">
            <v>REB,RETAINER</v>
          </cell>
          <cell r="P296">
            <v>140</v>
          </cell>
        </row>
        <row r="297">
          <cell r="B297" t="str">
            <v>749-03</v>
          </cell>
          <cell r="C297" t="str">
            <v>REB,RETAINER</v>
          </cell>
          <cell r="D297">
            <v>64.5</v>
          </cell>
          <cell r="N297" t="str">
            <v>749-03</v>
          </cell>
          <cell r="O297" t="str">
            <v>REB,RETAINER</v>
          </cell>
          <cell r="P297">
            <v>129</v>
          </cell>
        </row>
        <row r="298">
          <cell r="B298" t="str">
            <v>749-04</v>
          </cell>
          <cell r="C298" t="str">
            <v>REB,RETAINER</v>
          </cell>
          <cell r="D298">
            <v>67</v>
          </cell>
          <cell r="N298" t="str">
            <v>749-04</v>
          </cell>
          <cell r="O298" t="str">
            <v>REB,RETAINER</v>
          </cell>
          <cell r="P298">
            <v>134</v>
          </cell>
        </row>
        <row r="299">
          <cell r="B299" t="str">
            <v>749-05</v>
          </cell>
          <cell r="C299" t="str">
            <v>REB,RETAINER</v>
          </cell>
          <cell r="D299">
            <v>64.5</v>
          </cell>
          <cell r="N299" t="str">
            <v>749-05</v>
          </cell>
          <cell r="O299" t="str">
            <v>REB,RETAINER</v>
          </cell>
          <cell r="P299">
            <v>129</v>
          </cell>
        </row>
        <row r="300">
          <cell r="B300" t="str">
            <v>749-05</v>
          </cell>
          <cell r="C300" t="str">
            <v>REB,RETAINER</v>
          </cell>
          <cell r="D300">
            <v>64.5</v>
          </cell>
          <cell r="N300" t="str">
            <v>749-05</v>
          </cell>
          <cell r="O300" t="str">
            <v>REB,RETAINER</v>
          </cell>
          <cell r="P300">
            <v>129</v>
          </cell>
        </row>
        <row r="301">
          <cell r="B301" t="str">
            <v>749-06</v>
          </cell>
          <cell r="C301" t="str">
            <v>REB,RETAINER</v>
          </cell>
          <cell r="D301">
            <v>68</v>
          </cell>
          <cell r="N301" t="str">
            <v>749-06</v>
          </cell>
          <cell r="O301" t="str">
            <v>REB,RETAINER</v>
          </cell>
          <cell r="P301">
            <v>136</v>
          </cell>
        </row>
        <row r="302">
          <cell r="B302" t="str">
            <v>749-07</v>
          </cell>
          <cell r="C302" t="str">
            <v>REB,RETAINER</v>
          </cell>
          <cell r="D302">
            <v>65.5</v>
          </cell>
          <cell r="N302" t="str">
            <v>749-07</v>
          </cell>
          <cell r="O302" t="str">
            <v>REB,RETAINER</v>
          </cell>
          <cell r="P302">
            <v>131</v>
          </cell>
        </row>
        <row r="303">
          <cell r="B303" t="str">
            <v>749-10</v>
          </cell>
          <cell r="C303" t="str">
            <v>REB,RETAINER</v>
          </cell>
          <cell r="D303">
            <v>66.5</v>
          </cell>
          <cell r="N303" t="str">
            <v>749-10</v>
          </cell>
          <cell r="O303" t="str">
            <v>REB,RETAINER</v>
          </cell>
          <cell r="P303">
            <v>133</v>
          </cell>
        </row>
        <row r="304">
          <cell r="B304" t="str">
            <v>749-11</v>
          </cell>
          <cell r="C304" t="str">
            <v>REB,RETAINER</v>
          </cell>
          <cell r="D304">
            <v>64.5</v>
          </cell>
          <cell r="N304" t="str">
            <v>749-11</v>
          </cell>
          <cell r="O304" t="str">
            <v>REB,RETAINER</v>
          </cell>
          <cell r="P304">
            <v>129</v>
          </cell>
        </row>
        <row r="305">
          <cell r="B305" t="str">
            <v>749-16</v>
          </cell>
          <cell r="C305" t="str">
            <v>REB,RETAINER</v>
          </cell>
          <cell r="D305">
            <v>68.5</v>
          </cell>
          <cell r="N305" t="str">
            <v>749-16</v>
          </cell>
          <cell r="O305" t="str">
            <v>REB,RETAINER</v>
          </cell>
          <cell r="P305">
            <v>137</v>
          </cell>
        </row>
        <row r="306">
          <cell r="B306" t="str">
            <v>807-09</v>
          </cell>
          <cell r="C306" t="str">
            <v>REB,RETAINER</v>
          </cell>
          <cell r="D306">
            <v>60</v>
          </cell>
          <cell r="N306" t="str">
            <v>807-09</v>
          </cell>
          <cell r="O306" t="str">
            <v>REB,RETAINER</v>
          </cell>
          <cell r="P306">
            <v>120</v>
          </cell>
        </row>
        <row r="307">
          <cell r="B307" t="str">
            <v>853-00</v>
          </cell>
          <cell r="C307" t="str">
            <v>REB,RETAINER</v>
          </cell>
          <cell r="D307">
            <v>64.5</v>
          </cell>
          <cell r="N307" t="str">
            <v>853-00</v>
          </cell>
          <cell r="O307" t="str">
            <v>REB,RETAINER</v>
          </cell>
          <cell r="P307">
            <v>129</v>
          </cell>
        </row>
        <row r="308">
          <cell r="B308" t="str">
            <v>853-00</v>
          </cell>
          <cell r="C308" t="str">
            <v>REB,RETAINER</v>
          </cell>
          <cell r="D308">
            <v>64.5</v>
          </cell>
          <cell r="N308" t="str">
            <v>853-00</v>
          </cell>
          <cell r="O308" t="str">
            <v>REB,RETAINER</v>
          </cell>
          <cell r="P308">
            <v>129</v>
          </cell>
        </row>
        <row r="309">
          <cell r="B309" t="str">
            <v>853-21</v>
          </cell>
          <cell r="C309" t="str">
            <v>REB,RETAINER</v>
          </cell>
          <cell r="D309">
            <v>67.5</v>
          </cell>
          <cell r="N309" t="str">
            <v>853-21</v>
          </cell>
          <cell r="O309" t="str">
            <v>REB,RETAINER</v>
          </cell>
          <cell r="P309">
            <v>135</v>
          </cell>
        </row>
        <row r="310">
          <cell r="B310" t="str">
            <v>853-25</v>
          </cell>
          <cell r="C310" t="str">
            <v>REB,RETAINER</v>
          </cell>
          <cell r="D310">
            <v>70</v>
          </cell>
          <cell r="N310" t="str">
            <v>853-25</v>
          </cell>
          <cell r="O310" t="str">
            <v>REB,RETAINER</v>
          </cell>
          <cell r="P310">
            <v>140</v>
          </cell>
        </row>
        <row r="311">
          <cell r="B311" t="str">
            <v>853-29</v>
          </cell>
          <cell r="C311" t="str">
            <v>REB,RETAINER</v>
          </cell>
          <cell r="D311">
            <v>73</v>
          </cell>
          <cell r="N311" t="str">
            <v>853-29</v>
          </cell>
          <cell r="O311" t="str">
            <v>REB,RETAINER</v>
          </cell>
          <cell r="P311">
            <v>146</v>
          </cell>
        </row>
        <row r="312">
          <cell r="B312" t="str">
            <v>749-09</v>
          </cell>
          <cell r="C312" t="str">
            <v>REB,RETAINER</v>
          </cell>
          <cell r="D312">
            <v>65.5</v>
          </cell>
          <cell r="N312" t="str">
            <v>749-09</v>
          </cell>
          <cell r="O312" t="str">
            <v>REB,RETAINER</v>
          </cell>
          <cell r="P312">
            <v>131</v>
          </cell>
        </row>
        <row r="313">
          <cell r="B313" t="str">
            <v>1016-00</v>
          </cell>
          <cell r="C313" t="str">
            <v>REB,RETAINER</v>
          </cell>
          <cell r="D313">
            <v>74</v>
          </cell>
          <cell r="N313" t="str">
            <v>1016-00</v>
          </cell>
          <cell r="O313" t="str">
            <v>REB,RETAINER</v>
          </cell>
          <cell r="P313">
            <v>148</v>
          </cell>
        </row>
        <row r="314">
          <cell r="B314" t="str">
            <v>1017-00</v>
          </cell>
          <cell r="C314" t="str">
            <v>REB,RETAINER</v>
          </cell>
          <cell r="D314">
            <v>74</v>
          </cell>
          <cell r="N314" t="str">
            <v>1017-00</v>
          </cell>
          <cell r="O314" t="str">
            <v>REB,RETAINER</v>
          </cell>
          <cell r="P314">
            <v>148</v>
          </cell>
        </row>
        <row r="315">
          <cell r="B315" t="str">
            <v>3SA1148</v>
          </cell>
          <cell r="C315" t="str">
            <v>PISTON RING</v>
          </cell>
          <cell r="D315" t="e">
            <v>#N/A</v>
          </cell>
          <cell r="N315" t="str">
            <v>3SA1148</v>
          </cell>
          <cell r="O315" t="str">
            <v>PISTON RING</v>
          </cell>
          <cell r="P315">
            <v>148</v>
          </cell>
        </row>
        <row r="316">
          <cell r="B316" t="str">
            <v>749-01</v>
          </cell>
          <cell r="C316" t="str">
            <v>REB,RETAINER</v>
          </cell>
          <cell r="D316">
            <v>65.5</v>
          </cell>
          <cell r="N316" t="str">
            <v>749-01</v>
          </cell>
          <cell r="O316" t="str">
            <v>REB,RETAINER</v>
          </cell>
          <cell r="P316">
            <v>131</v>
          </cell>
        </row>
        <row r="317">
          <cell r="B317" t="str">
            <v>749-07</v>
          </cell>
          <cell r="C317" t="str">
            <v>REB,RETAINER</v>
          </cell>
          <cell r="D317">
            <v>65.5</v>
          </cell>
          <cell r="N317" t="str">
            <v>749-07</v>
          </cell>
          <cell r="O317" t="str">
            <v>REB,RETAINER</v>
          </cell>
          <cell r="P317">
            <v>131</v>
          </cell>
        </row>
        <row r="318">
          <cell r="B318" t="str">
            <v>749-13</v>
          </cell>
          <cell r="C318" t="str">
            <v>REB,RETAINER</v>
          </cell>
          <cell r="D318">
            <v>45.5</v>
          </cell>
          <cell r="N318" t="str">
            <v>749-13</v>
          </cell>
          <cell r="O318" t="str">
            <v>REB,RETAINER</v>
          </cell>
          <cell r="P318">
            <v>91</v>
          </cell>
        </row>
        <row r="319">
          <cell r="B319" t="str">
            <v>749-13</v>
          </cell>
          <cell r="C319" t="str">
            <v>REB,RETAINER</v>
          </cell>
          <cell r="D319">
            <v>45.5</v>
          </cell>
          <cell r="N319" t="str">
            <v>749-13</v>
          </cell>
          <cell r="O319" t="str">
            <v>REB,RETAINER</v>
          </cell>
          <cell r="P319">
            <v>91</v>
          </cell>
        </row>
        <row r="320">
          <cell r="B320" t="str">
            <v>807-09</v>
          </cell>
          <cell r="C320" t="str">
            <v>REB,RETAINER</v>
          </cell>
          <cell r="D320">
            <v>60</v>
          </cell>
          <cell r="N320" t="str">
            <v>807-09</v>
          </cell>
          <cell r="O320" t="str">
            <v>REB,RETAINER</v>
          </cell>
          <cell r="P320">
            <v>120</v>
          </cell>
        </row>
        <row r="321">
          <cell r="B321" t="str">
            <v>853-20</v>
          </cell>
          <cell r="C321" t="str">
            <v>REB,RETAINER</v>
          </cell>
          <cell r="D321">
            <v>68.5</v>
          </cell>
          <cell r="N321" t="str">
            <v>853-20</v>
          </cell>
          <cell r="O321" t="str">
            <v>REB,RETAINER</v>
          </cell>
          <cell r="P321">
            <v>137</v>
          </cell>
        </row>
        <row r="322">
          <cell r="B322" t="str">
            <v>853-23</v>
          </cell>
          <cell r="C322" t="str">
            <v>REB,RETAINER</v>
          </cell>
          <cell r="D322">
            <v>71</v>
          </cell>
          <cell r="N322" t="str">
            <v>853-23</v>
          </cell>
          <cell r="O322" t="str">
            <v>REB,RETAINER</v>
          </cell>
          <cell r="P322">
            <v>142</v>
          </cell>
        </row>
        <row r="323">
          <cell r="B323" t="str">
            <v>853-27</v>
          </cell>
          <cell r="C323" t="str">
            <v>REB,RETAINER</v>
          </cell>
          <cell r="D323">
            <v>69</v>
          </cell>
          <cell r="N323" t="str">
            <v>853-27</v>
          </cell>
          <cell r="O323" t="str">
            <v>REB,RETAINER</v>
          </cell>
          <cell r="P323">
            <v>138</v>
          </cell>
        </row>
        <row r="324">
          <cell r="B324" t="str">
            <v>853-29</v>
          </cell>
          <cell r="C324" t="str">
            <v>REB,RETAINER</v>
          </cell>
          <cell r="D324">
            <v>73</v>
          </cell>
          <cell r="N324" t="str">
            <v>853-29</v>
          </cell>
          <cell r="O324" t="str">
            <v>REB,RETAINER</v>
          </cell>
          <cell r="P324">
            <v>146</v>
          </cell>
        </row>
        <row r="325">
          <cell r="B325" t="str">
            <v>853-18</v>
          </cell>
          <cell r="C325" t="str">
            <v>REB,RETAINER</v>
          </cell>
          <cell r="D325">
            <v>66</v>
          </cell>
          <cell r="N325" t="str">
            <v>853-18</v>
          </cell>
          <cell r="O325" t="str">
            <v>REB,RETAINER</v>
          </cell>
          <cell r="P325">
            <v>132</v>
          </cell>
        </row>
        <row r="326">
          <cell r="B326" t="str">
            <v>853-18</v>
          </cell>
          <cell r="C326" t="str">
            <v>REB,RETAINER</v>
          </cell>
          <cell r="D326">
            <v>66</v>
          </cell>
          <cell r="N326" t="str">
            <v>853-18</v>
          </cell>
          <cell r="O326" t="str">
            <v>REB,RETAINER</v>
          </cell>
          <cell r="P326">
            <v>132</v>
          </cell>
        </row>
        <row r="327">
          <cell r="B327" t="str">
            <v>853-18</v>
          </cell>
          <cell r="C327" t="str">
            <v>REB,RETAINER</v>
          </cell>
          <cell r="D327">
            <v>66</v>
          </cell>
          <cell r="N327" t="str">
            <v>853-18</v>
          </cell>
          <cell r="O327" t="str">
            <v>REB,RETAINER</v>
          </cell>
          <cell r="P327">
            <v>132</v>
          </cell>
        </row>
        <row r="328">
          <cell r="B328" t="str">
            <v>853-27</v>
          </cell>
          <cell r="C328" t="str">
            <v>REB,RETAINER</v>
          </cell>
          <cell r="D328">
            <v>69</v>
          </cell>
          <cell r="N328" t="str">
            <v>853-27</v>
          </cell>
          <cell r="O328" t="str">
            <v>REB,RETAINER</v>
          </cell>
          <cell r="P328">
            <v>138</v>
          </cell>
        </row>
        <row r="329">
          <cell r="B329" t="str">
            <v>853-39</v>
          </cell>
          <cell r="C329" t="str">
            <v>REB,RETAINER</v>
          </cell>
          <cell r="D329">
            <v>74.5</v>
          </cell>
          <cell r="N329" t="str">
            <v>853-39</v>
          </cell>
          <cell r="O329" t="str">
            <v>REB,RETAINER</v>
          </cell>
          <cell r="P329">
            <v>149</v>
          </cell>
        </row>
        <row r="330">
          <cell r="B330" t="str">
            <v>374-01</v>
          </cell>
          <cell r="C330" t="str">
            <v>PISTON</v>
          </cell>
          <cell r="D330">
            <v>75</v>
          </cell>
          <cell r="N330" t="str">
            <v>374-01</v>
          </cell>
          <cell r="O330" t="str">
            <v>PISTON</v>
          </cell>
          <cell r="P330">
            <v>150</v>
          </cell>
        </row>
        <row r="331">
          <cell r="B331" t="str">
            <v>749-05</v>
          </cell>
          <cell r="C331" t="str">
            <v>REB,RETAINER</v>
          </cell>
          <cell r="D331">
            <v>64.5</v>
          </cell>
          <cell r="N331" t="str">
            <v>749-05</v>
          </cell>
          <cell r="O331" t="str">
            <v>REB,RETAINER</v>
          </cell>
          <cell r="P331">
            <v>129</v>
          </cell>
        </row>
        <row r="332">
          <cell r="B332" t="str">
            <v>853-24</v>
          </cell>
          <cell r="C332" t="str">
            <v>REB,RETAINER</v>
          </cell>
          <cell r="D332">
            <v>68</v>
          </cell>
          <cell r="N332" t="str">
            <v>853-24</v>
          </cell>
          <cell r="O332" t="str">
            <v>REB,RETAINER</v>
          </cell>
          <cell r="P332">
            <v>136</v>
          </cell>
        </row>
        <row r="333">
          <cell r="B333" t="str">
            <v>853-24</v>
          </cell>
          <cell r="C333" t="str">
            <v>REB,RETAINER</v>
          </cell>
          <cell r="D333">
            <v>68</v>
          </cell>
          <cell r="N333" t="str">
            <v>853-24</v>
          </cell>
          <cell r="O333" t="str">
            <v>REB,RETAINER</v>
          </cell>
          <cell r="P333">
            <v>136</v>
          </cell>
        </row>
        <row r="334">
          <cell r="B334" t="str">
            <v>1576-00</v>
          </cell>
          <cell r="C334" t="str">
            <v>NUT ADJUSTER(LH)</v>
          </cell>
          <cell r="D334">
            <v>90.6</v>
          </cell>
          <cell r="N334" t="str">
            <v>1576-00</v>
          </cell>
          <cell r="O334" t="str">
            <v>NUT ADJUSTER(LH)</v>
          </cell>
          <cell r="P334">
            <v>151</v>
          </cell>
        </row>
        <row r="335">
          <cell r="B335" t="str">
            <v>1577-00</v>
          </cell>
          <cell r="C335" t="str">
            <v>NUT ADJUSTER(RH)</v>
          </cell>
          <cell r="D335">
            <v>90.6</v>
          </cell>
          <cell r="N335" t="str">
            <v>1577-00</v>
          </cell>
          <cell r="O335" t="str">
            <v>NUT ADJUSTER(RH)</v>
          </cell>
          <cell r="P335">
            <v>151</v>
          </cell>
        </row>
        <row r="336">
          <cell r="B336" t="str">
            <v>749-03</v>
          </cell>
          <cell r="C336" t="str">
            <v>REB,RETAINER</v>
          </cell>
          <cell r="D336">
            <v>64.5</v>
          </cell>
          <cell r="N336" t="str">
            <v>749-03</v>
          </cell>
          <cell r="O336" t="str">
            <v>REB,RETAINER</v>
          </cell>
          <cell r="P336">
            <v>129</v>
          </cell>
        </row>
        <row r="337">
          <cell r="B337" t="str">
            <v>749-05</v>
          </cell>
          <cell r="C337" t="str">
            <v>REB,RETAINER</v>
          </cell>
          <cell r="D337">
            <v>64.5</v>
          </cell>
          <cell r="N337" t="str">
            <v>749-05</v>
          </cell>
          <cell r="O337" t="str">
            <v>REB,RETAINER</v>
          </cell>
          <cell r="P337">
            <v>129</v>
          </cell>
        </row>
        <row r="338">
          <cell r="B338" t="str">
            <v>853-21</v>
          </cell>
          <cell r="C338" t="str">
            <v>REB,RETAINER</v>
          </cell>
          <cell r="D338">
            <v>67.5</v>
          </cell>
          <cell r="N338" t="str">
            <v>853-21</v>
          </cell>
          <cell r="O338" t="str">
            <v>REB,RETAINER</v>
          </cell>
          <cell r="P338">
            <v>135</v>
          </cell>
        </row>
        <row r="339">
          <cell r="B339" t="str">
            <v>853-23</v>
          </cell>
          <cell r="C339" t="str">
            <v>REB,RETAINER</v>
          </cell>
          <cell r="D339">
            <v>71</v>
          </cell>
          <cell r="N339" t="str">
            <v>853-23</v>
          </cell>
          <cell r="O339" t="str">
            <v>REB,RETAINER</v>
          </cell>
          <cell r="P339">
            <v>142</v>
          </cell>
        </row>
        <row r="340">
          <cell r="B340" t="str">
            <v>853-25</v>
          </cell>
          <cell r="C340" t="str">
            <v>REB,RETAINER</v>
          </cell>
          <cell r="D340">
            <v>70</v>
          </cell>
          <cell r="N340" t="str">
            <v>853-25</v>
          </cell>
          <cell r="O340" t="str">
            <v>REB,RETAINER</v>
          </cell>
          <cell r="P340">
            <v>140</v>
          </cell>
        </row>
        <row r="341">
          <cell r="B341" t="str">
            <v>853-39</v>
          </cell>
          <cell r="C341" t="str">
            <v>REB,RETAINER</v>
          </cell>
          <cell r="D341">
            <v>74.5</v>
          </cell>
          <cell r="N341" t="str">
            <v>853-39</v>
          </cell>
          <cell r="O341" t="str">
            <v>REB,RETAINER</v>
          </cell>
          <cell r="P341">
            <v>149</v>
          </cell>
        </row>
        <row r="342">
          <cell r="B342" t="str">
            <v>8A1146C</v>
          </cell>
          <cell r="C342" t="str">
            <v>DU-BUSH</v>
          </cell>
          <cell r="D342">
            <v>90.6</v>
          </cell>
          <cell r="N342" t="str">
            <v>8A1146C</v>
          </cell>
          <cell r="O342" t="str">
            <v>DU-BUSH</v>
          </cell>
          <cell r="P342">
            <v>151</v>
          </cell>
        </row>
        <row r="343">
          <cell r="B343" t="str">
            <v>674-02</v>
          </cell>
          <cell r="C343" t="str">
            <v>REB,RETAINER</v>
          </cell>
          <cell r="D343">
            <v>76</v>
          </cell>
          <cell r="N343" t="str">
            <v>674-02</v>
          </cell>
          <cell r="O343" t="str">
            <v>REB,RETAINER</v>
          </cell>
          <cell r="P343">
            <v>152</v>
          </cell>
        </row>
        <row r="344">
          <cell r="B344" t="str">
            <v>674-02</v>
          </cell>
          <cell r="C344" t="str">
            <v>REB,RETAINER</v>
          </cell>
          <cell r="D344">
            <v>76</v>
          </cell>
          <cell r="N344" t="str">
            <v>674-02</v>
          </cell>
          <cell r="O344" t="str">
            <v>REB,RETAINER</v>
          </cell>
          <cell r="P344">
            <v>152</v>
          </cell>
        </row>
        <row r="345">
          <cell r="B345" t="str">
            <v>749-13</v>
          </cell>
          <cell r="C345" t="str">
            <v>REB,RETAINER</v>
          </cell>
          <cell r="D345">
            <v>45.5</v>
          </cell>
          <cell r="N345" t="str">
            <v>749-13</v>
          </cell>
          <cell r="O345" t="str">
            <v>REB,RETAINER</v>
          </cell>
          <cell r="P345">
            <v>91</v>
          </cell>
        </row>
        <row r="346">
          <cell r="B346" t="str">
            <v>853-21</v>
          </cell>
          <cell r="C346" t="str">
            <v>REB,RETAINER</v>
          </cell>
          <cell r="D346">
            <v>67.5</v>
          </cell>
          <cell r="N346" t="str">
            <v>853-21</v>
          </cell>
          <cell r="O346" t="str">
            <v>REB,RETAINER</v>
          </cell>
          <cell r="P346">
            <v>135</v>
          </cell>
        </row>
        <row r="347">
          <cell r="B347" t="str">
            <v>867-02</v>
          </cell>
          <cell r="C347" t="str">
            <v>SLEEVE</v>
          </cell>
          <cell r="D347">
            <v>76</v>
          </cell>
          <cell r="N347" t="str">
            <v>867-02</v>
          </cell>
          <cell r="O347" t="str">
            <v>SLEEVE</v>
          </cell>
          <cell r="P347">
            <v>152</v>
          </cell>
        </row>
        <row r="348">
          <cell r="B348" t="str">
            <v>2076-15</v>
          </cell>
          <cell r="C348" t="str">
            <v>BODY RETAINER</v>
          </cell>
          <cell r="D348">
            <v>76.5</v>
          </cell>
          <cell r="N348" t="str">
            <v>2076-15</v>
          </cell>
          <cell r="O348" t="str">
            <v>BODY RETAINER</v>
          </cell>
          <cell r="P348">
            <v>153</v>
          </cell>
        </row>
        <row r="349">
          <cell r="B349" t="str">
            <v>853-26</v>
          </cell>
          <cell r="C349" t="str">
            <v>REB,RETAINER</v>
          </cell>
          <cell r="D349">
            <v>70.5</v>
          </cell>
          <cell r="N349" t="str">
            <v>853-26</v>
          </cell>
          <cell r="O349" t="str">
            <v>REB,RETAINER</v>
          </cell>
          <cell r="P349">
            <v>141</v>
          </cell>
        </row>
        <row r="350">
          <cell r="B350" t="str">
            <v>494-02</v>
          </cell>
          <cell r="C350" t="str">
            <v>REB,RETAINER</v>
          </cell>
          <cell r="D350">
            <v>33.5</v>
          </cell>
          <cell r="N350" t="str">
            <v>494-02</v>
          </cell>
          <cell r="O350" t="str">
            <v>REB,RETAINER</v>
          </cell>
          <cell r="P350">
            <v>67</v>
          </cell>
        </row>
        <row r="351">
          <cell r="B351" t="str">
            <v>674-02</v>
          </cell>
          <cell r="C351" t="str">
            <v>REB,RETAINER</v>
          </cell>
          <cell r="D351">
            <v>76</v>
          </cell>
          <cell r="N351" t="str">
            <v>674-02</v>
          </cell>
          <cell r="O351" t="str">
            <v>REB,RETAINER</v>
          </cell>
          <cell r="P351">
            <v>152</v>
          </cell>
        </row>
        <row r="352">
          <cell r="B352" t="str">
            <v>853-18</v>
          </cell>
          <cell r="C352" t="str">
            <v>REB,RETAINER</v>
          </cell>
          <cell r="D352">
            <v>66</v>
          </cell>
          <cell r="N352" t="str">
            <v>853-18</v>
          </cell>
          <cell r="O352" t="str">
            <v>REB,RETAINER</v>
          </cell>
          <cell r="P352">
            <v>132</v>
          </cell>
        </row>
        <row r="353">
          <cell r="B353" t="str">
            <v>853-21</v>
          </cell>
          <cell r="C353" t="str">
            <v>REB,RETAINER</v>
          </cell>
          <cell r="D353">
            <v>67.5</v>
          </cell>
          <cell r="N353" t="str">
            <v>853-21</v>
          </cell>
          <cell r="O353" t="str">
            <v>REB,RETAINER</v>
          </cell>
          <cell r="P353">
            <v>135</v>
          </cell>
        </row>
        <row r="354">
          <cell r="B354" t="str">
            <v>853-26</v>
          </cell>
          <cell r="C354" t="str">
            <v>REB,RETAINER</v>
          </cell>
          <cell r="D354">
            <v>70.5</v>
          </cell>
          <cell r="N354" t="str">
            <v>853-26</v>
          </cell>
          <cell r="O354" t="str">
            <v>REB,RETAINER</v>
          </cell>
          <cell r="P354">
            <v>141</v>
          </cell>
        </row>
        <row r="355">
          <cell r="B355" t="str">
            <v>853-20</v>
          </cell>
          <cell r="C355" t="str">
            <v>REB,RETAINER</v>
          </cell>
          <cell r="D355">
            <v>68.5</v>
          </cell>
          <cell r="N355" t="str">
            <v>853-20</v>
          </cell>
          <cell r="O355" t="str">
            <v>REB,RETAINER</v>
          </cell>
          <cell r="P355">
            <v>137</v>
          </cell>
        </row>
        <row r="356">
          <cell r="B356" t="str">
            <v>853-20</v>
          </cell>
          <cell r="C356" t="str">
            <v>REB,RETAINER</v>
          </cell>
          <cell r="D356">
            <v>68.5</v>
          </cell>
          <cell r="N356" t="str">
            <v>853-20</v>
          </cell>
          <cell r="O356" t="str">
            <v>REB,RETAINER</v>
          </cell>
          <cell r="P356">
            <v>137</v>
          </cell>
        </row>
        <row r="357">
          <cell r="B357" t="str">
            <v>853-24</v>
          </cell>
          <cell r="C357" t="str">
            <v>REB,RETAINER</v>
          </cell>
          <cell r="D357">
            <v>68</v>
          </cell>
          <cell r="N357" t="str">
            <v>853-24</v>
          </cell>
          <cell r="O357" t="str">
            <v>REB,RETAINER</v>
          </cell>
          <cell r="P357">
            <v>136</v>
          </cell>
        </row>
        <row r="358">
          <cell r="B358" t="str">
            <v>853-39</v>
          </cell>
          <cell r="C358" t="str">
            <v>REB,RETAINER</v>
          </cell>
          <cell r="D358">
            <v>74.5</v>
          </cell>
          <cell r="N358" t="str">
            <v>853-39</v>
          </cell>
          <cell r="O358" t="str">
            <v>REB,RETAINER</v>
          </cell>
          <cell r="P358">
            <v>149</v>
          </cell>
        </row>
        <row r="359">
          <cell r="B359" t="str">
            <v>1306-00</v>
          </cell>
          <cell r="C359" t="str">
            <v>GUIDE SLEEVE</v>
          </cell>
          <cell r="D359">
            <v>70</v>
          </cell>
          <cell r="N359" t="str">
            <v>1306-00</v>
          </cell>
          <cell r="O359" t="str">
            <v>GUIDE SLEEVE</v>
          </cell>
          <cell r="P359">
            <v>140</v>
          </cell>
        </row>
        <row r="360">
          <cell r="B360" t="str">
            <v>638-01</v>
          </cell>
          <cell r="C360" t="str">
            <v>SLEEVE</v>
          </cell>
          <cell r="D360">
            <v>78</v>
          </cell>
          <cell r="N360" t="str">
            <v>638-01</v>
          </cell>
          <cell r="O360" t="str">
            <v>SLEEVE</v>
          </cell>
          <cell r="P360">
            <v>156</v>
          </cell>
        </row>
        <row r="361">
          <cell r="B361" t="str">
            <v>638-02</v>
          </cell>
          <cell r="C361" t="str">
            <v>SLEEVE</v>
          </cell>
          <cell r="D361">
            <v>78</v>
          </cell>
          <cell r="N361" t="str">
            <v>638-02</v>
          </cell>
          <cell r="O361" t="str">
            <v>SLEEVE</v>
          </cell>
          <cell r="P361">
            <v>156</v>
          </cell>
        </row>
        <row r="362">
          <cell r="B362" t="str">
            <v>807-04</v>
          </cell>
          <cell r="C362" t="str">
            <v>REB,RETAINER</v>
          </cell>
          <cell r="D362">
            <v>49</v>
          </cell>
          <cell r="N362" t="str">
            <v>807-04</v>
          </cell>
          <cell r="O362" t="str">
            <v>REB,RETAINER</v>
          </cell>
          <cell r="P362">
            <v>98</v>
          </cell>
        </row>
        <row r="363">
          <cell r="B363" t="str">
            <v>807-04</v>
          </cell>
          <cell r="C363" t="str">
            <v>REB,RETAINER</v>
          </cell>
          <cell r="D363">
            <v>49</v>
          </cell>
          <cell r="N363" t="str">
            <v>807-04</v>
          </cell>
          <cell r="O363" t="str">
            <v>REB,RETAINER</v>
          </cell>
          <cell r="P363">
            <v>98</v>
          </cell>
        </row>
        <row r="364">
          <cell r="B364" t="str">
            <v>853-22</v>
          </cell>
          <cell r="C364" t="str">
            <v>REB,RETAINER</v>
          </cell>
          <cell r="D364">
            <v>38.5</v>
          </cell>
          <cell r="N364" t="str">
            <v>853-22</v>
          </cell>
          <cell r="O364" t="str">
            <v>REB,RETAINER</v>
          </cell>
          <cell r="P364">
            <v>77</v>
          </cell>
        </row>
        <row r="365">
          <cell r="B365" t="str">
            <v>853-24</v>
          </cell>
          <cell r="C365" t="str">
            <v>REB,RETAINER</v>
          </cell>
          <cell r="D365">
            <v>68</v>
          </cell>
          <cell r="N365" t="str">
            <v>853-24</v>
          </cell>
          <cell r="O365" t="str">
            <v>REB,RETAINER</v>
          </cell>
          <cell r="P365">
            <v>136</v>
          </cell>
        </row>
        <row r="366">
          <cell r="B366" t="str">
            <v>853-26</v>
          </cell>
          <cell r="C366" t="str">
            <v>REB,RETAINER</v>
          </cell>
          <cell r="D366">
            <v>70.5</v>
          </cell>
          <cell r="N366" t="str">
            <v>853-26</v>
          </cell>
          <cell r="O366" t="str">
            <v>REB,RETAINER</v>
          </cell>
          <cell r="P366">
            <v>141</v>
          </cell>
        </row>
        <row r="367">
          <cell r="B367" t="str">
            <v>853-26</v>
          </cell>
          <cell r="C367" t="str">
            <v>REB,RETAINER</v>
          </cell>
          <cell r="D367">
            <v>70.5</v>
          </cell>
          <cell r="N367" t="str">
            <v>853-26</v>
          </cell>
          <cell r="O367" t="str">
            <v>REB,RETAINER</v>
          </cell>
          <cell r="P367">
            <v>141</v>
          </cell>
        </row>
        <row r="368">
          <cell r="B368" t="str">
            <v>853-26</v>
          </cell>
          <cell r="C368" t="str">
            <v>REB,RETAINER</v>
          </cell>
          <cell r="D368">
            <v>70.5</v>
          </cell>
          <cell r="N368" t="str">
            <v>853-26</v>
          </cell>
          <cell r="O368" t="str">
            <v>REB,RETAINER</v>
          </cell>
          <cell r="P368">
            <v>141</v>
          </cell>
        </row>
        <row r="369">
          <cell r="B369" t="str">
            <v>853-27</v>
          </cell>
          <cell r="C369" t="str">
            <v>REB,RETAINER</v>
          </cell>
          <cell r="D369">
            <v>69</v>
          </cell>
          <cell r="N369" t="str">
            <v>853-27</v>
          </cell>
          <cell r="O369" t="str">
            <v>REB,RETAINER</v>
          </cell>
          <cell r="P369">
            <v>138</v>
          </cell>
        </row>
        <row r="370">
          <cell r="B370" t="str">
            <v>853-27</v>
          </cell>
          <cell r="C370" t="str">
            <v>REB,RETAINER</v>
          </cell>
          <cell r="D370">
            <v>69</v>
          </cell>
          <cell r="N370" t="str">
            <v>853-27</v>
          </cell>
          <cell r="O370" t="str">
            <v>REB,RETAINER</v>
          </cell>
          <cell r="P370">
            <v>138</v>
          </cell>
        </row>
        <row r="371">
          <cell r="B371" t="str">
            <v>853-27</v>
          </cell>
          <cell r="C371" t="str">
            <v>REB,RETAINER</v>
          </cell>
          <cell r="D371">
            <v>69</v>
          </cell>
          <cell r="N371" t="str">
            <v>853-27</v>
          </cell>
          <cell r="O371" t="str">
            <v>REB,RETAINER</v>
          </cell>
          <cell r="P371">
            <v>138</v>
          </cell>
        </row>
        <row r="372">
          <cell r="B372" t="str">
            <v>853-30</v>
          </cell>
          <cell r="C372" t="str">
            <v>REB,RETAINER</v>
          </cell>
          <cell r="D372">
            <v>78</v>
          </cell>
          <cell r="N372" t="str">
            <v>853-30</v>
          </cell>
          <cell r="O372" t="str">
            <v>REB,RETAINER</v>
          </cell>
          <cell r="P372">
            <v>156</v>
          </cell>
        </row>
        <row r="373">
          <cell r="B373" t="str">
            <v>749-10</v>
          </cell>
          <cell r="C373" t="str">
            <v>REB,RETAINER</v>
          </cell>
          <cell r="D373">
            <v>66.5</v>
          </cell>
          <cell r="N373" t="str">
            <v>749-10</v>
          </cell>
          <cell r="O373" t="str">
            <v>REB,RETAINER</v>
          </cell>
          <cell r="P373">
            <v>133</v>
          </cell>
        </row>
        <row r="374">
          <cell r="B374" t="str">
            <v>1325-01</v>
          </cell>
          <cell r="C374" t="str">
            <v>WASHER</v>
          </cell>
          <cell r="D374">
            <v>94.8</v>
          </cell>
          <cell r="N374" t="str">
            <v>1325-01</v>
          </cell>
          <cell r="O374" t="str">
            <v>WASHER</v>
          </cell>
          <cell r="P374">
            <v>158</v>
          </cell>
        </row>
        <row r="375">
          <cell r="B375" t="str">
            <v>853-22</v>
          </cell>
          <cell r="C375" t="str">
            <v>REB,RETAINER</v>
          </cell>
          <cell r="D375">
            <v>38.5</v>
          </cell>
          <cell r="N375" t="str">
            <v>853-22</v>
          </cell>
          <cell r="O375" t="str">
            <v>REB,RETAINER</v>
          </cell>
          <cell r="P375">
            <v>77</v>
          </cell>
        </row>
        <row r="376">
          <cell r="B376" t="str">
            <v>853-24</v>
          </cell>
          <cell r="C376" t="str">
            <v>REB,RETAINER</v>
          </cell>
          <cell r="D376">
            <v>68</v>
          </cell>
          <cell r="N376" t="str">
            <v>853-24</v>
          </cell>
          <cell r="O376" t="str">
            <v>REB,RETAINER</v>
          </cell>
          <cell r="P376">
            <v>136</v>
          </cell>
        </row>
        <row r="377">
          <cell r="B377" t="str">
            <v>853-25</v>
          </cell>
          <cell r="C377" t="str">
            <v>REB,RETAINER</v>
          </cell>
          <cell r="D377">
            <v>70</v>
          </cell>
          <cell r="N377" t="str">
            <v>853-25</v>
          </cell>
          <cell r="O377" t="str">
            <v>REB,RETAINER</v>
          </cell>
          <cell r="P377">
            <v>140</v>
          </cell>
        </row>
        <row r="378">
          <cell r="B378" t="str">
            <v>853-25</v>
          </cell>
          <cell r="C378" t="str">
            <v>REB,RETAINER</v>
          </cell>
          <cell r="D378">
            <v>70</v>
          </cell>
          <cell r="N378" t="str">
            <v>853-25</v>
          </cell>
          <cell r="O378" t="str">
            <v>REB,RETAINER</v>
          </cell>
          <cell r="P378">
            <v>140</v>
          </cell>
        </row>
        <row r="379">
          <cell r="B379" t="str">
            <v>853-28</v>
          </cell>
          <cell r="C379" t="str">
            <v>REB,RETAINER</v>
          </cell>
          <cell r="D379">
            <v>69.5</v>
          </cell>
          <cell r="N379" t="str">
            <v>853-28</v>
          </cell>
          <cell r="O379" t="str">
            <v>REB,RETAINER</v>
          </cell>
          <cell r="P379">
            <v>139</v>
          </cell>
        </row>
        <row r="380">
          <cell r="B380" t="str">
            <v>853-23</v>
          </cell>
          <cell r="C380" t="str">
            <v>REB,RETAINER</v>
          </cell>
          <cell r="D380">
            <v>71</v>
          </cell>
          <cell r="N380" t="str">
            <v>853-23</v>
          </cell>
          <cell r="O380" t="str">
            <v>REB,RETAINER</v>
          </cell>
          <cell r="P380">
            <v>142</v>
          </cell>
        </row>
        <row r="381">
          <cell r="B381" t="str">
            <v>853-26</v>
          </cell>
          <cell r="C381" t="str">
            <v>REB,RETAINER</v>
          </cell>
          <cell r="D381">
            <v>70.5</v>
          </cell>
          <cell r="N381" t="str">
            <v>853-26</v>
          </cell>
          <cell r="O381" t="str">
            <v>REB,RETAINER</v>
          </cell>
          <cell r="P381">
            <v>141</v>
          </cell>
        </row>
        <row r="382">
          <cell r="B382" t="str">
            <v>853-29</v>
          </cell>
          <cell r="C382" t="str">
            <v>REB,RETAINER</v>
          </cell>
          <cell r="D382">
            <v>73</v>
          </cell>
          <cell r="N382" t="str">
            <v>853-29</v>
          </cell>
          <cell r="O382" t="str">
            <v>REB,RETAINER</v>
          </cell>
          <cell r="P382">
            <v>146</v>
          </cell>
        </row>
        <row r="383">
          <cell r="B383" t="str">
            <v>867-03</v>
          </cell>
          <cell r="C383" t="str">
            <v>SLEEVE</v>
          </cell>
          <cell r="D383">
            <v>79.5</v>
          </cell>
          <cell r="N383" t="str">
            <v>867-03</v>
          </cell>
          <cell r="O383" t="str">
            <v>SLEEVE</v>
          </cell>
          <cell r="P383">
            <v>159</v>
          </cell>
        </row>
        <row r="384">
          <cell r="B384" t="str">
            <v>2113-00</v>
          </cell>
          <cell r="C384" t="str">
            <v>PILOT RETAINER</v>
          </cell>
          <cell r="D384">
            <v>80</v>
          </cell>
          <cell r="N384" t="str">
            <v>2113-00</v>
          </cell>
          <cell r="O384" t="str">
            <v>PILOT RETAINER</v>
          </cell>
          <cell r="P384">
            <v>160</v>
          </cell>
        </row>
        <row r="385">
          <cell r="B385" t="str">
            <v>494-04</v>
          </cell>
          <cell r="C385" t="str">
            <v>REB,RETAINER</v>
          </cell>
          <cell r="D385">
            <v>40.5</v>
          </cell>
          <cell r="N385" t="str">
            <v>494-04</v>
          </cell>
          <cell r="O385" t="str">
            <v>REB,RETAINER</v>
          </cell>
          <cell r="P385">
            <v>81</v>
          </cell>
        </row>
        <row r="386">
          <cell r="B386" t="str">
            <v>853-23</v>
          </cell>
          <cell r="C386" t="str">
            <v>REB,RETAINER</v>
          </cell>
          <cell r="D386">
            <v>71</v>
          </cell>
          <cell r="N386" t="str">
            <v>853-23</v>
          </cell>
          <cell r="O386" t="str">
            <v>REB,RETAINER</v>
          </cell>
          <cell r="P386">
            <v>142</v>
          </cell>
        </row>
        <row r="387">
          <cell r="B387" t="str">
            <v>853-23</v>
          </cell>
          <cell r="C387" t="str">
            <v>REB,RETAINER</v>
          </cell>
          <cell r="D387">
            <v>71</v>
          </cell>
          <cell r="N387" t="str">
            <v>853-23</v>
          </cell>
          <cell r="O387" t="str">
            <v>REB,RETAINER</v>
          </cell>
          <cell r="P387">
            <v>142</v>
          </cell>
        </row>
        <row r="388">
          <cell r="B388" t="str">
            <v>853-25</v>
          </cell>
          <cell r="C388" t="str">
            <v>REB,RETAINER</v>
          </cell>
          <cell r="D388">
            <v>70</v>
          </cell>
          <cell r="N388" t="str">
            <v>853-25</v>
          </cell>
          <cell r="O388" t="str">
            <v>REB,RETAINER</v>
          </cell>
          <cell r="P388">
            <v>140</v>
          </cell>
        </row>
        <row r="389">
          <cell r="B389" t="str">
            <v>853-26</v>
          </cell>
          <cell r="C389" t="str">
            <v>REB,RETAINER</v>
          </cell>
          <cell r="D389">
            <v>70.5</v>
          </cell>
          <cell r="N389" t="str">
            <v>853-26</v>
          </cell>
          <cell r="O389" t="str">
            <v>REB,RETAINER</v>
          </cell>
          <cell r="P389">
            <v>141</v>
          </cell>
        </row>
        <row r="390">
          <cell r="B390" t="str">
            <v>853-27</v>
          </cell>
          <cell r="C390" t="str">
            <v>REB,RETAINER</v>
          </cell>
          <cell r="D390">
            <v>69</v>
          </cell>
          <cell r="N390" t="str">
            <v>853-27</v>
          </cell>
          <cell r="O390" t="str">
            <v>REB,RETAINER</v>
          </cell>
          <cell r="P390">
            <v>138</v>
          </cell>
        </row>
        <row r="391">
          <cell r="B391" t="str">
            <v>853-29</v>
          </cell>
          <cell r="C391" t="str">
            <v>REB,RETAINER</v>
          </cell>
          <cell r="D391">
            <v>73</v>
          </cell>
          <cell r="N391" t="str">
            <v>853-29</v>
          </cell>
          <cell r="O391" t="str">
            <v>REB,RETAINER</v>
          </cell>
          <cell r="P391">
            <v>146</v>
          </cell>
        </row>
        <row r="392">
          <cell r="B392" t="str">
            <v>1833-05</v>
          </cell>
          <cell r="C392" t="str">
            <v>BODY RETAINER</v>
          </cell>
          <cell r="D392">
            <v>80.5</v>
          </cell>
          <cell r="N392" t="str">
            <v>1833-05</v>
          </cell>
          <cell r="O392" t="str">
            <v>BODY RETAINER</v>
          </cell>
          <cell r="P392">
            <v>161</v>
          </cell>
        </row>
        <row r="393">
          <cell r="B393" t="str">
            <v>374-01</v>
          </cell>
          <cell r="C393" t="str">
            <v>PISTON</v>
          </cell>
          <cell r="D393">
            <v>75</v>
          </cell>
          <cell r="N393" t="str">
            <v>374-01</v>
          </cell>
          <cell r="O393" t="str">
            <v>PISTON</v>
          </cell>
          <cell r="P393">
            <v>150</v>
          </cell>
        </row>
        <row r="394">
          <cell r="B394" t="str">
            <v>853-26</v>
          </cell>
          <cell r="C394" t="str">
            <v>REB,RETAINER</v>
          </cell>
          <cell r="D394">
            <v>70.5</v>
          </cell>
          <cell r="N394" t="str">
            <v>853-26</v>
          </cell>
          <cell r="O394" t="str">
            <v>REB,RETAINER</v>
          </cell>
          <cell r="P394">
            <v>141</v>
          </cell>
        </row>
        <row r="395">
          <cell r="B395" t="str">
            <v>861-01</v>
          </cell>
          <cell r="C395" t="str">
            <v>BODY</v>
          </cell>
          <cell r="D395">
            <v>80.5</v>
          </cell>
          <cell r="N395" t="str">
            <v>861-01</v>
          </cell>
          <cell r="O395" t="str">
            <v>BODY</v>
          </cell>
          <cell r="P395">
            <v>161</v>
          </cell>
        </row>
        <row r="396">
          <cell r="B396" t="str">
            <v>861-01</v>
          </cell>
          <cell r="C396" t="str">
            <v>BODY</v>
          </cell>
          <cell r="D396">
            <v>80.5</v>
          </cell>
          <cell r="N396" t="str">
            <v>861-01</v>
          </cell>
          <cell r="O396" t="str">
            <v>BODY</v>
          </cell>
          <cell r="P396">
            <v>161</v>
          </cell>
        </row>
        <row r="397">
          <cell r="B397" t="str">
            <v>009-03</v>
          </cell>
          <cell r="C397" t="str">
            <v>PISTON</v>
          </cell>
          <cell r="D397">
            <v>81</v>
          </cell>
          <cell r="N397" t="str">
            <v>009-03</v>
          </cell>
          <cell r="O397" t="str">
            <v>PISTON</v>
          </cell>
          <cell r="P397">
            <v>162</v>
          </cell>
        </row>
        <row r="398">
          <cell r="B398" t="str">
            <v>1833-02</v>
          </cell>
          <cell r="C398" t="str">
            <v>BODY RETAINER</v>
          </cell>
          <cell r="D398">
            <v>81</v>
          </cell>
          <cell r="N398" t="str">
            <v>1833-02</v>
          </cell>
          <cell r="O398" t="str">
            <v>BODY RETAINER</v>
          </cell>
          <cell r="P398">
            <v>162</v>
          </cell>
        </row>
        <row r="399">
          <cell r="B399" t="str">
            <v>1833-04</v>
          </cell>
          <cell r="C399" t="str">
            <v>BODY RETAINER</v>
          </cell>
          <cell r="D399">
            <v>81</v>
          </cell>
          <cell r="N399" t="str">
            <v>1833-04</v>
          </cell>
          <cell r="O399" t="str">
            <v>BODY RETAINER</v>
          </cell>
          <cell r="P399">
            <v>162</v>
          </cell>
        </row>
        <row r="400">
          <cell r="B400" t="str">
            <v>623-00</v>
          </cell>
          <cell r="C400" t="str">
            <v>COLLAR ROD</v>
          </cell>
          <cell r="D400">
            <v>81</v>
          </cell>
          <cell r="N400" t="str">
            <v>623-00</v>
          </cell>
          <cell r="O400" t="str">
            <v>COLLAR ROD</v>
          </cell>
          <cell r="P400">
            <v>162</v>
          </cell>
        </row>
        <row r="401">
          <cell r="B401" t="str">
            <v>749-07</v>
          </cell>
          <cell r="C401" t="str">
            <v>REB,RETAINER</v>
          </cell>
          <cell r="D401">
            <v>65.5</v>
          </cell>
          <cell r="N401" t="str">
            <v>749-07</v>
          </cell>
          <cell r="O401" t="str">
            <v>REB,RETAINER</v>
          </cell>
          <cell r="P401">
            <v>131</v>
          </cell>
        </row>
        <row r="402">
          <cell r="B402" t="str">
            <v>853-20</v>
          </cell>
          <cell r="C402" t="str">
            <v>REB,RETAINER</v>
          </cell>
          <cell r="D402">
            <v>68.5</v>
          </cell>
          <cell r="N402" t="str">
            <v>853-20</v>
          </cell>
          <cell r="O402" t="str">
            <v>REB,RETAINER</v>
          </cell>
          <cell r="P402">
            <v>137</v>
          </cell>
        </row>
        <row r="403">
          <cell r="B403" t="str">
            <v>853-22</v>
          </cell>
          <cell r="C403" t="str">
            <v>REB,RETAINER</v>
          </cell>
          <cell r="D403">
            <v>38.5</v>
          </cell>
          <cell r="N403" t="str">
            <v>853-22</v>
          </cell>
          <cell r="O403" t="str">
            <v>REB,RETAINER</v>
          </cell>
          <cell r="P403">
            <v>77</v>
          </cell>
        </row>
        <row r="404">
          <cell r="B404" t="str">
            <v>853-23</v>
          </cell>
          <cell r="C404" t="str">
            <v>REB,RETAINER</v>
          </cell>
          <cell r="D404">
            <v>71</v>
          </cell>
          <cell r="N404" t="str">
            <v>853-23</v>
          </cell>
          <cell r="O404" t="str">
            <v>REB,RETAINER</v>
          </cell>
          <cell r="P404">
            <v>142</v>
          </cell>
        </row>
        <row r="405">
          <cell r="B405" t="str">
            <v>853-24</v>
          </cell>
          <cell r="C405" t="str">
            <v>REB,RETAINER</v>
          </cell>
          <cell r="D405">
            <v>68</v>
          </cell>
          <cell r="N405" t="str">
            <v>853-24</v>
          </cell>
          <cell r="O405" t="str">
            <v>REB,RETAINER</v>
          </cell>
          <cell r="P405">
            <v>136</v>
          </cell>
        </row>
        <row r="406">
          <cell r="B406" t="str">
            <v>853-24</v>
          </cell>
          <cell r="C406" t="str">
            <v>REB,RETAINER</v>
          </cell>
          <cell r="D406">
            <v>68</v>
          </cell>
          <cell r="N406" t="str">
            <v>853-24</v>
          </cell>
          <cell r="O406" t="str">
            <v>REB,RETAINER</v>
          </cell>
          <cell r="P406">
            <v>136</v>
          </cell>
        </row>
        <row r="407">
          <cell r="B407" t="str">
            <v>853-28</v>
          </cell>
          <cell r="C407" t="str">
            <v>REB,RETAINER</v>
          </cell>
          <cell r="D407">
            <v>69.5</v>
          </cell>
          <cell r="N407" t="str">
            <v>853-28</v>
          </cell>
          <cell r="O407" t="str">
            <v>REB,RETAINER</v>
          </cell>
          <cell r="P407">
            <v>139</v>
          </cell>
        </row>
        <row r="408">
          <cell r="B408" t="str">
            <v>1325-01</v>
          </cell>
          <cell r="C408" t="str">
            <v>WASHER</v>
          </cell>
          <cell r="D408">
            <v>94.8</v>
          </cell>
          <cell r="N408" t="str">
            <v>1325-01</v>
          </cell>
          <cell r="O408" t="str">
            <v>WASHER</v>
          </cell>
          <cell r="P408">
            <v>158</v>
          </cell>
        </row>
        <row r="409">
          <cell r="B409" t="str">
            <v>2076-11</v>
          </cell>
          <cell r="C409" t="str">
            <v>BODY RETAINER</v>
          </cell>
          <cell r="D409">
            <v>81.5</v>
          </cell>
          <cell r="N409" t="str">
            <v>2076-11</v>
          </cell>
          <cell r="O409" t="str">
            <v>BODY RETAINER</v>
          </cell>
          <cell r="P409">
            <v>163</v>
          </cell>
        </row>
        <row r="410">
          <cell r="B410" t="str">
            <v>2076-15</v>
          </cell>
          <cell r="C410" t="str">
            <v>BODY RETAINER</v>
          </cell>
          <cell r="D410">
            <v>76.5</v>
          </cell>
          <cell r="N410" t="str">
            <v>2076-15</v>
          </cell>
          <cell r="O410" t="str">
            <v>BODY RETAINER</v>
          </cell>
          <cell r="P410">
            <v>153</v>
          </cell>
        </row>
        <row r="411">
          <cell r="B411" t="str">
            <v>1630-08</v>
          </cell>
          <cell r="C411" t="str">
            <v>RS RETAINER</v>
          </cell>
          <cell r="D411">
            <v>82</v>
          </cell>
          <cell r="N411" t="str">
            <v>1630-08</v>
          </cell>
          <cell r="O411" t="str">
            <v>RS RETAINER</v>
          </cell>
          <cell r="P411">
            <v>164</v>
          </cell>
        </row>
        <row r="412">
          <cell r="B412" t="str">
            <v>1630-08</v>
          </cell>
          <cell r="C412" t="str">
            <v>RS RETAINER</v>
          </cell>
          <cell r="D412">
            <v>82</v>
          </cell>
          <cell r="N412" t="str">
            <v>1630-08</v>
          </cell>
          <cell r="O412" t="str">
            <v>RS RETAINER</v>
          </cell>
          <cell r="P412">
            <v>164</v>
          </cell>
        </row>
        <row r="413">
          <cell r="B413" t="str">
            <v>2076-01</v>
          </cell>
          <cell r="C413" t="str">
            <v>BODY RETAINER</v>
          </cell>
          <cell r="D413">
            <v>82</v>
          </cell>
          <cell r="N413" t="str">
            <v>2076-01</v>
          </cell>
          <cell r="O413" t="str">
            <v>BODY RETAINER</v>
          </cell>
          <cell r="P413">
            <v>164</v>
          </cell>
        </row>
        <row r="414">
          <cell r="B414" t="str">
            <v>2076-07</v>
          </cell>
          <cell r="C414" t="str">
            <v>BODY RETAINER</v>
          </cell>
          <cell r="D414">
            <v>82</v>
          </cell>
          <cell r="N414" t="str">
            <v>2076-07</v>
          </cell>
          <cell r="O414" t="str">
            <v>BODY RETAINER</v>
          </cell>
          <cell r="P414">
            <v>164</v>
          </cell>
        </row>
        <row r="415">
          <cell r="B415" t="str">
            <v>2077-10</v>
          </cell>
          <cell r="C415" t="str">
            <v>BODY RETAINER</v>
          </cell>
          <cell r="D415">
            <v>82</v>
          </cell>
          <cell r="N415" t="str">
            <v>2077-10</v>
          </cell>
          <cell r="O415" t="str">
            <v>BODY RETAINER</v>
          </cell>
          <cell r="P415">
            <v>164</v>
          </cell>
        </row>
        <row r="416">
          <cell r="B416" t="str">
            <v>786-03</v>
          </cell>
          <cell r="C416" t="str">
            <v>BODY</v>
          </cell>
          <cell r="D416">
            <v>82</v>
          </cell>
          <cell r="N416" t="str">
            <v>786-03</v>
          </cell>
          <cell r="O416" t="str">
            <v>BODY</v>
          </cell>
          <cell r="P416">
            <v>164</v>
          </cell>
        </row>
        <row r="417">
          <cell r="B417" t="str">
            <v>807-09</v>
          </cell>
          <cell r="C417" t="str">
            <v>REB,RETAINER</v>
          </cell>
          <cell r="D417">
            <v>60</v>
          </cell>
          <cell r="N417" t="str">
            <v>807-09</v>
          </cell>
          <cell r="O417" t="str">
            <v>REB,RETAINER</v>
          </cell>
          <cell r="P417">
            <v>120</v>
          </cell>
        </row>
        <row r="418">
          <cell r="B418" t="str">
            <v>861-01</v>
          </cell>
          <cell r="C418" t="str">
            <v>BODY</v>
          </cell>
          <cell r="D418">
            <v>80.5</v>
          </cell>
          <cell r="N418" t="str">
            <v>861-01</v>
          </cell>
          <cell r="O418" t="str">
            <v>BODY</v>
          </cell>
          <cell r="P418">
            <v>161</v>
          </cell>
        </row>
        <row r="419">
          <cell r="B419" t="str">
            <v>1630-07</v>
          </cell>
          <cell r="C419" t="str">
            <v>RS RETAINER</v>
          </cell>
          <cell r="D419">
            <v>82.5</v>
          </cell>
          <cell r="N419" t="str">
            <v>1630-07</v>
          </cell>
          <cell r="O419" t="str">
            <v>RS RETAINER</v>
          </cell>
          <cell r="P419">
            <v>165</v>
          </cell>
        </row>
        <row r="420">
          <cell r="B420" t="str">
            <v>1673-02</v>
          </cell>
          <cell r="C420" t="str">
            <v>RS RETAINER</v>
          </cell>
          <cell r="D420">
            <v>82.5</v>
          </cell>
          <cell r="N420" t="str">
            <v>1673-02</v>
          </cell>
          <cell r="O420" t="str">
            <v>RS RETAINER</v>
          </cell>
          <cell r="P420">
            <v>165</v>
          </cell>
        </row>
        <row r="421">
          <cell r="B421" t="str">
            <v>1673-03</v>
          </cell>
          <cell r="C421" t="str">
            <v>RS RETAINER</v>
          </cell>
          <cell r="D421">
            <v>82.5</v>
          </cell>
          <cell r="N421" t="str">
            <v>1673-03</v>
          </cell>
          <cell r="O421" t="str">
            <v>RS RETAINER</v>
          </cell>
          <cell r="P421">
            <v>165</v>
          </cell>
        </row>
        <row r="422">
          <cell r="B422" t="str">
            <v>2076-08</v>
          </cell>
          <cell r="C422" t="str">
            <v>BODY RETAINER</v>
          </cell>
          <cell r="D422">
            <v>82.5</v>
          </cell>
          <cell r="N422" t="str">
            <v>2076-08</v>
          </cell>
          <cell r="O422" t="str">
            <v>BODY RETAINER</v>
          </cell>
          <cell r="P422">
            <v>165</v>
          </cell>
        </row>
        <row r="423">
          <cell r="B423" t="str">
            <v>2076-12</v>
          </cell>
          <cell r="C423" t="str">
            <v>BODY RETAINER</v>
          </cell>
          <cell r="D423">
            <v>82.5</v>
          </cell>
          <cell r="N423" t="str">
            <v>2076-12</v>
          </cell>
          <cell r="O423" t="str">
            <v>BODY RETAINER</v>
          </cell>
          <cell r="P423">
            <v>165</v>
          </cell>
        </row>
        <row r="424">
          <cell r="B424" t="str">
            <v>2076-13</v>
          </cell>
          <cell r="C424" t="str">
            <v>BODY RETAINER</v>
          </cell>
          <cell r="D424">
            <v>82.5</v>
          </cell>
          <cell r="N424" t="str">
            <v>2076-13</v>
          </cell>
          <cell r="O424" t="str">
            <v>BODY RETAINER</v>
          </cell>
          <cell r="P424">
            <v>165</v>
          </cell>
        </row>
        <row r="425">
          <cell r="B425" t="str">
            <v>2076-14</v>
          </cell>
          <cell r="C425" t="str">
            <v>BODY RETAINER</v>
          </cell>
          <cell r="D425">
            <v>82.5</v>
          </cell>
          <cell r="N425" t="str">
            <v>2076-14</v>
          </cell>
          <cell r="O425" t="str">
            <v>BODY RETAINER</v>
          </cell>
          <cell r="P425">
            <v>165</v>
          </cell>
        </row>
        <row r="426">
          <cell r="B426" t="str">
            <v>2077-06</v>
          </cell>
          <cell r="C426" t="str">
            <v>BODY RETAINER</v>
          </cell>
          <cell r="D426">
            <v>82.5</v>
          </cell>
          <cell r="N426" t="str">
            <v>2077-06</v>
          </cell>
          <cell r="O426" t="str">
            <v>BODY RETAINER</v>
          </cell>
          <cell r="P426">
            <v>165</v>
          </cell>
        </row>
        <row r="427">
          <cell r="B427" t="str">
            <v>661-06</v>
          </cell>
          <cell r="C427" t="str">
            <v>BODY</v>
          </cell>
          <cell r="D427">
            <v>82.5</v>
          </cell>
          <cell r="N427" t="str">
            <v>661-06</v>
          </cell>
          <cell r="O427" t="str">
            <v>BODY</v>
          </cell>
          <cell r="P427">
            <v>165</v>
          </cell>
        </row>
        <row r="428">
          <cell r="B428" t="str">
            <v>853-27</v>
          </cell>
          <cell r="C428" t="str">
            <v>REB,RETAINER</v>
          </cell>
          <cell r="D428">
            <v>69</v>
          </cell>
          <cell r="N428" t="str">
            <v>853-27</v>
          </cell>
          <cell r="O428" t="str">
            <v>REB,RETAINER</v>
          </cell>
          <cell r="P428">
            <v>138</v>
          </cell>
        </row>
        <row r="429">
          <cell r="B429" t="str">
            <v>861-05</v>
          </cell>
          <cell r="C429" t="str">
            <v>BODY</v>
          </cell>
          <cell r="D429">
            <v>82.5</v>
          </cell>
          <cell r="N429" t="str">
            <v>861-05</v>
          </cell>
          <cell r="O429" t="str">
            <v>BODY</v>
          </cell>
          <cell r="P429">
            <v>165</v>
          </cell>
        </row>
        <row r="430">
          <cell r="B430" t="str">
            <v>1630-07</v>
          </cell>
          <cell r="C430" t="str">
            <v>RS RETAINER</v>
          </cell>
          <cell r="D430">
            <v>82.5</v>
          </cell>
          <cell r="N430" t="str">
            <v>1630-07</v>
          </cell>
          <cell r="O430" t="str">
            <v>RS RETAINER</v>
          </cell>
          <cell r="P430">
            <v>165</v>
          </cell>
        </row>
        <row r="431">
          <cell r="B431" t="str">
            <v>1673-02</v>
          </cell>
          <cell r="C431" t="str">
            <v>RS RETAINER</v>
          </cell>
          <cell r="D431">
            <v>82.5</v>
          </cell>
          <cell r="N431" t="str">
            <v>1673-02</v>
          </cell>
          <cell r="O431" t="str">
            <v>RS RETAINER</v>
          </cell>
          <cell r="P431">
            <v>165</v>
          </cell>
        </row>
        <row r="432">
          <cell r="B432" t="str">
            <v>2077-06</v>
          </cell>
          <cell r="C432" t="str">
            <v>BODY RETAINER</v>
          </cell>
          <cell r="D432">
            <v>82.5</v>
          </cell>
          <cell r="N432" t="str">
            <v>2077-06</v>
          </cell>
          <cell r="O432" t="str">
            <v>BODY RETAINER</v>
          </cell>
          <cell r="P432">
            <v>165</v>
          </cell>
        </row>
        <row r="433">
          <cell r="B433" t="str">
            <v>2077-07</v>
          </cell>
          <cell r="C433" t="str">
            <v>BODY RETAINER</v>
          </cell>
          <cell r="D433">
            <v>83</v>
          </cell>
          <cell r="N433" t="str">
            <v>2077-07</v>
          </cell>
          <cell r="O433" t="str">
            <v>BODY RETAINER</v>
          </cell>
          <cell r="P433">
            <v>166</v>
          </cell>
        </row>
        <row r="434">
          <cell r="B434" t="str">
            <v>2077-08</v>
          </cell>
          <cell r="C434" t="str">
            <v>BODY RETAINER</v>
          </cell>
          <cell r="D434">
            <v>83</v>
          </cell>
          <cell r="N434" t="str">
            <v>2077-08</v>
          </cell>
          <cell r="O434" t="str">
            <v>BODY RETAINER</v>
          </cell>
          <cell r="P434">
            <v>166</v>
          </cell>
        </row>
        <row r="435">
          <cell r="B435" t="str">
            <v>2077-12</v>
          </cell>
          <cell r="C435" t="str">
            <v>BODY RETAINER</v>
          </cell>
          <cell r="D435">
            <v>83</v>
          </cell>
          <cell r="N435" t="str">
            <v>2077-12</v>
          </cell>
          <cell r="O435" t="str">
            <v>BODY RETAINER</v>
          </cell>
          <cell r="P435">
            <v>166</v>
          </cell>
        </row>
        <row r="436">
          <cell r="B436" t="str">
            <v>1821-01</v>
          </cell>
          <cell r="C436" t="str">
            <v>REB,RETAINER</v>
          </cell>
          <cell r="D436">
            <v>83.5</v>
          </cell>
          <cell r="N436" t="str">
            <v>1821-01</v>
          </cell>
          <cell r="O436" t="str">
            <v>REB,RETAINER</v>
          </cell>
          <cell r="P436">
            <v>167</v>
          </cell>
        </row>
        <row r="437">
          <cell r="B437" t="str">
            <v>1822-01</v>
          </cell>
          <cell r="C437" t="str">
            <v>REB,RETAINER</v>
          </cell>
          <cell r="D437">
            <v>83.5</v>
          </cell>
          <cell r="N437" t="str">
            <v>1822-01</v>
          </cell>
          <cell r="O437" t="str">
            <v>REB,RETAINER</v>
          </cell>
          <cell r="P437">
            <v>167</v>
          </cell>
        </row>
        <row r="438">
          <cell r="B438" t="str">
            <v>2077-01</v>
          </cell>
          <cell r="C438" t="str">
            <v>BODY RETAINER</v>
          </cell>
          <cell r="D438">
            <v>83.5</v>
          </cell>
          <cell r="N438" t="str">
            <v>2077-01</v>
          </cell>
          <cell r="O438" t="str">
            <v>BODY RETAINER</v>
          </cell>
          <cell r="P438">
            <v>167</v>
          </cell>
        </row>
        <row r="439">
          <cell r="B439" t="str">
            <v>2077-02</v>
          </cell>
          <cell r="C439" t="str">
            <v>BODY RETAINER</v>
          </cell>
          <cell r="D439">
            <v>83.5</v>
          </cell>
          <cell r="N439" t="str">
            <v>2077-02</v>
          </cell>
          <cell r="O439" t="str">
            <v>BODY RETAINER</v>
          </cell>
          <cell r="P439">
            <v>167</v>
          </cell>
        </row>
        <row r="440">
          <cell r="B440" t="str">
            <v>2077-13</v>
          </cell>
          <cell r="C440" t="str">
            <v>BODY RETAINER</v>
          </cell>
          <cell r="D440">
            <v>83.5</v>
          </cell>
          <cell r="N440" t="str">
            <v>2077-13</v>
          </cell>
          <cell r="O440" t="str">
            <v>BODY RETAINER</v>
          </cell>
          <cell r="P440">
            <v>167</v>
          </cell>
        </row>
        <row r="441">
          <cell r="B441" t="str">
            <v>2077-14</v>
          </cell>
          <cell r="C441" t="str">
            <v>BODY RETAINER</v>
          </cell>
          <cell r="D441">
            <v>83.5</v>
          </cell>
          <cell r="N441" t="str">
            <v>2077-14</v>
          </cell>
          <cell r="O441" t="str">
            <v>BODY RETAINER</v>
          </cell>
          <cell r="P441">
            <v>167</v>
          </cell>
        </row>
        <row r="442">
          <cell r="B442" t="str">
            <v>2077-17</v>
          </cell>
          <cell r="C442" t="str">
            <v>BODY RETAINER</v>
          </cell>
          <cell r="D442">
            <v>83.5</v>
          </cell>
          <cell r="N442" t="str">
            <v>2077-17</v>
          </cell>
          <cell r="O442" t="str">
            <v>BODY RETAINER</v>
          </cell>
          <cell r="P442">
            <v>167</v>
          </cell>
        </row>
        <row r="443">
          <cell r="B443" t="str">
            <v>2077-19</v>
          </cell>
          <cell r="C443" t="str">
            <v>BODY RETAINER</v>
          </cell>
          <cell r="D443">
            <v>83.5</v>
          </cell>
          <cell r="N443" t="str">
            <v>2077-19</v>
          </cell>
          <cell r="O443" t="str">
            <v>BODY RETAINER</v>
          </cell>
          <cell r="P443">
            <v>167</v>
          </cell>
        </row>
        <row r="444">
          <cell r="B444" t="str">
            <v>567-03</v>
          </cell>
          <cell r="C444" t="str">
            <v>BODY</v>
          </cell>
          <cell r="D444">
            <v>83.5</v>
          </cell>
          <cell r="N444" t="str">
            <v>567-03</v>
          </cell>
          <cell r="O444" t="str">
            <v>BODY</v>
          </cell>
          <cell r="P444">
            <v>167</v>
          </cell>
        </row>
        <row r="445">
          <cell r="B445" t="str">
            <v>786-03</v>
          </cell>
          <cell r="C445" t="str">
            <v>BODY</v>
          </cell>
          <cell r="D445">
            <v>82</v>
          </cell>
          <cell r="N445" t="str">
            <v>786-03</v>
          </cell>
          <cell r="O445" t="str">
            <v>BODY</v>
          </cell>
          <cell r="P445">
            <v>164</v>
          </cell>
        </row>
        <row r="446">
          <cell r="B446" t="str">
            <v>1325-00</v>
          </cell>
          <cell r="C446" t="str">
            <v>WASHER</v>
          </cell>
          <cell r="D446">
            <v>100.8</v>
          </cell>
          <cell r="N446" t="str">
            <v>1325-00</v>
          </cell>
          <cell r="O446" t="str">
            <v>WASHER</v>
          </cell>
          <cell r="P446">
            <v>168</v>
          </cell>
        </row>
        <row r="447">
          <cell r="B447" t="str">
            <v>1673-02</v>
          </cell>
          <cell r="C447" t="str">
            <v>RS RETAINER</v>
          </cell>
          <cell r="D447">
            <v>82.5</v>
          </cell>
          <cell r="N447" t="str">
            <v>1673-02</v>
          </cell>
          <cell r="O447" t="str">
            <v>RS RETAINER</v>
          </cell>
          <cell r="P447">
            <v>165</v>
          </cell>
        </row>
        <row r="448">
          <cell r="B448" t="str">
            <v>1673-03</v>
          </cell>
          <cell r="C448" t="str">
            <v>RS RETAINER</v>
          </cell>
          <cell r="D448">
            <v>82.5</v>
          </cell>
          <cell r="N448" t="str">
            <v>1673-03</v>
          </cell>
          <cell r="O448" t="str">
            <v>RS RETAINER</v>
          </cell>
          <cell r="P448">
            <v>165</v>
          </cell>
        </row>
        <row r="449">
          <cell r="B449" t="str">
            <v>220-00</v>
          </cell>
          <cell r="C449" t="str">
            <v>HEAD</v>
          </cell>
          <cell r="D449">
            <v>100.8</v>
          </cell>
          <cell r="N449" t="str">
            <v>220-00</v>
          </cell>
          <cell r="O449" t="str">
            <v>HEAD</v>
          </cell>
          <cell r="P449">
            <v>168</v>
          </cell>
        </row>
        <row r="450">
          <cell r="B450" t="str">
            <v>220-02</v>
          </cell>
          <cell r="C450" t="str">
            <v>HEAD</v>
          </cell>
          <cell r="D450">
            <v>100.8</v>
          </cell>
          <cell r="N450" t="str">
            <v>220-02</v>
          </cell>
          <cell r="O450" t="str">
            <v>HEAD</v>
          </cell>
          <cell r="P450">
            <v>168</v>
          </cell>
        </row>
        <row r="451">
          <cell r="B451" t="str">
            <v>220-04</v>
          </cell>
          <cell r="C451" t="str">
            <v>HEAD</v>
          </cell>
          <cell r="D451">
            <v>100.8</v>
          </cell>
          <cell r="N451" t="str">
            <v>220-04</v>
          </cell>
          <cell r="O451" t="str">
            <v>HEAD</v>
          </cell>
          <cell r="P451">
            <v>168</v>
          </cell>
        </row>
        <row r="452">
          <cell r="B452" t="str">
            <v>265-00</v>
          </cell>
          <cell r="C452" t="str">
            <v>PISTON</v>
          </cell>
          <cell r="D452">
            <v>84</v>
          </cell>
          <cell r="N452" t="str">
            <v>265-00</v>
          </cell>
          <cell r="O452" t="str">
            <v>PISTON</v>
          </cell>
          <cell r="P452">
            <v>168</v>
          </cell>
        </row>
        <row r="453">
          <cell r="B453" t="str">
            <v>671-01</v>
          </cell>
          <cell r="C453" t="str">
            <v>PISTON</v>
          </cell>
          <cell r="D453">
            <v>84</v>
          </cell>
          <cell r="N453" t="str">
            <v>671-01</v>
          </cell>
          <cell r="O453" t="str">
            <v>PISTON</v>
          </cell>
          <cell r="P453">
            <v>168</v>
          </cell>
        </row>
        <row r="454">
          <cell r="B454" t="str">
            <v>749-01</v>
          </cell>
          <cell r="C454" t="str">
            <v>REB,RETAINER</v>
          </cell>
          <cell r="D454">
            <v>65.5</v>
          </cell>
          <cell r="N454" t="str">
            <v>749-01</v>
          </cell>
          <cell r="O454" t="str">
            <v>REB,RETAINER</v>
          </cell>
          <cell r="P454">
            <v>131</v>
          </cell>
        </row>
        <row r="455">
          <cell r="B455" t="str">
            <v>786-02</v>
          </cell>
          <cell r="C455" t="str">
            <v>BODY</v>
          </cell>
          <cell r="D455">
            <v>84</v>
          </cell>
          <cell r="N455" t="str">
            <v>786-02</v>
          </cell>
          <cell r="O455" t="str">
            <v>BODY</v>
          </cell>
          <cell r="P455">
            <v>168</v>
          </cell>
        </row>
        <row r="456">
          <cell r="B456" t="str">
            <v>861-07</v>
          </cell>
          <cell r="C456" t="str">
            <v>BODY</v>
          </cell>
          <cell r="D456">
            <v>84</v>
          </cell>
          <cell r="N456" t="str">
            <v>861-07</v>
          </cell>
          <cell r="O456" t="str">
            <v>BODY</v>
          </cell>
          <cell r="P456">
            <v>168</v>
          </cell>
        </row>
        <row r="457">
          <cell r="B457" t="str">
            <v>1253-00</v>
          </cell>
          <cell r="C457" t="str">
            <v>CAM</v>
          </cell>
          <cell r="D457">
            <v>101.39999999999999</v>
          </cell>
          <cell r="N457" t="str">
            <v>1253-00</v>
          </cell>
          <cell r="O457" t="str">
            <v>CAM</v>
          </cell>
          <cell r="P457">
            <v>169</v>
          </cell>
        </row>
        <row r="458">
          <cell r="B458" t="str">
            <v>1611-00</v>
          </cell>
          <cell r="C458" t="str">
            <v>REB,RETAINER</v>
          </cell>
          <cell r="D458">
            <v>84.5</v>
          </cell>
          <cell r="N458" t="str">
            <v>1611-00</v>
          </cell>
          <cell r="O458" t="str">
            <v>REB,RETAINER</v>
          </cell>
          <cell r="P458">
            <v>169</v>
          </cell>
        </row>
        <row r="459">
          <cell r="B459" t="str">
            <v>1673-03</v>
          </cell>
          <cell r="C459" t="str">
            <v>RS RETAINER</v>
          </cell>
          <cell r="D459">
            <v>82.5</v>
          </cell>
          <cell r="N459" t="str">
            <v>1673-03</v>
          </cell>
          <cell r="O459" t="str">
            <v>RS RETAINER</v>
          </cell>
          <cell r="P459">
            <v>165</v>
          </cell>
        </row>
        <row r="460">
          <cell r="B460" t="str">
            <v>470-00</v>
          </cell>
          <cell r="C460" t="str">
            <v>REB,RETAINER</v>
          </cell>
          <cell r="D460">
            <v>84.5</v>
          </cell>
          <cell r="N460" t="str">
            <v>470-00</v>
          </cell>
          <cell r="O460" t="str">
            <v>REB,RETAINER</v>
          </cell>
          <cell r="P460">
            <v>169</v>
          </cell>
        </row>
        <row r="461">
          <cell r="B461" t="str">
            <v>749-07</v>
          </cell>
          <cell r="C461" t="str">
            <v>REB,RETAINER</v>
          </cell>
          <cell r="D461">
            <v>65.5</v>
          </cell>
          <cell r="N461" t="str">
            <v>749-07</v>
          </cell>
          <cell r="O461" t="str">
            <v>REB,RETAINER</v>
          </cell>
          <cell r="P461">
            <v>131</v>
          </cell>
        </row>
        <row r="462">
          <cell r="B462" t="str">
            <v>787-13</v>
          </cell>
          <cell r="C462" t="str">
            <v>BODY</v>
          </cell>
          <cell r="D462">
            <v>84.5</v>
          </cell>
          <cell r="N462" t="str">
            <v>787-13</v>
          </cell>
          <cell r="O462" t="str">
            <v>BODY</v>
          </cell>
          <cell r="P462">
            <v>169</v>
          </cell>
        </row>
        <row r="463">
          <cell r="B463" t="str">
            <v>853-18</v>
          </cell>
          <cell r="C463" t="str">
            <v>REB,RETAINER</v>
          </cell>
          <cell r="D463">
            <v>66</v>
          </cell>
          <cell r="N463" t="str">
            <v>853-18</v>
          </cell>
          <cell r="O463" t="str">
            <v>REB,RETAINER</v>
          </cell>
          <cell r="P463">
            <v>132</v>
          </cell>
        </row>
        <row r="464">
          <cell r="B464" t="str">
            <v>853-22</v>
          </cell>
          <cell r="C464" t="str">
            <v>REB,RETAINER</v>
          </cell>
          <cell r="D464">
            <v>38.5</v>
          </cell>
          <cell r="N464" t="str">
            <v>853-22</v>
          </cell>
          <cell r="O464" t="str">
            <v>REB,RETAINER</v>
          </cell>
          <cell r="P464">
            <v>77</v>
          </cell>
        </row>
        <row r="465">
          <cell r="B465" t="str">
            <v>853-29</v>
          </cell>
          <cell r="C465" t="str">
            <v>REB,RETAINER</v>
          </cell>
          <cell r="D465">
            <v>73</v>
          </cell>
          <cell r="N465" t="str">
            <v>853-29</v>
          </cell>
          <cell r="O465" t="str">
            <v>REB,RETAINER</v>
          </cell>
          <cell r="P465">
            <v>146</v>
          </cell>
        </row>
        <row r="466">
          <cell r="B466" t="str">
            <v>1673-01</v>
          </cell>
          <cell r="C466" t="str">
            <v>RS RETAINER</v>
          </cell>
          <cell r="D466">
            <v>85</v>
          </cell>
          <cell r="N466" t="str">
            <v>1673-01</v>
          </cell>
          <cell r="O466" t="str">
            <v>RS RETAINER</v>
          </cell>
          <cell r="P466">
            <v>170</v>
          </cell>
        </row>
        <row r="467">
          <cell r="B467" t="str">
            <v>588-18</v>
          </cell>
          <cell r="C467" t="str">
            <v>PISTON</v>
          </cell>
          <cell r="D467">
            <v>85</v>
          </cell>
          <cell r="N467" t="str">
            <v>588-18</v>
          </cell>
          <cell r="O467" t="str">
            <v>PISTON</v>
          </cell>
          <cell r="P467">
            <v>170</v>
          </cell>
        </row>
        <row r="468">
          <cell r="B468" t="str">
            <v>786-01</v>
          </cell>
          <cell r="C468" t="str">
            <v>BODY</v>
          </cell>
          <cell r="D468">
            <v>85</v>
          </cell>
          <cell r="N468" t="str">
            <v>786-01</v>
          </cell>
          <cell r="O468" t="str">
            <v>BODY</v>
          </cell>
          <cell r="P468">
            <v>170</v>
          </cell>
        </row>
        <row r="469">
          <cell r="B469" t="str">
            <v>786-03</v>
          </cell>
          <cell r="C469" t="str">
            <v>BODY</v>
          </cell>
          <cell r="D469">
            <v>82</v>
          </cell>
          <cell r="N469" t="str">
            <v>786-03</v>
          </cell>
          <cell r="O469" t="str">
            <v>BODY</v>
          </cell>
          <cell r="P469">
            <v>164</v>
          </cell>
        </row>
        <row r="470">
          <cell r="B470" t="str">
            <v>786-03</v>
          </cell>
          <cell r="C470" t="str">
            <v>BODY</v>
          </cell>
          <cell r="D470">
            <v>82</v>
          </cell>
          <cell r="N470" t="str">
            <v>786-03</v>
          </cell>
          <cell r="O470" t="str">
            <v>BODY</v>
          </cell>
          <cell r="P470">
            <v>164</v>
          </cell>
        </row>
        <row r="471">
          <cell r="B471" t="str">
            <v>786-04</v>
          </cell>
          <cell r="C471" t="str">
            <v>BODY</v>
          </cell>
          <cell r="D471">
            <v>85</v>
          </cell>
          <cell r="N471" t="str">
            <v>786-04</v>
          </cell>
          <cell r="O471" t="str">
            <v>BODY</v>
          </cell>
          <cell r="P471">
            <v>170</v>
          </cell>
        </row>
        <row r="472">
          <cell r="B472" t="str">
            <v>786-08</v>
          </cell>
          <cell r="C472" t="str">
            <v>BODY</v>
          </cell>
          <cell r="D472">
            <v>85</v>
          </cell>
          <cell r="N472" t="str">
            <v>786-08</v>
          </cell>
          <cell r="O472" t="str">
            <v>BODY</v>
          </cell>
          <cell r="P472">
            <v>170</v>
          </cell>
        </row>
        <row r="473">
          <cell r="B473" t="str">
            <v>861-07</v>
          </cell>
          <cell r="C473" t="str">
            <v>BODY</v>
          </cell>
          <cell r="D473">
            <v>84</v>
          </cell>
          <cell r="N473" t="str">
            <v>861-07</v>
          </cell>
          <cell r="O473" t="str">
            <v>BODY</v>
          </cell>
          <cell r="P473">
            <v>168</v>
          </cell>
        </row>
        <row r="474">
          <cell r="B474" t="str">
            <v>1611-00</v>
          </cell>
          <cell r="C474" t="str">
            <v>REB,RETAINER</v>
          </cell>
          <cell r="D474">
            <v>84.5</v>
          </cell>
          <cell r="N474" t="str">
            <v>1611-00</v>
          </cell>
          <cell r="O474" t="str">
            <v>REB,RETAINER</v>
          </cell>
          <cell r="P474">
            <v>169</v>
          </cell>
        </row>
        <row r="475">
          <cell r="B475" t="str">
            <v>1630-07</v>
          </cell>
          <cell r="C475" t="str">
            <v>RS RETAINER</v>
          </cell>
          <cell r="D475">
            <v>82.5</v>
          </cell>
          <cell r="N475" t="str">
            <v>1630-07</v>
          </cell>
          <cell r="O475" t="str">
            <v>RS RETAINER</v>
          </cell>
          <cell r="P475">
            <v>165</v>
          </cell>
        </row>
        <row r="476">
          <cell r="B476" t="str">
            <v>1673-02</v>
          </cell>
          <cell r="C476" t="str">
            <v>RS RETAINER</v>
          </cell>
          <cell r="D476">
            <v>82.5</v>
          </cell>
          <cell r="N476" t="str">
            <v>1673-02</v>
          </cell>
          <cell r="O476" t="str">
            <v>RS RETAINER</v>
          </cell>
          <cell r="P476">
            <v>165</v>
          </cell>
        </row>
        <row r="477">
          <cell r="B477" t="str">
            <v>1673-03</v>
          </cell>
          <cell r="C477" t="str">
            <v>RS RETAINER</v>
          </cell>
          <cell r="D477">
            <v>82.5</v>
          </cell>
          <cell r="N477" t="str">
            <v>1673-03</v>
          </cell>
          <cell r="O477" t="str">
            <v>RS RETAINER</v>
          </cell>
          <cell r="P477">
            <v>165</v>
          </cell>
        </row>
        <row r="478">
          <cell r="B478" t="str">
            <v>1833-04</v>
          </cell>
          <cell r="C478" t="str">
            <v>BODY RETAINER</v>
          </cell>
          <cell r="D478">
            <v>81</v>
          </cell>
          <cell r="N478" t="str">
            <v>1833-04</v>
          </cell>
          <cell r="O478" t="str">
            <v>BODY RETAINER</v>
          </cell>
          <cell r="P478">
            <v>162</v>
          </cell>
        </row>
        <row r="479">
          <cell r="B479" t="str">
            <v>335-00</v>
          </cell>
          <cell r="C479" t="str">
            <v>SPRING SEAT</v>
          </cell>
          <cell r="D479">
            <v>102.6</v>
          </cell>
          <cell r="N479" t="str">
            <v>335-00</v>
          </cell>
          <cell r="O479" t="str">
            <v>SPRING SEAT</v>
          </cell>
          <cell r="P479">
            <v>171</v>
          </cell>
        </row>
        <row r="480">
          <cell r="B480" t="str">
            <v>494-52</v>
          </cell>
          <cell r="C480" t="str">
            <v>REB,RETAINER</v>
          </cell>
          <cell r="D480">
            <v>85.5</v>
          </cell>
          <cell r="N480" t="str">
            <v>494-52</v>
          </cell>
          <cell r="O480" t="str">
            <v>REB,RETAINER</v>
          </cell>
          <cell r="P480">
            <v>171</v>
          </cell>
        </row>
        <row r="481">
          <cell r="B481" t="str">
            <v>785-01</v>
          </cell>
          <cell r="C481" t="str">
            <v>BODY</v>
          </cell>
          <cell r="D481">
            <v>85.5</v>
          </cell>
          <cell r="N481" t="str">
            <v>785-01</v>
          </cell>
          <cell r="O481" t="str">
            <v>BODY</v>
          </cell>
          <cell r="P481">
            <v>171</v>
          </cell>
        </row>
        <row r="482">
          <cell r="B482" t="str">
            <v>786-06</v>
          </cell>
          <cell r="C482" t="str">
            <v>BODY</v>
          </cell>
          <cell r="D482">
            <v>85.5</v>
          </cell>
          <cell r="N482" t="str">
            <v>786-06</v>
          </cell>
          <cell r="O482" t="str">
            <v>BODY</v>
          </cell>
          <cell r="P482">
            <v>171</v>
          </cell>
        </row>
        <row r="483">
          <cell r="B483" t="str">
            <v>867-05</v>
          </cell>
          <cell r="C483" t="str">
            <v>SLEEVE</v>
          </cell>
          <cell r="D483">
            <v>85.5</v>
          </cell>
          <cell r="N483" t="str">
            <v>867-05</v>
          </cell>
          <cell r="O483" t="str">
            <v>SLEEVE</v>
          </cell>
          <cell r="P483">
            <v>171</v>
          </cell>
        </row>
        <row r="484">
          <cell r="B484" t="str">
            <v>1553-00</v>
          </cell>
          <cell r="C484" t="str">
            <v>RS RETAINER</v>
          </cell>
          <cell r="D484">
            <v>86</v>
          </cell>
          <cell r="N484" t="str">
            <v>1553-00</v>
          </cell>
          <cell r="O484" t="str">
            <v>RS RETAINER</v>
          </cell>
          <cell r="P484">
            <v>172</v>
          </cell>
        </row>
        <row r="485">
          <cell r="B485" t="str">
            <v>1553-00</v>
          </cell>
          <cell r="C485" t="str">
            <v>RS RETAINER</v>
          </cell>
          <cell r="D485">
            <v>86</v>
          </cell>
          <cell r="N485" t="str">
            <v>1553-00</v>
          </cell>
          <cell r="O485" t="str">
            <v>RS RETAINER</v>
          </cell>
          <cell r="P485">
            <v>172</v>
          </cell>
        </row>
        <row r="486">
          <cell r="B486" t="str">
            <v>2076-08</v>
          </cell>
          <cell r="C486" t="str">
            <v>BODY RETAINER</v>
          </cell>
          <cell r="D486">
            <v>82.5</v>
          </cell>
          <cell r="N486" t="str">
            <v>2076-08</v>
          </cell>
          <cell r="O486" t="str">
            <v>BODY RETAINER</v>
          </cell>
          <cell r="P486">
            <v>165</v>
          </cell>
        </row>
        <row r="487">
          <cell r="B487" t="str">
            <v>2076-11</v>
          </cell>
          <cell r="C487" t="str">
            <v>BODY RETAINER</v>
          </cell>
          <cell r="D487">
            <v>81.5</v>
          </cell>
          <cell r="N487" t="str">
            <v>2076-11</v>
          </cell>
          <cell r="O487" t="str">
            <v>BODY RETAINER</v>
          </cell>
          <cell r="P487">
            <v>163</v>
          </cell>
        </row>
        <row r="488">
          <cell r="B488" t="str">
            <v>2076-11</v>
          </cell>
          <cell r="C488" t="str">
            <v>BODY RETAINER</v>
          </cell>
          <cell r="D488">
            <v>81.5</v>
          </cell>
          <cell r="N488" t="str">
            <v>2076-11</v>
          </cell>
          <cell r="O488" t="str">
            <v>BODY RETAINER</v>
          </cell>
          <cell r="P488">
            <v>163</v>
          </cell>
        </row>
        <row r="489">
          <cell r="B489" t="str">
            <v>2076-12</v>
          </cell>
          <cell r="C489" t="str">
            <v>BODY RETAINER</v>
          </cell>
          <cell r="D489">
            <v>82.5</v>
          </cell>
          <cell r="N489" t="str">
            <v>2076-12</v>
          </cell>
          <cell r="O489" t="str">
            <v>BODY RETAINER</v>
          </cell>
          <cell r="P489">
            <v>165</v>
          </cell>
        </row>
        <row r="490">
          <cell r="B490" t="str">
            <v>785-01</v>
          </cell>
          <cell r="C490" t="str">
            <v>BODY</v>
          </cell>
          <cell r="D490">
            <v>85.5</v>
          </cell>
          <cell r="N490" t="str">
            <v>785-01</v>
          </cell>
          <cell r="O490" t="str">
            <v>BODY</v>
          </cell>
          <cell r="P490">
            <v>171</v>
          </cell>
        </row>
        <row r="491">
          <cell r="B491" t="str">
            <v>787-01</v>
          </cell>
          <cell r="C491" t="str">
            <v>BODY</v>
          </cell>
          <cell r="D491">
            <v>86</v>
          </cell>
          <cell r="N491" t="str">
            <v>787-01</v>
          </cell>
          <cell r="O491" t="str">
            <v>BODY</v>
          </cell>
          <cell r="P491">
            <v>172</v>
          </cell>
        </row>
        <row r="492">
          <cell r="B492" t="str">
            <v>787-01</v>
          </cell>
          <cell r="C492" t="str">
            <v>BODY</v>
          </cell>
          <cell r="D492">
            <v>86</v>
          </cell>
          <cell r="N492" t="str">
            <v>787-01</v>
          </cell>
          <cell r="O492" t="str">
            <v>BODY</v>
          </cell>
          <cell r="P492">
            <v>172</v>
          </cell>
        </row>
        <row r="493">
          <cell r="B493" t="str">
            <v>787-12</v>
          </cell>
          <cell r="C493" t="str">
            <v>BODY</v>
          </cell>
          <cell r="D493">
            <v>86</v>
          </cell>
          <cell r="N493" t="str">
            <v>787-12</v>
          </cell>
          <cell r="O493" t="str">
            <v>BODY</v>
          </cell>
          <cell r="P493">
            <v>172</v>
          </cell>
        </row>
        <row r="494">
          <cell r="B494" t="str">
            <v>787-13</v>
          </cell>
          <cell r="C494" t="str">
            <v>BODY</v>
          </cell>
          <cell r="D494">
            <v>84.5</v>
          </cell>
          <cell r="N494" t="str">
            <v>787-13</v>
          </cell>
          <cell r="O494" t="str">
            <v>BODY</v>
          </cell>
          <cell r="P494">
            <v>169</v>
          </cell>
        </row>
        <row r="495">
          <cell r="B495" t="str">
            <v>1779-05</v>
          </cell>
          <cell r="C495" t="str">
            <v>RS RETAINER</v>
          </cell>
          <cell r="D495">
            <v>86.5</v>
          </cell>
          <cell r="N495" t="str">
            <v>1779-05</v>
          </cell>
          <cell r="O495" t="str">
            <v>RS RETAINER</v>
          </cell>
          <cell r="P495">
            <v>173</v>
          </cell>
        </row>
        <row r="496">
          <cell r="B496" t="str">
            <v>1792-02</v>
          </cell>
          <cell r="C496" t="str">
            <v>REB,RETAINER</v>
          </cell>
          <cell r="D496">
            <v>86.5</v>
          </cell>
          <cell r="N496" t="str">
            <v>1792-02</v>
          </cell>
          <cell r="O496" t="str">
            <v>REB,RETAINER</v>
          </cell>
          <cell r="P496">
            <v>173</v>
          </cell>
        </row>
        <row r="497">
          <cell r="B497" t="str">
            <v>1833-02</v>
          </cell>
          <cell r="C497" t="str">
            <v>BODY RETAINER</v>
          </cell>
          <cell r="D497">
            <v>81</v>
          </cell>
          <cell r="N497" t="str">
            <v>1833-02</v>
          </cell>
          <cell r="O497" t="str">
            <v>BODY RETAINER</v>
          </cell>
          <cell r="P497">
            <v>162</v>
          </cell>
        </row>
        <row r="498">
          <cell r="B498" t="str">
            <v>1833-02</v>
          </cell>
          <cell r="C498" t="str">
            <v>BODY RETAINER</v>
          </cell>
          <cell r="D498">
            <v>81</v>
          </cell>
          <cell r="N498" t="str">
            <v>1833-02</v>
          </cell>
          <cell r="O498" t="str">
            <v>BODY RETAINER</v>
          </cell>
          <cell r="P498">
            <v>162</v>
          </cell>
        </row>
        <row r="499">
          <cell r="B499" t="str">
            <v>2076-01</v>
          </cell>
          <cell r="C499" t="str">
            <v>BODY RETAINER</v>
          </cell>
          <cell r="D499">
            <v>82</v>
          </cell>
          <cell r="N499" t="str">
            <v>2076-01</v>
          </cell>
          <cell r="O499" t="str">
            <v>BODY RETAINER</v>
          </cell>
          <cell r="P499">
            <v>164</v>
          </cell>
        </row>
        <row r="500">
          <cell r="B500" t="str">
            <v>2076-01</v>
          </cell>
          <cell r="C500" t="str">
            <v>BODY RETAINER</v>
          </cell>
          <cell r="D500">
            <v>82</v>
          </cell>
          <cell r="N500" t="str">
            <v>2076-01</v>
          </cell>
          <cell r="O500" t="str">
            <v>BODY RETAINER</v>
          </cell>
          <cell r="P500">
            <v>164</v>
          </cell>
        </row>
        <row r="501">
          <cell r="B501" t="str">
            <v>2076-07</v>
          </cell>
          <cell r="C501" t="str">
            <v>BODY RETAINER</v>
          </cell>
          <cell r="D501">
            <v>82</v>
          </cell>
          <cell r="N501" t="str">
            <v>2076-07</v>
          </cell>
          <cell r="O501" t="str">
            <v>BODY RETAINER</v>
          </cell>
          <cell r="P501">
            <v>164</v>
          </cell>
        </row>
        <row r="502">
          <cell r="B502" t="str">
            <v>2076-07</v>
          </cell>
          <cell r="C502" t="str">
            <v>BODY RETAINER</v>
          </cell>
          <cell r="D502">
            <v>82</v>
          </cell>
          <cell r="N502" t="str">
            <v>2076-07</v>
          </cell>
          <cell r="O502" t="str">
            <v>BODY RETAINER</v>
          </cell>
          <cell r="P502">
            <v>164</v>
          </cell>
        </row>
        <row r="503">
          <cell r="B503" t="str">
            <v>2077-10</v>
          </cell>
          <cell r="C503" t="str">
            <v>BODY RETAINER</v>
          </cell>
          <cell r="D503">
            <v>82</v>
          </cell>
          <cell r="N503" t="str">
            <v>2077-10</v>
          </cell>
          <cell r="O503" t="str">
            <v>BODY RETAINER</v>
          </cell>
          <cell r="P503">
            <v>164</v>
          </cell>
        </row>
        <row r="504">
          <cell r="B504" t="str">
            <v>2077-10</v>
          </cell>
          <cell r="C504" t="str">
            <v>BODY RETAINER</v>
          </cell>
          <cell r="D504">
            <v>82</v>
          </cell>
          <cell r="N504" t="str">
            <v>2077-10</v>
          </cell>
          <cell r="O504" t="str">
            <v>BODY RETAINER</v>
          </cell>
          <cell r="P504">
            <v>164</v>
          </cell>
        </row>
        <row r="505">
          <cell r="B505" t="str">
            <v>470-00</v>
          </cell>
          <cell r="C505" t="str">
            <v>REB,RETAINER</v>
          </cell>
          <cell r="D505">
            <v>84.5</v>
          </cell>
          <cell r="N505" t="str">
            <v>470-00</v>
          </cell>
          <cell r="O505" t="str">
            <v>REB,RETAINER</v>
          </cell>
          <cell r="P505">
            <v>169</v>
          </cell>
        </row>
        <row r="506">
          <cell r="B506" t="str">
            <v>494-02</v>
          </cell>
          <cell r="C506" t="str">
            <v>REB,RETAINER</v>
          </cell>
          <cell r="D506">
            <v>33.5</v>
          </cell>
          <cell r="N506" t="str">
            <v>494-02</v>
          </cell>
          <cell r="O506" t="str">
            <v>REB,RETAINER</v>
          </cell>
          <cell r="P506">
            <v>67</v>
          </cell>
        </row>
        <row r="507">
          <cell r="B507" t="str">
            <v>853-41</v>
          </cell>
          <cell r="C507" t="str">
            <v>REB,RETAINER</v>
          </cell>
          <cell r="D507">
            <v>86.5</v>
          </cell>
          <cell r="N507" t="str">
            <v>853-41</v>
          </cell>
          <cell r="O507" t="str">
            <v>REB,RETAINER</v>
          </cell>
          <cell r="P507">
            <v>173</v>
          </cell>
        </row>
        <row r="508">
          <cell r="B508" t="str">
            <v>861-05</v>
          </cell>
          <cell r="C508" t="str">
            <v>BODY</v>
          </cell>
          <cell r="D508">
            <v>82.5</v>
          </cell>
          <cell r="N508" t="str">
            <v>861-05</v>
          </cell>
          <cell r="O508" t="str">
            <v>BODY</v>
          </cell>
          <cell r="P508">
            <v>165</v>
          </cell>
        </row>
        <row r="509">
          <cell r="B509" t="str">
            <v>1253-00</v>
          </cell>
          <cell r="C509" t="str">
            <v>CAM</v>
          </cell>
          <cell r="D509">
            <v>101.39999999999999</v>
          </cell>
          <cell r="N509" t="str">
            <v>1253-00</v>
          </cell>
          <cell r="O509" t="str">
            <v>CAM</v>
          </cell>
          <cell r="P509">
            <v>169</v>
          </cell>
        </row>
        <row r="510">
          <cell r="B510" t="str">
            <v>1291-02</v>
          </cell>
          <cell r="C510" t="str">
            <v>PILOT CASE</v>
          </cell>
          <cell r="D510">
            <v>87</v>
          </cell>
          <cell r="N510" t="str">
            <v>1291-02</v>
          </cell>
          <cell r="O510" t="str">
            <v>PILOT CASE</v>
          </cell>
          <cell r="P510">
            <v>174</v>
          </cell>
        </row>
        <row r="511">
          <cell r="B511" t="str">
            <v>1554-10</v>
          </cell>
          <cell r="C511" t="str">
            <v>RS RETAINER</v>
          </cell>
          <cell r="D511">
            <v>87</v>
          </cell>
          <cell r="N511" t="str">
            <v>1554-10</v>
          </cell>
          <cell r="O511" t="str">
            <v>RS RETAINER</v>
          </cell>
          <cell r="P511">
            <v>174</v>
          </cell>
        </row>
        <row r="512">
          <cell r="B512" t="str">
            <v>1630-07</v>
          </cell>
          <cell r="C512" t="str">
            <v>RS RETAINER</v>
          </cell>
          <cell r="D512">
            <v>82.5</v>
          </cell>
          <cell r="N512" t="str">
            <v>1630-07</v>
          </cell>
          <cell r="O512" t="str">
            <v>RS RETAINER</v>
          </cell>
          <cell r="P512">
            <v>165</v>
          </cell>
        </row>
        <row r="513">
          <cell r="B513" t="str">
            <v>1630-08</v>
          </cell>
          <cell r="C513" t="str">
            <v>RS RETAINER</v>
          </cell>
          <cell r="D513">
            <v>82</v>
          </cell>
          <cell r="N513" t="str">
            <v>1630-08</v>
          </cell>
          <cell r="O513" t="str">
            <v>RS RETAINER</v>
          </cell>
          <cell r="P513">
            <v>164</v>
          </cell>
        </row>
        <row r="514">
          <cell r="B514" t="str">
            <v>1673-02</v>
          </cell>
          <cell r="C514" t="str">
            <v>RS RETAINER</v>
          </cell>
          <cell r="D514">
            <v>82.5</v>
          </cell>
          <cell r="N514" t="str">
            <v>1673-02</v>
          </cell>
          <cell r="O514" t="str">
            <v>RS RETAINER</v>
          </cell>
          <cell r="P514">
            <v>165</v>
          </cell>
        </row>
        <row r="515">
          <cell r="B515" t="str">
            <v>1673-03</v>
          </cell>
          <cell r="C515" t="str">
            <v>RS RETAINER</v>
          </cell>
          <cell r="D515">
            <v>82.5</v>
          </cell>
          <cell r="N515" t="str">
            <v>1673-03</v>
          </cell>
          <cell r="O515" t="str">
            <v>RS RETAINER</v>
          </cell>
          <cell r="P515">
            <v>165</v>
          </cell>
        </row>
        <row r="516">
          <cell r="B516" t="str">
            <v>1779-11</v>
          </cell>
          <cell r="C516" t="str">
            <v>RS RETAINER</v>
          </cell>
          <cell r="D516">
            <v>87</v>
          </cell>
          <cell r="N516" t="str">
            <v>1779-11</v>
          </cell>
          <cell r="O516" t="str">
            <v>RS RETAINER</v>
          </cell>
          <cell r="P516">
            <v>174</v>
          </cell>
        </row>
        <row r="517">
          <cell r="B517" t="str">
            <v>1792-02</v>
          </cell>
          <cell r="C517" t="str">
            <v>REB,RETAINER</v>
          </cell>
          <cell r="D517">
            <v>86.5</v>
          </cell>
          <cell r="N517" t="str">
            <v>1792-02</v>
          </cell>
          <cell r="O517" t="str">
            <v>REB,RETAINER</v>
          </cell>
          <cell r="P517">
            <v>173</v>
          </cell>
        </row>
        <row r="518">
          <cell r="B518" t="str">
            <v>2076-08</v>
          </cell>
          <cell r="C518" t="str">
            <v>BODY RETAINER</v>
          </cell>
          <cell r="D518">
            <v>82.5</v>
          </cell>
          <cell r="N518" t="str">
            <v>2076-08</v>
          </cell>
          <cell r="O518" t="str">
            <v>BODY RETAINER</v>
          </cell>
          <cell r="P518">
            <v>165</v>
          </cell>
        </row>
        <row r="519">
          <cell r="B519" t="str">
            <v>749-09</v>
          </cell>
          <cell r="C519" t="str">
            <v>REB,RETAINER</v>
          </cell>
          <cell r="D519">
            <v>65.5</v>
          </cell>
          <cell r="N519" t="str">
            <v>749-09</v>
          </cell>
          <cell r="O519" t="str">
            <v>REB,RETAINER</v>
          </cell>
          <cell r="P519">
            <v>131</v>
          </cell>
        </row>
        <row r="520">
          <cell r="B520" t="str">
            <v>786-12</v>
          </cell>
          <cell r="C520" t="str">
            <v>BODY</v>
          </cell>
          <cell r="D520">
            <v>87</v>
          </cell>
          <cell r="N520" t="str">
            <v>786-12</v>
          </cell>
          <cell r="O520" t="str">
            <v>BODY</v>
          </cell>
          <cell r="P520">
            <v>174</v>
          </cell>
        </row>
        <row r="521">
          <cell r="B521" t="str">
            <v>786-12</v>
          </cell>
          <cell r="C521" t="str">
            <v>BODY</v>
          </cell>
          <cell r="D521">
            <v>87</v>
          </cell>
          <cell r="N521" t="str">
            <v>786-12</v>
          </cell>
          <cell r="O521" t="str">
            <v>BODY</v>
          </cell>
          <cell r="P521">
            <v>174</v>
          </cell>
        </row>
        <row r="522">
          <cell r="B522" t="str">
            <v>786-12</v>
          </cell>
          <cell r="C522" t="str">
            <v>BODY</v>
          </cell>
          <cell r="D522">
            <v>87</v>
          </cell>
          <cell r="N522" t="str">
            <v>786-12</v>
          </cell>
          <cell r="O522" t="str">
            <v>BODY</v>
          </cell>
          <cell r="P522">
            <v>174</v>
          </cell>
        </row>
        <row r="523">
          <cell r="B523" t="str">
            <v>853-00</v>
          </cell>
          <cell r="C523" t="str">
            <v>REB,RETAINER</v>
          </cell>
          <cell r="D523">
            <v>64.5</v>
          </cell>
          <cell r="N523" t="str">
            <v>853-00</v>
          </cell>
          <cell r="O523" t="str">
            <v>REB,RETAINER</v>
          </cell>
          <cell r="P523">
            <v>129</v>
          </cell>
        </row>
        <row r="524">
          <cell r="B524" t="str">
            <v>853-39</v>
          </cell>
          <cell r="C524" t="str">
            <v>REB,RETAINER</v>
          </cell>
          <cell r="D524">
            <v>74.5</v>
          </cell>
          <cell r="N524" t="str">
            <v>853-39</v>
          </cell>
          <cell r="O524" t="str">
            <v>REB,RETAINER</v>
          </cell>
          <cell r="P524">
            <v>149</v>
          </cell>
        </row>
        <row r="525">
          <cell r="B525" t="str">
            <v>059-00</v>
          </cell>
          <cell r="C525" t="str">
            <v>RETAINER GUIDE</v>
          </cell>
          <cell r="D525">
            <v>62</v>
          </cell>
          <cell r="N525" t="str">
            <v>059-00</v>
          </cell>
          <cell r="O525" t="str">
            <v>RETAINER GUIDE</v>
          </cell>
          <cell r="P525">
            <v>124</v>
          </cell>
        </row>
        <row r="526">
          <cell r="B526" t="str">
            <v>1291-01</v>
          </cell>
          <cell r="C526" t="str">
            <v>PILOT CASE</v>
          </cell>
          <cell r="D526">
            <v>87.5</v>
          </cell>
          <cell r="N526" t="str">
            <v>1291-01</v>
          </cell>
          <cell r="O526" t="str">
            <v>PILOT CASE</v>
          </cell>
          <cell r="P526">
            <v>175</v>
          </cell>
        </row>
        <row r="527">
          <cell r="B527" t="str">
            <v>1514-00</v>
          </cell>
          <cell r="C527" t="str">
            <v>GUIDE RETAINER</v>
          </cell>
          <cell r="D527">
            <v>87.5</v>
          </cell>
          <cell r="N527" t="str">
            <v>1514-00</v>
          </cell>
          <cell r="O527" t="str">
            <v>GUIDE RETAINER</v>
          </cell>
          <cell r="P527">
            <v>175</v>
          </cell>
        </row>
        <row r="528">
          <cell r="B528" t="str">
            <v>1554-02</v>
          </cell>
          <cell r="C528" t="str">
            <v>RS RETAINER</v>
          </cell>
          <cell r="D528">
            <v>87.5</v>
          </cell>
          <cell r="N528" t="str">
            <v>1554-02</v>
          </cell>
          <cell r="O528" t="str">
            <v>RS RETAINER</v>
          </cell>
          <cell r="P528">
            <v>175</v>
          </cell>
        </row>
        <row r="529">
          <cell r="B529" t="str">
            <v>1554-03</v>
          </cell>
          <cell r="C529" t="str">
            <v>RS RETAINER</v>
          </cell>
          <cell r="D529">
            <v>87.5</v>
          </cell>
          <cell r="N529" t="str">
            <v>1554-03</v>
          </cell>
          <cell r="O529" t="str">
            <v>RS RETAINER</v>
          </cell>
          <cell r="P529">
            <v>175</v>
          </cell>
        </row>
        <row r="530">
          <cell r="B530" t="str">
            <v>1554-07</v>
          </cell>
          <cell r="C530" t="str">
            <v>RS RETAINER</v>
          </cell>
          <cell r="D530">
            <v>87.5</v>
          </cell>
          <cell r="N530" t="str">
            <v>1554-07</v>
          </cell>
          <cell r="O530" t="str">
            <v>RS RETAINER</v>
          </cell>
          <cell r="P530">
            <v>175</v>
          </cell>
        </row>
        <row r="531">
          <cell r="B531" t="str">
            <v>1554-09</v>
          </cell>
          <cell r="C531" t="str">
            <v>RS RETAINER</v>
          </cell>
          <cell r="D531">
            <v>87.5</v>
          </cell>
          <cell r="N531" t="str">
            <v>1554-09</v>
          </cell>
          <cell r="O531" t="str">
            <v>RS RETAINER</v>
          </cell>
          <cell r="P531">
            <v>175</v>
          </cell>
        </row>
        <row r="532">
          <cell r="B532" t="str">
            <v>1554-10</v>
          </cell>
          <cell r="C532" t="str">
            <v>RS RETAINER</v>
          </cell>
          <cell r="D532">
            <v>87</v>
          </cell>
          <cell r="N532" t="str">
            <v>1554-10</v>
          </cell>
          <cell r="O532" t="str">
            <v>RS RETAINER</v>
          </cell>
          <cell r="P532">
            <v>174</v>
          </cell>
        </row>
        <row r="533">
          <cell r="B533" t="str">
            <v>1554-18</v>
          </cell>
          <cell r="C533" t="str">
            <v>RS RETAINER</v>
          </cell>
          <cell r="D533">
            <v>87.5</v>
          </cell>
          <cell r="N533" t="str">
            <v>1554-18</v>
          </cell>
          <cell r="O533" t="str">
            <v>RS RETAINER</v>
          </cell>
          <cell r="P533">
            <v>175</v>
          </cell>
        </row>
        <row r="534">
          <cell r="B534" t="str">
            <v>1554-19</v>
          </cell>
          <cell r="C534" t="str">
            <v>RS RETAINER</v>
          </cell>
          <cell r="D534">
            <v>87.5</v>
          </cell>
          <cell r="N534" t="str">
            <v>1554-19</v>
          </cell>
          <cell r="O534" t="str">
            <v>RS RETAINER</v>
          </cell>
          <cell r="P534">
            <v>175</v>
          </cell>
        </row>
        <row r="535">
          <cell r="B535" t="str">
            <v>1554-23</v>
          </cell>
          <cell r="C535" t="str">
            <v>RS RETAINER</v>
          </cell>
          <cell r="D535">
            <v>87.5</v>
          </cell>
          <cell r="N535" t="str">
            <v>1554-23</v>
          </cell>
          <cell r="O535" t="str">
            <v>RS RETAINER</v>
          </cell>
          <cell r="P535">
            <v>175</v>
          </cell>
        </row>
        <row r="536">
          <cell r="B536" t="str">
            <v>1554-26</v>
          </cell>
          <cell r="C536" t="str">
            <v>RS RETAINER</v>
          </cell>
          <cell r="D536">
            <v>87.5</v>
          </cell>
          <cell r="N536" t="str">
            <v>1554-26</v>
          </cell>
          <cell r="O536" t="str">
            <v>RS RETAINER</v>
          </cell>
          <cell r="P536">
            <v>175</v>
          </cell>
        </row>
        <row r="537">
          <cell r="B537" t="str">
            <v>1554-33</v>
          </cell>
          <cell r="C537" t="str">
            <v>RS RETAINER</v>
          </cell>
          <cell r="D537">
            <v>87.5</v>
          </cell>
          <cell r="N537" t="str">
            <v>1554-33</v>
          </cell>
          <cell r="O537" t="str">
            <v>RS RETAINER</v>
          </cell>
          <cell r="P537">
            <v>175</v>
          </cell>
        </row>
        <row r="538">
          <cell r="B538" t="str">
            <v>1610-02</v>
          </cell>
          <cell r="C538" t="str">
            <v>RS RETAINER</v>
          </cell>
          <cell r="D538">
            <v>87.5</v>
          </cell>
          <cell r="N538" t="str">
            <v>1610-02</v>
          </cell>
          <cell r="O538" t="str">
            <v>RS RETAINER</v>
          </cell>
          <cell r="P538">
            <v>175</v>
          </cell>
        </row>
        <row r="539">
          <cell r="B539" t="str">
            <v>1610-04</v>
          </cell>
          <cell r="C539" t="str">
            <v>RS RETAINER</v>
          </cell>
          <cell r="D539">
            <v>87.5</v>
          </cell>
          <cell r="N539" t="str">
            <v>1610-04</v>
          </cell>
          <cell r="O539" t="str">
            <v>RS RETAINER</v>
          </cell>
          <cell r="P539">
            <v>175</v>
          </cell>
        </row>
        <row r="540">
          <cell r="B540" t="str">
            <v>1833-04</v>
          </cell>
          <cell r="C540" t="str">
            <v>BODY RETAINER</v>
          </cell>
          <cell r="D540">
            <v>81</v>
          </cell>
          <cell r="N540" t="str">
            <v>1833-04</v>
          </cell>
          <cell r="O540" t="str">
            <v>BODY RETAINER</v>
          </cell>
          <cell r="P540">
            <v>162</v>
          </cell>
        </row>
        <row r="541">
          <cell r="B541" t="str">
            <v>2076-12</v>
          </cell>
          <cell r="C541" t="str">
            <v>BODY RETAINER</v>
          </cell>
          <cell r="D541">
            <v>82.5</v>
          </cell>
          <cell r="N541" t="str">
            <v>2076-12</v>
          </cell>
          <cell r="O541" t="str">
            <v>BODY RETAINER</v>
          </cell>
          <cell r="P541">
            <v>165</v>
          </cell>
        </row>
        <row r="542">
          <cell r="B542" t="str">
            <v>2077-01</v>
          </cell>
          <cell r="C542" t="str">
            <v>BODY RETAINER</v>
          </cell>
          <cell r="D542">
            <v>83.5</v>
          </cell>
          <cell r="N542" t="str">
            <v>2077-01</v>
          </cell>
          <cell r="O542" t="str">
            <v>BODY RETAINER</v>
          </cell>
          <cell r="P542">
            <v>167</v>
          </cell>
        </row>
        <row r="543">
          <cell r="B543" t="str">
            <v>2077-07</v>
          </cell>
          <cell r="C543" t="str">
            <v>BODY RETAINER</v>
          </cell>
          <cell r="D543">
            <v>83</v>
          </cell>
          <cell r="N543" t="str">
            <v>2077-07</v>
          </cell>
          <cell r="O543" t="str">
            <v>BODY RETAINER</v>
          </cell>
          <cell r="P543">
            <v>166</v>
          </cell>
        </row>
        <row r="544">
          <cell r="B544" t="str">
            <v>2077-12</v>
          </cell>
          <cell r="C544" t="str">
            <v>BODY RETAINER</v>
          </cell>
          <cell r="D544">
            <v>83</v>
          </cell>
          <cell r="N544" t="str">
            <v>2077-12</v>
          </cell>
          <cell r="O544" t="str">
            <v>BODY RETAINER</v>
          </cell>
          <cell r="P544">
            <v>166</v>
          </cell>
        </row>
        <row r="545">
          <cell r="B545" t="str">
            <v>2077-19</v>
          </cell>
          <cell r="C545" t="str">
            <v>BODY RETAINER</v>
          </cell>
          <cell r="D545">
            <v>83.5</v>
          </cell>
          <cell r="N545" t="str">
            <v>2077-19</v>
          </cell>
          <cell r="O545" t="str">
            <v>BODY RETAINER</v>
          </cell>
          <cell r="P545">
            <v>167</v>
          </cell>
        </row>
        <row r="546">
          <cell r="B546" t="str">
            <v>2098-00</v>
          </cell>
          <cell r="C546" t="str">
            <v>PLANETARY GEAR</v>
          </cell>
          <cell r="D546">
            <v>105</v>
          </cell>
          <cell r="N546" t="str">
            <v>2098-00</v>
          </cell>
          <cell r="O546" t="str">
            <v>PLANETARY GEAR</v>
          </cell>
          <cell r="P546">
            <v>175</v>
          </cell>
        </row>
        <row r="547">
          <cell r="B547" t="str">
            <v>661-06</v>
          </cell>
          <cell r="C547" t="str">
            <v>BODY</v>
          </cell>
          <cell r="D547">
            <v>82.5</v>
          </cell>
          <cell r="N547" t="str">
            <v>661-06</v>
          </cell>
          <cell r="O547" t="str">
            <v>BODY</v>
          </cell>
          <cell r="P547">
            <v>165</v>
          </cell>
        </row>
        <row r="548">
          <cell r="B548" t="str">
            <v>785-02</v>
          </cell>
          <cell r="C548" t="str">
            <v>BODY</v>
          </cell>
          <cell r="D548">
            <v>87.5</v>
          </cell>
          <cell r="N548" t="str">
            <v>785-02</v>
          </cell>
          <cell r="O548" t="str">
            <v>BODY</v>
          </cell>
          <cell r="P548">
            <v>175</v>
          </cell>
        </row>
        <row r="549">
          <cell r="B549" t="str">
            <v>786-03</v>
          </cell>
          <cell r="C549" t="str">
            <v>BODY</v>
          </cell>
          <cell r="D549">
            <v>82</v>
          </cell>
          <cell r="N549" t="str">
            <v>786-03</v>
          </cell>
          <cell r="O549" t="str">
            <v>BODY</v>
          </cell>
          <cell r="P549">
            <v>164</v>
          </cell>
        </row>
        <row r="550">
          <cell r="B550" t="str">
            <v>867-01</v>
          </cell>
          <cell r="C550" t="str">
            <v>SLEEVE</v>
          </cell>
          <cell r="D550">
            <v>87.5</v>
          </cell>
          <cell r="N550" t="str">
            <v>867-01</v>
          </cell>
          <cell r="O550" t="str">
            <v>SLEEVE</v>
          </cell>
          <cell r="P550">
            <v>175</v>
          </cell>
        </row>
        <row r="551">
          <cell r="B551" t="str">
            <v>1253-00</v>
          </cell>
          <cell r="C551" t="str">
            <v>CAM</v>
          </cell>
          <cell r="D551">
            <v>101.39999999999999</v>
          </cell>
          <cell r="N551" t="str">
            <v>1253-00</v>
          </cell>
          <cell r="O551" t="str">
            <v>CAM</v>
          </cell>
          <cell r="P551">
            <v>169</v>
          </cell>
        </row>
        <row r="552">
          <cell r="B552" t="str">
            <v>1554-03</v>
          </cell>
          <cell r="C552" t="str">
            <v>RS RETAINER</v>
          </cell>
          <cell r="D552">
            <v>87.5</v>
          </cell>
          <cell r="N552" t="str">
            <v>1554-03</v>
          </cell>
          <cell r="O552" t="str">
            <v>RS RETAINER</v>
          </cell>
          <cell r="P552">
            <v>175</v>
          </cell>
        </row>
        <row r="553">
          <cell r="B553" t="str">
            <v>1554-09</v>
          </cell>
          <cell r="C553" t="str">
            <v>RS RETAINER</v>
          </cell>
          <cell r="D553">
            <v>87.5</v>
          </cell>
          <cell r="N553" t="str">
            <v>1554-09</v>
          </cell>
          <cell r="O553" t="str">
            <v>RS RETAINER</v>
          </cell>
          <cell r="P553">
            <v>175</v>
          </cell>
        </row>
        <row r="554">
          <cell r="B554" t="str">
            <v>1554-16</v>
          </cell>
          <cell r="C554" t="str">
            <v>RS RETAINER</v>
          </cell>
          <cell r="D554">
            <v>88</v>
          </cell>
          <cell r="N554" t="str">
            <v>1554-16</v>
          </cell>
          <cell r="O554" t="str">
            <v>RS RETAINER</v>
          </cell>
          <cell r="P554">
            <v>176</v>
          </cell>
        </row>
        <row r="555">
          <cell r="B555" t="str">
            <v>1554-17</v>
          </cell>
          <cell r="C555" t="str">
            <v>RS RETAINER</v>
          </cell>
          <cell r="D555">
            <v>88</v>
          </cell>
          <cell r="N555" t="str">
            <v>1554-17</v>
          </cell>
          <cell r="O555" t="str">
            <v>RS RETAINER</v>
          </cell>
          <cell r="P555">
            <v>176</v>
          </cell>
        </row>
        <row r="556">
          <cell r="B556" t="str">
            <v>1554-19</v>
          </cell>
          <cell r="C556" t="str">
            <v>RS RETAINER</v>
          </cell>
          <cell r="D556">
            <v>87.5</v>
          </cell>
          <cell r="N556" t="str">
            <v>1554-19</v>
          </cell>
          <cell r="O556" t="str">
            <v>RS RETAINER</v>
          </cell>
          <cell r="P556">
            <v>175</v>
          </cell>
        </row>
        <row r="557">
          <cell r="B557" t="str">
            <v>1554-23</v>
          </cell>
          <cell r="C557" t="str">
            <v>RS RETAINER</v>
          </cell>
          <cell r="D557">
            <v>87.5</v>
          </cell>
          <cell r="N557" t="str">
            <v>1554-23</v>
          </cell>
          <cell r="O557" t="str">
            <v>RS RETAINER</v>
          </cell>
          <cell r="P557">
            <v>175</v>
          </cell>
        </row>
        <row r="558">
          <cell r="B558" t="str">
            <v>1554-26</v>
          </cell>
          <cell r="C558" t="str">
            <v>RS RETAINER</v>
          </cell>
          <cell r="D558">
            <v>87.5</v>
          </cell>
          <cell r="N558" t="str">
            <v>1554-26</v>
          </cell>
          <cell r="O558" t="str">
            <v>RS RETAINER</v>
          </cell>
          <cell r="P558">
            <v>175</v>
          </cell>
        </row>
        <row r="559">
          <cell r="B559" t="str">
            <v>1554-31</v>
          </cell>
          <cell r="C559" t="str">
            <v>RS RETAINER</v>
          </cell>
          <cell r="D559">
            <v>88</v>
          </cell>
          <cell r="N559" t="str">
            <v>1554-31</v>
          </cell>
          <cell r="O559" t="str">
            <v>RS RETAINER</v>
          </cell>
          <cell r="P559">
            <v>176</v>
          </cell>
        </row>
        <row r="560">
          <cell r="B560" t="str">
            <v>1554-33</v>
          </cell>
          <cell r="C560" t="str">
            <v>RS RETAINER</v>
          </cell>
          <cell r="D560">
            <v>87.5</v>
          </cell>
          <cell r="N560" t="str">
            <v>1554-33</v>
          </cell>
          <cell r="O560" t="str">
            <v>RS RETAINER</v>
          </cell>
          <cell r="P560">
            <v>175</v>
          </cell>
        </row>
        <row r="561">
          <cell r="B561" t="str">
            <v>1853-01</v>
          </cell>
          <cell r="C561" t="str">
            <v>RS RETAINER</v>
          </cell>
          <cell r="D561">
            <v>88</v>
          </cell>
          <cell r="N561" t="str">
            <v>1853-01</v>
          </cell>
          <cell r="O561" t="str">
            <v>RS RETAINER</v>
          </cell>
          <cell r="P561">
            <v>176</v>
          </cell>
        </row>
        <row r="562">
          <cell r="B562" t="str">
            <v>2077-01</v>
          </cell>
          <cell r="C562" t="str">
            <v>BODY RETAINER</v>
          </cell>
          <cell r="D562">
            <v>83.5</v>
          </cell>
          <cell r="N562" t="str">
            <v>2077-01</v>
          </cell>
          <cell r="O562" t="str">
            <v>BODY RETAINER</v>
          </cell>
          <cell r="P562">
            <v>167</v>
          </cell>
        </row>
        <row r="563">
          <cell r="B563" t="str">
            <v>2077-02</v>
          </cell>
          <cell r="C563" t="str">
            <v>BODY RETAINER</v>
          </cell>
          <cell r="D563">
            <v>83.5</v>
          </cell>
          <cell r="N563" t="str">
            <v>2077-02</v>
          </cell>
          <cell r="O563" t="str">
            <v>BODY RETAINER</v>
          </cell>
          <cell r="P563">
            <v>167</v>
          </cell>
        </row>
        <row r="564">
          <cell r="B564" t="str">
            <v>2077-06</v>
          </cell>
          <cell r="C564" t="str">
            <v>BODY RETAINER</v>
          </cell>
          <cell r="D564">
            <v>82.5</v>
          </cell>
          <cell r="N564" t="str">
            <v>2077-06</v>
          </cell>
          <cell r="O564" t="str">
            <v>BODY RETAINER</v>
          </cell>
          <cell r="P564">
            <v>165</v>
          </cell>
        </row>
        <row r="565">
          <cell r="B565" t="str">
            <v>2077-07</v>
          </cell>
          <cell r="C565" t="str">
            <v>BODY RETAINER</v>
          </cell>
          <cell r="D565">
            <v>83</v>
          </cell>
          <cell r="N565" t="str">
            <v>2077-07</v>
          </cell>
          <cell r="O565" t="str">
            <v>BODY RETAINER</v>
          </cell>
          <cell r="P565">
            <v>166</v>
          </cell>
        </row>
        <row r="566">
          <cell r="B566" t="str">
            <v>2077-08</v>
          </cell>
          <cell r="C566" t="str">
            <v>BODY RETAINER</v>
          </cell>
          <cell r="D566">
            <v>83</v>
          </cell>
          <cell r="N566" t="str">
            <v>2077-08</v>
          </cell>
          <cell r="O566" t="str">
            <v>BODY RETAINER</v>
          </cell>
          <cell r="P566">
            <v>166</v>
          </cell>
        </row>
        <row r="567">
          <cell r="B567" t="str">
            <v>2077-08</v>
          </cell>
          <cell r="C567" t="str">
            <v>BODY RETAINER</v>
          </cell>
          <cell r="D567">
            <v>83</v>
          </cell>
          <cell r="N567" t="str">
            <v>2077-08</v>
          </cell>
          <cell r="O567" t="str">
            <v>BODY RETAINER</v>
          </cell>
          <cell r="P567">
            <v>166</v>
          </cell>
        </row>
        <row r="568">
          <cell r="B568" t="str">
            <v>2077-08</v>
          </cell>
          <cell r="C568" t="str">
            <v>BODY RETAINER</v>
          </cell>
          <cell r="D568">
            <v>83</v>
          </cell>
          <cell r="N568" t="str">
            <v>2077-08</v>
          </cell>
          <cell r="O568" t="str">
            <v>BODY RETAINER</v>
          </cell>
          <cell r="P568">
            <v>166</v>
          </cell>
        </row>
        <row r="569">
          <cell r="B569" t="str">
            <v>2077-08</v>
          </cell>
          <cell r="C569" t="str">
            <v>BODY RETAINER</v>
          </cell>
          <cell r="D569">
            <v>83</v>
          </cell>
          <cell r="N569" t="str">
            <v>2077-08</v>
          </cell>
          <cell r="O569" t="str">
            <v>BODY RETAINER</v>
          </cell>
          <cell r="P569">
            <v>166</v>
          </cell>
        </row>
        <row r="570">
          <cell r="B570" t="str">
            <v>486-00</v>
          </cell>
          <cell r="C570" t="str">
            <v>GAS SPRING PISTON</v>
          </cell>
          <cell r="D570">
            <v>88</v>
          </cell>
          <cell r="N570" t="str">
            <v>486-00</v>
          </cell>
          <cell r="O570" t="str">
            <v>GAS SPRING PISTON</v>
          </cell>
          <cell r="P570">
            <v>176</v>
          </cell>
        </row>
        <row r="571">
          <cell r="B571" t="str">
            <v>661-01</v>
          </cell>
          <cell r="C571" t="str">
            <v>BODY</v>
          </cell>
          <cell r="D571">
            <v>88</v>
          </cell>
          <cell r="N571" t="str">
            <v>661-01</v>
          </cell>
          <cell r="O571" t="str">
            <v>BODY</v>
          </cell>
          <cell r="P571">
            <v>176</v>
          </cell>
        </row>
        <row r="572">
          <cell r="B572" t="str">
            <v>661-06</v>
          </cell>
          <cell r="C572" t="str">
            <v>BODY</v>
          </cell>
          <cell r="D572">
            <v>82.5</v>
          </cell>
          <cell r="N572" t="str">
            <v>661-06</v>
          </cell>
          <cell r="O572" t="str">
            <v>BODY</v>
          </cell>
          <cell r="P572">
            <v>165</v>
          </cell>
        </row>
        <row r="573">
          <cell r="B573" t="str">
            <v>661-13</v>
          </cell>
          <cell r="C573" t="str">
            <v>BODY</v>
          </cell>
          <cell r="D573">
            <v>88</v>
          </cell>
          <cell r="N573" t="str">
            <v>661-13</v>
          </cell>
          <cell r="O573" t="str">
            <v>BODY</v>
          </cell>
          <cell r="P573">
            <v>176</v>
          </cell>
        </row>
        <row r="574">
          <cell r="B574" t="str">
            <v>661-13</v>
          </cell>
          <cell r="C574" t="str">
            <v>BODY</v>
          </cell>
          <cell r="D574">
            <v>88</v>
          </cell>
          <cell r="N574" t="str">
            <v>661-13</v>
          </cell>
          <cell r="O574" t="str">
            <v>BODY</v>
          </cell>
          <cell r="P574">
            <v>176</v>
          </cell>
        </row>
        <row r="575">
          <cell r="B575" t="str">
            <v>786-09</v>
          </cell>
          <cell r="C575" t="str">
            <v>BODY</v>
          </cell>
          <cell r="D575">
            <v>88</v>
          </cell>
          <cell r="N575" t="str">
            <v>786-09</v>
          </cell>
          <cell r="O575" t="str">
            <v>BODY</v>
          </cell>
          <cell r="P575">
            <v>176</v>
          </cell>
        </row>
        <row r="576">
          <cell r="B576" t="str">
            <v>861-01</v>
          </cell>
          <cell r="C576" t="str">
            <v>BODY</v>
          </cell>
          <cell r="D576">
            <v>80.5</v>
          </cell>
          <cell r="N576" t="str">
            <v>861-01</v>
          </cell>
          <cell r="O576" t="str">
            <v>BODY</v>
          </cell>
          <cell r="P576">
            <v>161</v>
          </cell>
        </row>
        <row r="577">
          <cell r="B577" t="str">
            <v>861-06</v>
          </cell>
          <cell r="C577" t="str">
            <v>BODY</v>
          </cell>
          <cell r="D577">
            <v>88</v>
          </cell>
          <cell r="N577" t="str">
            <v>861-06</v>
          </cell>
          <cell r="O577" t="str">
            <v>BODY</v>
          </cell>
          <cell r="P577">
            <v>176</v>
          </cell>
        </row>
        <row r="578">
          <cell r="B578" t="str">
            <v>060-00</v>
          </cell>
          <cell r="C578" t="str">
            <v>REB,RETAINER</v>
          </cell>
          <cell r="D578">
            <v>88.5</v>
          </cell>
          <cell r="N578" t="str">
            <v>060-00</v>
          </cell>
          <cell r="O578" t="str">
            <v>REB,RETAINER</v>
          </cell>
          <cell r="P578">
            <v>177</v>
          </cell>
        </row>
        <row r="579">
          <cell r="B579" t="str">
            <v>1554-03</v>
          </cell>
          <cell r="C579" t="str">
            <v>RS RETAINER</v>
          </cell>
          <cell r="D579">
            <v>87.5</v>
          </cell>
          <cell r="N579" t="str">
            <v>1554-03</v>
          </cell>
          <cell r="O579" t="str">
            <v>RS RETAINER</v>
          </cell>
          <cell r="P579">
            <v>175</v>
          </cell>
        </row>
        <row r="580">
          <cell r="B580" t="str">
            <v>1554-10</v>
          </cell>
          <cell r="C580" t="str">
            <v>RS RETAINER</v>
          </cell>
          <cell r="D580">
            <v>87</v>
          </cell>
          <cell r="N580" t="str">
            <v>1554-10</v>
          </cell>
          <cell r="O580" t="str">
            <v>RS RETAINER</v>
          </cell>
          <cell r="P580">
            <v>174</v>
          </cell>
        </row>
        <row r="581">
          <cell r="B581" t="str">
            <v>1554-16</v>
          </cell>
          <cell r="C581" t="str">
            <v>RS RETAINER</v>
          </cell>
          <cell r="D581">
            <v>88</v>
          </cell>
          <cell r="N581" t="str">
            <v>1554-16</v>
          </cell>
          <cell r="O581" t="str">
            <v>RS RETAINER</v>
          </cell>
          <cell r="P581">
            <v>176</v>
          </cell>
        </row>
        <row r="582">
          <cell r="B582" t="str">
            <v>1554-17</v>
          </cell>
          <cell r="C582" t="str">
            <v>RS RETAINER</v>
          </cell>
          <cell r="D582">
            <v>88</v>
          </cell>
          <cell r="N582" t="str">
            <v>1554-17</v>
          </cell>
          <cell r="O582" t="str">
            <v>RS RETAINER</v>
          </cell>
          <cell r="P582">
            <v>176</v>
          </cell>
        </row>
        <row r="583">
          <cell r="B583" t="str">
            <v>1554-18</v>
          </cell>
          <cell r="C583" t="str">
            <v>RS RETAINER</v>
          </cell>
          <cell r="D583">
            <v>87.5</v>
          </cell>
          <cell r="N583" t="str">
            <v>1554-18</v>
          </cell>
          <cell r="O583" t="str">
            <v>RS RETAINER</v>
          </cell>
          <cell r="P583">
            <v>175</v>
          </cell>
        </row>
        <row r="584">
          <cell r="B584" t="str">
            <v>1554-27</v>
          </cell>
          <cell r="C584" t="str">
            <v>RS RETAINER</v>
          </cell>
          <cell r="D584">
            <v>88.5</v>
          </cell>
          <cell r="N584" t="str">
            <v>1554-27</v>
          </cell>
          <cell r="O584" t="str">
            <v>RS RETAINER</v>
          </cell>
          <cell r="P584">
            <v>177</v>
          </cell>
        </row>
        <row r="585">
          <cell r="B585" t="str">
            <v>1554-31</v>
          </cell>
          <cell r="C585" t="str">
            <v>RS RETAINER</v>
          </cell>
          <cell r="D585">
            <v>88</v>
          </cell>
          <cell r="N585" t="str">
            <v>1554-31</v>
          </cell>
          <cell r="O585" t="str">
            <v>RS RETAINER</v>
          </cell>
          <cell r="P585">
            <v>176</v>
          </cell>
        </row>
        <row r="586">
          <cell r="B586" t="str">
            <v>1831-14</v>
          </cell>
          <cell r="C586" t="str">
            <v>BODY RETAINER</v>
          </cell>
          <cell r="D586">
            <v>88.5</v>
          </cell>
          <cell r="N586" t="str">
            <v>1831-14</v>
          </cell>
          <cell r="O586" t="str">
            <v>BODY RETAINER</v>
          </cell>
          <cell r="P586">
            <v>177</v>
          </cell>
        </row>
        <row r="587">
          <cell r="B587" t="str">
            <v>2026-01</v>
          </cell>
          <cell r="C587" t="str">
            <v>SOFT VALVE</v>
          </cell>
          <cell r="D587">
            <v>88.5</v>
          </cell>
          <cell r="N587" t="str">
            <v>2026-01</v>
          </cell>
          <cell r="O587" t="str">
            <v>SOFT VALVE</v>
          </cell>
          <cell r="P587">
            <v>177</v>
          </cell>
        </row>
        <row r="588">
          <cell r="B588" t="str">
            <v>2026-02</v>
          </cell>
          <cell r="C588" t="str">
            <v>SOFT VALVE</v>
          </cell>
          <cell r="D588">
            <v>88.5</v>
          </cell>
          <cell r="N588" t="str">
            <v>2026-02</v>
          </cell>
          <cell r="O588" t="str">
            <v>SOFT VALVE</v>
          </cell>
          <cell r="P588">
            <v>177</v>
          </cell>
        </row>
        <row r="589">
          <cell r="B589" t="str">
            <v>2077-02</v>
          </cell>
          <cell r="C589" t="str">
            <v>BODY RETAINER</v>
          </cell>
          <cell r="D589">
            <v>83.5</v>
          </cell>
          <cell r="N589" t="str">
            <v>2077-02</v>
          </cell>
          <cell r="O589" t="str">
            <v>BODY RETAINER</v>
          </cell>
          <cell r="P589">
            <v>167</v>
          </cell>
        </row>
        <row r="590">
          <cell r="B590" t="str">
            <v>2077-05</v>
          </cell>
          <cell r="C590" t="str">
            <v>BODY RETAINER</v>
          </cell>
          <cell r="D590">
            <v>88.5</v>
          </cell>
          <cell r="N590" t="str">
            <v>2077-05</v>
          </cell>
          <cell r="O590" t="str">
            <v>BODY RETAINER</v>
          </cell>
          <cell r="P590">
            <v>177</v>
          </cell>
        </row>
        <row r="591">
          <cell r="B591" t="str">
            <v>2077-13</v>
          </cell>
          <cell r="C591" t="str">
            <v>BODY RETAINER</v>
          </cell>
          <cell r="D591">
            <v>83.5</v>
          </cell>
          <cell r="N591" t="str">
            <v>2077-13</v>
          </cell>
          <cell r="O591" t="str">
            <v>BODY RETAINER</v>
          </cell>
          <cell r="P591">
            <v>167</v>
          </cell>
        </row>
        <row r="592">
          <cell r="B592" t="str">
            <v>661-13</v>
          </cell>
          <cell r="C592" t="str">
            <v>BODY</v>
          </cell>
          <cell r="D592">
            <v>88</v>
          </cell>
          <cell r="N592" t="str">
            <v>661-13</v>
          </cell>
          <cell r="O592" t="str">
            <v>BODY</v>
          </cell>
          <cell r="P592">
            <v>176</v>
          </cell>
        </row>
        <row r="593">
          <cell r="B593" t="str">
            <v>861-01</v>
          </cell>
          <cell r="C593" t="str">
            <v>BODY</v>
          </cell>
          <cell r="D593">
            <v>80.5</v>
          </cell>
          <cell r="N593" t="str">
            <v>861-01</v>
          </cell>
          <cell r="O593" t="str">
            <v>BODY</v>
          </cell>
          <cell r="P593">
            <v>161</v>
          </cell>
        </row>
        <row r="594">
          <cell r="B594" t="str">
            <v>1291-02</v>
          </cell>
          <cell r="C594" t="str">
            <v>PILOT CASE</v>
          </cell>
          <cell r="D594">
            <v>87</v>
          </cell>
          <cell r="N594" t="str">
            <v>1291-02</v>
          </cell>
          <cell r="O594" t="str">
            <v>PILOT CASE</v>
          </cell>
          <cell r="P594">
            <v>174</v>
          </cell>
        </row>
        <row r="595">
          <cell r="B595" t="str">
            <v>1554-11</v>
          </cell>
          <cell r="C595" t="str">
            <v>RS RETAINER</v>
          </cell>
          <cell r="D595">
            <v>89</v>
          </cell>
          <cell r="N595" t="str">
            <v>1554-11</v>
          </cell>
          <cell r="O595" t="str">
            <v>RS RETAINER</v>
          </cell>
          <cell r="P595">
            <v>178</v>
          </cell>
        </row>
        <row r="596">
          <cell r="B596" t="str">
            <v>1634-44</v>
          </cell>
          <cell r="C596" t="str">
            <v>RS RETAINER</v>
          </cell>
          <cell r="D596">
            <v>89</v>
          </cell>
          <cell r="N596" t="str">
            <v>1634-44</v>
          </cell>
          <cell r="O596" t="str">
            <v>RS RETAINER</v>
          </cell>
          <cell r="P596">
            <v>178</v>
          </cell>
        </row>
        <row r="597">
          <cell r="B597" t="str">
            <v>1673-03</v>
          </cell>
          <cell r="C597" t="str">
            <v>RS RETAINER</v>
          </cell>
          <cell r="D597">
            <v>82.5</v>
          </cell>
          <cell r="N597" t="str">
            <v>1673-03</v>
          </cell>
          <cell r="O597" t="str">
            <v>RS RETAINER</v>
          </cell>
          <cell r="P597">
            <v>165</v>
          </cell>
        </row>
        <row r="598">
          <cell r="B598" t="str">
            <v>1792-01</v>
          </cell>
          <cell r="C598" t="str">
            <v>REB,RETAINER</v>
          </cell>
          <cell r="D598">
            <v>89</v>
          </cell>
          <cell r="N598" t="str">
            <v>1792-01</v>
          </cell>
          <cell r="O598" t="str">
            <v>REB,RETAINER</v>
          </cell>
          <cell r="P598">
            <v>178</v>
          </cell>
        </row>
        <row r="599">
          <cell r="B599" t="str">
            <v>1796-03</v>
          </cell>
          <cell r="C599" t="str">
            <v>Washer</v>
          </cell>
          <cell r="D599">
            <v>89</v>
          </cell>
          <cell r="N599" t="str">
            <v>1796-03</v>
          </cell>
          <cell r="O599" t="str">
            <v>Washer</v>
          </cell>
          <cell r="P599">
            <v>178</v>
          </cell>
        </row>
        <row r="600">
          <cell r="B600" t="str">
            <v>786-07</v>
          </cell>
          <cell r="C600" t="str">
            <v>BODY</v>
          </cell>
          <cell r="D600">
            <v>89</v>
          </cell>
          <cell r="N600" t="str">
            <v>786-07</v>
          </cell>
          <cell r="O600" t="str">
            <v>BODY</v>
          </cell>
          <cell r="P600">
            <v>178</v>
          </cell>
        </row>
        <row r="601">
          <cell r="B601" t="str">
            <v>786-07</v>
          </cell>
          <cell r="C601" t="str">
            <v>BODY</v>
          </cell>
          <cell r="D601">
            <v>89</v>
          </cell>
          <cell r="N601" t="str">
            <v>786-07</v>
          </cell>
          <cell r="O601" t="str">
            <v>BODY</v>
          </cell>
          <cell r="P601">
            <v>178</v>
          </cell>
        </row>
        <row r="602">
          <cell r="B602" t="str">
            <v>787-06</v>
          </cell>
          <cell r="C602" t="str">
            <v>BODY</v>
          </cell>
          <cell r="D602">
            <v>89</v>
          </cell>
          <cell r="N602" t="str">
            <v>787-06</v>
          </cell>
          <cell r="O602" t="str">
            <v>BODY</v>
          </cell>
          <cell r="P602">
            <v>178</v>
          </cell>
        </row>
        <row r="603">
          <cell r="B603" t="str">
            <v>787-06</v>
          </cell>
          <cell r="C603" t="str">
            <v>BODY</v>
          </cell>
          <cell r="D603">
            <v>89</v>
          </cell>
          <cell r="N603" t="str">
            <v>787-06</v>
          </cell>
          <cell r="O603" t="str">
            <v>BODY</v>
          </cell>
          <cell r="P603">
            <v>178</v>
          </cell>
        </row>
        <row r="604">
          <cell r="B604" t="str">
            <v>853-22</v>
          </cell>
          <cell r="C604" t="str">
            <v>REB,RETAINER</v>
          </cell>
          <cell r="D604">
            <v>38.5</v>
          </cell>
          <cell r="N604" t="str">
            <v>853-22</v>
          </cell>
          <cell r="O604" t="str">
            <v>REB,RETAINER</v>
          </cell>
          <cell r="P604">
            <v>77</v>
          </cell>
        </row>
        <row r="605">
          <cell r="B605" t="str">
            <v>861-05</v>
          </cell>
          <cell r="C605" t="str">
            <v>BODY</v>
          </cell>
          <cell r="D605">
            <v>82.5</v>
          </cell>
          <cell r="N605" t="str">
            <v>861-05</v>
          </cell>
          <cell r="O605" t="str">
            <v>BODY</v>
          </cell>
          <cell r="P605">
            <v>165</v>
          </cell>
        </row>
        <row r="606">
          <cell r="B606" t="str">
            <v>861-06</v>
          </cell>
          <cell r="C606" t="str">
            <v>BODY</v>
          </cell>
          <cell r="D606">
            <v>88</v>
          </cell>
          <cell r="N606" t="str">
            <v>861-06</v>
          </cell>
          <cell r="O606" t="str">
            <v>BODY</v>
          </cell>
          <cell r="P606">
            <v>176</v>
          </cell>
        </row>
        <row r="607">
          <cell r="B607" t="str">
            <v>1554-11</v>
          </cell>
          <cell r="C607" t="str">
            <v>RS RETAINER</v>
          </cell>
          <cell r="D607">
            <v>89</v>
          </cell>
          <cell r="N607" t="str">
            <v>1554-11</v>
          </cell>
          <cell r="O607" t="str">
            <v>RS RETAINER</v>
          </cell>
          <cell r="P607">
            <v>178</v>
          </cell>
        </row>
        <row r="608">
          <cell r="B608" t="str">
            <v>1554-14</v>
          </cell>
          <cell r="C608" t="str">
            <v>RS RETAINER</v>
          </cell>
          <cell r="D608">
            <v>89.5</v>
          </cell>
          <cell r="N608" t="str">
            <v>1554-14</v>
          </cell>
          <cell r="O608" t="str">
            <v>RS RETAINER</v>
          </cell>
          <cell r="P608">
            <v>179</v>
          </cell>
        </row>
        <row r="609">
          <cell r="B609" t="str">
            <v>1554-27</v>
          </cell>
          <cell r="C609" t="str">
            <v>RS RETAINER</v>
          </cell>
          <cell r="D609">
            <v>88.5</v>
          </cell>
          <cell r="N609" t="str">
            <v>1554-27</v>
          </cell>
          <cell r="O609" t="str">
            <v>RS RETAINER</v>
          </cell>
          <cell r="P609">
            <v>177</v>
          </cell>
        </row>
        <row r="610">
          <cell r="B610" t="str">
            <v>1554-35</v>
          </cell>
          <cell r="C610" t="str">
            <v>RS RETAINER</v>
          </cell>
          <cell r="D610">
            <v>89.5</v>
          </cell>
          <cell r="N610" t="str">
            <v>1554-35</v>
          </cell>
          <cell r="O610" t="str">
            <v>RS RETAINER</v>
          </cell>
          <cell r="P610">
            <v>179</v>
          </cell>
        </row>
        <row r="611">
          <cell r="B611" t="str">
            <v>1634-04</v>
          </cell>
          <cell r="C611" t="str">
            <v>RS RETAINER</v>
          </cell>
          <cell r="D611">
            <v>89.5</v>
          </cell>
          <cell r="N611" t="str">
            <v>1634-04</v>
          </cell>
          <cell r="O611" t="str">
            <v>RS RETAINER</v>
          </cell>
          <cell r="P611">
            <v>179</v>
          </cell>
        </row>
        <row r="612">
          <cell r="B612" t="str">
            <v>1634-05</v>
          </cell>
          <cell r="C612" t="str">
            <v>RS RETAINER</v>
          </cell>
          <cell r="D612">
            <v>89.5</v>
          </cell>
          <cell r="N612" t="str">
            <v>1634-05</v>
          </cell>
          <cell r="O612" t="str">
            <v>RS RETAINER</v>
          </cell>
          <cell r="P612">
            <v>179</v>
          </cell>
        </row>
        <row r="613">
          <cell r="B613" t="str">
            <v>1634-14</v>
          </cell>
          <cell r="C613" t="str">
            <v>RS RETAINER</v>
          </cell>
          <cell r="D613">
            <v>89.5</v>
          </cell>
          <cell r="N613" t="str">
            <v>1634-14</v>
          </cell>
          <cell r="O613" t="str">
            <v>RS RETAINER</v>
          </cell>
          <cell r="P613">
            <v>179</v>
          </cell>
        </row>
        <row r="614">
          <cell r="B614" t="str">
            <v>1634-19</v>
          </cell>
          <cell r="C614" t="str">
            <v>RS RETAINER</v>
          </cell>
          <cell r="D614">
            <v>89.5</v>
          </cell>
          <cell r="N614" t="str">
            <v>1634-19</v>
          </cell>
          <cell r="O614" t="str">
            <v>RS RETAINER</v>
          </cell>
          <cell r="P614">
            <v>179</v>
          </cell>
        </row>
        <row r="615">
          <cell r="B615" t="str">
            <v>1634-20</v>
          </cell>
          <cell r="C615" t="str">
            <v>RS RETAINER</v>
          </cell>
          <cell r="D615">
            <v>89.5</v>
          </cell>
          <cell r="N615" t="str">
            <v>1634-20</v>
          </cell>
          <cell r="O615" t="str">
            <v>RS RETAINER</v>
          </cell>
          <cell r="P615">
            <v>179</v>
          </cell>
        </row>
        <row r="616">
          <cell r="B616" t="str">
            <v>1634-25</v>
          </cell>
          <cell r="C616" t="str">
            <v>RS RETAINER</v>
          </cell>
          <cell r="D616">
            <v>89.5</v>
          </cell>
          <cell r="N616" t="str">
            <v>1634-25</v>
          </cell>
          <cell r="O616" t="str">
            <v>RS RETAINER</v>
          </cell>
          <cell r="P616">
            <v>179</v>
          </cell>
        </row>
        <row r="617">
          <cell r="B617" t="str">
            <v>1634-25</v>
          </cell>
          <cell r="C617" t="str">
            <v>RS RETAINER</v>
          </cell>
          <cell r="D617">
            <v>89.5</v>
          </cell>
          <cell r="N617" t="str">
            <v>1634-25</v>
          </cell>
          <cell r="O617" t="str">
            <v>RS RETAINER</v>
          </cell>
          <cell r="P617">
            <v>179</v>
          </cell>
        </row>
        <row r="618">
          <cell r="B618" t="str">
            <v>1634-29</v>
          </cell>
          <cell r="C618" t="str">
            <v>RS RETAINER</v>
          </cell>
          <cell r="D618">
            <v>89.5</v>
          </cell>
          <cell r="N618" t="str">
            <v>1634-29</v>
          </cell>
          <cell r="O618" t="str">
            <v>RS RETAINER</v>
          </cell>
          <cell r="P618">
            <v>179</v>
          </cell>
        </row>
        <row r="619">
          <cell r="B619" t="str">
            <v>1634-34</v>
          </cell>
          <cell r="C619" t="str">
            <v>RS RETAINER</v>
          </cell>
          <cell r="D619">
            <v>89.5</v>
          </cell>
          <cell r="N619" t="str">
            <v>1634-34</v>
          </cell>
          <cell r="O619" t="str">
            <v>RS RETAINER</v>
          </cell>
          <cell r="P619">
            <v>179</v>
          </cell>
        </row>
        <row r="620">
          <cell r="B620" t="str">
            <v>1634-38</v>
          </cell>
          <cell r="C620" t="str">
            <v>RS RETAINER</v>
          </cell>
          <cell r="D620">
            <v>89.5</v>
          </cell>
          <cell r="N620" t="str">
            <v>1634-38</v>
          </cell>
          <cell r="O620" t="str">
            <v>RS RETAINER</v>
          </cell>
          <cell r="P620">
            <v>179</v>
          </cell>
        </row>
        <row r="621">
          <cell r="B621" t="str">
            <v>1734-01</v>
          </cell>
          <cell r="C621" t="str">
            <v>RS RETAINER</v>
          </cell>
          <cell r="D621">
            <v>89.5</v>
          </cell>
          <cell r="N621" t="str">
            <v>1734-01</v>
          </cell>
          <cell r="O621" t="str">
            <v>RS RETAINER</v>
          </cell>
          <cell r="P621">
            <v>179</v>
          </cell>
        </row>
        <row r="622">
          <cell r="B622" t="str">
            <v>1734-02</v>
          </cell>
          <cell r="C622" t="str">
            <v>RS RETAINER</v>
          </cell>
          <cell r="D622">
            <v>89.5</v>
          </cell>
          <cell r="N622" t="str">
            <v>1734-02</v>
          </cell>
          <cell r="O622" t="str">
            <v>RS RETAINER</v>
          </cell>
          <cell r="P622">
            <v>179</v>
          </cell>
        </row>
        <row r="623">
          <cell r="B623" t="str">
            <v>1734-04</v>
          </cell>
          <cell r="C623" t="str">
            <v>RS RETAINER</v>
          </cell>
          <cell r="D623">
            <v>89.5</v>
          </cell>
          <cell r="N623" t="str">
            <v>1734-04</v>
          </cell>
          <cell r="O623" t="str">
            <v>RS RETAINER</v>
          </cell>
          <cell r="P623">
            <v>179</v>
          </cell>
        </row>
        <row r="624">
          <cell r="B624" t="str">
            <v>1792-01</v>
          </cell>
          <cell r="C624" t="str">
            <v>REB,RETAINER</v>
          </cell>
          <cell r="D624">
            <v>89</v>
          </cell>
          <cell r="N624" t="str">
            <v>1792-01</v>
          </cell>
          <cell r="O624" t="str">
            <v>REB,RETAINER</v>
          </cell>
          <cell r="P624">
            <v>178</v>
          </cell>
        </row>
        <row r="625">
          <cell r="B625" t="str">
            <v>1792-08</v>
          </cell>
          <cell r="C625" t="str">
            <v>REB,RETAINER</v>
          </cell>
          <cell r="D625">
            <v>89.5</v>
          </cell>
          <cell r="N625" t="str">
            <v>1792-08</v>
          </cell>
          <cell r="O625" t="str">
            <v>REB,RETAINER</v>
          </cell>
          <cell r="P625">
            <v>179</v>
          </cell>
        </row>
        <row r="626">
          <cell r="B626" t="str">
            <v>661-12</v>
          </cell>
          <cell r="C626" t="str">
            <v>BODY</v>
          </cell>
          <cell r="D626">
            <v>89.5</v>
          </cell>
          <cell r="N626" t="str">
            <v>661-12</v>
          </cell>
          <cell r="O626" t="str">
            <v>BODY</v>
          </cell>
          <cell r="P626">
            <v>179</v>
          </cell>
        </row>
        <row r="627">
          <cell r="B627" t="str">
            <v>785-02</v>
          </cell>
          <cell r="C627" t="str">
            <v>BODY</v>
          </cell>
          <cell r="D627">
            <v>87.5</v>
          </cell>
          <cell r="N627" t="str">
            <v>785-02</v>
          </cell>
          <cell r="O627" t="str">
            <v>BODY</v>
          </cell>
          <cell r="P627">
            <v>175</v>
          </cell>
        </row>
        <row r="628">
          <cell r="B628" t="str">
            <v>787-01</v>
          </cell>
          <cell r="C628" t="str">
            <v>BODY</v>
          </cell>
          <cell r="D628">
            <v>86</v>
          </cell>
          <cell r="N628" t="str">
            <v>787-01</v>
          </cell>
          <cell r="O628" t="str">
            <v>BODY</v>
          </cell>
          <cell r="P628">
            <v>172</v>
          </cell>
        </row>
        <row r="629">
          <cell r="B629" t="str">
            <v>853-25</v>
          </cell>
          <cell r="C629" t="str">
            <v>REB,RETAINER</v>
          </cell>
          <cell r="D629">
            <v>70</v>
          </cell>
          <cell r="N629" t="str">
            <v>853-25</v>
          </cell>
          <cell r="O629" t="str">
            <v>REB,RETAINER</v>
          </cell>
          <cell r="P629">
            <v>140</v>
          </cell>
        </row>
        <row r="630">
          <cell r="B630" t="str">
            <v>1098-01</v>
          </cell>
          <cell r="C630" t="str">
            <v>BASE VALVE</v>
          </cell>
          <cell r="D630">
            <v>90</v>
          </cell>
          <cell r="N630" t="str">
            <v>1098-01</v>
          </cell>
          <cell r="O630" t="str">
            <v>BASE VALVE</v>
          </cell>
          <cell r="P630">
            <v>180</v>
          </cell>
        </row>
        <row r="631">
          <cell r="B631" t="str">
            <v>1098-02</v>
          </cell>
          <cell r="C631" t="str">
            <v>BASE VALVE</v>
          </cell>
          <cell r="D631">
            <v>90</v>
          </cell>
          <cell r="N631" t="str">
            <v>1098-02</v>
          </cell>
          <cell r="O631" t="str">
            <v>BASE VALVE</v>
          </cell>
          <cell r="P631">
            <v>180</v>
          </cell>
        </row>
        <row r="632">
          <cell r="B632" t="str">
            <v>1098-03</v>
          </cell>
          <cell r="C632" t="str">
            <v>BASE VALVE</v>
          </cell>
          <cell r="D632">
            <v>90</v>
          </cell>
          <cell r="N632" t="str">
            <v>1098-03</v>
          </cell>
          <cell r="O632" t="str">
            <v>BASE VALVE</v>
          </cell>
          <cell r="P632">
            <v>180</v>
          </cell>
        </row>
        <row r="633">
          <cell r="B633" t="str">
            <v>1098-04</v>
          </cell>
          <cell r="C633" t="str">
            <v>BASE VALVE</v>
          </cell>
          <cell r="D633">
            <v>90</v>
          </cell>
          <cell r="N633" t="str">
            <v>1098-04</v>
          </cell>
          <cell r="O633" t="str">
            <v>BASE VALVE</v>
          </cell>
          <cell r="P633">
            <v>180</v>
          </cell>
        </row>
        <row r="634">
          <cell r="B634" t="str">
            <v>1098-05</v>
          </cell>
          <cell r="C634" t="str">
            <v>VALVE BOTTOM</v>
          </cell>
          <cell r="D634">
            <v>90</v>
          </cell>
          <cell r="N634" t="str">
            <v>1098-05</v>
          </cell>
          <cell r="O634" t="str">
            <v>VALVE BOTTOM</v>
          </cell>
          <cell r="P634">
            <v>180</v>
          </cell>
        </row>
        <row r="635">
          <cell r="B635" t="str">
            <v>1554-08</v>
          </cell>
          <cell r="C635" t="str">
            <v>RS RETAINER</v>
          </cell>
          <cell r="D635">
            <v>90</v>
          </cell>
          <cell r="N635" t="str">
            <v>1554-08</v>
          </cell>
          <cell r="O635" t="str">
            <v>RS RETAINER</v>
          </cell>
          <cell r="P635">
            <v>180</v>
          </cell>
        </row>
        <row r="636">
          <cell r="B636" t="str">
            <v>1554-14</v>
          </cell>
          <cell r="C636" t="str">
            <v>RS RETAINER</v>
          </cell>
          <cell r="D636">
            <v>89.5</v>
          </cell>
          <cell r="N636" t="str">
            <v>1554-14</v>
          </cell>
          <cell r="O636" t="str">
            <v>RS RETAINER</v>
          </cell>
          <cell r="P636">
            <v>179</v>
          </cell>
        </row>
        <row r="637">
          <cell r="B637" t="str">
            <v>1554-35</v>
          </cell>
          <cell r="C637" t="str">
            <v>RS RETAINER</v>
          </cell>
          <cell r="D637">
            <v>89.5</v>
          </cell>
          <cell r="N637" t="str">
            <v>1554-35</v>
          </cell>
          <cell r="O637" t="str">
            <v>RS RETAINER</v>
          </cell>
          <cell r="P637">
            <v>179</v>
          </cell>
        </row>
        <row r="638">
          <cell r="B638" t="str">
            <v>1611-00</v>
          </cell>
          <cell r="C638" t="str">
            <v>REB,RETAINER</v>
          </cell>
          <cell r="D638">
            <v>84.5</v>
          </cell>
          <cell r="N638" t="str">
            <v>1611-00</v>
          </cell>
          <cell r="O638" t="str">
            <v>REB,RETAINER</v>
          </cell>
          <cell r="P638">
            <v>169</v>
          </cell>
        </row>
        <row r="639">
          <cell r="B639" t="str">
            <v>1673-03</v>
          </cell>
          <cell r="C639" t="str">
            <v>RS RETAINER</v>
          </cell>
          <cell r="D639">
            <v>82.5</v>
          </cell>
          <cell r="N639" t="str">
            <v>1673-03</v>
          </cell>
          <cell r="O639" t="str">
            <v>RS RETAINER</v>
          </cell>
          <cell r="P639">
            <v>165</v>
          </cell>
        </row>
        <row r="640">
          <cell r="B640" t="str">
            <v>1673-03</v>
          </cell>
          <cell r="C640" t="str">
            <v>RS RETAINER</v>
          </cell>
          <cell r="D640">
            <v>82.5</v>
          </cell>
          <cell r="N640" t="str">
            <v>1673-03</v>
          </cell>
          <cell r="O640" t="str">
            <v>RS RETAINER</v>
          </cell>
          <cell r="P640">
            <v>165</v>
          </cell>
        </row>
        <row r="641">
          <cell r="B641" t="str">
            <v>1734-07</v>
          </cell>
          <cell r="C641" t="str">
            <v>RS RETAINER</v>
          </cell>
          <cell r="D641">
            <v>90</v>
          </cell>
          <cell r="N641" t="str">
            <v>1734-07</v>
          </cell>
          <cell r="O641" t="str">
            <v>RS RETAINER</v>
          </cell>
          <cell r="P641">
            <v>180</v>
          </cell>
        </row>
        <row r="642">
          <cell r="B642" t="str">
            <v>1792-08</v>
          </cell>
          <cell r="C642" t="str">
            <v>REB,RETAINER</v>
          </cell>
          <cell r="D642">
            <v>89.5</v>
          </cell>
          <cell r="N642" t="str">
            <v>1792-08</v>
          </cell>
          <cell r="O642" t="str">
            <v>REB,RETAINER</v>
          </cell>
          <cell r="P642">
            <v>179</v>
          </cell>
        </row>
        <row r="643">
          <cell r="B643" t="str">
            <v>1817-01</v>
          </cell>
          <cell r="C643" t="str">
            <v>REB,RETAINER</v>
          </cell>
          <cell r="D643">
            <v>90</v>
          </cell>
          <cell r="N643" t="str">
            <v>1817-01</v>
          </cell>
          <cell r="O643" t="str">
            <v>REB,RETAINER</v>
          </cell>
          <cell r="P643">
            <v>180</v>
          </cell>
        </row>
        <row r="644">
          <cell r="B644" t="str">
            <v>1818-00</v>
          </cell>
          <cell r="C644" t="str">
            <v>REB,RETAINER</v>
          </cell>
          <cell r="D644">
            <v>90</v>
          </cell>
          <cell r="N644" t="str">
            <v>1818-00</v>
          </cell>
          <cell r="O644" t="str">
            <v>REB,RETAINER</v>
          </cell>
          <cell r="P644">
            <v>180</v>
          </cell>
        </row>
        <row r="645">
          <cell r="B645" t="str">
            <v>1819-00</v>
          </cell>
          <cell r="C645" t="str">
            <v>REB,RETAINER</v>
          </cell>
          <cell r="D645">
            <v>90</v>
          </cell>
          <cell r="N645" t="str">
            <v>1819-00</v>
          </cell>
          <cell r="O645" t="str">
            <v>REB,RETAINER</v>
          </cell>
          <cell r="P645">
            <v>180</v>
          </cell>
        </row>
        <row r="646">
          <cell r="B646" t="str">
            <v>1820-01</v>
          </cell>
          <cell r="C646" t="str">
            <v>REB,RETAINER</v>
          </cell>
          <cell r="D646">
            <v>90</v>
          </cell>
          <cell r="N646" t="str">
            <v>1820-01</v>
          </cell>
          <cell r="O646" t="str">
            <v>REB,RETAINER</v>
          </cell>
          <cell r="P646">
            <v>180</v>
          </cell>
        </row>
        <row r="647">
          <cell r="B647" t="str">
            <v>1831-01</v>
          </cell>
          <cell r="C647" t="str">
            <v>BODY RETAINER</v>
          </cell>
          <cell r="D647">
            <v>90</v>
          </cell>
          <cell r="N647" t="str">
            <v>1831-01</v>
          </cell>
          <cell r="O647" t="str">
            <v>BODY RETAINER</v>
          </cell>
          <cell r="P647">
            <v>180</v>
          </cell>
        </row>
        <row r="648">
          <cell r="B648" t="str">
            <v>1831-07</v>
          </cell>
          <cell r="C648" t="str">
            <v>BODY RETAINER</v>
          </cell>
          <cell r="D648">
            <v>90</v>
          </cell>
          <cell r="N648" t="str">
            <v>1831-07</v>
          </cell>
          <cell r="O648" t="str">
            <v>BODY RETAINER</v>
          </cell>
          <cell r="P648">
            <v>180</v>
          </cell>
        </row>
        <row r="649">
          <cell r="B649" t="str">
            <v>1831-11</v>
          </cell>
          <cell r="C649" t="str">
            <v>BODY RETAINER</v>
          </cell>
          <cell r="D649">
            <v>90</v>
          </cell>
          <cell r="N649" t="str">
            <v>1831-11</v>
          </cell>
          <cell r="O649" t="str">
            <v>BODY RETAINER</v>
          </cell>
          <cell r="P649">
            <v>180</v>
          </cell>
        </row>
        <row r="650">
          <cell r="B650" t="str">
            <v>1831-13</v>
          </cell>
          <cell r="C650" t="str">
            <v>BODY RETAINER</v>
          </cell>
          <cell r="D650">
            <v>90</v>
          </cell>
          <cell r="N650" t="str">
            <v>1831-13</v>
          </cell>
          <cell r="O650" t="str">
            <v>BODY RETAINER</v>
          </cell>
          <cell r="P650">
            <v>180</v>
          </cell>
        </row>
        <row r="651">
          <cell r="B651" t="str">
            <v>2077-05</v>
          </cell>
          <cell r="C651" t="str">
            <v>BODY RETAINER</v>
          </cell>
          <cell r="D651">
            <v>88.5</v>
          </cell>
          <cell r="N651" t="str">
            <v>2077-05</v>
          </cell>
          <cell r="O651" t="str">
            <v>BODY RETAINER</v>
          </cell>
          <cell r="P651">
            <v>177</v>
          </cell>
        </row>
        <row r="652">
          <cell r="B652" t="str">
            <v>2077-09</v>
          </cell>
          <cell r="C652" t="str">
            <v>BODY RETAINER</v>
          </cell>
          <cell r="D652">
            <v>90</v>
          </cell>
          <cell r="N652" t="str">
            <v>2077-09</v>
          </cell>
          <cell r="O652" t="str">
            <v>BODY RETAINER</v>
          </cell>
          <cell r="P652">
            <v>180</v>
          </cell>
        </row>
        <row r="653">
          <cell r="B653" t="str">
            <v>449-00</v>
          </cell>
          <cell r="C653" t="str">
            <v>BODY</v>
          </cell>
          <cell r="D653">
            <v>67</v>
          </cell>
          <cell r="N653" t="str">
            <v>449-00</v>
          </cell>
          <cell r="O653" t="str">
            <v>BODY</v>
          </cell>
          <cell r="P653">
            <v>134</v>
          </cell>
        </row>
        <row r="654">
          <cell r="B654" t="str">
            <v>661-12</v>
          </cell>
          <cell r="C654" t="str">
            <v>BODY</v>
          </cell>
          <cell r="D654">
            <v>89.5</v>
          </cell>
          <cell r="N654" t="str">
            <v>661-12</v>
          </cell>
          <cell r="O654" t="str">
            <v>BODY</v>
          </cell>
          <cell r="P654">
            <v>179</v>
          </cell>
        </row>
        <row r="655">
          <cell r="B655" t="str">
            <v>674-04</v>
          </cell>
          <cell r="C655" t="str">
            <v>REB,RETAINER</v>
          </cell>
          <cell r="D655">
            <v>90</v>
          </cell>
          <cell r="N655" t="str">
            <v>674-04</v>
          </cell>
          <cell r="O655" t="str">
            <v>REB,RETAINER</v>
          </cell>
          <cell r="P655">
            <v>180</v>
          </cell>
        </row>
        <row r="656">
          <cell r="B656" t="str">
            <v>787-01</v>
          </cell>
          <cell r="C656" t="str">
            <v>BODY</v>
          </cell>
          <cell r="D656">
            <v>86</v>
          </cell>
          <cell r="N656" t="str">
            <v>787-01</v>
          </cell>
          <cell r="O656" t="str">
            <v>BODY</v>
          </cell>
          <cell r="P656">
            <v>172</v>
          </cell>
        </row>
        <row r="657">
          <cell r="B657" t="str">
            <v>861-08</v>
          </cell>
          <cell r="C657" t="str">
            <v>BODY</v>
          </cell>
          <cell r="D657">
            <v>90</v>
          </cell>
          <cell r="N657" t="str">
            <v>861-08</v>
          </cell>
          <cell r="O657" t="str">
            <v>BODY</v>
          </cell>
          <cell r="P657">
            <v>180</v>
          </cell>
        </row>
        <row r="658">
          <cell r="B658" t="str">
            <v>871-00</v>
          </cell>
          <cell r="C658" t="str">
            <v>SEAT DAMPER BODY</v>
          </cell>
          <cell r="D658">
            <v>61</v>
          </cell>
          <cell r="N658" t="str">
            <v>871-00</v>
          </cell>
          <cell r="O658" t="str">
            <v>SEAT DAMPER BODY</v>
          </cell>
          <cell r="P658">
            <v>122</v>
          </cell>
        </row>
        <row r="659">
          <cell r="B659" t="str">
            <v>1481-03</v>
          </cell>
          <cell r="C659" t="str">
            <v>RS RETAINER</v>
          </cell>
          <cell r="D659">
            <v>90.5</v>
          </cell>
          <cell r="N659" t="str">
            <v>1481-03</v>
          </cell>
          <cell r="O659" t="str">
            <v>RS RETAINER</v>
          </cell>
          <cell r="P659">
            <v>181</v>
          </cell>
        </row>
        <row r="660">
          <cell r="B660" t="str">
            <v>1554-08</v>
          </cell>
          <cell r="C660" t="str">
            <v>RS RETAINER</v>
          </cell>
          <cell r="D660">
            <v>90</v>
          </cell>
          <cell r="N660" t="str">
            <v>1554-08</v>
          </cell>
          <cell r="O660" t="str">
            <v>RS RETAINER</v>
          </cell>
          <cell r="P660">
            <v>180</v>
          </cell>
        </row>
        <row r="661">
          <cell r="B661" t="str">
            <v>1554-10</v>
          </cell>
          <cell r="C661" t="str">
            <v>RS RETAINER</v>
          </cell>
          <cell r="D661">
            <v>87</v>
          </cell>
          <cell r="N661" t="str">
            <v>1554-10</v>
          </cell>
          <cell r="O661" t="str">
            <v>RS RETAINER</v>
          </cell>
          <cell r="P661">
            <v>174</v>
          </cell>
        </row>
        <row r="662">
          <cell r="B662" t="str">
            <v>1610-04</v>
          </cell>
          <cell r="C662" t="str">
            <v>RS RETAINER</v>
          </cell>
          <cell r="D662">
            <v>87.5</v>
          </cell>
          <cell r="N662" t="str">
            <v>1610-04</v>
          </cell>
          <cell r="O662" t="str">
            <v>RS RETAINER</v>
          </cell>
          <cell r="P662">
            <v>175</v>
          </cell>
        </row>
        <row r="663">
          <cell r="B663" t="str">
            <v>1634-04</v>
          </cell>
          <cell r="C663" t="str">
            <v>RS RETAINER</v>
          </cell>
          <cell r="D663">
            <v>89.5</v>
          </cell>
          <cell r="N663" t="str">
            <v>1634-04</v>
          </cell>
          <cell r="O663" t="str">
            <v>RS RETAINER</v>
          </cell>
          <cell r="P663">
            <v>179</v>
          </cell>
        </row>
        <row r="664">
          <cell r="B664" t="str">
            <v>1634-05</v>
          </cell>
          <cell r="C664" t="str">
            <v>RS RETAINER</v>
          </cell>
          <cell r="D664">
            <v>89.5</v>
          </cell>
          <cell r="N664" t="str">
            <v>1634-05</v>
          </cell>
          <cell r="O664" t="str">
            <v>RS RETAINER</v>
          </cell>
          <cell r="P664">
            <v>179</v>
          </cell>
        </row>
        <row r="665">
          <cell r="B665" t="str">
            <v>1634-10</v>
          </cell>
          <cell r="C665" t="str">
            <v>RS RETAINER</v>
          </cell>
          <cell r="D665">
            <v>90.5</v>
          </cell>
          <cell r="N665" t="str">
            <v>1634-10</v>
          </cell>
          <cell r="O665" t="str">
            <v>RS RETAINER</v>
          </cell>
          <cell r="P665">
            <v>181</v>
          </cell>
        </row>
        <row r="666">
          <cell r="B666" t="str">
            <v>1634-26</v>
          </cell>
          <cell r="C666" t="str">
            <v>RS RETAINER</v>
          </cell>
          <cell r="D666">
            <v>90.5</v>
          </cell>
          <cell r="N666" t="str">
            <v>1634-26</v>
          </cell>
          <cell r="O666" t="str">
            <v>RS RETAINER</v>
          </cell>
          <cell r="P666">
            <v>181</v>
          </cell>
        </row>
        <row r="667">
          <cell r="B667" t="str">
            <v>1634-32</v>
          </cell>
          <cell r="C667" t="str">
            <v>RS RETAINER</v>
          </cell>
          <cell r="D667">
            <v>90.5</v>
          </cell>
          <cell r="N667" t="str">
            <v>1634-32</v>
          </cell>
          <cell r="O667" t="str">
            <v>RS RETAINER</v>
          </cell>
          <cell r="P667">
            <v>181</v>
          </cell>
        </row>
        <row r="668">
          <cell r="B668" t="str">
            <v>1634-34</v>
          </cell>
          <cell r="C668" t="str">
            <v>RS RETAINER</v>
          </cell>
          <cell r="D668">
            <v>89.5</v>
          </cell>
          <cell r="N668" t="str">
            <v>1634-34</v>
          </cell>
          <cell r="O668" t="str">
            <v>RS RETAINER</v>
          </cell>
          <cell r="P668">
            <v>179</v>
          </cell>
        </row>
        <row r="669">
          <cell r="B669" t="str">
            <v>1734-01</v>
          </cell>
          <cell r="C669" t="str">
            <v>RS RETAINER</v>
          </cell>
          <cell r="D669">
            <v>89.5</v>
          </cell>
          <cell r="N669" t="str">
            <v>1734-01</v>
          </cell>
          <cell r="O669" t="str">
            <v>RS RETAINER</v>
          </cell>
          <cell r="P669">
            <v>179</v>
          </cell>
        </row>
        <row r="670">
          <cell r="B670" t="str">
            <v>1734-02</v>
          </cell>
          <cell r="C670" t="str">
            <v>RS RETAINER</v>
          </cell>
          <cell r="D670">
            <v>89.5</v>
          </cell>
          <cell r="N670" t="str">
            <v>1734-02</v>
          </cell>
          <cell r="O670" t="str">
            <v>RS RETAINER</v>
          </cell>
          <cell r="P670">
            <v>179</v>
          </cell>
        </row>
        <row r="671">
          <cell r="B671" t="str">
            <v>1734-07</v>
          </cell>
          <cell r="C671" t="str">
            <v>RS RETAINER</v>
          </cell>
          <cell r="D671">
            <v>90</v>
          </cell>
          <cell r="N671" t="str">
            <v>1734-07</v>
          </cell>
          <cell r="O671" t="str">
            <v>RS RETAINER</v>
          </cell>
          <cell r="P671">
            <v>180</v>
          </cell>
        </row>
        <row r="672">
          <cell r="B672" t="str">
            <v>1832-02</v>
          </cell>
          <cell r="C672" t="str">
            <v>BODY RETAINER</v>
          </cell>
          <cell r="D672">
            <v>90.5</v>
          </cell>
          <cell r="N672" t="str">
            <v>1832-02</v>
          </cell>
          <cell r="O672" t="str">
            <v>BODY RETAINER</v>
          </cell>
          <cell r="P672">
            <v>181</v>
          </cell>
        </row>
        <row r="673">
          <cell r="B673" t="str">
            <v>1832-06</v>
          </cell>
          <cell r="C673" t="str">
            <v>BODY RETAINER</v>
          </cell>
          <cell r="D673">
            <v>90.5</v>
          </cell>
          <cell r="N673" t="str">
            <v>1832-06</v>
          </cell>
          <cell r="O673" t="str">
            <v>BODY RETAINER</v>
          </cell>
          <cell r="P673">
            <v>181</v>
          </cell>
        </row>
        <row r="674">
          <cell r="B674" t="str">
            <v>1832-09</v>
          </cell>
          <cell r="C674" t="str">
            <v>BODY RETAINER</v>
          </cell>
          <cell r="D674">
            <v>90.5</v>
          </cell>
          <cell r="N674" t="str">
            <v>1832-09</v>
          </cell>
          <cell r="O674" t="str">
            <v>BODY RETAINER</v>
          </cell>
          <cell r="P674">
            <v>181</v>
          </cell>
        </row>
        <row r="675">
          <cell r="B675" t="str">
            <v>1843-04</v>
          </cell>
          <cell r="C675" t="str">
            <v>RS RETAINER</v>
          </cell>
          <cell r="D675">
            <v>90.5</v>
          </cell>
          <cell r="N675" t="str">
            <v>1843-04</v>
          </cell>
          <cell r="O675" t="str">
            <v>RS RETAINER</v>
          </cell>
          <cell r="P675">
            <v>181</v>
          </cell>
        </row>
        <row r="676">
          <cell r="B676" t="str">
            <v>1843-10</v>
          </cell>
          <cell r="C676" t="str">
            <v>RS RETAINER</v>
          </cell>
          <cell r="D676">
            <v>90.5</v>
          </cell>
          <cell r="N676" t="str">
            <v>1843-10</v>
          </cell>
          <cell r="O676" t="str">
            <v>RS RETAINER</v>
          </cell>
          <cell r="P676">
            <v>181</v>
          </cell>
        </row>
        <row r="677">
          <cell r="B677" t="str">
            <v>1852-01</v>
          </cell>
          <cell r="C677" t="str">
            <v>RS RETAINER</v>
          </cell>
          <cell r="D677">
            <v>90.5</v>
          </cell>
          <cell r="N677" t="str">
            <v>1852-01</v>
          </cell>
          <cell r="O677" t="str">
            <v>RS RETAINER</v>
          </cell>
          <cell r="P677">
            <v>181</v>
          </cell>
        </row>
        <row r="678">
          <cell r="B678" t="str">
            <v>494-07</v>
          </cell>
          <cell r="C678" t="str">
            <v>REB,RETAINER</v>
          </cell>
          <cell r="D678">
            <v>48</v>
          </cell>
          <cell r="N678" t="str">
            <v>494-07</v>
          </cell>
          <cell r="O678" t="str">
            <v>REB,RETAINER</v>
          </cell>
          <cell r="P678">
            <v>96</v>
          </cell>
        </row>
        <row r="679">
          <cell r="B679" t="str">
            <v>579-00</v>
          </cell>
          <cell r="C679" t="str">
            <v>HEAD</v>
          </cell>
          <cell r="D679">
            <v>108.6</v>
          </cell>
          <cell r="N679" t="str">
            <v>579-00</v>
          </cell>
          <cell r="O679" t="str">
            <v>HEAD</v>
          </cell>
          <cell r="P679">
            <v>181</v>
          </cell>
        </row>
        <row r="680">
          <cell r="B680" t="str">
            <v>588-17</v>
          </cell>
          <cell r="C680" t="str">
            <v>PISTON</v>
          </cell>
          <cell r="D680">
            <v>90.5</v>
          </cell>
          <cell r="N680" t="str">
            <v>588-17</v>
          </cell>
          <cell r="O680" t="str">
            <v>PISTON</v>
          </cell>
          <cell r="P680">
            <v>181</v>
          </cell>
        </row>
        <row r="681">
          <cell r="B681" t="str">
            <v>786-07</v>
          </cell>
          <cell r="C681" t="str">
            <v>BODY</v>
          </cell>
          <cell r="D681">
            <v>89</v>
          </cell>
          <cell r="N681" t="str">
            <v>786-07</v>
          </cell>
          <cell r="O681" t="str">
            <v>BODY</v>
          </cell>
          <cell r="P681">
            <v>178</v>
          </cell>
        </row>
        <row r="682">
          <cell r="B682" t="str">
            <v>1254-00</v>
          </cell>
          <cell r="C682" t="str">
            <v>BLOCK</v>
          </cell>
          <cell r="D682">
            <v>109.2</v>
          </cell>
          <cell r="N682" t="str">
            <v>1254-00</v>
          </cell>
          <cell r="O682" t="str">
            <v>BLOCK</v>
          </cell>
          <cell r="P682">
            <v>182</v>
          </cell>
        </row>
        <row r="683">
          <cell r="B683" t="str">
            <v>1290-02</v>
          </cell>
          <cell r="C683" t="str">
            <v>PILOT CASE</v>
          </cell>
          <cell r="D683">
            <v>91</v>
          </cell>
          <cell r="N683" t="str">
            <v>1290-02</v>
          </cell>
          <cell r="O683" t="str">
            <v>PILOT CASE</v>
          </cell>
          <cell r="P683">
            <v>182</v>
          </cell>
        </row>
        <row r="684">
          <cell r="B684" t="str">
            <v>1554-33</v>
          </cell>
          <cell r="C684" t="str">
            <v>RS RETAINER</v>
          </cell>
          <cell r="D684">
            <v>87.5</v>
          </cell>
          <cell r="N684" t="str">
            <v>1554-33</v>
          </cell>
          <cell r="O684" t="str">
            <v>RS RETAINER</v>
          </cell>
          <cell r="P684">
            <v>175</v>
          </cell>
        </row>
        <row r="685">
          <cell r="B685" t="str">
            <v>1634-06</v>
          </cell>
          <cell r="C685" t="str">
            <v>RS RETAINER</v>
          </cell>
          <cell r="D685">
            <v>91</v>
          </cell>
          <cell r="N685" t="str">
            <v>1634-06</v>
          </cell>
          <cell r="O685" t="str">
            <v>RS RETAINER</v>
          </cell>
          <cell r="P685">
            <v>182</v>
          </cell>
        </row>
        <row r="686">
          <cell r="B686" t="str">
            <v>1634-23</v>
          </cell>
          <cell r="C686" t="str">
            <v>RS RETAINER</v>
          </cell>
          <cell r="D686">
            <v>91</v>
          </cell>
          <cell r="N686" t="str">
            <v>1634-23</v>
          </cell>
          <cell r="O686" t="str">
            <v>RS RETAINER</v>
          </cell>
          <cell r="P686">
            <v>182</v>
          </cell>
        </row>
        <row r="687">
          <cell r="B687" t="str">
            <v>1634-27</v>
          </cell>
          <cell r="C687" t="str">
            <v>RS RETAINER</v>
          </cell>
          <cell r="D687">
            <v>91</v>
          </cell>
          <cell r="N687" t="str">
            <v>1634-27</v>
          </cell>
          <cell r="O687" t="str">
            <v>RS RETAINER</v>
          </cell>
          <cell r="P687">
            <v>182</v>
          </cell>
        </row>
        <row r="688">
          <cell r="B688" t="str">
            <v>1634-30</v>
          </cell>
          <cell r="C688" t="str">
            <v>RS RETAINER</v>
          </cell>
          <cell r="D688">
            <v>91</v>
          </cell>
          <cell r="N688" t="str">
            <v>1634-30</v>
          </cell>
          <cell r="O688" t="str">
            <v>RS RETAINER</v>
          </cell>
          <cell r="P688">
            <v>182</v>
          </cell>
        </row>
        <row r="689">
          <cell r="B689" t="str">
            <v>1634-32</v>
          </cell>
          <cell r="C689" t="str">
            <v>RS RETAINER</v>
          </cell>
          <cell r="D689">
            <v>90.5</v>
          </cell>
          <cell r="N689" t="str">
            <v>1634-32</v>
          </cell>
          <cell r="O689" t="str">
            <v>RS RETAINER</v>
          </cell>
          <cell r="P689">
            <v>181</v>
          </cell>
        </row>
        <row r="690">
          <cell r="B690" t="str">
            <v>1634-41</v>
          </cell>
          <cell r="C690" t="str">
            <v>RS RETAINER</v>
          </cell>
          <cell r="D690">
            <v>91</v>
          </cell>
          <cell r="N690" t="str">
            <v>1634-41</v>
          </cell>
          <cell r="O690" t="str">
            <v>RS RETAINER</v>
          </cell>
          <cell r="P690">
            <v>182</v>
          </cell>
        </row>
        <row r="691">
          <cell r="B691" t="str">
            <v>1780-04</v>
          </cell>
          <cell r="C691" t="str">
            <v>RS RETAINER</v>
          </cell>
          <cell r="D691">
            <v>91</v>
          </cell>
          <cell r="N691" t="str">
            <v>1780-04</v>
          </cell>
          <cell r="O691" t="str">
            <v>RS RETAINER</v>
          </cell>
          <cell r="P691">
            <v>182</v>
          </cell>
        </row>
        <row r="692">
          <cell r="B692" t="str">
            <v>588-20</v>
          </cell>
          <cell r="C692" t="str">
            <v>PISTON</v>
          </cell>
          <cell r="D692">
            <v>91</v>
          </cell>
          <cell r="N692" t="str">
            <v>588-20</v>
          </cell>
          <cell r="O692" t="str">
            <v>PISTON</v>
          </cell>
          <cell r="P692">
            <v>182</v>
          </cell>
        </row>
        <row r="693">
          <cell r="B693" t="str">
            <v>749-12</v>
          </cell>
          <cell r="C693" t="str">
            <v>REB,RETAINER</v>
          </cell>
          <cell r="D693">
            <v>91</v>
          </cell>
          <cell r="N693" t="str">
            <v>749-12</v>
          </cell>
          <cell r="O693" t="str">
            <v>REB,RETAINER</v>
          </cell>
          <cell r="P693">
            <v>182</v>
          </cell>
        </row>
        <row r="694">
          <cell r="B694" t="str">
            <v>853-41</v>
          </cell>
          <cell r="C694" t="str">
            <v>REB,RETAINER</v>
          </cell>
          <cell r="D694">
            <v>86.5</v>
          </cell>
          <cell r="N694" t="str">
            <v>853-41</v>
          </cell>
          <cell r="O694" t="str">
            <v>REB,RETAINER</v>
          </cell>
          <cell r="P694">
            <v>173</v>
          </cell>
        </row>
        <row r="695">
          <cell r="B695" t="str">
            <v>861-07</v>
          </cell>
          <cell r="C695" t="str">
            <v>BODY</v>
          </cell>
          <cell r="D695">
            <v>84</v>
          </cell>
          <cell r="N695" t="str">
            <v>861-07</v>
          </cell>
          <cell r="O695" t="str">
            <v>BODY</v>
          </cell>
          <cell r="P695">
            <v>168</v>
          </cell>
        </row>
        <row r="696">
          <cell r="B696" t="str">
            <v>861-15</v>
          </cell>
          <cell r="C696" t="str">
            <v>BODY</v>
          </cell>
          <cell r="D696">
            <v>91</v>
          </cell>
          <cell r="N696" t="str">
            <v>861-15</v>
          </cell>
          <cell r="O696" t="str">
            <v>BODY</v>
          </cell>
          <cell r="P696">
            <v>182</v>
          </cell>
        </row>
        <row r="697">
          <cell r="B697" t="str">
            <v>861-18</v>
          </cell>
          <cell r="C697" t="str">
            <v>BODY</v>
          </cell>
          <cell r="D697">
            <v>91</v>
          </cell>
          <cell r="N697" t="str">
            <v>861-18</v>
          </cell>
          <cell r="O697" t="str">
            <v>BODY</v>
          </cell>
          <cell r="P697">
            <v>182</v>
          </cell>
        </row>
        <row r="698">
          <cell r="B698" t="str">
            <v>1290-01</v>
          </cell>
          <cell r="C698" t="str">
            <v>PILOT CASE</v>
          </cell>
          <cell r="D698">
            <v>91.5</v>
          </cell>
          <cell r="N698" t="str">
            <v>1290-01</v>
          </cell>
          <cell r="O698" t="str">
            <v>PILOT CASE</v>
          </cell>
          <cell r="P698">
            <v>183</v>
          </cell>
        </row>
        <row r="699">
          <cell r="B699" t="str">
            <v>1291-02</v>
          </cell>
          <cell r="C699" t="str">
            <v>PILOT CASE</v>
          </cell>
          <cell r="D699">
            <v>87</v>
          </cell>
          <cell r="N699" t="str">
            <v>1291-02</v>
          </cell>
          <cell r="O699" t="str">
            <v>PILOT CASE</v>
          </cell>
          <cell r="P699">
            <v>174</v>
          </cell>
        </row>
        <row r="700">
          <cell r="B700" t="str">
            <v>1291-02</v>
          </cell>
          <cell r="C700" t="str">
            <v>PILOT CASE</v>
          </cell>
          <cell r="D700">
            <v>87</v>
          </cell>
          <cell r="N700" t="str">
            <v>1291-02</v>
          </cell>
          <cell r="O700" t="str">
            <v>PILOT CASE</v>
          </cell>
          <cell r="P700">
            <v>174</v>
          </cell>
        </row>
        <row r="701">
          <cell r="B701" t="str">
            <v>1611-00</v>
          </cell>
          <cell r="C701" t="str">
            <v>REB,RETAINER</v>
          </cell>
          <cell r="D701">
            <v>84.5</v>
          </cell>
          <cell r="N701" t="str">
            <v>1611-00</v>
          </cell>
          <cell r="O701" t="str">
            <v>REB,RETAINER</v>
          </cell>
          <cell r="P701">
            <v>169</v>
          </cell>
        </row>
        <row r="702">
          <cell r="B702" t="str">
            <v>1734-08</v>
          </cell>
          <cell r="C702" t="str">
            <v>RS RETAINER</v>
          </cell>
          <cell r="D702">
            <v>91.5</v>
          </cell>
          <cell r="N702" t="str">
            <v>1734-08</v>
          </cell>
          <cell r="O702" t="str">
            <v>RS RETAINER</v>
          </cell>
          <cell r="P702">
            <v>183</v>
          </cell>
        </row>
        <row r="703">
          <cell r="B703" t="str">
            <v>1831-08</v>
          </cell>
          <cell r="C703" t="str">
            <v>BODY RETAINER</v>
          </cell>
          <cell r="D703">
            <v>91.5</v>
          </cell>
          <cell r="N703" t="str">
            <v>1831-08</v>
          </cell>
          <cell r="O703" t="str">
            <v>BODY RETAINER</v>
          </cell>
          <cell r="P703">
            <v>183</v>
          </cell>
        </row>
        <row r="704">
          <cell r="B704" t="str">
            <v>1858-00</v>
          </cell>
          <cell r="C704" t="str">
            <v>SUN GEAR</v>
          </cell>
          <cell r="D704">
            <v>109.8</v>
          </cell>
          <cell r="N704" t="str">
            <v>1858-00</v>
          </cell>
          <cell r="O704" t="str">
            <v>SUN GEAR</v>
          </cell>
          <cell r="P704">
            <v>183</v>
          </cell>
        </row>
        <row r="705">
          <cell r="B705" t="str">
            <v>661-04</v>
          </cell>
          <cell r="C705" t="str">
            <v>BODY</v>
          </cell>
          <cell r="D705">
            <v>91.5</v>
          </cell>
          <cell r="N705" t="str">
            <v>661-04</v>
          </cell>
          <cell r="O705" t="str">
            <v>BODY</v>
          </cell>
          <cell r="P705">
            <v>183</v>
          </cell>
        </row>
        <row r="706">
          <cell r="B706" t="str">
            <v>786-03</v>
          </cell>
          <cell r="C706" t="str">
            <v>BODY</v>
          </cell>
          <cell r="D706">
            <v>82</v>
          </cell>
          <cell r="N706" t="str">
            <v>786-03</v>
          </cell>
          <cell r="O706" t="str">
            <v>BODY</v>
          </cell>
          <cell r="P706">
            <v>164</v>
          </cell>
        </row>
        <row r="707">
          <cell r="B707" t="str">
            <v>853-32</v>
          </cell>
          <cell r="C707" t="str">
            <v>REB,RETAINER</v>
          </cell>
          <cell r="D707">
            <v>91.5</v>
          </cell>
          <cell r="N707" t="str">
            <v>853-32</v>
          </cell>
          <cell r="O707" t="str">
            <v>REB,RETAINER</v>
          </cell>
          <cell r="P707">
            <v>183</v>
          </cell>
        </row>
        <row r="708">
          <cell r="B708" t="str">
            <v>853-33</v>
          </cell>
          <cell r="C708" t="str">
            <v>REB,RETAINER</v>
          </cell>
          <cell r="D708">
            <v>91.5</v>
          </cell>
          <cell r="N708" t="str">
            <v>853-33</v>
          </cell>
          <cell r="O708" t="str">
            <v>REB,RETAINER</v>
          </cell>
          <cell r="P708">
            <v>183</v>
          </cell>
        </row>
        <row r="709">
          <cell r="B709" t="str">
            <v>1481-01</v>
          </cell>
          <cell r="C709" t="str">
            <v>RS RETAINER</v>
          </cell>
          <cell r="D709">
            <v>92</v>
          </cell>
          <cell r="N709" t="str">
            <v>1481-01</v>
          </cell>
          <cell r="O709" t="str">
            <v>RS RETAINER</v>
          </cell>
          <cell r="P709">
            <v>184</v>
          </cell>
        </row>
        <row r="710">
          <cell r="B710" t="str">
            <v>1554-02</v>
          </cell>
          <cell r="C710" t="str">
            <v>RS RETAINER</v>
          </cell>
          <cell r="D710">
            <v>87.5</v>
          </cell>
          <cell r="N710" t="str">
            <v>1554-02</v>
          </cell>
          <cell r="O710" t="str">
            <v>RS RETAINER</v>
          </cell>
          <cell r="P710">
            <v>175</v>
          </cell>
        </row>
        <row r="711">
          <cell r="B711" t="str">
            <v>1554-02</v>
          </cell>
          <cell r="C711" t="str">
            <v>RS RETAINER</v>
          </cell>
          <cell r="D711">
            <v>87.5</v>
          </cell>
          <cell r="N711" t="str">
            <v>1554-02</v>
          </cell>
          <cell r="O711" t="str">
            <v>RS RETAINER</v>
          </cell>
          <cell r="P711">
            <v>175</v>
          </cell>
        </row>
        <row r="712">
          <cell r="B712" t="str">
            <v>1554-02</v>
          </cell>
          <cell r="C712" t="str">
            <v>RS RETAINER</v>
          </cell>
          <cell r="D712">
            <v>87.5</v>
          </cell>
          <cell r="N712" t="str">
            <v>1554-02</v>
          </cell>
          <cell r="O712" t="str">
            <v>RS RETAINER</v>
          </cell>
          <cell r="P712">
            <v>175</v>
          </cell>
        </row>
        <row r="713">
          <cell r="B713" t="str">
            <v>1554-03</v>
          </cell>
          <cell r="C713" t="str">
            <v>RS RETAINER</v>
          </cell>
          <cell r="D713">
            <v>87.5</v>
          </cell>
          <cell r="N713" t="str">
            <v>1554-03</v>
          </cell>
          <cell r="O713" t="str">
            <v>RS RETAINER</v>
          </cell>
          <cell r="P713">
            <v>175</v>
          </cell>
        </row>
        <row r="714">
          <cell r="B714" t="str">
            <v>1554-03</v>
          </cell>
          <cell r="C714" t="str">
            <v>RS RETAINER</v>
          </cell>
          <cell r="D714">
            <v>87.5</v>
          </cell>
          <cell r="N714" t="str">
            <v>1554-03</v>
          </cell>
          <cell r="O714" t="str">
            <v>RS RETAINER</v>
          </cell>
          <cell r="P714">
            <v>175</v>
          </cell>
        </row>
        <row r="715">
          <cell r="B715" t="str">
            <v>1554-03</v>
          </cell>
          <cell r="C715" t="str">
            <v>RS RETAINER</v>
          </cell>
          <cell r="D715">
            <v>87.5</v>
          </cell>
          <cell r="N715" t="str">
            <v>1554-03</v>
          </cell>
          <cell r="O715" t="str">
            <v>RS RETAINER</v>
          </cell>
          <cell r="P715">
            <v>175</v>
          </cell>
        </row>
        <row r="716">
          <cell r="B716" t="str">
            <v>1554-03</v>
          </cell>
          <cell r="C716" t="str">
            <v>RS RETAINER</v>
          </cell>
          <cell r="D716">
            <v>87.5</v>
          </cell>
          <cell r="N716" t="str">
            <v>1554-03</v>
          </cell>
          <cell r="O716" t="str">
            <v>RS RETAINER</v>
          </cell>
          <cell r="P716">
            <v>175</v>
          </cell>
        </row>
        <row r="717">
          <cell r="B717" t="str">
            <v>1554-03</v>
          </cell>
          <cell r="C717" t="str">
            <v>RS RETAINER</v>
          </cell>
          <cell r="D717">
            <v>87.5</v>
          </cell>
          <cell r="N717" t="str">
            <v>1554-03</v>
          </cell>
          <cell r="O717" t="str">
            <v>RS RETAINER</v>
          </cell>
          <cell r="P717">
            <v>175</v>
          </cell>
        </row>
        <row r="718">
          <cell r="B718" t="str">
            <v>1554-03</v>
          </cell>
          <cell r="C718" t="str">
            <v>RS RETAINER</v>
          </cell>
          <cell r="D718">
            <v>87.5</v>
          </cell>
          <cell r="N718" t="str">
            <v>1554-03</v>
          </cell>
          <cell r="O718" t="str">
            <v>RS RETAINER</v>
          </cell>
          <cell r="P718">
            <v>175</v>
          </cell>
        </row>
        <row r="719">
          <cell r="B719" t="str">
            <v>1554-03</v>
          </cell>
          <cell r="C719" t="str">
            <v>RS RETAINER</v>
          </cell>
          <cell r="D719">
            <v>87.5</v>
          </cell>
          <cell r="N719" t="str">
            <v>1554-03</v>
          </cell>
          <cell r="O719" t="str">
            <v>RS RETAINER</v>
          </cell>
          <cell r="P719">
            <v>175</v>
          </cell>
        </row>
        <row r="720">
          <cell r="B720" t="str">
            <v>1554-07</v>
          </cell>
          <cell r="C720" t="str">
            <v>RS RETAINER</v>
          </cell>
          <cell r="D720">
            <v>87.5</v>
          </cell>
          <cell r="N720" t="str">
            <v>1554-07</v>
          </cell>
          <cell r="O720" t="str">
            <v>RS RETAINER</v>
          </cell>
          <cell r="P720">
            <v>175</v>
          </cell>
        </row>
        <row r="721">
          <cell r="B721" t="str">
            <v>1554-09</v>
          </cell>
          <cell r="C721" t="str">
            <v>RS RETAINER</v>
          </cell>
          <cell r="D721">
            <v>87.5</v>
          </cell>
          <cell r="N721" t="str">
            <v>1554-09</v>
          </cell>
          <cell r="O721" t="str">
            <v>RS RETAINER</v>
          </cell>
          <cell r="P721">
            <v>175</v>
          </cell>
        </row>
        <row r="722">
          <cell r="B722" t="str">
            <v>1554-10</v>
          </cell>
          <cell r="C722" t="str">
            <v>RS RETAINER</v>
          </cell>
          <cell r="D722">
            <v>87</v>
          </cell>
          <cell r="N722" t="str">
            <v>1554-10</v>
          </cell>
          <cell r="O722" t="str">
            <v>RS RETAINER</v>
          </cell>
          <cell r="P722">
            <v>174</v>
          </cell>
        </row>
        <row r="723">
          <cell r="B723" t="str">
            <v>1554-10</v>
          </cell>
          <cell r="C723" t="str">
            <v>RS RETAINER</v>
          </cell>
          <cell r="D723">
            <v>87</v>
          </cell>
          <cell r="N723" t="str">
            <v>1554-10</v>
          </cell>
          <cell r="O723" t="str">
            <v>RS RETAINER</v>
          </cell>
          <cell r="P723">
            <v>174</v>
          </cell>
        </row>
        <row r="724">
          <cell r="B724" t="str">
            <v>1554-10</v>
          </cell>
          <cell r="C724" t="str">
            <v>RS RETAINER</v>
          </cell>
          <cell r="D724">
            <v>87</v>
          </cell>
          <cell r="N724" t="str">
            <v>1554-10</v>
          </cell>
          <cell r="O724" t="str">
            <v>RS RETAINER</v>
          </cell>
          <cell r="P724">
            <v>174</v>
          </cell>
        </row>
        <row r="725">
          <cell r="B725" t="str">
            <v>1554-10</v>
          </cell>
          <cell r="C725" t="str">
            <v>RS RETAINER</v>
          </cell>
          <cell r="D725">
            <v>87</v>
          </cell>
          <cell r="N725" t="str">
            <v>1554-10</v>
          </cell>
          <cell r="O725" t="str">
            <v>RS RETAINER</v>
          </cell>
          <cell r="P725">
            <v>174</v>
          </cell>
        </row>
        <row r="726">
          <cell r="B726" t="str">
            <v>1554-10</v>
          </cell>
          <cell r="C726" t="str">
            <v>RS RETAINER</v>
          </cell>
          <cell r="D726">
            <v>87</v>
          </cell>
          <cell r="N726" t="str">
            <v>1554-10</v>
          </cell>
          <cell r="O726" t="str">
            <v>RS RETAINER</v>
          </cell>
          <cell r="P726">
            <v>174</v>
          </cell>
        </row>
        <row r="727">
          <cell r="B727" t="str">
            <v>1554-17</v>
          </cell>
          <cell r="C727" t="str">
            <v>RS RETAINER</v>
          </cell>
          <cell r="D727">
            <v>88</v>
          </cell>
          <cell r="N727" t="str">
            <v>1554-17</v>
          </cell>
          <cell r="O727" t="str">
            <v>RS RETAINER</v>
          </cell>
          <cell r="P727">
            <v>176</v>
          </cell>
        </row>
        <row r="728">
          <cell r="B728" t="str">
            <v>1554-18</v>
          </cell>
          <cell r="C728" t="str">
            <v>RS RETAINER</v>
          </cell>
          <cell r="D728">
            <v>87.5</v>
          </cell>
          <cell r="N728" t="str">
            <v>1554-18</v>
          </cell>
          <cell r="O728" t="str">
            <v>RS RETAINER</v>
          </cell>
          <cell r="P728">
            <v>175</v>
          </cell>
        </row>
        <row r="729">
          <cell r="B729" t="str">
            <v>1554-18</v>
          </cell>
          <cell r="C729" t="str">
            <v>RS RETAINER</v>
          </cell>
          <cell r="D729">
            <v>87.5</v>
          </cell>
          <cell r="N729" t="str">
            <v>1554-18</v>
          </cell>
          <cell r="O729" t="str">
            <v>RS RETAINER</v>
          </cell>
          <cell r="P729">
            <v>175</v>
          </cell>
        </row>
        <row r="730">
          <cell r="B730" t="str">
            <v>1554-23</v>
          </cell>
          <cell r="C730" t="str">
            <v>RS RETAINER</v>
          </cell>
          <cell r="D730">
            <v>87.5</v>
          </cell>
          <cell r="N730" t="str">
            <v>1554-23</v>
          </cell>
          <cell r="O730" t="str">
            <v>RS RETAINER</v>
          </cell>
          <cell r="P730">
            <v>175</v>
          </cell>
        </row>
        <row r="731">
          <cell r="B731" t="str">
            <v>1554-26</v>
          </cell>
          <cell r="C731" t="str">
            <v>RS RETAINER</v>
          </cell>
          <cell r="D731">
            <v>87.5</v>
          </cell>
          <cell r="N731" t="str">
            <v>1554-26</v>
          </cell>
          <cell r="O731" t="str">
            <v>RS RETAINER</v>
          </cell>
          <cell r="P731">
            <v>175</v>
          </cell>
        </row>
        <row r="732">
          <cell r="B732" t="str">
            <v>1554-26</v>
          </cell>
          <cell r="C732" t="str">
            <v>RS RETAINER</v>
          </cell>
          <cell r="D732">
            <v>87.5</v>
          </cell>
          <cell r="N732" t="str">
            <v>1554-26</v>
          </cell>
          <cell r="O732" t="str">
            <v>RS RETAINER</v>
          </cell>
          <cell r="P732">
            <v>175</v>
          </cell>
        </row>
        <row r="733">
          <cell r="B733" t="str">
            <v>1634-02</v>
          </cell>
          <cell r="C733" t="str">
            <v>RS RETAINER</v>
          </cell>
          <cell r="D733">
            <v>92</v>
          </cell>
          <cell r="N733" t="str">
            <v>1634-02</v>
          </cell>
          <cell r="O733" t="str">
            <v>RS RETAINER</v>
          </cell>
          <cell r="P733">
            <v>184</v>
          </cell>
        </row>
        <row r="734">
          <cell r="B734" t="str">
            <v>1634-14</v>
          </cell>
          <cell r="C734" t="str">
            <v>RS RETAINER</v>
          </cell>
          <cell r="D734">
            <v>89.5</v>
          </cell>
          <cell r="N734" t="str">
            <v>1634-14</v>
          </cell>
          <cell r="O734" t="str">
            <v>RS RETAINER</v>
          </cell>
          <cell r="P734">
            <v>179</v>
          </cell>
        </row>
        <row r="735">
          <cell r="B735" t="str">
            <v>1634-14</v>
          </cell>
          <cell r="C735" t="str">
            <v>RS RETAINER</v>
          </cell>
          <cell r="D735">
            <v>89.5</v>
          </cell>
          <cell r="N735" t="str">
            <v>1634-14</v>
          </cell>
          <cell r="O735" t="str">
            <v>RS RETAINER</v>
          </cell>
          <cell r="P735">
            <v>179</v>
          </cell>
        </row>
        <row r="736">
          <cell r="B736" t="str">
            <v>1634-19</v>
          </cell>
          <cell r="C736" t="str">
            <v>RS RETAINER</v>
          </cell>
          <cell r="D736">
            <v>89.5</v>
          </cell>
          <cell r="N736" t="str">
            <v>1634-19</v>
          </cell>
          <cell r="O736" t="str">
            <v>RS RETAINER</v>
          </cell>
          <cell r="P736">
            <v>179</v>
          </cell>
        </row>
        <row r="737">
          <cell r="B737" t="str">
            <v>1634-19</v>
          </cell>
          <cell r="C737" t="str">
            <v>RS RETAINER</v>
          </cell>
          <cell r="D737">
            <v>89.5</v>
          </cell>
          <cell r="N737" t="str">
            <v>1634-19</v>
          </cell>
          <cell r="O737" t="str">
            <v>RS RETAINER</v>
          </cell>
          <cell r="P737">
            <v>179</v>
          </cell>
        </row>
        <row r="738">
          <cell r="B738" t="str">
            <v>1634-20</v>
          </cell>
          <cell r="C738" t="str">
            <v>RS RETAINER</v>
          </cell>
          <cell r="D738">
            <v>89.5</v>
          </cell>
          <cell r="N738" t="str">
            <v>1634-20</v>
          </cell>
          <cell r="O738" t="str">
            <v>RS RETAINER</v>
          </cell>
          <cell r="P738">
            <v>179</v>
          </cell>
        </row>
        <row r="739">
          <cell r="B739" t="str">
            <v>1634-23</v>
          </cell>
          <cell r="C739" t="str">
            <v>RS RETAINER</v>
          </cell>
          <cell r="D739">
            <v>91</v>
          </cell>
          <cell r="N739" t="str">
            <v>1634-23</v>
          </cell>
          <cell r="O739" t="str">
            <v>RS RETAINER</v>
          </cell>
          <cell r="P739">
            <v>182</v>
          </cell>
        </row>
        <row r="740">
          <cell r="B740" t="str">
            <v>1634-29</v>
          </cell>
          <cell r="C740" t="str">
            <v>RS RETAINER</v>
          </cell>
          <cell r="D740">
            <v>89.5</v>
          </cell>
          <cell r="N740" t="str">
            <v>1634-29</v>
          </cell>
          <cell r="O740" t="str">
            <v>RS RETAINER</v>
          </cell>
          <cell r="P740">
            <v>179</v>
          </cell>
        </row>
        <row r="741">
          <cell r="B741" t="str">
            <v>1634-29</v>
          </cell>
          <cell r="C741" t="str">
            <v>RS RETAINER</v>
          </cell>
          <cell r="D741">
            <v>89.5</v>
          </cell>
          <cell r="N741" t="str">
            <v>1634-29</v>
          </cell>
          <cell r="O741" t="str">
            <v>RS RETAINER</v>
          </cell>
          <cell r="P741">
            <v>179</v>
          </cell>
        </row>
        <row r="742">
          <cell r="B742" t="str">
            <v>1634-30</v>
          </cell>
          <cell r="C742" t="str">
            <v>RS RETAINER</v>
          </cell>
          <cell r="D742">
            <v>91</v>
          </cell>
          <cell r="N742" t="str">
            <v>1634-30</v>
          </cell>
          <cell r="O742" t="str">
            <v>RS RETAINER</v>
          </cell>
          <cell r="P742">
            <v>182</v>
          </cell>
        </row>
        <row r="743">
          <cell r="B743" t="str">
            <v>1634-44</v>
          </cell>
          <cell r="C743" t="str">
            <v>RS RETAINER</v>
          </cell>
          <cell r="D743">
            <v>89</v>
          </cell>
          <cell r="N743" t="str">
            <v>1634-44</v>
          </cell>
          <cell r="O743" t="str">
            <v>RS RETAINER</v>
          </cell>
          <cell r="P743">
            <v>178</v>
          </cell>
        </row>
        <row r="744">
          <cell r="B744" t="str">
            <v>1734-04</v>
          </cell>
          <cell r="C744" t="str">
            <v>RS RETAINER</v>
          </cell>
          <cell r="D744">
            <v>89.5</v>
          </cell>
          <cell r="N744" t="str">
            <v>1734-04</v>
          </cell>
          <cell r="O744" t="str">
            <v>RS RETAINER</v>
          </cell>
          <cell r="P744">
            <v>179</v>
          </cell>
        </row>
        <row r="745">
          <cell r="B745" t="str">
            <v>1734-04</v>
          </cell>
          <cell r="C745" t="str">
            <v>RS RETAINER</v>
          </cell>
          <cell r="D745">
            <v>89.5</v>
          </cell>
          <cell r="N745" t="str">
            <v>1734-04</v>
          </cell>
          <cell r="O745" t="str">
            <v>RS RETAINER</v>
          </cell>
          <cell r="P745">
            <v>179</v>
          </cell>
        </row>
        <row r="746">
          <cell r="B746" t="str">
            <v>1792-01</v>
          </cell>
          <cell r="C746" t="str">
            <v>REB,RETAINER</v>
          </cell>
          <cell r="D746">
            <v>89</v>
          </cell>
          <cell r="N746" t="str">
            <v>1792-01</v>
          </cell>
          <cell r="O746" t="str">
            <v>REB,RETAINER</v>
          </cell>
          <cell r="P746">
            <v>178</v>
          </cell>
        </row>
        <row r="747">
          <cell r="B747" t="str">
            <v>1792-01</v>
          </cell>
          <cell r="C747" t="str">
            <v>REB,RETAINER</v>
          </cell>
          <cell r="D747">
            <v>89</v>
          </cell>
          <cell r="N747" t="str">
            <v>1792-01</v>
          </cell>
          <cell r="O747" t="str">
            <v>REB,RETAINER</v>
          </cell>
          <cell r="P747">
            <v>178</v>
          </cell>
        </row>
        <row r="748">
          <cell r="B748" t="str">
            <v>1832-08</v>
          </cell>
          <cell r="C748" t="str">
            <v>BODY RETAINER</v>
          </cell>
          <cell r="D748">
            <v>92</v>
          </cell>
          <cell r="N748" t="str">
            <v>1832-08</v>
          </cell>
          <cell r="O748" t="str">
            <v>BODY RETAINER</v>
          </cell>
          <cell r="P748">
            <v>184</v>
          </cell>
        </row>
        <row r="749">
          <cell r="B749" t="str">
            <v>1922-01</v>
          </cell>
          <cell r="C749" t="str">
            <v>RS RETAINER</v>
          </cell>
          <cell r="D749">
            <v>92</v>
          </cell>
          <cell r="N749" t="str">
            <v>1922-01</v>
          </cell>
          <cell r="O749" t="str">
            <v>RS RETAINER</v>
          </cell>
          <cell r="P749">
            <v>184</v>
          </cell>
        </row>
        <row r="750">
          <cell r="B750" t="str">
            <v>227-01</v>
          </cell>
          <cell r="C750" t="str">
            <v>PISTON</v>
          </cell>
          <cell r="D750">
            <v>92</v>
          </cell>
          <cell r="N750" t="str">
            <v>227-01</v>
          </cell>
          <cell r="O750" t="str">
            <v>PISTON</v>
          </cell>
          <cell r="P750">
            <v>184</v>
          </cell>
        </row>
        <row r="751">
          <cell r="B751" t="str">
            <v>852-07</v>
          </cell>
          <cell r="C751" t="str">
            <v>BODY</v>
          </cell>
          <cell r="D751">
            <v>92</v>
          </cell>
          <cell r="N751" t="str">
            <v>852-07</v>
          </cell>
          <cell r="O751" t="str">
            <v>BODY</v>
          </cell>
          <cell r="P751">
            <v>184</v>
          </cell>
        </row>
        <row r="752">
          <cell r="B752" t="str">
            <v>861-15</v>
          </cell>
          <cell r="C752" t="str">
            <v>BODY</v>
          </cell>
          <cell r="D752">
            <v>91</v>
          </cell>
          <cell r="N752" t="str">
            <v>861-15</v>
          </cell>
          <cell r="O752" t="str">
            <v>BODY</v>
          </cell>
          <cell r="P752">
            <v>182</v>
          </cell>
        </row>
        <row r="753">
          <cell r="B753" t="str">
            <v>1100-03</v>
          </cell>
          <cell r="C753" t="str">
            <v>BASE VALVE</v>
          </cell>
          <cell r="D753">
            <v>92.5</v>
          </cell>
          <cell r="N753" t="str">
            <v>1100-03</v>
          </cell>
          <cell r="O753" t="str">
            <v>BASE VALVE</v>
          </cell>
          <cell r="P753">
            <v>185</v>
          </cell>
        </row>
        <row r="754">
          <cell r="B754" t="str">
            <v>1291-01</v>
          </cell>
          <cell r="C754" t="str">
            <v>PILOT CASE</v>
          </cell>
          <cell r="D754">
            <v>87.5</v>
          </cell>
          <cell r="N754" t="str">
            <v>1291-01</v>
          </cell>
          <cell r="O754" t="str">
            <v>PILOT CASE</v>
          </cell>
          <cell r="P754">
            <v>175</v>
          </cell>
        </row>
        <row r="755">
          <cell r="B755" t="str">
            <v>1295-00</v>
          </cell>
          <cell r="C755" t="str">
            <v>SHAFT SPLINE</v>
          </cell>
          <cell r="D755">
            <v>111</v>
          </cell>
          <cell r="N755" t="str">
            <v>1295-00</v>
          </cell>
          <cell r="O755" t="str">
            <v>SHAFT SPLINE</v>
          </cell>
          <cell r="P755">
            <v>185</v>
          </cell>
        </row>
        <row r="756">
          <cell r="B756" t="str">
            <v>1554-07</v>
          </cell>
          <cell r="C756" t="str">
            <v>RS RETAINER</v>
          </cell>
          <cell r="D756">
            <v>87.5</v>
          </cell>
          <cell r="N756" t="str">
            <v>1554-07</v>
          </cell>
          <cell r="O756" t="str">
            <v>RS RETAINER</v>
          </cell>
          <cell r="P756">
            <v>175</v>
          </cell>
        </row>
        <row r="757">
          <cell r="B757" t="str">
            <v>1554-16</v>
          </cell>
          <cell r="C757" t="str">
            <v>RS RETAINER</v>
          </cell>
          <cell r="D757">
            <v>88</v>
          </cell>
          <cell r="N757" t="str">
            <v>1554-16</v>
          </cell>
          <cell r="O757" t="str">
            <v>RS RETAINER</v>
          </cell>
          <cell r="P757">
            <v>176</v>
          </cell>
        </row>
        <row r="758">
          <cell r="B758" t="str">
            <v>1554-17</v>
          </cell>
          <cell r="C758" t="str">
            <v>RS RETAINER</v>
          </cell>
          <cell r="D758">
            <v>88</v>
          </cell>
          <cell r="N758" t="str">
            <v>1554-17</v>
          </cell>
          <cell r="O758" t="str">
            <v>RS RETAINER</v>
          </cell>
          <cell r="P758">
            <v>176</v>
          </cell>
        </row>
        <row r="759">
          <cell r="B759" t="str">
            <v>1554-19</v>
          </cell>
          <cell r="C759" t="str">
            <v>RS RETAINER</v>
          </cell>
          <cell r="D759">
            <v>87.5</v>
          </cell>
          <cell r="N759" t="str">
            <v>1554-19</v>
          </cell>
          <cell r="O759" t="str">
            <v>RS RETAINER</v>
          </cell>
          <cell r="P759">
            <v>175</v>
          </cell>
        </row>
        <row r="760">
          <cell r="B760" t="str">
            <v>1554-27</v>
          </cell>
          <cell r="C760" t="str">
            <v>RS RETAINER</v>
          </cell>
          <cell r="D760">
            <v>88.5</v>
          </cell>
          <cell r="N760" t="str">
            <v>1554-27</v>
          </cell>
          <cell r="O760" t="str">
            <v>RS RETAINER</v>
          </cell>
          <cell r="P760">
            <v>177</v>
          </cell>
        </row>
        <row r="761">
          <cell r="B761" t="str">
            <v>1554-31</v>
          </cell>
          <cell r="C761" t="str">
            <v>RS RETAINER</v>
          </cell>
          <cell r="D761">
            <v>88</v>
          </cell>
          <cell r="N761" t="str">
            <v>1554-31</v>
          </cell>
          <cell r="O761" t="str">
            <v>RS RETAINER</v>
          </cell>
          <cell r="P761">
            <v>176</v>
          </cell>
        </row>
        <row r="762">
          <cell r="B762" t="str">
            <v>1610-02</v>
          </cell>
          <cell r="C762" t="str">
            <v>RS RETAINER</v>
          </cell>
          <cell r="D762">
            <v>87.5</v>
          </cell>
          <cell r="N762" t="str">
            <v>1610-02</v>
          </cell>
          <cell r="O762" t="str">
            <v>RS RETAINER</v>
          </cell>
          <cell r="P762">
            <v>175</v>
          </cell>
        </row>
        <row r="763">
          <cell r="B763" t="str">
            <v>1858-00</v>
          </cell>
          <cell r="C763" t="str">
            <v>SUN GEAR</v>
          </cell>
          <cell r="D763">
            <v>109.8</v>
          </cell>
          <cell r="N763" t="str">
            <v>1858-00</v>
          </cell>
          <cell r="O763" t="str">
            <v>SUN GEAR</v>
          </cell>
          <cell r="P763">
            <v>183</v>
          </cell>
        </row>
        <row r="764">
          <cell r="B764" t="str">
            <v>1858-00</v>
          </cell>
          <cell r="C764" t="str">
            <v>SUN GEAR</v>
          </cell>
          <cell r="D764">
            <v>109.8</v>
          </cell>
          <cell r="N764" t="str">
            <v>1858-00</v>
          </cell>
          <cell r="O764" t="str">
            <v>SUN GEAR</v>
          </cell>
          <cell r="P764">
            <v>183</v>
          </cell>
        </row>
        <row r="765">
          <cell r="B765" t="str">
            <v>2076-05</v>
          </cell>
          <cell r="C765" t="str">
            <v>BODY RETAINER</v>
          </cell>
          <cell r="D765">
            <v>92.5</v>
          </cell>
          <cell r="N765" t="str">
            <v>2076-05</v>
          </cell>
          <cell r="O765" t="str">
            <v>BODY RETAINER</v>
          </cell>
          <cell r="P765">
            <v>185</v>
          </cell>
        </row>
        <row r="766">
          <cell r="B766" t="str">
            <v>2852-06</v>
          </cell>
          <cell r="C766" t="str">
            <v>BODY</v>
          </cell>
          <cell r="D766">
            <v>92.5</v>
          </cell>
          <cell r="N766" t="str">
            <v>2852-06</v>
          </cell>
          <cell r="O766" t="str">
            <v>BODY</v>
          </cell>
          <cell r="P766">
            <v>185</v>
          </cell>
        </row>
        <row r="767">
          <cell r="B767" t="str">
            <v>2852-06</v>
          </cell>
          <cell r="C767" t="str">
            <v>BODY</v>
          </cell>
          <cell r="D767">
            <v>92.5</v>
          </cell>
          <cell r="N767" t="str">
            <v>2852-06</v>
          </cell>
          <cell r="O767" t="str">
            <v>BODY</v>
          </cell>
          <cell r="P767">
            <v>185</v>
          </cell>
        </row>
        <row r="768">
          <cell r="B768" t="str">
            <v>2852-06</v>
          </cell>
          <cell r="C768" t="str">
            <v>BODY</v>
          </cell>
          <cell r="D768">
            <v>92.5</v>
          </cell>
          <cell r="N768" t="str">
            <v>2852-06</v>
          </cell>
          <cell r="O768" t="str">
            <v>BODY</v>
          </cell>
          <cell r="P768">
            <v>185</v>
          </cell>
        </row>
        <row r="769">
          <cell r="B769" t="str">
            <v>2852-07</v>
          </cell>
          <cell r="C769" t="str">
            <v>BODY</v>
          </cell>
          <cell r="D769">
            <v>92.5</v>
          </cell>
          <cell r="N769" t="str">
            <v>2852-07</v>
          </cell>
          <cell r="O769" t="str">
            <v>BODY</v>
          </cell>
          <cell r="P769">
            <v>185</v>
          </cell>
        </row>
        <row r="770">
          <cell r="B770" t="str">
            <v>2852-09</v>
          </cell>
          <cell r="C770" t="str">
            <v>BODY</v>
          </cell>
          <cell r="D770">
            <v>92.5</v>
          </cell>
          <cell r="N770" t="str">
            <v>2852-09</v>
          </cell>
          <cell r="O770" t="str">
            <v>BODY</v>
          </cell>
          <cell r="P770">
            <v>185</v>
          </cell>
        </row>
        <row r="771">
          <cell r="B771" t="str">
            <v>567-03</v>
          </cell>
          <cell r="C771" t="str">
            <v>BODY</v>
          </cell>
          <cell r="D771">
            <v>83.5</v>
          </cell>
          <cell r="N771" t="str">
            <v>567-03</v>
          </cell>
          <cell r="O771" t="str">
            <v>BODY</v>
          </cell>
          <cell r="P771">
            <v>167</v>
          </cell>
        </row>
        <row r="772">
          <cell r="B772" t="str">
            <v>596-00</v>
          </cell>
          <cell r="C772" t="str">
            <v>GUIDE BUSH</v>
          </cell>
          <cell r="D772">
            <v>92.5</v>
          </cell>
          <cell r="N772" t="str">
            <v>596-00</v>
          </cell>
          <cell r="O772" t="str">
            <v>GUIDE BUSH</v>
          </cell>
          <cell r="P772">
            <v>185</v>
          </cell>
        </row>
        <row r="773">
          <cell r="B773" t="str">
            <v>713-00</v>
          </cell>
          <cell r="C773" t="str">
            <v>RING PISTON</v>
          </cell>
          <cell r="D773">
            <v>92.5</v>
          </cell>
          <cell r="N773" t="str">
            <v>713-00</v>
          </cell>
          <cell r="O773" t="str">
            <v>RING PISTON</v>
          </cell>
          <cell r="P773">
            <v>185</v>
          </cell>
        </row>
        <row r="774">
          <cell r="B774" t="str">
            <v>853-37</v>
          </cell>
          <cell r="C774" t="str">
            <v>REB,RETAINER</v>
          </cell>
          <cell r="D774">
            <v>92.5</v>
          </cell>
          <cell r="N774" t="str">
            <v>853-37</v>
          </cell>
          <cell r="O774" t="str">
            <v>REB,RETAINER</v>
          </cell>
          <cell r="P774">
            <v>185</v>
          </cell>
        </row>
        <row r="775">
          <cell r="B775" t="str">
            <v>853-46</v>
          </cell>
          <cell r="C775" t="str">
            <v>REB,RETAINER</v>
          </cell>
          <cell r="D775">
            <v>92.5</v>
          </cell>
          <cell r="N775" t="str">
            <v>853-46</v>
          </cell>
          <cell r="O775" t="str">
            <v>REB,RETAINER</v>
          </cell>
          <cell r="P775">
            <v>185</v>
          </cell>
        </row>
        <row r="776">
          <cell r="B776" t="str">
            <v>1554-09</v>
          </cell>
          <cell r="C776" t="str">
            <v>RS RETAINER</v>
          </cell>
          <cell r="D776">
            <v>87.5</v>
          </cell>
          <cell r="N776" t="str">
            <v>1554-09</v>
          </cell>
          <cell r="O776" t="str">
            <v>RS RETAINER</v>
          </cell>
          <cell r="P776">
            <v>175</v>
          </cell>
        </row>
        <row r="777">
          <cell r="B777" t="str">
            <v>1554-16</v>
          </cell>
          <cell r="C777" t="str">
            <v>RS RETAINER</v>
          </cell>
          <cell r="D777">
            <v>88</v>
          </cell>
          <cell r="N777" t="str">
            <v>1554-16</v>
          </cell>
          <cell r="O777" t="str">
            <v>RS RETAINER</v>
          </cell>
          <cell r="P777">
            <v>176</v>
          </cell>
        </row>
        <row r="778">
          <cell r="B778" t="str">
            <v>1554-26</v>
          </cell>
          <cell r="C778" t="str">
            <v>RS RETAINER</v>
          </cell>
          <cell r="D778">
            <v>87.5</v>
          </cell>
          <cell r="N778" t="str">
            <v>1554-26</v>
          </cell>
          <cell r="O778" t="str">
            <v>RS RETAINER</v>
          </cell>
          <cell r="P778">
            <v>175</v>
          </cell>
        </row>
        <row r="779">
          <cell r="B779" t="str">
            <v>1554-33</v>
          </cell>
          <cell r="C779" t="str">
            <v>RS RETAINER</v>
          </cell>
          <cell r="D779">
            <v>87.5</v>
          </cell>
          <cell r="N779" t="str">
            <v>1554-33</v>
          </cell>
          <cell r="O779" t="str">
            <v>RS RETAINER</v>
          </cell>
          <cell r="P779">
            <v>175</v>
          </cell>
        </row>
        <row r="780">
          <cell r="B780" t="str">
            <v>1554-43</v>
          </cell>
          <cell r="C780" t="str">
            <v>RS RETAINER</v>
          </cell>
          <cell r="D780">
            <v>93</v>
          </cell>
          <cell r="N780" t="str">
            <v>1554-43</v>
          </cell>
          <cell r="O780" t="str">
            <v>RS RETAINER</v>
          </cell>
          <cell r="P780">
            <v>186</v>
          </cell>
        </row>
        <row r="781">
          <cell r="B781" t="str">
            <v>1634-02</v>
          </cell>
          <cell r="C781" t="str">
            <v>RS RETAINER</v>
          </cell>
          <cell r="D781">
            <v>92</v>
          </cell>
          <cell r="N781" t="str">
            <v>1634-02</v>
          </cell>
          <cell r="O781" t="str">
            <v>RS RETAINER</v>
          </cell>
          <cell r="P781">
            <v>184</v>
          </cell>
        </row>
        <row r="782">
          <cell r="B782" t="str">
            <v>1734-05</v>
          </cell>
          <cell r="C782" t="str">
            <v>RS RETAINER</v>
          </cell>
          <cell r="D782">
            <v>93</v>
          </cell>
          <cell r="N782" t="str">
            <v>1734-05</v>
          </cell>
          <cell r="O782" t="str">
            <v>RS RETAINER</v>
          </cell>
          <cell r="P782">
            <v>186</v>
          </cell>
        </row>
        <row r="783">
          <cell r="B783" t="str">
            <v>1832-02</v>
          </cell>
          <cell r="C783" t="str">
            <v>BODY RETAINER</v>
          </cell>
          <cell r="D783">
            <v>90.5</v>
          </cell>
          <cell r="N783" t="str">
            <v>1832-02</v>
          </cell>
          <cell r="O783" t="str">
            <v>BODY RETAINER</v>
          </cell>
          <cell r="P783">
            <v>181</v>
          </cell>
        </row>
        <row r="784">
          <cell r="B784" t="str">
            <v>239-02</v>
          </cell>
          <cell r="C784" t="str">
            <v>ROD GUIDE ASS'Y</v>
          </cell>
          <cell r="D784">
            <v>93</v>
          </cell>
          <cell r="N784" t="str">
            <v>239-02</v>
          </cell>
          <cell r="O784" t="str">
            <v>ROD GUIDE ASS'Y</v>
          </cell>
          <cell r="P784">
            <v>186</v>
          </cell>
        </row>
        <row r="785">
          <cell r="B785" t="str">
            <v>2852-06</v>
          </cell>
          <cell r="C785" t="str">
            <v>BODY</v>
          </cell>
          <cell r="D785">
            <v>92.5</v>
          </cell>
          <cell r="N785" t="str">
            <v>2852-06</v>
          </cell>
          <cell r="O785" t="str">
            <v>BODY</v>
          </cell>
          <cell r="P785">
            <v>185</v>
          </cell>
        </row>
        <row r="786">
          <cell r="B786" t="str">
            <v>2852-07</v>
          </cell>
          <cell r="C786" t="str">
            <v>BODY</v>
          </cell>
          <cell r="D786">
            <v>92.5</v>
          </cell>
          <cell r="N786" t="str">
            <v>2852-07</v>
          </cell>
          <cell r="O786" t="str">
            <v>BODY</v>
          </cell>
          <cell r="P786">
            <v>185</v>
          </cell>
        </row>
        <row r="787">
          <cell r="B787" t="str">
            <v>661-13</v>
          </cell>
          <cell r="C787" t="str">
            <v>BODY</v>
          </cell>
          <cell r="D787">
            <v>88</v>
          </cell>
          <cell r="N787" t="str">
            <v>661-13</v>
          </cell>
          <cell r="O787" t="str">
            <v>BODY</v>
          </cell>
          <cell r="P787">
            <v>176</v>
          </cell>
        </row>
        <row r="788">
          <cell r="B788" t="str">
            <v>749-12</v>
          </cell>
          <cell r="C788" t="str">
            <v>REB,RETAINER</v>
          </cell>
          <cell r="D788">
            <v>91</v>
          </cell>
          <cell r="N788" t="str">
            <v>749-12</v>
          </cell>
          <cell r="O788" t="str">
            <v>REB,RETAINER</v>
          </cell>
          <cell r="P788">
            <v>182</v>
          </cell>
        </row>
        <row r="789">
          <cell r="B789" t="str">
            <v>785-02</v>
          </cell>
          <cell r="C789" t="str">
            <v>BODY</v>
          </cell>
          <cell r="D789">
            <v>87.5</v>
          </cell>
          <cell r="N789" t="str">
            <v>785-02</v>
          </cell>
          <cell r="O789" t="str">
            <v>BODY</v>
          </cell>
          <cell r="P789">
            <v>175</v>
          </cell>
        </row>
        <row r="790">
          <cell r="B790" t="str">
            <v>786-02</v>
          </cell>
          <cell r="C790" t="str">
            <v>BODY</v>
          </cell>
          <cell r="D790">
            <v>84</v>
          </cell>
          <cell r="N790" t="str">
            <v>786-02</v>
          </cell>
          <cell r="O790" t="str">
            <v>BODY</v>
          </cell>
          <cell r="P790">
            <v>168</v>
          </cell>
        </row>
        <row r="791">
          <cell r="B791" t="str">
            <v>852-09</v>
          </cell>
          <cell r="C791" t="str">
            <v>BODY</v>
          </cell>
          <cell r="D791">
            <v>93</v>
          </cell>
          <cell r="N791" t="str">
            <v>852-09</v>
          </cell>
          <cell r="O791" t="str">
            <v>BODY</v>
          </cell>
          <cell r="P791">
            <v>186</v>
          </cell>
        </row>
        <row r="792">
          <cell r="B792" t="str">
            <v>852-25</v>
          </cell>
          <cell r="C792" t="str">
            <v>BODY</v>
          </cell>
          <cell r="D792">
            <v>93</v>
          </cell>
          <cell r="N792" t="str">
            <v>852-25</v>
          </cell>
          <cell r="O792" t="str">
            <v>BODY</v>
          </cell>
          <cell r="P792">
            <v>186</v>
          </cell>
        </row>
        <row r="793">
          <cell r="B793" t="str">
            <v>852-25</v>
          </cell>
          <cell r="C793" t="str">
            <v>BODY</v>
          </cell>
          <cell r="D793">
            <v>93</v>
          </cell>
          <cell r="N793" t="str">
            <v>852-25</v>
          </cell>
          <cell r="O793" t="str">
            <v>BODY</v>
          </cell>
          <cell r="P793">
            <v>186</v>
          </cell>
        </row>
        <row r="794">
          <cell r="B794" t="str">
            <v>853-47</v>
          </cell>
          <cell r="C794" t="str">
            <v>REB,RETAINER</v>
          </cell>
          <cell r="D794">
            <v>93</v>
          </cell>
          <cell r="N794" t="str">
            <v>853-47</v>
          </cell>
          <cell r="O794" t="str">
            <v>REB,RETAINER</v>
          </cell>
          <cell r="P794">
            <v>186</v>
          </cell>
        </row>
        <row r="795">
          <cell r="B795" t="str">
            <v>1069-03</v>
          </cell>
          <cell r="C795" t="str">
            <v>PISTON</v>
          </cell>
          <cell r="D795">
            <v>93.5</v>
          </cell>
          <cell r="N795" t="str">
            <v>1069-03</v>
          </cell>
          <cell r="O795" t="str">
            <v>PISTON</v>
          </cell>
          <cell r="P795">
            <v>187</v>
          </cell>
        </row>
        <row r="796">
          <cell r="B796" t="str">
            <v>1100-08</v>
          </cell>
          <cell r="C796" t="str">
            <v>BASE VALVE</v>
          </cell>
          <cell r="D796">
            <v>93.5</v>
          </cell>
          <cell r="N796" t="str">
            <v>1100-08</v>
          </cell>
          <cell r="O796" t="str">
            <v>BASE VALVE</v>
          </cell>
          <cell r="P796">
            <v>187</v>
          </cell>
        </row>
        <row r="797">
          <cell r="B797" t="str">
            <v>1290-02</v>
          </cell>
          <cell r="C797" t="str">
            <v>PILOT CASE</v>
          </cell>
          <cell r="D797">
            <v>91</v>
          </cell>
          <cell r="N797" t="str">
            <v>1290-02</v>
          </cell>
          <cell r="O797" t="str">
            <v>PILOT CASE</v>
          </cell>
          <cell r="P797">
            <v>182</v>
          </cell>
        </row>
        <row r="798">
          <cell r="B798" t="str">
            <v>1290-02</v>
          </cell>
          <cell r="C798" t="str">
            <v>PILOT CASE</v>
          </cell>
          <cell r="D798">
            <v>91</v>
          </cell>
          <cell r="N798" t="str">
            <v>1290-02</v>
          </cell>
          <cell r="O798" t="str">
            <v>PILOT CASE</v>
          </cell>
          <cell r="P798">
            <v>182</v>
          </cell>
        </row>
        <row r="799">
          <cell r="B799" t="str">
            <v>1291-02</v>
          </cell>
          <cell r="C799" t="str">
            <v>PILOT CASE</v>
          </cell>
          <cell r="D799">
            <v>87</v>
          </cell>
          <cell r="N799" t="str">
            <v>1291-02</v>
          </cell>
          <cell r="O799" t="str">
            <v>PILOT CASE</v>
          </cell>
          <cell r="P799">
            <v>174</v>
          </cell>
        </row>
        <row r="800">
          <cell r="B800" t="str">
            <v>1291-02</v>
          </cell>
          <cell r="C800" t="str">
            <v>PILOT CASE</v>
          </cell>
          <cell r="D800">
            <v>87</v>
          </cell>
          <cell r="N800" t="str">
            <v>1291-02</v>
          </cell>
          <cell r="O800" t="str">
            <v>PILOT CASE</v>
          </cell>
          <cell r="P800">
            <v>174</v>
          </cell>
        </row>
        <row r="801">
          <cell r="B801" t="str">
            <v>1554-03</v>
          </cell>
          <cell r="C801" t="str">
            <v>RS RETAINER</v>
          </cell>
          <cell r="D801">
            <v>87.5</v>
          </cell>
          <cell r="N801" t="str">
            <v>1554-03</v>
          </cell>
          <cell r="O801" t="str">
            <v>RS RETAINER</v>
          </cell>
          <cell r="P801">
            <v>175</v>
          </cell>
        </row>
        <row r="802">
          <cell r="B802" t="str">
            <v>1554-11</v>
          </cell>
          <cell r="C802" t="str">
            <v>RS RETAINER</v>
          </cell>
          <cell r="D802">
            <v>89</v>
          </cell>
          <cell r="N802" t="str">
            <v>1554-11</v>
          </cell>
          <cell r="O802" t="str">
            <v>RS RETAINER</v>
          </cell>
          <cell r="P802">
            <v>178</v>
          </cell>
        </row>
        <row r="803">
          <cell r="B803" t="str">
            <v>1554-11</v>
          </cell>
          <cell r="C803" t="str">
            <v>RS RETAINER</v>
          </cell>
          <cell r="D803">
            <v>89</v>
          </cell>
          <cell r="N803" t="str">
            <v>1554-11</v>
          </cell>
          <cell r="O803" t="str">
            <v>RS RETAINER</v>
          </cell>
          <cell r="P803">
            <v>178</v>
          </cell>
        </row>
        <row r="804">
          <cell r="B804" t="str">
            <v>1554-18</v>
          </cell>
          <cell r="C804" t="str">
            <v>RS RETAINER</v>
          </cell>
          <cell r="D804">
            <v>87.5</v>
          </cell>
          <cell r="N804" t="str">
            <v>1554-18</v>
          </cell>
          <cell r="O804" t="str">
            <v>RS RETAINER</v>
          </cell>
          <cell r="P804">
            <v>175</v>
          </cell>
        </row>
        <row r="805">
          <cell r="B805" t="str">
            <v>1554-23</v>
          </cell>
          <cell r="C805" t="str">
            <v>RS RETAINER</v>
          </cell>
          <cell r="D805">
            <v>87.5</v>
          </cell>
          <cell r="N805" t="str">
            <v>1554-23</v>
          </cell>
          <cell r="O805" t="str">
            <v>RS RETAINER</v>
          </cell>
          <cell r="P805">
            <v>175</v>
          </cell>
        </row>
        <row r="806">
          <cell r="B806" t="str">
            <v>1554-23</v>
          </cell>
          <cell r="C806" t="str">
            <v>RS RETAINER</v>
          </cell>
          <cell r="D806">
            <v>87.5</v>
          </cell>
          <cell r="N806" t="str">
            <v>1554-23</v>
          </cell>
          <cell r="O806" t="str">
            <v>RS RETAINER</v>
          </cell>
          <cell r="P806">
            <v>175</v>
          </cell>
        </row>
        <row r="807">
          <cell r="B807" t="str">
            <v>1554-26</v>
          </cell>
          <cell r="C807" t="str">
            <v>RS RETAINER</v>
          </cell>
          <cell r="D807">
            <v>87.5</v>
          </cell>
          <cell r="N807" t="str">
            <v>1554-26</v>
          </cell>
          <cell r="O807" t="str">
            <v>RS RETAINER</v>
          </cell>
          <cell r="P807">
            <v>175</v>
          </cell>
        </row>
        <row r="808">
          <cell r="B808" t="str">
            <v>1554-31</v>
          </cell>
          <cell r="C808" t="str">
            <v>RS RETAINER</v>
          </cell>
          <cell r="D808">
            <v>88</v>
          </cell>
          <cell r="N808" t="str">
            <v>1554-31</v>
          </cell>
          <cell r="O808" t="str">
            <v>RS RETAINER</v>
          </cell>
          <cell r="P808">
            <v>176</v>
          </cell>
        </row>
        <row r="809">
          <cell r="B809" t="str">
            <v>1554-33</v>
          </cell>
          <cell r="C809" t="str">
            <v>RS RETAINER</v>
          </cell>
          <cell r="D809">
            <v>87.5</v>
          </cell>
          <cell r="N809" t="str">
            <v>1554-33</v>
          </cell>
          <cell r="O809" t="str">
            <v>RS RETAINER</v>
          </cell>
          <cell r="P809">
            <v>175</v>
          </cell>
        </row>
        <row r="810">
          <cell r="B810" t="str">
            <v>1554-38</v>
          </cell>
          <cell r="C810" t="str">
            <v>RS RETAINER</v>
          </cell>
          <cell r="D810">
            <v>93.5</v>
          </cell>
          <cell r="N810" t="str">
            <v>1554-38</v>
          </cell>
          <cell r="O810" t="str">
            <v>RS RETAINER</v>
          </cell>
          <cell r="P810">
            <v>187</v>
          </cell>
        </row>
        <row r="811">
          <cell r="B811" t="str">
            <v>1554-39</v>
          </cell>
          <cell r="C811" t="str">
            <v>RS RETAINER</v>
          </cell>
          <cell r="D811">
            <v>93.5</v>
          </cell>
          <cell r="N811" t="str">
            <v>1554-39</v>
          </cell>
          <cell r="O811" t="str">
            <v>RS RETAINER</v>
          </cell>
          <cell r="P811">
            <v>187</v>
          </cell>
        </row>
        <row r="812">
          <cell r="B812" t="str">
            <v>1554-40</v>
          </cell>
          <cell r="C812" t="str">
            <v>RS RETAINER</v>
          </cell>
          <cell r="D812">
            <v>93.5</v>
          </cell>
          <cell r="N812" t="str">
            <v>1554-40</v>
          </cell>
          <cell r="O812" t="str">
            <v>RS RETAINER</v>
          </cell>
          <cell r="P812">
            <v>187</v>
          </cell>
        </row>
        <row r="813">
          <cell r="B813" t="str">
            <v>1634-26</v>
          </cell>
          <cell r="C813" t="str">
            <v>RS RETAINER</v>
          </cell>
          <cell r="D813">
            <v>90.5</v>
          </cell>
          <cell r="N813" t="str">
            <v>1634-26</v>
          </cell>
          <cell r="O813" t="str">
            <v>RS RETAINER</v>
          </cell>
          <cell r="P813">
            <v>181</v>
          </cell>
        </row>
        <row r="814">
          <cell r="B814" t="str">
            <v>1634-41</v>
          </cell>
          <cell r="C814" t="str">
            <v>RS RETAINER</v>
          </cell>
          <cell r="D814">
            <v>91</v>
          </cell>
          <cell r="N814" t="str">
            <v>1634-41</v>
          </cell>
          <cell r="O814" t="str">
            <v>RS RETAINER</v>
          </cell>
          <cell r="P814">
            <v>182</v>
          </cell>
        </row>
        <row r="815">
          <cell r="B815" t="str">
            <v>1634-41</v>
          </cell>
          <cell r="C815" t="str">
            <v>RS RETAINER</v>
          </cell>
          <cell r="D815">
            <v>91</v>
          </cell>
          <cell r="N815" t="str">
            <v>1634-41</v>
          </cell>
          <cell r="O815" t="str">
            <v>RS RETAINER</v>
          </cell>
          <cell r="P815">
            <v>182</v>
          </cell>
        </row>
        <row r="816">
          <cell r="B816" t="str">
            <v>1734-05</v>
          </cell>
          <cell r="C816" t="str">
            <v>RS RETAINER</v>
          </cell>
          <cell r="D816">
            <v>93</v>
          </cell>
          <cell r="N816" t="str">
            <v>1734-05</v>
          </cell>
          <cell r="O816" t="str">
            <v>RS RETAINER</v>
          </cell>
          <cell r="P816">
            <v>186</v>
          </cell>
        </row>
        <row r="817">
          <cell r="B817" t="str">
            <v>1734-08</v>
          </cell>
          <cell r="C817" t="str">
            <v>RS RETAINER</v>
          </cell>
          <cell r="D817">
            <v>91.5</v>
          </cell>
          <cell r="N817" t="str">
            <v>1734-08</v>
          </cell>
          <cell r="O817" t="str">
            <v>RS RETAINER</v>
          </cell>
          <cell r="P817">
            <v>183</v>
          </cell>
        </row>
        <row r="818">
          <cell r="B818" t="str">
            <v>1792-02</v>
          </cell>
          <cell r="C818" t="str">
            <v>REB,RETAINER</v>
          </cell>
          <cell r="D818">
            <v>86.5</v>
          </cell>
          <cell r="N818" t="str">
            <v>1792-02</v>
          </cell>
          <cell r="O818" t="str">
            <v>REB,RETAINER</v>
          </cell>
          <cell r="P818">
            <v>173</v>
          </cell>
        </row>
        <row r="819">
          <cell r="B819" t="str">
            <v>1792-02</v>
          </cell>
          <cell r="C819" t="str">
            <v>REB,RETAINER</v>
          </cell>
          <cell r="D819">
            <v>86.5</v>
          </cell>
          <cell r="N819" t="str">
            <v>1792-02</v>
          </cell>
          <cell r="O819" t="str">
            <v>REB,RETAINER</v>
          </cell>
          <cell r="P819">
            <v>173</v>
          </cell>
        </row>
        <row r="820">
          <cell r="B820" t="str">
            <v>1792-08</v>
          </cell>
          <cell r="C820" t="str">
            <v>REB,RETAINER</v>
          </cell>
          <cell r="D820">
            <v>89.5</v>
          </cell>
          <cell r="N820" t="str">
            <v>1792-08</v>
          </cell>
          <cell r="O820" t="str">
            <v>REB,RETAINER</v>
          </cell>
          <cell r="P820">
            <v>179</v>
          </cell>
        </row>
        <row r="821">
          <cell r="B821" t="str">
            <v>470-00</v>
          </cell>
          <cell r="C821" t="str">
            <v>REB,RETAINER</v>
          </cell>
          <cell r="D821">
            <v>84.5</v>
          </cell>
          <cell r="N821" t="str">
            <v>470-00</v>
          </cell>
          <cell r="O821" t="str">
            <v>REB,RETAINER</v>
          </cell>
          <cell r="P821">
            <v>169</v>
          </cell>
        </row>
        <row r="822">
          <cell r="B822" t="str">
            <v>661-05</v>
          </cell>
          <cell r="C822" t="str">
            <v>BODY</v>
          </cell>
          <cell r="D822">
            <v>93.5</v>
          </cell>
          <cell r="N822" t="str">
            <v>661-05</v>
          </cell>
          <cell r="O822" t="str">
            <v>BODY</v>
          </cell>
          <cell r="P822">
            <v>187</v>
          </cell>
        </row>
        <row r="823">
          <cell r="B823" t="str">
            <v>661-12</v>
          </cell>
          <cell r="C823" t="str">
            <v>BODY</v>
          </cell>
          <cell r="D823">
            <v>89.5</v>
          </cell>
          <cell r="N823" t="str">
            <v>661-12</v>
          </cell>
          <cell r="O823" t="str">
            <v>BODY</v>
          </cell>
          <cell r="P823">
            <v>179</v>
          </cell>
        </row>
        <row r="824">
          <cell r="B824" t="str">
            <v>787-02</v>
          </cell>
          <cell r="C824" t="str">
            <v>BODY</v>
          </cell>
          <cell r="D824">
            <v>93.5</v>
          </cell>
          <cell r="N824" t="str">
            <v>787-02</v>
          </cell>
          <cell r="O824" t="str">
            <v>BODY</v>
          </cell>
          <cell r="P824">
            <v>187</v>
          </cell>
        </row>
        <row r="825">
          <cell r="B825" t="str">
            <v>787-05</v>
          </cell>
          <cell r="C825" t="str">
            <v>BODY</v>
          </cell>
          <cell r="D825">
            <v>93.5</v>
          </cell>
          <cell r="N825" t="str">
            <v>787-05</v>
          </cell>
          <cell r="O825" t="str">
            <v>BODY</v>
          </cell>
          <cell r="P825">
            <v>187</v>
          </cell>
        </row>
        <row r="826">
          <cell r="B826" t="str">
            <v>853-32</v>
          </cell>
          <cell r="C826" t="str">
            <v>REB,RETAINER</v>
          </cell>
          <cell r="D826">
            <v>91.5</v>
          </cell>
          <cell r="N826" t="str">
            <v>853-32</v>
          </cell>
          <cell r="O826" t="str">
            <v>REB,RETAINER</v>
          </cell>
          <cell r="P826">
            <v>183</v>
          </cell>
        </row>
        <row r="827">
          <cell r="B827" t="str">
            <v>861-15</v>
          </cell>
          <cell r="C827" t="str">
            <v>BODY</v>
          </cell>
          <cell r="D827">
            <v>91</v>
          </cell>
          <cell r="N827" t="str">
            <v>861-15</v>
          </cell>
          <cell r="O827" t="str">
            <v>BODY</v>
          </cell>
          <cell r="P827">
            <v>182</v>
          </cell>
        </row>
        <row r="828">
          <cell r="B828" t="str">
            <v>1008-00</v>
          </cell>
          <cell r="C828" t="str">
            <v>ROD GUIDE</v>
          </cell>
          <cell r="D828">
            <v>94</v>
          </cell>
          <cell r="N828" t="str">
            <v>1008-00</v>
          </cell>
          <cell r="O828" t="str">
            <v>ROD GUIDE</v>
          </cell>
          <cell r="P828">
            <v>188</v>
          </cell>
        </row>
        <row r="829">
          <cell r="B829" t="str">
            <v>1554-03</v>
          </cell>
          <cell r="C829" t="str">
            <v>RS RETAINER</v>
          </cell>
          <cell r="D829">
            <v>87.5</v>
          </cell>
          <cell r="N829" t="str">
            <v>1554-03</v>
          </cell>
          <cell r="O829" t="str">
            <v>RS RETAINER</v>
          </cell>
          <cell r="P829">
            <v>175</v>
          </cell>
        </row>
        <row r="830">
          <cell r="B830" t="str">
            <v>1554-09</v>
          </cell>
          <cell r="C830" t="str">
            <v>RS RETAINER</v>
          </cell>
          <cell r="D830">
            <v>87.5</v>
          </cell>
          <cell r="N830" t="str">
            <v>1554-09</v>
          </cell>
          <cell r="O830" t="str">
            <v>RS RETAINER</v>
          </cell>
          <cell r="P830">
            <v>175</v>
          </cell>
        </row>
        <row r="831">
          <cell r="B831" t="str">
            <v>1554-14</v>
          </cell>
          <cell r="C831" t="str">
            <v>RS RETAINER</v>
          </cell>
          <cell r="D831">
            <v>89.5</v>
          </cell>
          <cell r="N831" t="str">
            <v>1554-14</v>
          </cell>
          <cell r="O831" t="str">
            <v>RS RETAINER</v>
          </cell>
          <cell r="P831">
            <v>179</v>
          </cell>
        </row>
        <row r="832">
          <cell r="B832" t="str">
            <v>1554-17</v>
          </cell>
          <cell r="C832" t="str">
            <v>RS RETAINER</v>
          </cell>
          <cell r="D832">
            <v>88</v>
          </cell>
          <cell r="N832" t="str">
            <v>1554-17</v>
          </cell>
          <cell r="O832" t="str">
            <v>RS RETAINER</v>
          </cell>
          <cell r="P832">
            <v>176</v>
          </cell>
        </row>
        <row r="833">
          <cell r="B833" t="str">
            <v>1554-17</v>
          </cell>
          <cell r="C833" t="str">
            <v>RS RETAINER</v>
          </cell>
          <cell r="D833">
            <v>88</v>
          </cell>
          <cell r="N833" t="str">
            <v>1554-17</v>
          </cell>
          <cell r="O833" t="str">
            <v>RS RETAINER</v>
          </cell>
          <cell r="P833">
            <v>176</v>
          </cell>
        </row>
        <row r="834">
          <cell r="B834" t="str">
            <v>1554-19</v>
          </cell>
          <cell r="C834" t="str">
            <v>RS RETAINER</v>
          </cell>
          <cell r="D834">
            <v>87.5</v>
          </cell>
          <cell r="N834" t="str">
            <v>1554-19</v>
          </cell>
          <cell r="O834" t="str">
            <v>RS RETAINER</v>
          </cell>
          <cell r="P834">
            <v>175</v>
          </cell>
        </row>
        <row r="835">
          <cell r="B835" t="str">
            <v>1554-19</v>
          </cell>
          <cell r="C835" t="str">
            <v>RS RETAINER</v>
          </cell>
          <cell r="D835">
            <v>87.5</v>
          </cell>
          <cell r="N835" t="str">
            <v>1554-19</v>
          </cell>
          <cell r="O835" t="str">
            <v>RS RETAINER</v>
          </cell>
          <cell r="P835">
            <v>175</v>
          </cell>
        </row>
        <row r="836">
          <cell r="B836" t="str">
            <v>1554-19</v>
          </cell>
          <cell r="C836" t="str">
            <v>RS RETAINER</v>
          </cell>
          <cell r="D836">
            <v>87.5</v>
          </cell>
          <cell r="N836" t="str">
            <v>1554-19</v>
          </cell>
          <cell r="O836" t="str">
            <v>RS RETAINER</v>
          </cell>
          <cell r="P836">
            <v>175</v>
          </cell>
        </row>
        <row r="837">
          <cell r="B837" t="str">
            <v>1554-19</v>
          </cell>
          <cell r="C837" t="str">
            <v>RS RETAINER</v>
          </cell>
          <cell r="D837">
            <v>87.5</v>
          </cell>
          <cell r="N837" t="str">
            <v>1554-19</v>
          </cell>
          <cell r="O837" t="str">
            <v>RS RETAINER</v>
          </cell>
          <cell r="P837">
            <v>175</v>
          </cell>
        </row>
        <row r="838">
          <cell r="B838" t="str">
            <v>1554-19</v>
          </cell>
          <cell r="C838" t="str">
            <v>RS RETAINER</v>
          </cell>
          <cell r="D838">
            <v>87.5</v>
          </cell>
          <cell r="N838" t="str">
            <v>1554-19</v>
          </cell>
          <cell r="O838" t="str">
            <v>RS RETAINER</v>
          </cell>
          <cell r="P838">
            <v>175</v>
          </cell>
        </row>
        <row r="839">
          <cell r="B839" t="str">
            <v>1554-19</v>
          </cell>
          <cell r="C839" t="str">
            <v>RS RETAINER</v>
          </cell>
          <cell r="D839">
            <v>87.5</v>
          </cell>
          <cell r="N839" t="str">
            <v>1554-19</v>
          </cell>
          <cell r="O839" t="str">
            <v>RS RETAINER</v>
          </cell>
          <cell r="P839">
            <v>175</v>
          </cell>
        </row>
        <row r="840">
          <cell r="B840" t="str">
            <v>1554-31</v>
          </cell>
          <cell r="C840" t="str">
            <v>RS RETAINER</v>
          </cell>
          <cell r="D840">
            <v>88</v>
          </cell>
          <cell r="N840" t="str">
            <v>1554-31</v>
          </cell>
          <cell r="O840" t="str">
            <v>RS RETAINER</v>
          </cell>
          <cell r="P840">
            <v>176</v>
          </cell>
        </row>
        <row r="841">
          <cell r="B841" t="str">
            <v>1554-35</v>
          </cell>
          <cell r="C841" t="str">
            <v>RS RETAINER</v>
          </cell>
          <cell r="D841">
            <v>89.5</v>
          </cell>
          <cell r="N841" t="str">
            <v>1554-35</v>
          </cell>
          <cell r="O841" t="str">
            <v>RS RETAINER</v>
          </cell>
          <cell r="P841">
            <v>179</v>
          </cell>
        </row>
        <row r="842">
          <cell r="B842" t="str">
            <v>1554-47</v>
          </cell>
          <cell r="C842" t="str">
            <v>RS RETAINER</v>
          </cell>
          <cell r="D842">
            <v>94</v>
          </cell>
          <cell r="N842" t="str">
            <v>1554-47</v>
          </cell>
          <cell r="O842" t="str">
            <v>RS RETAINER</v>
          </cell>
          <cell r="P842">
            <v>188</v>
          </cell>
        </row>
        <row r="843">
          <cell r="B843" t="str">
            <v>1634-14</v>
          </cell>
          <cell r="C843" t="str">
            <v>RS RETAINER</v>
          </cell>
          <cell r="D843">
            <v>89.5</v>
          </cell>
          <cell r="N843" t="str">
            <v>1634-14</v>
          </cell>
          <cell r="O843" t="str">
            <v>RS RETAINER</v>
          </cell>
          <cell r="P843">
            <v>179</v>
          </cell>
        </row>
        <row r="844">
          <cell r="B844" t="str">
            <v>1634-14</v>
          </cell>
          <cell r="C844" t="str">
            <v>RS RETAINER</v>
          </cell>
          <cell r="D844">
            <v>89.5</v>
          </cell>
          <cell r="N844" t="str">
            <v>1634-14</v>
          </cell>
          <cell r="O844" t="str">
            <v>RS RETAINER</v>
          </cell>
          <cell r="P844">
            <v>179</v>
          </cell>
        </row>
        <row r="845">
          <cell r="B845" t="str">
            <v>1634-14</v>
          </cell>
          <cell r="C845" t="str">
            <v>RS RETAINER</v>
          </cell>
          <cell r="D845">
            <v>89.5</v>
          </cell>
          <cell r="N845" t="str">
            <v>1634-14</v>
          </cell>
          <cell r="O845" t="str">
            <v>RS RETAINER</v>
          </cell>
          <cell r="P845">
            <v>179</v>
          </cell>
        </row>
        <row r="846">
          <cell r="B846" t="str">
            <v>1634-20</v>
          </cell>
          <cell r="C846" t="str">
            <v>RS RETAINER</v>
          </cell>
          <cell r="D846">
            <v>89.5</v>
          </cell>
          <cell r="N846" t="str">
            <v>1634-20</v>
          </cell>
          <cell r="O846" t="str">
            <v>RS RETAINER</v>
          </cell>
          <cell r="P846">
            <v>179</v>
          </cell>
        </row>
        <row r="847">
          <cell r="B847" t="str">
            <v>1634-26</v>
          </cell>
          <cell r="C847" t="str">
            <v>RS RETAINER</v>
          </cell>
          <cell r="D847">
            <v>90.5</v>
          </cell>
          <cell r="N847" t="str">
            <v>1634-26</v>
          </cell>
          <cell r="O847" t="str">
            <v>RS RETAINER</v>
          </cell>
          <cell r="P847">
            <v>181</v>
          </cell>
        </row>
        <row r="848">
          <cell r="B848" t="str">
            <v>1634-26</v>
          </cell>
          <cell r="C848" t="str">
            <v>RS RETAINER</v>
          </cell>
          <cell r="D848">
            <v>90.5</v>
          </cell>
          <cell r="N848" t="str">
            <v>1634-26</v>
          </cell>
          <cell r="O848" t="str">
            <v>RS RETAINER</v>
          </cell>
          <cell r="P848">
            <v>181</v>
          </cell>
        </row>
        <row r="849">
          <cell r="B849" t="str">
            <v>1634-29</v>
          </cell>
          <cell r="C849" t="str">
            <v>RS RETAINER</v>
          </cell>
          <cell r="D849">
            <v>89.5</v>
          </cell>
          <cell r="N849" t="str">
            <v>1634-29</v>
          </cell>
          <cell r="O849" t="str">
            <v>RS RETAINER</v>
          </cell>
          <cell r="P849">
            <v>179</v>
          </cell>
        </row>
        <row r="850">
          <cell r="B850" t="str">
            <v>1634-32</v>
          </cell>
          <cell r="C850" t="str">
            <v>RS RETAINER</v>
          </cell>
          <cell r="D850">
            <v>90.5</v>
          </cell>
          <cell r="N850" t="str">
            <v>1634-32</v>
          </cell>
          <cell r="O850" t="str">
            <v>RS RETAINER</v>
          </cell>
          <cell r="P850">
            <v>181</v>
          </cell>
        </row>
        <row r="851">
          <cell r="B851" t="str">
            <v>1734-02</v>
          </cell>
          <cell r="C851" t="str">
            <v>RS RETAINER</v>
          </cell>
          <cell r="D851">
            <v>89.5</v>
          </cell>
          <cell r="N851" t="str">
            <v>1734-02</v>
          </cell>
          <cell r="O851" t="str">
            <v>RS RETAINER</v>
          </cell>
          <cell r="P851">
            <v>179</v>
          </cell>
        </row>
        <row r="852">
          <cell r="B852" t="str">
            <v>1831-01</v>
          </cell>
          <cell r="C852" t="str">
            <v>BODY RETAINER</v>
          </cell>
          <cell r="D852">
            <v>90</v>
          </cell>
          <cell r="N852" t="str">
            <v>1831-01</v>
          </cell>
          <cell r="O852" t="str">
            <v>BODY RETAINER</v>
          </cell>
          <cell r="P852">
            <v>180</v>
          </cell>
        </row>
        <row r="853">
          <cell r="B853" t="str">
            <v>560-00</v>
          </cell>
          <cell r="C853" t="str">
            <v>SPRING SEAT</v>
          </cell>
          <cell r="D853">
            <v>112.8</v>
          </cell>
          <cell r="N853" t="str">
            <v>560-00</v>
          </cell>
          <cell r="O853" t="str">
            <v>SPRING SEAT</v>
          </cell>
          <cell r="P853">
            <v>188</v>
          </cell>
        </row>
        <row r="854">
          <cell r="B854" t="str">
            <v>588-19</v>
          </cell>
          <cell r="C854" t="str">
            <v>PISTON</v>
          </cell>
          <cell r="D854">
            <v>94</v>
          </cell>
          <cell r="N854" t="str">
            <v>588-19</v>
          </cell>
          <cell r="O854" t="str">
            <v>PISTON</v>
          </cell>
          <cell r="P854">
            <v>188</v>
          </cell>
        </row>
        <row r="855">
          <cell r="B855" t="str">
            <v>661-05</v>
          </cell>
          <cell r="C855" t="str">
            <v>BODY</v>
          </cell>
          <cell r="D855">
            <v>93.5</v>
          </cell>
          <cell r="N855" t="str">
            <v>661-05</v>
          </cell>
          <cell r="O855" t="str">
            <v>BODY</v>
          </cell>
          <cell r="P855">
            <v>187</v>
          </cell>
        </row>
        <row r="856">
          <cell r="B856" t="str">
            <v>661-10</v>
          </cell>
          <cell r="C856" t="str">
            <v>BODY</v>
          </cell>
          <cell r="D856">
            <v>94</v>
          </cell>
          <cell r="N856" t="str">
            <v>661-10</v>
          </cell>
          <cell r="O856" t="str">
            <v>BODY</v>
          </cell>
          <cell r="P856">
            <v>188</v>
          </cell>
        </row>
        <row r="857">
          <cell r="B857" t="str">
            <v>749-17</v>
          </cell>
          <cell r="C857" t="str">
            <v>REB,RETAINER</v>
          </cell>
          <cell r="D857">
            <v>94</v>
          </cell>
          <cell r="N857" t="str">
            <v>749-17</v>
          </cell>
          <cell r="O857" t="str">
            <v>REB,RETAINER</v>
          </cell>
          <cell r="P857">
            <v>188</v>
          </cell>
        </row>
        <row r="858">
          <cell r="B858" t="str">
            <v>749-17</v>
          </cell>
          <cell r="C858" t="str">
            <v>REB,RETAINER</v>
          </cell>
          <cell r="D858">
            <v>94</v>
          </cell>
          <cell r="N858" t="str">
            <v>749-17</v>
          </cell>
          <cell r="O858" t="str">
            <v>REB,RETAINER</v>
          </cell>
          <cell r="P858">
            <v>188</v>
          </cell>
        </row>
        <row r="859">
          <cell r="B859" t="str">
            <v>787-02</v>
          </cell>
          <cell r="C859" t="str">
            <v>BODY</v>
          </cell>
          <cell r="D859">
            <v>93.5</v>
          </cell>
          <cell r="N859" t="str">
            <v>787-02</v>
          </cell>
          <cell r="O859" t="str">
            <v>BODY</v>
          </cell>
          <cell r="P859">
            <v>187</v>
          </cell>
        </row>
        <row r="860">
          <cell r="B860" t="str">
            <v>787-06</v>
          </cell>
          <cell r="C860" t="str">
            <v>BODY</v>
          </cell>
          <cell r="D860">
            <v>89</v>
          </cell>
          <cell r="N860" t="str">
            <v>787-06</v>
          </cell>
          <cell r="O860" t="str">
            <v>BODY</v>
          </cell>
          <cell r="P860">
            <v>178</v>
          </cell>
        </row>
        <row r="861">
          <cell r="B861" t="str">
            <v>787-06</v>
          </cell>
          <cell r="C861" t="str">
            <v>BODY</v>
          </cell>
          <cell r="D861">
            <v>89</v>
          </cell>
          <cell r="N861" t="str">
            <v>787-06</v>
          </cell>
          <cell r="O861" t="str">
            <v>BODY</v>
          </cell>
          <cell r="P861">
            <v>178</v>
          </cell>
        </row>
        <row r="862">
          <cell r="B862" t="str">
            <v>853-20</v>
          </cell>
          <cell r="C862" t="str">
            <v>REB,RETAINER</v>
          </cell>
          <cell r="D862">
            <v>68.5</v>
          </cell>
          <cell r="N862" t="str">
            <v>853-20</v>
          </cell>
          <cell r="O862" t="str">
            <v>REB,RETAINER</v>
          </cell>
          <cell r="P862">
            <v>137</v>
          </cell>
        </row>
        <row r="863">
          <cell r="B863" t="str">
            <v>861-05</v>
          </cell>
          <cell r="C863" t="str">
            <v>BODY</v>
          </cell>
          <cell r="D863">
            <v>82.5</v>
          </cell>
          <cell r="N863" t="str">
            <v>861-05</v>
          </cell>
          <cell r="O863" t="str">
            <v>BODY</v>
          </cell>
          <cell r="P863">
            <v>165</v>
          </cell>
        </row>
        <row r="864">
          <cell r="B864" t="str">
            <v>861-12</v>
          </cell>
          <cell r="C864" t="str">
            <v>BODY</v>
          </cell>
          <cell r="D864">
            <v>94</v>
          </cell>
          <cell r="N864" t="str">
            <v>861-12</v>
          </cell>
          <cell r="O864" t="str">
            <v>BODY</v>
          </cell>
          <cell r="P864">
            <v>188</v>
          </cell>
        </row>
        <row r="865">
          <cell r="B865" t="str">
            <v>1291-01</v>
          </cell>
          <cell r="C865" t="str">
            <v>PILOT CASE</v>
          </cell>
          <cell r="D865">
            <v>87.5</v>
          </cell>
          <cell r="N865" t="str">
            <v>1291-01</v>
          </cell>
          <cell r="O865" t="str">
            <v>PILOT CASE</v>
          </cell>
          <cell r="P865">
            <v>175</v>
          </cell>
        </row>
        <row r="866">
          <cell r="B866" t="str">
            <v>1553-00</v>
          </cell>
          <cell r="C866" t="str">
            <v>RS RETAINER</v>
          </cell>
          <cell r="D866">
            <v>86</v>
          </cell>
          <cell r="N866" t="str">
            <v>1553-00</v>
          </cell>
          <cell r="O866" t="str">
            <v>RS RETAINER</v>
          </cell>
          <cell r="P866">
            <v>172</v>
          </cell>
        </row>
        <row r="867">
          <cell r="B867" t="str">
            <v>1554-14</v>
          </cell>
          <cell r="C867" t="str">
            <v>RS RETAINER</v>
          </cell>
          <cell r="D867">
            <v>89.5</v>
          </cell>
          <cell r="N867" t="str">
            <v>1554-14</v>
          </cell>
          <cell r="O867" t="str">
            <v>RS RETAINER</v>
          </cell>
          <cell r="P867">
            <v>179</v>
          </cell>
        </row>
        <row r="868">
          <cell r="B868" t="str">
            <v>1554-38</v>
          </cell>
          <cell r="C868" t="str">
            <v>RS RETAINER</v>
          </cell>
          <cell r="D868">
            <v>93.5</v>
          </cell>
          <cell r="N868" t="str">
            <v>1554-38</v>
          </cell>
          <cell r="O868" t="str">
            <v>RS RETAINER</v>
          </cell>
          <cell r="P868">
            <v>187</v>
          </cell>
        </row>
        <row r="869">
          <cell r="B869" t="str">
            <v>1611-00</v>
          </cell>
          <cell r="C869" t="str">
            <v>REB,RETAINER</v>
          </cell>
          <cell r="D869">
            <v>84.5</v>
          </cell>
          <cell r="N869" t="str">
            <v>1611-00</v>
          </cell>
          <cell r="O869" t="str">
            <v>REB,RETAINER</v>
          </cell>
          <cell r="P869">
            <v>169</v>
          </cell>
        </row>
        <row r="870">
          <cell r="B870" t="str">
            <v>1634-02</v>
          </cell>
          <cell r="C870" t="str">
            <v>RS RETAINER</v>
          </cell>
          <cell r="D870">
            <v>92</v>
          </cell>
          <cell r="N870" t="str">
            <v>1634-02</v>
          </cell>
          <cell r="O870" t="str">
            <v>RS RETAINER</v>
          </cell>
          <cell r="P870">
            <v>184</v>
          </cell>
        </row>
        <row r="871">
          <cell r="B871" t="str">
            <v>1634-02</v>
          </cell>
          <cell r="C871" t="str">
            <v>RS RETAINER</v>
          </cell>
          <cell r="D871">
            <v>92</v>
          </cell>
          <cell r="N871" t="str">
            <v>1634-02</v>
          </cell>
          <cell r="O871" t="str">
            <v>RS RETAINER</v>
          </cell>
          <cell r="P871">
            <v>184</v>
          </cell>
        </row>
        <row r="872">
          <cell r="B872" t="str">
            <v>1634-04</v>
          </cell>
          <cell r="C872" t="str">
            <v>RS RETAINER</v>
          </cell>
          <cell r="D872">
            <v>89.5</v>
          </cell>
          <cell r="N872" t="str">
            <v>1634-04</v>
          </cell>
          <cell r="O872" t="str">
            <v>RS RETAINER</v>
          </cell>
          <cell r="P872">
            <v>179</v>
          </cell>
        </row>
        <row r="873">
          <cell r="B873" t="str">
            <v>1634-04</v>
          </cell>
          <cell r="C873" t="str">
            <v>RS RETAINER</v>
          </cell>
          <cell r="D873">
            <v>89.5</v>
          </cell>
          <cell r="N873" t="str">
            <v>1634-04</v>
          </cell>
          <cell r="O873" t="str">
            <v>RS RETAINER</v>
          </cell>
          <cell r="P873">
            <v>179</v>
          </cell>
        </row>
        <row r="874">
          <cell r="B874" t="str">
            <v>1634-04</v>
          </cell>
          <cell r="C874" t="str">
            <v>RS RETAINER</v>
          </cell>
          <cell r="D874">
            <v>89.5</v>
          </cell>
          <cell r="N874" t="str">
            <v>1634-04</v>
          </cell>
          <cell r="O874" t="str">
            <v>RS RETAINER</v>
          </cell>
          <cell r="P874">
            <v>179</v>
          </cell>
        </row>
        <row r="875">
          <cell r="B875" t="str">
            <v>1634-05</v>
          </cell>
          <cell r="C875" t="str">
            <v>RS RETAINER</v>
          </cell>
          <cell r="D875">
            <v>89.5</v>
          </cell>
          <cell r="N875" t="str">
            <v>1634-05</v>
          </cell>
          <cell r="O875" t="str">
            <v>RS RETAINER</v>
          </cell>
          <cell r="P875">
            <v>179</v>
          </cell>
        </row>
        <row r="876">
          <cell r="B876" t="str">
            <v>1634-10</v>
          </cell>
          <cell r="C876" t="str">
            <v>RS RETAINER</v>
          </cell>
          <cell r="D876">
            <v>90.5</v>
          </cell>
          <cell r="N876" t="str">
            <v>1634-10</v>
          </cell>
          <cell r="O876" t="str">
            <v>RS RETAINER</v>
          </cell>
          <cell r="P876">
            <v>181</v>
          </cell>
        </row>
        <row r="877">
          <cell r="B877" t="str">
            <v>1634-14</v>
          </cell>
          <cell r="C877" t="str">
            <v>RS RETAINER</v>
          </cell>
          <cell r="D877">
            <v>89.5</v>
          </cell>
          <cell r="N877" t="str">
            <v>1634-14</v>
          </cell>
          <cell r="O877" t="str">
            <v>RS RETAINER</v>
          </cell>
          <cell r="P877">
            <v>179</v>
          </cell>
        </row>
        <row r="878">
          <cell r="B878" t="str">
            <v>1634-20</v>
          </cell>
          <cell r="C878" t="str">
            <v>RS RETAINER</v>
          </cell>
          <cell r="D878">
            <v>89.5</v>
          </cell>
          <cell r="N878" t="str">
            <v>1634-20</v>
          </cell>
          <cell r="O878" t="str">
            <v>RS RETAINER</v>
          </cell>
          <cell r="P878">
            <v>179</v>
          </cell>
        </row>
        <row r="879">
          <cell r="B879" t="str">
            <v>1634-26</v>
          </cell>
          <cell r="C879" t="str">
            <v>RS RETAINER</v>
          </cell>
          <cell r="D879">
            <v>90.5</v>
          </cell>
          <cell r="N879" t="str">
            <v>1634-26</v>
          </cell>
          <cell r="O879" t="str">
            <v>RS RETAINER</v>
          </cell>
          <cell r="P879">
            <v>181</v>
          </cell>
        </row>
        <row r="880">
          <cell r="B880" t="str">
            <v>1634-27</v>
          </cell>
          <cell r="C880" t="str">
            <v>RS RETAINER</v>
          </cell>
          <cell r="D880">
            <v>91</v>
          </cell>
          <cell r="N880" t="str">
            <v>1634-27</v>
          </cell>
          <cell r="O880" t="str">
            <v>RS RETAINER</v>
          </cell>
          <cell r="P880">
            <v>182</v>
          </cell>
        </row>
        <row r="881">
          <cell r="B881" t="str">
            <v>1634-29</v>
          </cell>
          <cell r="C881" t="str">
            <v>RS RETAINER</v>
          </cell>
          <cell r="D881">
            <v>89.5</v>
          </cell>
          <cell r="N881" t="str">
            <v>1634-29</v>
          </cell>
          <cell r="O881" t="str">
            <v>RS RETAINER</v>
          </cell>
          <cell r="P881">
            <v>179</v>
          </cell>
        </row>
        <row r="882">
          <cell r="B882" t="str">
            <v>1634-34</v>
          </cell>
          <cell r="C882" t="str">
            <v>RS RETAINER</v>
          </cell>
          <cell r="D882">
            <v>89.5</v>
          </cell>
          <cell r="N882" t="str">
            <v>1634-34</v>
          </cell>
          <cell r="O882" t="str">
            <v>RS RETAINER</v>
          </cell>
          <cell r="P882">
            <v>179</v>
          </cell>
        </row>
        <row r="883">
          <cell r="B883" t="str">
            <v>1634-44</v>
          </cell>
          <cell r="C883" t="str">
            <v>RS RETAINER</v>
          </cell>
          <cell r="D883">
            <v>89</v>
          </cell>
          <cell r="N883" t="str">
            <v>1634-44</v>
          </cell>
          <cell r="O883" t="str">
            <v>RS RETAINER</v>
          </cell>
          <cell r="P883">
            <v>178</v>
          </cell>
        </row>
        <row r="884">
          <cell r="B884" t="str">
            <v>1634-44</v>
          </cell>
          <cell r="C884" t="str">
            <v>RS RETAINER</v>
          </cell>
          <cell r="D884">
            <v>89</v>
          </cell>
          <cell r="N884" t="str">
            <v>1634-44</v>
          </cell>
          <cell r="O884" t="str">
            <v>RS RETAINER</v>
          </cell>
          <cell r="P884">
            <v>178</v>
          </cell>
        </row>
        <row r="885">
          <cell r="B885" t="str">
            <v>1779-11</v>
          </cell>
          <cell r="C885" t="str">
            <v>RS RETAINER</v>
          </cell>
          <cell r="D885">
            <v>87</v>
          </cell>
          <cell r="N885" t="str">
            <v>1779-11</v>
          </cell>
          <cell r="O885" t="str">
            <v>RS RETAINER</v>
          </cell>
          <cell r="P885">
            <v>174</v>
          </cell>
        </row>
        <row r="886">
          <cell r="B886" t="str">
            <v>1831-01</v>
          </cell>
          <cell r="C886" t="str">
            <v>BODY RETAINER</v>
          </cell>
          <cell r="D886">
            <v>90</v>
          </cell>
          <cell r="N886" t="str">
            <v>1831-01</v>
          </cell>
          <cell r="O886" t="str">
            <v>BODY RETAINER</v>
          </cell>
          <cell r="P886">
            <v>180</v>
          </cell>
        </row>
        <row r="887">
          <cell r="B887" t="str">
            <v>1831-07</v>
          </cell>
          <cell r="C887" t="str">
            <v>BODY RETAINER</v>
          </cell>
          <cell r="D887">
            <v>90</v>
          </cell>
          <cell r="N887" t="str">
            <v>1831-07</v>
          </cell>
          <cell r="O887" t="str">
            <v>BODY RETAINER</v>
          </cell>
          <cell r="P887">
            <v>180</v>
          </cell>
        </row>
        <row r="888">
          <cell r="B888" t="str">
            <v>1831-08</v>
          </cell>
          <cell r="C888" t="str">
            <v>BODY RETAINER</v>
          </cell>
          <cell r="D888">
            <v>91.5</v>
          </cell>
          <cell r="N888" t="str">
            <v>1831-08</v>
          </cell>
          <cell r="O888" t="str">
            <v>BODY RETAINER</v>
          </cell>
          <cell r="P888">
            <v>183</v>
          </cell>
        </row>
        <row r="889">
          <cell r="B889" t="str">
            <v>1832-05</v>
          </cell>
          <cell r="C889" t="str">
            <v>BODY RETAINER</v>
          </cell>
          <cell r="D889">
            <v>94.5</v>
          </cell>
          <cell r="N889" t="str">
            <v>1832-05</v>
          </cell>
          <cell r="O889" t="str">
            <v>BODY RETAINER</v>
          </cell>
          <cell r="P889">
            <v>189</v>
          </cell>
        </row>
        <row r="890">
          <cell r="B890" t="str">
            <v>1832-05</v>
          </cell>
          <cell r="C890" t="str">
            <v>BODY RETAINER</v>
          </cell>
          <cell r="D890">
            <v>94.5</v>
          </cell>
          <cell r="N890" t="str">
            <v>1832-05</v>
          </cell>
          <cell r="O890" t="str">
            <v>BODY RETAINER</v>
          </cell>
          <cell r="P890">
            <v>189</v>
          </cell>
        </row>
        <row r="891">
          <cell r="B891" t="str">
            <v>2077-05</v>
          </cell>
          <cell r="C891" t="str">
            <v>BODY RETAINER</v>
          </cell>
          <cell r="D891">
            <v>88.5</v>
          </cell>
          <cell r="N891" t="str">
            <v>2077-05</v>
          </cell>
          <cell r="O891" t="str">
            <v>BODY RETAINER</v>
          </cell>
          <cell r="P891">
            <v>177</v>
          </cell>
        </row>
        <row r="892">
          <cell r="B892" t="str">
            <v>264-03</v>
          </cell>
          <cell r="C892" t="str">
            <v>HEAD</v>
          </cell>
          <cell r="D892">
            <v>113.39999999999999</v>
          </cell>
          <cell r="N892" t="str">
            <v>264-03</v>
          </cell>
          <cell r="O892" t="str">
            <v>HEAD</v>
          </cell>
          <cell r="P892">
            <v>189</v>
          </cell>
        </row>
        <row r="893">
          <cell r="B893" t="str">
            <v>2852-07</v>
          </cell>
          <cell r="C893" t="str">
            <v>BODY</v>
          </cell>
          <cell r="D893">
            <v>92.5</v>
          </cell>
          <cell r="N893" t="str">
            <v>2852-07</v>
          </cell>
          <cell r="O893" t="str">
            <v>BODY</v>
          </cell>
          <cell r="P893">
            <v>185</v>
          </cell>
        </row>
        <row r="894">
          <cell r="B894" t="str">
            <v>567-06</v>
          </cell>
          <cell r="C894" t="str">
            <v>BODY</v>
          </cell>
          <cell r="D894">
            <v>94.5</v>
          </cell>
          <cell r="N894" t="str">
            <v>567-06</v>
          </cell>
          <cell r="O894" t="str">
            <v>BODY</v>
          </cell>
          <cell r="P894">
            <v>189</v>
          </cell>
        </row>
        <row r="895">
          <cell r="B895" t="str">
            <v>661-06</v>
          </cell>
          <cell r="C895" t="str">
            <v>BODY</v>
          </cell>
          <cell r="D895">
            <v>82.5</v>
          </cell>
          <cell r="N895" t="str">
            <v>661-06</v>
          </cell>
          <cell r="O895" t="str">
            <v>BODY</v>
          </cell>
          <cell r="P895">
            <v>165</v>
          </cell>
        </row>
        <row r="896">
          <cell r="B896" t="str">
            <v>787-10</v>
          </cell>
          <cell r="C896" t="str">
            <v>BODY</v>
          </cell>
          <cell r="D896">
            <v>94.5</v>
          </cell>
          <cell r="N896" t="str">
            <v>787-10</v>
          </cell>
          <cell r="O896" t="str">
            <v>BODY</v>
          </cell>
          <cell r="P896">
            <v>189</v>
          </cell>
        </row>
        <row r="897">
          <cell r="B897" t="str">
            <v>853-17</v>
          </cell>
          <cell r="C897" t="str">
            <v>REB,RETAINER</v>
          </cell>
          <cell r="D897">
            <v>94.5</v>
          </cell>
          <cell r="N897" t="str">
            <v>853-17</v>
          </cell>
          <cell r="O897" t="str">
            <v>REB,RETAINER</v>
          </cell>
          <cell r="P897">
            <v>189</v>
          </cell>
        </row>
        <row r="898">
          <cell r="B898" t="str">
            <v>853-24</v>
          </cell>
          <cell r="C898" t="str">
            <v>REB,RETAINER</v>
          </cell>
          <cell r="D898">
            <v>68</v>
          </cell>
          <cell r="N898" t="str">
            <v>853-24</v>
          </cell>
          <cell r="O898" t="str">
            <v>REB,RETAINER</v>
          </cell>
          <cell r="P898">
            <v>136</v>
          </cell>
        </row>
        <row r="899">
          <cell r="B899" t="str">
            <v>853-37</v>
          </cell>
          <cell r="C899" t="str">
            <v>REB,RETAINER</v>
          </cell>
          <cell r="D899">
            <v>92.5</v>
          </cell>
          <cell r="N899" t="str">
            <v>853-37</v>
          </cell>
          <cell r="O899" t="str">
            <v>REB,RETAINER</v>
          </cell>
          <cell r="P899">
            <v>185</v>
          </cell>
        </row>
        <row r="900">
          <cell r="B900" t="str">
            <v>853-46</v>
          </cell>
          <cell r="C900" t="str">
            <v>REB,RETAINER</v>
          </cell>
          <cell r="D900">
            <v>92.5</v>
          </cell>
          <cell r="N900" t="str">
            <v>853-46</v>
          </cell>
          <cell r="O900" t="str">
            <v>REB,RETAINER</v>
          </cell>
          <cell r="P900">
            <v>185</v>
          </cell>
        </row>
        <row r="901">
          <cell r="B901" t="str">
            <v>1554-02</v>
          </cell>
          <cell r="C901" t="str">
            <v>RS RETAINER</v>
          </cell>
          <cell r="D901">
            <v>87.5</v>
          </cell>
          <cell r="N901" t="str">
            <v>1554-02</v>
          </cell>
          <cell r="O901" t="str">
            <v>RS RETAINER</v>
          </cell>
          <cell r="P901">
            <v>175</v>
          </cell>
        </row>
        <row r="902">
          <cell r="B902" t="str">
            <v>1554-11</v>
          </cell>
          <cell r="C902" t="str">
            <v>RS RETAINER</v>
          </cell>
          <cell r="D902">
            <v>89</v>
          </cell>
          <cell r="N902" t="str">
            <v>1554-11</v>
          </cell>
          <cell r="O902" t="str">
            <v>RS RETAINER</v>
          </cell>
          <cell r="P902">
            <v>178</v>
          </cell>
        </row>
        <row r="903">
          <cell r="B903" t="str">
            <v>1554-17</v>
          </cell>
          <cell r="C903" t="str">
            <v>RS RETAINER</v>
          </cell>
          <cell r="D903">
            <v>88</v>
          </cell>
          <cell r="N903" t="str">
            <v>1554-17</v>
          </cell>
          <cell r="O903" t="str">
            <v>RS RETAINER</v>
          </cell>
          <cell r="P903">
            <v>176</v>
          </cell>
        </row>
        <row r="904">
          <cell r="B904" t="str">
            <v>1634-05</v>
          </cell>
          <cell r="C904" t="str">
            <v>RS RETAINER</v>
          </cell>
          <cell r="D904">
            <v>89.5</v>
          </cell>
          <cell r="N904" t="str">
            <v>1634-05</v>
          </cell>
          <cell r="O904" t="str">
            <v>RS RETAINER</v>
          </cell>
          <cell r="P904">
            <v>179</v>
          </cell>
        </row>
        <row r="905">
          <cell r="B905" t="str">
            <v>1634-10</v>
          </cell>
          <cell r="C905" t="str">
            <v>RS RETAINER</v>
          </cell>
          <cell r="D905">
            <v>90.5</v>
          </cell>
          <cell r="N905" t="str">
            <v>1634-10</v>
          </cell>
          <cell r="O905" t="str">
            <v>RS RETAINER</v>
          </cell>
          <cell r="P905">
            <v>181</v>
          </cell>
        </row>
        <row r="906">
          <cell r="B906" t="str">
            <v>1634-19</v>
          </cell>
          <cell r="C906" t="str">
            <v>RS RETAINER</v>
          </cell>
          <cell r="D906">
            <v>89.5</v>
          </cell>
          <cell r="N906" t="str">
            <v>1634-19</v>
          </cell>
          <cell r="O906" t="str">
            <v>RS RETAINER</v>
          </cell>
          <cell r="P906">
            <v>179</v>
          </cell>
        </row>
        <row r="907">
          <cell r="B907" t="str">
            <v>1634-20</v>
          </cell>
          <cell r="C907" t="str">
            <v>RS RETAINER</v>
          </cell>
          <cell r="D907">
            <v>89.5</v>
          </cell>
          <cell r="N907" t="str">
            <v>1634-20</v>
          </cell>
          <cell r="O907" t="str">
            <v>RS RETAINER</v>
          </cell>
          <cell r="P907">
            <v>179</v>
          </cell>
        </row>
        <row r="908">
          <cell r="B908" t="str">
            <v>1634-22</v>
          </cell>
          <cell r="C908" t="str">
            <v>RS RETAINER</v>
          </cell>
          <cell r="D908">
            <v>95</v>
          </cell>
          <cell r="N908" t="str">
            <v>1634-22</v>
          </cell>
          <cell r="O908" t="str">
            <v>RS RETAINER</v>
          </cell>
          <cell r="P908">
            <v>190</v>
          </cell>
        </row>
        <row r="909">
          <cell r="B909" t="str">
            <v>1634-29</v>
          </cell>
          <cell r="C909" t="str">
            <v>RS RETAINER</v>
          </cell>
          <cell r="D909">
            <v>89.5</v>
          </cell>
          <cell r="N909" t="str">
            <v>1634-29</v>
          </cell>
          <cell r="O909" t="str">
            <v>RS RETAINER</v>
          </cell>
          <cell r="P909">
            <v>179</v>
          </cell>
        </row>
        <row r="910">
          <cell r="B910" t="str">
            <v>1634-34</v>
          </cell>
          <cell r="C910" t="str">
            <v>RS RETAINER</v>
          </cell>
          <cell r="D910">
            <v>89.5</v>
          </cell>
          <cell r="N910" t="str">
            <v>1634-34</v>
          </cell>
          <cell r="O910" t="str">
            <v>RS RETAINER</v>
          </cell>
          <cell r="P910">
            <v>179</v>
          </cell>
        </row>
        <row r="911">
          <cell r="B911" t="str">
            <v>1634-38</v>
          </cell>
          <cell r="C911" t="str">
            <v>RS RETAINER</v>
          </cell>
          <cell r="D911">
            <v>89.5</v>
          </cell>
          <cell r="N911" t="str">
            <v>1634-38</v>
          </cell>
          <cell r="O911" t="str">
            <v>RS RETAINER</v>
          </cell>
          <cell r="P911">
            <v>179</v>
          </cell>
        </row>
        <row r="912">
          <cell r="B912" t="str">
            <v>1634-41</v>
          </cell>
          <cell r="C912" t="str">
            <v>RS RETAINER</v>
          </cell>
          <cell r="D912">
            <v>91</v>
          </cell>
          <cell r="N912" t="str">
            <v>1634-41</v>
          </cell>
          <cell r="O912" t="str">
            <v>RS RETAINER</v>
          </cell>
          <cell r="P912">
            <v>182</v>
          </cell>
        </row>
        <row r="913">
          <cell r="B913" t="str">
            <v>1734-07</v>
          </cell>
          <cell r="C913" t="str">
            <v>RS RETAINER</v>
          </cell>
          <cell r="D913">
            <v>90</v>
          </cell>
          <cell r="N913" t="str">
            <v>1734-07</v>
          </cell>
          <cell r="O913" t="str">
            <v>RS RETAINER</v>
          </cell>
          <cell r="P913">
            <v>180</v>
          </cell>
        </row>
        <row r="914">
          <cell r="B914" t="str">
            <v>1734-07</v>
          </cell>
          <cell r="C914" t="str">
            <v>RS RETAINER</v>
          </cell>
          <cell r="D914">
            <v>90</v>
          </cell>
          <cell r="N914" t="str">
            <v>1734-07</v>
          </cell>
          <cell r="O914" t="str">
            <v>RS RETAINER</v>
          </cell>
          <cell r="P914">
            <v>180</v>
          </cell>
        </row>
        <row r="915">
          <cell r="B915" t="str">
            <v>1738-01</v>
          </cell>
          <cell r="C915" t="str">
            <v>RS RETAINER</v>
          </cell>
          <cell r="D915">
            <v>95</v>
          </cell>
          <cell r="N915" t="str">
            <v>1738-01</v>
          </cell>
          <cell r="O915" t="str">
            <v>RS RETAINER</v>
          </cell>
          <cell r="P915">
            <v>190</v>
          </cell>
        </row>
        <row r="916">
          <cell r="B916" t="str">
            <v>1831-01</v>
          </cell>
          <cell r="C916" t="str">
            <v>BODY RETAINER</v>
          </cell>
          <cell r="D916">
            <v>90</v>
          </cell>
          <cell r="N916" t="str">
            <v>1831-01</v>
          </cell>
          <cell r="O916" t="str">
            <v>BODY RETAINER</v>
          </cell>
          <cell r="P916">
            <v>180</v>
          </cell>
        </row>
        <row r="917">
          <cell r="B917" t="str">
            <v>1831-08</v>
          </cell>
          <cell r="C917" t="str">
            <v>BODY RETAINER</v>
          </cell>
          <cell r="D917">
            <v>91.5</v>
          </cell>
          <cell r="N917" t="str">
            <v>1831-08</v>
          </cell>
          <cell r="O917" t="str">
            <v>BODY RETAINER</v>
          </cell>
          <cell r="P917">
            <v>183</v>
          </cell>
        </row>
        <row r="918">
          <cell r="B918" t="str">
            <v>1832-02</v>
          </cell>
          <cell r="C918" t="str">
            <v>BODY RETAINER</v>
          </cell>
          <cell r="D918">
            <v>90.5</v>
          </cell>
          <cell r="N918" t="str">
            <v>1832-02</v>
          </cell>
          <cell r="O918" t="str">
            <v>BODY RETAINER</v>
          </cell>
          <cell r="P918">
            <v>181</v>
          </cell>
        </row>
        <row r="919">
          <cell r="B919" t="str">
            <v>1832-05</v>
          </cell>
          <cell r="C919" t="str">
            <v>BODY RETAINER</v>
          </cell>
          <cell r="D919">
            <v>94.5</v>
          </cell>
          <cell r="N919" t="str">
            <v>1832-05</v>
          </cell>
          <cell r="O919" t="str">
            <v>BODY RETAINER</v>
          </cell>
          <cell r="P919">
            <v>189</v>
          </cell>
        </row>
        <row r="920">
          <cell r="B920" t="str">
            <v>1832-05</v>
          </cell>
          <cell r="C920" t="str">
            <v>BODY RETAINER</v>
          </cell>
          <cell r="D920">
            <v>94.5</v>
          </cell>
          <cell r="N920" t="str">
            <v>1832-05</v>
          </cell>
          <cell r="O920" t="str">
            <v>BODY RETAINER</v>
          </cell>
          <cell r="P920">
            <v>189</v>
          </cell>
        </row>
        <row r="921">
          <cell r="B921" t="str">
            <v>1832-09</v>
          </cell>
          <cell r="C921" t="str">
            <v>BODY RETAINER</v>
          </cell>
          <cell r="D921">
            <v>90.5</v>
          </cell>
          <cell r="N921" t="str">
            <v>1832-09</v>
          </cell>
          <cell r="O921" t="str">
            <v>BODY RETAINER</v>
          </cell>
          <cell r="P921">
            <v>181</v>
          </cell>
        </row>
        <row r="922">
          <cell r="B922" t="str">
            <v>2076-08</v>
          </cell>
          <cell r="C922" t="str">
            <v>BODY RETAINER</v>
          </cell>
          <cell r="D922">
            <v>82.5</v>
          </cell>
          <cell r="N922" t="str">
            <v>2076-08</v>
          </cell>
          <cell r="O922" t="str">
            <v>BODY RETAINER</v>
          </cell>
          <cell r="P922">
            <v>165</v>
          </cell>
        </row>
        <row r="923">
          <cell r="B923" t="str">
            <v>2077-05</v>
          </cell>
          <cell r="C923" t="str">
            <v>BODY RETAINER</v>
          </cell>
          <cell r="D923">
            <v>88.5</v>
          </cell>
          <cell r="N923" t="str">
            <v>2077-05</v>
          </cell>
          <cell r="O923" t="str">
            <v>BODY RETAINER</v>
          </cell>
          <cell r="P923">
            <v>177</v>
          </cell>
        </row>
        <row r="924">
          <cell r="B924" t="str">
            <v>861-05</v>
          </cell>
          <cell r="C924" t="str">
            <v>BODY</v>
          </cell>
          <cell r="D924">
            <v>82.5</v>
          </cell>
          <cell r="N924" t="str">
            <v>861-05</v>
          </cell>
          <cell r="O924" t="str">
            <v>BODY</v>
          </cell>
          <cell r="P924">
            <v>165</v>
          </cell>
        </row>
        <row r="925">
          <cell r="B925" t="str">
            <v>1302-00</v>
          </cell>
          <cell r="C925" t="str">
            <v>CAM</v>
          </cell>
          <cell r="D925">
            <v>114.6</v>
          </cell>
          <cell r="N925" t="str">
            <v>1302-00</v>
          </cell>
          <cell r="O925" t="str">
            <v>CAM</v>
          </cell>
          <cell r="P925">
            <v>191</v>
          </cell>
        </row>
        <row r="926">
          <cell r="B926" t="str">
            <v>1554-02</v>
          </cell>
          <cell r="C926" t="str">
            <v>RS RETAINER</v>
          </cell>
          <cell r="D926">
            <v>87.5</v>
          </cell>
          <cell r="N926" t="str">
            <v>1554-02</v>
          </cell>
          <cell r="O926" t="str">
            <v>RS RETAINER</v>
          </cell>
          <cell r="P926">
            <v>175</v>
          </cell>
        </row>
        <row r="927">
          <cell r="B927" t="str">
            <v>1554-03</v>
          </cell>
          <cell r="C927" t="str">
            <v>RS RETAINER</v>
          </cell>
          <cell r="D927">
            <v>87.5</v>
          </cell>
          <cell r="N927" t="str">
            <v>1554-03</v>
          </cell>
          <cell r="O927" t="str">
            <v>RS RETAINER</v>
          </cell>
          <cell r="P927">
            <v>175</v>
          </cell>
        </row>
        <row r="928">
          <cell r="B928" t="str">
            <v>1554-08</v>
          </cell>
          <cell r="C928" t="str">
            <v>RS RETAINER</v>
          </cell>
          <cell r="D928">
            <v>90</v>
          </cell>
          <cell r="N928" t="str">
            <v>1554-08</v>
          </cell>
          <cell r="O928" t="str">
            <v>RS RETAINER</v>
          </cell>
          <cell r="P928">
            <v>180</v>
          </cell>
        </row>
        <row r="929">
          <cell r="B929" t="str">
            <v>1554-08</v>
          </cell>
          <cell r="C929" t="str">
            <v>RS RETAINER</v>
          </cell>
          <cell r="D929">
            <v>90</v>
          </cell>
          <cell r="N929" t="str">
            <v>1554-08</v>
          </cell>
          <cell r="O929" t="str">
            <v>RS RETAINER</v>
          </cell>
          <cell r="P929">
            <v>180</v>
          </cell>
        </row>
        <row r="930">
          <cell r="B930" t="str">
            <v>1554-09</v>
          </cell>
          <cell r="C930" t="str">
            <v>RS RETAINER</v>
          </cell>
          <cell r="D930">
            <v>87.5</v>
          </cell>
          <cell r="N930" t="str">
            <v>1554-09</v>
          </cell>
          <cell r="O930" t="str">
            <v>RS RETAINER</v>
          </cell>
          <cell r="P930">
            <v>175</v>
          </cell>
        </row>
        <row r="931">
          <cell r="B931" t="str">
            <v>1554-35</v>
          </cell>
          <cell r="C931" t="str">
            <v>RS RETAINER</v>
          </cell>
          <cell r="D931">
            <v>89.5</v>
          </cell>
          <cell r="N931" t="str">
            <v>1554-35</v>
          </cell>
          <cell r="O931" t="str">
            <v>RS RETAINER</v>
          </cell>
          <cell r="P931">
            <v>179</v>
          </cell>
        </row>
        <row r="932">
          <cell r="B932" t="str">
            <v>1554-39</v>
          </cell>
          <cell r="C932" t="str">
            <v>RS RETAINER</v>
          </cell>
          <cell r="D932">
            <v>93.5</v>
          </cell>
          <cell r="N932" t="str">
            <v>1554-39</v>
          </cell>
          <cell r="O932" t="str">
            <v>RS RETAINER</v>
          </cell>
          <cell r="P932">
            <v>187</v>
          </cell>
        </row>
        <row r="933">
          <cell r="B933" t="str">
            <v>1554-40</v>
          </cell>
          <cell r="C933" t="str">
            <v>RS RETAINER</v>
          </cell>
          <cell r="D933">
            <v>93.5</v>
          </cell>
          <cell r="N933" t="str">
            <v>1554-40</v>
          </cell>
          <cell r="O933" t="str">
            <v>RS RETAINER</v>
          </cell>
          <cell r="P933">
            <v>187</v>
          </cell>
        </row>
        <row r="934">
          <cell r="B934" t="str">
            <v>1634-23</v>
          </cell>
          <cell r="C934" t="str">
            <v>RS RETAINER</v>
          </cell>
          <cell r="D934">
            <v>91</v>
          </cell>
          <cell r="N934" t="str">
            <v>1634-23</v>
          </cell>
          <cell r="O934" t="str">
            <v>RS RETAINER</v>
          </cell>
          <cell r="P934">
            <v>182</v>
          </cell>
        </row>
        <row r="935">
          <cell r="B935" t="str">
            <v>1634-25</v>
          </cell>
          <cell r="C935" t="str">
            <v>RS RETAINER</v>
          </cell>
          <cell r="D935">
            <v>89.5</v>
          </cell>
          <cell r="N935" t="str">
            <v>1634-25</v>
          </cell>
          <cell r="O935" t="str">
            <v>RS RETAINER</v>
          </cell>
          <cell r="P935">
            <v>179</v>
          </cell>
        </row>
        <row r="936">
          <cell r="B936" t="str">
            <v>1734-04</v>
          </cell>
          <cell r="C936" t="str">
            <v>RS RETAINER</v>
          </cell>
          <cell r="D936">
            <v>89.5</v>
          </cell>
          <cell r="N936" t="str">
            <v>1734-04</v>
          </cell>
          <cell r="O936" t="str">
            <v>RS RETAINER</v>
          </cell>
          <cell r="P936">
            <v>179</v>
          </cell>
        </row>
        <row r="937">
          <cell r="B937" t="str">
            <v>1734-04</v>
          </cell>
          <cell r="C937" t="str">
            <v>RS RETAINER</v>
          </cell>
          <cell r="D937">
            <v>89.5</v>
          </cell>
          <cell r="N937" t="str">
            <v>1734-04</v>
          </cell>
          <cell r="O937" t="str">
            <v>RS RETAINER</v>
          </cell>
          <cell r="P937">
            <v>179</v>
          </cell>
        </row>
        <row r="938">
          <cell r="B938" t="str">
            <v>1734-10</v>
          </cell>
          <cell r="C938" t="str">
            <v>RS RETAINER</v>
          </cell>
          <cell r="D938">
            <v>95.5</v>
          </cell>
          <cell r="N938" t="str">
            <v>1734-10</v>
          </cell>
          <cell r="O938" t="str">
            <v>RS RETAINER</v>
          </cell>
          <cell r="P938">
            <v>191</v>
          </cell>
        </row>
        <row r="939">
          <cell r="B939" t="str">
            <v>1734-10</v>
          </cell>
          <cell r="C939" t="str">
            <v>RS RETAINER</v>
          </cell>
          <cell r="D939">
            <v>95.5</v>
          </cell>
          <cell r="N939" t="str">
            <v>1734-10</v>
          </cell>
          <cell r="O939" t="str">
            <v>RS RETAINER</v>
          </cell>
          <cell r="P939">
            <v>191</v>
          </cell>
        </row>
        <row r="940">
          <cell r="B940" t="str">
            <v>1832-06</v>
          </cell>
          <cell r="C940" t="str">
            <v>BODY RETAINER</v>
          </cell>
          <cell r="D940">
            <v>90.5</v>
          </cell>
          <cell r="N940" t="str">
            <v>1832-06</v>
          </cell>
          <cell r="O940" t="str">
            <v>BODY RETAINER</v>
          </cell>
          <cell r="P940">
            <v>181</v>
          </cell>
        </row>
        <row r="941">
          <cell r="B941" t="str">
            <v>1832-08</v>
          </cell>
          <cell r="C941" t="str">
            <v>BODY RETAINER</v>
          </cell>
          <cell r="D941">
            <v>92</v>
          </cell>
          <cell r="N941" t="str">
            <v>1832-08</v>
          </cell>
          <cell r="O941" t="str">
            <v>BODY RETAINER</v>
          </cell>
          <cell r="P941">
            <v>184</v>
          </cell>
        </row>
        <row r="942">
          <cell r="B942" t="str">
            <v>1832-10</v>
          </cell>
          <cell r="C942" t="str">
            <v>BODY RETAINER</v>
          </cell>
          <cell r="D942">
            <v>95.5</v>
          </cell>
          <cell r="N942" t="str">
            <v>1832-10</v>
          </cell>
          <cell r="O942" t="str">
            <v>BODY RETAINER</v>
          </cell>
          <cell r="P942">
            <v>191</v>
          </cell>
        </row>
        <row r="943">
          <cell r="B943" t="str">
            <v>1843-10</v>
          </cell>
          <cell r="C943" t="str">
            <v>RS RETAINER</v>
          </cell>
          <cell r="D943">
            <v>90.5</v>
          </cell>
          <cell r="N943" t="str">
            <v>1843-10</v>
          </cell>
          <cell r="O943" t="str">
            <v>RS RETAINER</v>
          </cell>
          <cell r="P943">
            <v>181</v>
          </cell>
        </row>
        <row r="944">
          <cell r="B944" t="str">
            <v>1843-98</v>
          </cell>
          <cell r="C944" t="str">
            <v>RS RETAINER</v>
          </cell>
          <cell r="D944">
            <v>95.5</v>
          </cell>
          <cell r="N944" t="str">
            <v>1843-98</v>
          </cell>
          <cell r="O944" t="str">
            <v>RS RETAINER</v>
          </cell>
          <cell r="P944">
            <v>191</v>
          </cell>
        </row>
        <row r="945">
          <cell r="B945" t="str">
            <v>1858-00</v>
          </cell>
          <cell r="C945" t="str">
            <v>SUN GEAR</v>
          </cell>
          <cell r="D945">
            <v>109.8</v>
          </cell>
          <cell r="N945" t="str">
            <v>1858-00</v>
          </cell>
          <cell r="O945" t="str">
            <v>SUN GEAR</v>
          </cell>
          <cell r="P945">
            <v>183</v>
          </cell>
        </row>
        <row r="946">
          <cell r="B946" t="str">
            <v>2077-05</v>
          </cell>
          <cell r="C946" t="str">
            <v>BODY RETAINER</v>
          </cell>
          <cell r="D946">
            <v>88.5</v>
          </cell>
          <cell r="N946" t="str">
            <v>2077-05</v>
          </cell>
          <cell r="O946" t="str">
            <v>BODY RETAINER</v>
          </cell>
          <cell r="P946">
            <v>177</v>
          </cell>
        </row>
        <row r="947">
          <cell r="B947" t="str">
            <v>465-04</v>
          </cell>
          <cell r="C947" t="str">
            <v>BODY</v>
          </cell>
          <cell r="D947">
            <v>95.5</v>
          </cell>
          <cell r="N947" t="str">
            <v>465-04</v>
          </cell>
          <cell r="O947" t="str">
            <v>BODY</v>
          </cell>
          <cell r="P947">
            <v>191</v>
          </cell>
        </row>
        <row r="948">
          <cell r="B948" t="str">
            <v>567-08</v>
          </cell>
          <cell r="C948" t="str">
            <v>BODY</v>
          </cell>
          <cell r="D948">
            <v>95.5</v>
          </cell>
          <cell r="N948" t="str">
            <v>567-08</v>
          </cell>
          <cell r="O948" t="str">
            <v>BODY</v>
          </cell>
          <cell r="P948">
            <v>191</v>
          </cell>
        </row>
        <row r="949">
          <cell r="B949" t="str">
            <v>588-18</v>
          </cell>
          <cell r="C949" t="str">
            <v>PISTON</v>
          </cell>
          <cell r="D949">
            <v>85</v>
          </cell>
          <cell r="N949" t="str">
            <v>588-18</v>
          </cell>
          <cell r="O949" t="str">
            <v>PISTON</v>
          </cell>
          <cell r="P949">
            <v>170</v>
          </cell>
        </row>
        <row r="950">
          <cell r="B950" t="str">
            <v>588-20</v>
          </cell>
          <cell r="C950" t="str">
            <v>PISTON</v>
          </cell>
          <cell r="D950">
            <v>91</v>
          </cell>
          <cell r="N950" t="str">
            <v>588-20</v>
          </cell>
          <cell r="O950" t="str">
            <v>PISTON</v>
          </cell>
          <cell r="P950">
            <v>182</v>
          </cell>
        </row>
        <row r="951">
          <cell r="B951" t="str">
            <v>661-10</v>
          </cell>
          <cell r="C951" t="str">
            <v>BODY</v>
          </cell>
          <cell r="D951">
            <v>94</v>
          </cell>
          <cell r="N951" t="str">
            <v>661-10</v>
          </cell>
          <cell r="O951" t="str">
            <v>BODY</v>
          </cell>
          <cell r="P951">
            <v>188</v>
          </cell>
        </row>
        <row r="952">
          <cell r="B952" t="str">
            <v>786-03</v>
          </cell>
          <cell r="C952" t="str">
            <v>BODY</v>
          </cell>
          <cell r="D952">
            <v>82</v>
          </cell>
          <cell r="N952" t="str">
            <v>786-03</v>
          </cell>
          <cell r="O952" t="str">
            <v>BODY</v>
          </cell>
          <cell r="P952">
            <v>164</v>
          </cell>
        </row>
        <row r="953">
          <cell r="B953" t="str">
            <v>786-08</v>
          </cell>
          <cell r="C953" t="str">
            <v>BODY</v>
          </cell>
          <cell r="D953">
            <v>85</v>
          </cell>
          <cell r="N953" t="str">
            <v>786-08</v>
          </cell>
          <cell r="O953" t="str">
            <v>BODY</v>
          </cell>
          <cell r="P953">
            <v>170</v>
          </cell>
        </row>
        <row r="954">
          <cell r="B954" t="str">
            <v>787-03</v>
          </cell>
          <cell r="C954" t="str">
            <v>BODY</v>
          </cell>
          <cell r="D954">
            <v>95.5</v>
          </cell>
          <cell r="N954" t="str">
            <v>787-03</v>
          </cell>
          <cell r="O954" t="str">
            <v>BODY</v>
          </cell>
          <cell r="P954">
            <v>191</v>
          </cell>
        </row>
        <row r="955">
          <cell r="B955" t="str">
            <v>807-05</v>
          </cell>
          <cell r="C955" t="str">
            <v>REB,RETAINER</v>
          </cell>
          <cell r="D955">
            <v>47.5</v>
          </cell>
          <cell r="N955" t="str">
            <v>807-05</v>
          </cell>
          <cell r="O955" t="str">
            <v>REB,RETAINER</v>
          </cell>
          <cell r="P955">
            <v>95</v>
          </cell>
        </row>
        <row r="956">
          <cell r="B956" t="str">
            <v>852-06</v>
          </cell>
          <cell r="C956" t="str">
            <v>BODY</v>
          </cell>
          <cell r="D956">
            <v>95.5</v>
          </cell>
          <cell r="N956" t="str">
            <v>852-06</v>
          </cell>
          <cell r="O956" t="str">
            <v>BODY</v>
          </cell>
          <cell r="P956">
            <v>191</v>
          </cell>
        </row>
        <row r="957">
          <cell r="B957" t="str">
            <v>853-42</v>
          </cell>
          <cell r="C957" t="str">
            <v>REB,RETAINER</v>
          </cell>
          <cell r="D957">
            <v>95.5</v>
          </cell>
          <cell r="N957" t="str">
            <v>853-42</v>
          </cell>
          <cell r="O957" t="str">
            <v>REB,RETAINER</v>
          </cell>
          <cell r="P957">
            <v>191</v>
          </cell>
        </row>
        <row r="958">
          <cell r="B958" t="str">
            <v>861-12</v>
          </cell>
          <cell r="C958" t="str">
            <v>BODY</v>
          </cell>
          <cell r="D958">
            <v>94</v>
          </cell>
          <cell r="N958" t="str">
            <v>861-12</v>
          </cell>
          <cell r="O958" t="str">
            <v>BODY</v>
          </cell>
          <cell r="P958">
            <v>188</v>
          </cell>
        </row>
        <row r="959">
          <cell r="B959" t="str">
            <v>1100-08</v>
          </cell>
          <cell r="C959" t="str">
            <v>BASE VALVE</v>
          </cell>
          <cell r="D959">
            <v>93.5</v>
          </cell>
          <cell r="N959" t="str">
            <v>1100-08</v>
          </cell>
          <cell r="O959" t="str">
            <v>BASE VALVE</v>
          </cell>
          <cell r="P959">
            <v>187</v>
          </cell>
        </row>
        <row r="960">
          <cell r="B960" t="str">
            <v>1259-00</v>
          </cell>
          <cell r="C960" t="str">
            <v>CAM</v>
          </cell>
          <cell r="D960">
            <v>115.19999999999999</v>
          </cell>
          <cell r="N960" t="str">
            <v>1259-00</v>
          </cell>
          <cell r="O960" t="str">
            <v>CAM</v>
          </cell>
          <cell r="P960">
            <v>192</v>
          </cell>
        </row>
        <row r="961">
          <cell r="B961" t="str">
            <v>1554-03</v>
          </cell>
          <cell r="C961" t="str">
            <v>RS RETAINER</v>
          </cell>
          <cell r="D961">
            <v>87.5</v>
          </cell>
          <cell r="N961" t="str">
            <v>1554-03</v>
          </cell>
          <cell r="O961" t="str">
            <v>RS RETAINER</v>
          </cell>
          <cell r="P961">
            <v>175</v>
          </cell>
        </row>
        <row r="962">
          <cell r="B962" t="str">
            <v>1554-09</v>
          </cell>
          <cell r="C962" t="str">
            <v>RS RETAINER</v>
          </cell>
          <cell r="D962">
            <v>87.5</v>
          </cell>
          <cell r="N962" t="str">
            <v>1554-09</v>
          </cell>
          <cell r="O962" t="str">
            <v>RS RETAINER</v>
          </cell>
          <cell r="P962">
            <v>175</v>
          </cell>
        </row>
        <row r="963">
          <cell r="B963" t="str">
            <v>1554-10</v>
          </cell>
          <cell r="C963" t="str">
            <v>RS RETAINER</v>
          </cell>
          <cell r="D963">
            <v>87</v>
          </cell>
          <cell r="N963" t="str">
            <v>1554-10</v>
          </cell>
          <cell r="O963" t="str">
            <v>RS RETAINER</v>
          </cell>
          <cell r="P963">
            <v>174</v>
          </cell>
        </row>
        <row r="964">
          <cell r="B964" t="str">
            <v>1554-14</v>
          </cell>
          <cell r="C964" t="str">
            <v>RS RETAINER</v>
          </cell>
          <cell r="D964">
            <v>89.5</v>
          </cell>
          <cell r="N964" t="str">
            <v>1554-14</v>
          </cell>
          <cell r="O964" t="str">
            <v>RS RETAINER</v>
          </cell>
          <cell r="P964">
            <v>179</v>
          </cell>
        </row>
        <row r="965">
          <cell r="B965" t="str">
            <v>1634-05</v>
          </cell>
          <cell r="C965" t="str">
            <v>RS RETAINER</v>
          </cell>
          <cell r="D965">
            <v>89.5</v>
          </cell>
          <cell r="N965" t="str">
            <v>1634-05</v>
          </cell>
          <cell r="O965" t="str">
            <v>RS RETAINER</v>
          </cell>
          <cell r="P965">
            <v>179</v>
          </cell>
        </row>
        <row r="966">
          <cell r="B966" t="str">
            <v>1634-19</v>
          </cell>
          <cell r="C966" t="str">
            <v>RS RETAINER</v>
          </cell>
          <cell r="D966">
            <v>89.5</v>
          </cell>
          <cell r="N966" t="str">
            <v>1634-19</v>
          </cell>
          <cell r="O966" t="str">
            <v>RS RETAINER</v>
          </cell>
          <cell r="P966">
            <v>179</v>
          </cell>
        </row>
        <row r="967">
          <cell r="B967" t="str">
            <v>1634-22</v>
          </cell>
          <cell r="C967" t="str">
            <v>RS RETAINER</v>
          </cell>
          <cell r="D967">
            <v>95</v>
          </cell>
          <cell r="N967" t="str">
            <v>1634-22</v>
          </cell>
          <cell r="O967" t="str">
            <v>RS RETAINER</v>
          </cell>
          <cell r="P967">
            <v>190</v>
          </cell>
        </row>
        <row r="968">
          <cell r="B968" t="str">
            <v>1634-25</v>
          </cell>
          <cell r="C968" t="str">
            <v>RS RETAINER</v>
          </cell>
          <cell r="D968">
            <v>89.5</v>
          </cell>
          <cell r="N968" t="str">
            <v>1634-25</v>
          </cell>
          <cell r="O968" t="str">
            <v>RS RETAINER</v>
          </cell>
          <cell r="P968">
            <v>179</v>
          </cell>
        </row>
        <row r="969">
          <cell r="B969" t="str">
            <v>1634-27</v>
          </cell>
          <cell r="C969" t="str">
            <v>RS RETAINER</v>
          </cell>
          <cell r="D969">
            <v>91</v>
          </cell>
          <cell r="N969" t="str">
            <v>1634-27</v>
          </cell>
          <cell r="O969" t="str">
            <v>RS RETAINER</v>
          </cell>
          <cell r="P969">
            <v>182</v>
          </cell>
        </row>
        <row r="970">
          <cell r="B970" t="str">
            <v>1634-30</v>
          </cell>
          <cell r="C970" t="str">
            <v>RS RETAINER</v>
          </cell>
          <cell r="D970">
            <v>91</v>
          </cell>
          <cell r="N970" t="str">
            <v>1634-30</v>
          </cell>
          <cell r="O970" t="str">
            <v>RS RETAINER</v>
          </cell>
          <cell r="P970">
            <v>182</v>
          </cell>
        </row>
        <row r="971">
          <cell r="B971" t="str">
            <v>1634-30</v>
          </cell>
          <cell r="C971" t="str">
            <v>RS RETAINER</v>
          </cell>
          <cell r="D971">
            <v>91</v>
          </cell>
          <cell r="N971" t="str">
            <v>1634-30</v>
          </cell>
          <cell r="O971" t="str">
            <v>RS RETAINER</v>
          </cell>
          <cell r="P971">
            <v>182</v>
          </cell>
        </row>
        <row r="972">
          <cell r="B972" t="str">
            <v>1634-34</v>
          </cell>
          <cell r="C972" t="str">
            <v>RS RETAINER</v>
          </cell>
          <cell r="D972">
            <v>89.5</v>
          </cell>
          <cell r="N972" t="str">
            <v>1634-34</v>
          </cell>
          <cell r="O972" t="str">
            <v>RS RETAINER</v>
          </cell>
          <cell r="P972">
            <v>179</v>
          </cell>
        </row>
        <row r="973">
          <cell r="B973" t="str">
            <v>1634-43</v>
          </cell>
          <cell r="C973" t="str">
            <v>RS RETAINER</v>
          </cell>
          <cell r="D973">
            <v>96</v>
          </cell>
          <cell r="N973" t="str">
            <v>1634-43</v>
          </cell>
          <cell r="O973" t="str">
            <v>RS RETAINER</v>
          </cell>
          <cell r="P973">
            <v>192</v>
          </cell>
        </row>
        <row r="974">
          <cell r="B974" t="str">
            <v>1734-01</v>
          </cell>
          <cell r="C974" t="str">
            <v>RS RETAINER</v>
          </cell>
          <cell r="D974">
            <v>89.5</v>
          </cell>
          <cell r="N974" t="str">
            <v>1734-01</v>
          </cell>
          <cell r="O974" t="str">
            <v>RS RETAINER</v>
          </cell>
          <cell r="P974">
            <v>179</v>
          </cell>
        </row>
        <row r="975">
          <cell r="B975" t="str">
            <v>1734-01</v>
          </cell>
          <cell r="C975" t="str">
            <v>RS RETAINER</v>
          </cell>
          <cell r="D975">
            <v>89.5</v>
          </cell>
          <cell r="N975" t="str">
            <v>1734-01</v>
          </cell>
          <cell r="O975" t="str">
            <v>RS RETAINER</v>
          </cell>
          <cell r="P975">
            <v>179</v>
          </cell>
        </row>
        <row r="976">
          <cell r="B976" t="str">
            <v>1734-12</v>
          </cell>
          <cell r="C976" t="str">
            <v>RS RETAINER</v>
          </cell>
          <cell r="D976">
            <v>96</v>
          </cell>
          <cell r="N976" t="str">
            <v>1734-12</v>
          </cell>
          <cell r="O976" t="str">
            <v>RS RETAINER</v>
          </cell>
          <cell r="P976">
            <v>192</v>
          </cell>
        </row>
        <row r="977">
          <cell r="B977" t="str">
            <v>1779-11</v>
          </cell>
          <cell r="C977" t="str">
            <v>RS RETAINER</v>
          </cell>
          <cell r="D977">
            <v>87</v>
          </cell>
          <cell r="N977" t="str">
            <v>1779-11</v>
          </cell>
          <cell r="O977" t="str">
            <v>RS RETAINER</v>
          </cell>
          <cell r="P977">
            <v>174</v>
          </cell>
        </row>
        <row r="978">
          <cell r="B978" t="str">
            <v>1831-07</v>
          </cell>
          <cell r="C978" t="str">
            <v>BODY RETAINER</v>
          </cell>
          <cell r="D978">
            <v>90</v>
          </cell>
          <cell r="N978" t="str">
            <v>1831-07</v>
          </cell>
          <cell r="O978" t="str">
            <v>BODY RETAINER</v>
          </cell>
          <cell r="P978">
            <v>180</v>
          </cell>
        </row>
        <row r="979">
          <cell r="B979" t="str">
            <v>1843-04</v>
          </cell>
          <cell r="C979" t="str">
            <v>RS RETAINER</v>
          </cell>
          <cell r="D979">
            <v>90.5</v>
          </cell>
          <cell r="N979" t="str">
            <v>1843-04</v>
          </cell>
          <cell r="O979" t="str">
            <v>RS RETAINER</v>
          </cell>
          <cell r="P979">
            <v>181</v>
          </cell>
        </row>
        <row r="980">
          <cell r="B980" t="str">
            <v>1843-09</v>
          </cell>
          <cell r="C980" t="str">
            <v>RS RETAINER</v>
          </cell>
          <cell r="D980">
            <v>96</v>
          </cell>
          <cell r="N980" t="str">
            <v>1843-09</v>
          </cell>
          <cell r="O980" t="str">
            <v>RS RETAINER</v>
          </cell>
          <cell r="P980">
            <v>192</v>
          </cell>
        </row>
        <row r="981">
          <cell r="B981" t="str">
            <v>2077-02</v>
          </cell>
          <cell r="C981" t="str">
            <v>BODY RETAINER</v>
          </cell>
          <cell r="D981">
            <v>83.5</v>
          </cell>
          <cell r="N981" t="str">
            <v>2077-02</v>
          </cell>
          <cell r="O981" t="str">
            <v>BODY RETAINER</v>
          </cell>
          <cell r="P981">
            <v>167</v>
          </cell>
        </row>
        <row r="982">
          <cell r="B982" t="str">
            <v>661-03</v>
          </cell>
          <cell r="C982" t="str">
            <v>BODY</v>
          </cell>
          <cell r="D982">
            <v>96</v>
          </cell>
          <cell r="N982" t="str">
            <v>661-03</v>
          </cell>
          <cell r="O982" t="str">
            <v>BODY</v>
          </cell>
          <cell r="P982">
            <v>192</v>
          </cell>
        </row>
        <row r="983">
          <cell r="B983" t="str">
            <v>786-03</v>
          </cell>
          <cell r="C983" t="str">
            <v>BODY</v>
          </cell>
          <cell r="D983">
            <v>82</v>
          </cell>
          <cell r="N983" t="str">
            <v>786-03</v>
          </cell>
          <cell r="O983" t="str">
            <v>BODY</v>
          </cell>
          <cell r="P983">
            <v>164</v>
          </cell>
        </row>
        <row r="984">
          <cell r="B984" t="str">
            <v>786-03</v>
          </cell>
          <cell r="C984" t="str">
            <v>BODY</v>
          </cell>
          <cell r="D984">
            <v>82</v>
          </cell>
          <cell r="N984" t="str">
            <v>786-03</v>
          </cell>
          <cell r="O984" t="str">
            <v>BODY</v>
          </cell>
          <cell r="P984">
            <v>164</v>
          </cell>
        </row>
        <row r="985">
          <cell r="B985" t="str">
            <v>786-08</v>
          </cell>
          <cell r="C985" t="str">
            <v>BODY</v>
          </cell>
          <cell r="D985">
            <v>85</v>
          </cell>
          <cell r="N985" t="str">
            <v>786-08</v>
          </cell>
          <cell r="O985" t="str">
            <v>BODY</v>
          </cell>
          <cell r="P985">
            <v>170</v>
          </cell>
        </row>
        <row r="986">
          <cell r="B986" t="str">
            <v>807-10</v>
          </cell>
          <cell r="C986" t="str">
            <v>REB,RETAINER</v>
          </cell>
          <cell r="D986">
            <v>96</v>
          </cell>
          <cell r="N986" t="str">
            <v>807-10</v>
          </cell>
          <cell r="O986" t="str">
            <v>REB,RETAINER</v>
          </cell>
          <cell r="P986">
            <v>192</v>
          </cell>
        </row>
        <row r="987">
          <cell r="B987" t="str">
            <v>852-04</v>
          </cell>
          <cell r="C987" t="str">
            <v>BODY</v>
          </cell>
          <cell r="D987">
            <v>96</v>
          </cell>
          <cell r="N987" t="str">
            <v>852-04</v>
          </cell>
          <cell r="O987" t="str">
            <v>BODY</v>
          </cell>
          <cell r="P987">
            <v>192</v>
          </cell>
        </row>
        <row r="988">
          <cell r="B988" t="str">
            <v>852-10</v>
          </cell>
          <cell r="C988" t="str">
            <v>BODY</v>
          </cell>
          <cell r="D988">
            <v>96</v>
          </cell>
          <cell r="N988" t="str">
            <v>852-10</v>
          </cell>
          <cell r="O988" t="str">
            <v>BODY</v>
          </cell>
          <cell r="P988">
            <v>192</v>
          </cell>
        </row>
        <row r="989">
          <cell r="B989" t="str">
            <v>853-37</v>
          </cell>
          <cell r="C989" t="str">
            <v>REB,RETAINER</v>
          </cell>
          <cell r="D989">
            <v>92.5</v>
          </cell>
          <cell r="N989" t="str">
            <v>853-37</v>
          </cell>
          <cell r="O989" t="str">
            <v>REB,RETAINER</v>
          </cell>
          <cell r="P989">
            <v>185</v>
          </cell>
        </row>
        <row r="990">
          <cell r="B990" t="str">
            <v>861-07</v>
          </cell>
          <cell r="C990" t="str">
            <v>BODY</v>
          </cell>
          <cell r="D990">
            <v>84</v>
          </cell>
          <cell r="N990" t="str">
            <v>861-07</v>
          </cell>
          <cell r="O990" t="str">
            <v>BODY</v>
          </cell>
          <cell r="P990">
            <v>168</v>
          </cell>
        </row>
        <row r="991">
          <cell r="B991" t="str">
            <v>861-07</v>
          </cell>
          <cell r="C991" t="str">
            <v>BODY</v>
          </cell>
          <cell r="D991">
            <v>84</v>
          </cell>
          <cell r="N991" t="str">
            <v>861-07</v>
          </cell>
          <cell r="O991" t="str">
            <v>BODY</v>
          </cell>
          <cell r="P991">
            <v>168</v>
          </cell>
        </row>
        <row r="992">
          <cell r="B992" t="str">
            <v>861-07</v>
          </cell>
          <cell r="C992" t="str">
            <v>BODY</v>
          </cell>
          <cell r="D992">
            <v>84</v>
          </cell>
          <cell r="N992" t="str">
            <v>861-07</v>
          </cell>
          <cell r="O992" t="str">
            <v>BODY</v>
          </cell>
          <cell r="P992">
            <v>168</v>
          </cell>
        </row>
        <row r="993">
          <cell r="B993" t="str">
            <v>044-07</v>
          </cell>
          <cell r="C993" t="str">
            <v>ROD GUIDE ASS'Y</v>
          </cell>
          <cell r="D993">
            <v>96.5</v>
          </cell>
          <cell r="N993" t="str">
            <v>044-07</v>
          </cell>
          <cell r="O993" t="str">
            <v>ROD GUIDE ASS'Y</v>
          </cell>
          <cell r="P993">
            <v>193</v>
          </cell>
        </row>
        <row r="994">
          <cell r="B994" t="str">
            <v>1100-01</v>
          </cell>
          <cell r="C994" t="str">
            <v>BASE VALVE</v>
          </cell>
          <cell r="D994">
            <v>96.5</v>
          </cell>
          <cell r="N994" t="str">
            <v>1100-01</v>
          </cell>
          <cell r="O994" t="str">
            <v>BASE VALVE</v>
          </cell>
          <cell r="P994">
            <v>193</v>
          </cell>
        </row>
        <row r="995">
          <cell r="B995" t="str">
            <v>1290-01</v>
          </cell>
          <cell r="C995" t="str">
            <v>PILOT CASE</v>
          </cell>
          <cell r="D995">
            <v>91.5</v>
          </cell>
          <cell r="N995" t="str">
            <v>1290-01</v>
          </cell>
          <cell r="O995" t="str">
            <v>PILOT CASE</v>
          </cell>
          <cell r="P995">
            <v>183</v>
          </cell>
        </row>
        <row r="996">
          <cell r="B996" t="str">
            <v>1290-02</v>
          </cell>
          <cell r="C996" t="str">
            <v>PILOT CASE</v>
          </cell>
          <cell r="D996">
            <v>91</v>
          </cell>
          <cell r="N996" t="str">
            <v>1290-02</v>
          </cell>
          <cell r="O996" t="str">
            <v>PILOT CASE</v>
          </cell>
          <cell r="P996">
            <v>182</v>
          </cell>
        </row>
        <row r="997">
          <cell r="B997" t="str">
            <v>1507-21</v>
          </cell>
          <cell r="C997" t="str">
            <v>BASE VALVE</v>
          </cell>
          <cell r="D997">
            <v>96.5</v>
          </cell>
          <cell r="N997" t="str">
            <v>1507-21</v>
          </cell>
          <cell r="O997" t="str">
            <v>BASE VALVE</v>
          </cell>
          <cell r="P997">
            <v>193</v>
          </cell>
        </row>
        <row r="998">
          <cell r="B998" t="str">
            <v>1554-11</v>
          </cell>
          <cell r="C998" t="str">
            <v>RS RETAINER</v>
          </cell>
          <cell r="D998">
            <v>89</v>
          </cell>
          <cell r="N998" t="str">
            <v>1554-11</v>
          </cell>
          <cell r="O998" t="str">
            <v>RS RETAINER</v>
          </cell>
          <cell r="P998">
            <v>178</v>
          </cell>
        </row>
        <row r="999">
          <cell r="B999" t="str">
            <v>1554-18</v>
          </cell>
          <cell r="C999" t="str">
            <v>RS RETAINER</v>
          </cell>
          <cell r="D999">
            <v>87.5</v>
          </cell>
          <cell r="N999" t="str">
            <v>1554-18</v>
          </cell>
          <cell r="O999" t="str">
            <v>RS RETAINER</v>
          </cell>
          <cell r="P999">
            <v>175</v>
          </cell>
        </row>
        <row r="1000">
          <cell r="B1000" t="str">
            <v>1554-19</v>
          </cell>
          <cell r="C1000" t="str">
            <v>RS RETAINER</v>
          </cell>
          <cell r="D1000">
            <v>87.5</v>
          </cell>
          <cell r="N1000" t="str">
            <v>1554-19</v>
          </cell>
          <cell r="O1000" t="str">
            <v>RS RETAINER</v>
          </cell>
          <cell r="P1000">
            <v>175</v>
          </cell>
        </row>
        <row r="1001">
          <cell r="B1001" t="str">
            <v>1610-02</v>
          </cell>
          <cell r="C1001" t="str">
            <v>RS RETAINER</v>
          </cell>
          <cell r="D1001">
            <v>87.5</v>
          </cell>
          <cell r="N1001" t="str">
            <v>1610-02</v>
          </cell>
          <cell r="O1001" t="str">
            <v>RS RETAINER</v>
          </cell>
          <cell r="P1001">
            <v>175</v>
          </cell>
        </row>
        <row r="1002">
          <cell r="B1002" t="str">
            <v>1634-05</v>
          </cell>
          <cell r="C1002" t="str">
            <v>RS RETAINER</v>
          </cell>
          <cell r="D1002">
            <v>89.5</v>
          </cell>
          <cell r="N1002" t="str">
            <v>1634-05</v>
          </cell>
          <cell r="O1002" t="str">
            <v>RS RETAINER</v>
          </cell>
          <cell r="P1002">
            <v>179</v>
          </cell>
        </row>
        <row r="1003">
          <cell r="B1003" t="str">
            <v>1634-06</v>
          </cell>
          <cell r="C1003" t="str">
            <v>RS RETAINER</v>
          </cell>
          <cell r="D1003">
            <v>91</v>
          </cell>
          <cell r="N1003" t="str">
            <v>1634-06</v>
          </cell>
          <cell r="O1003" t="str">
            <v>RS RETAINER</v>
          </cell>
          <cell r="P1003">
            <v>182</v>
          </cell>
        </row>
        <row r="1004">
          <cell r="B1004" t="str">
            <v>1634-12</v>
          </cell>
          <cell r="C1004" t="str">
            <v>RS RETAINER</v>
          </cell>
          <cell r="D1004">
            <v>96.5</v>
          </cell>
          <cell r="N1004" t="str">
            <v>1634-12</v>
          </cell>
          <cell r="O1004" t="str">
            <v>RS RETAINER</v>
          </cell>
          <cell r="P1004">
            <v>193</v>
          </cell>
        </row>
        <row r="1005">
          <cell r="B1005" t="str">
            <v>1634-23</v>
          </cell>
          <cell r="C1005" t="str">
            <v>RS RETAINER</v>
          </cell>
          <cell r="D1005">
            <v>91</v>
          </cell>
          <cell r="N1005" t="str">
            <v>1634-23</v>
          </cell>
          <cell r="O1005" t="str">
            <v>RS RETAINER</v>
          </cell>
          <cell r="P1005">
            <v>182</v>
          </cell>
        </row>
        <row r="1006">
          <cell r="B1006" t="str">
            <v>1634-27</v>
          </cell>
          <cell r="C1006" t="str">
            <v>RS RETAINER</v>
          </cell>
          <cell r="D1006">
            <v>91</v>
          </cell>
          <cell r="N1006" t="str">
            <v>1634-27</v>
          </cell>
          <cell r="O1006" t="str">
            <v>RS RETAINER</v>
          </cell>
          <cell r="P1006">
            <v>182</v>
          </cell>
        </row>
        <row r="1007">
          <cell r="B1007" t="str">
            <v>1634-30</v>
          </cell>
          <cell r="C1007" t="str">
            <v>RS RETAINER</v>
          </cell>
          <cell r="D1007">
            <v>91</v>
          </cell>
          <cell r="N1007" t="str">
            <v>1634-30</v>
          </cell>
          <cell r="O1007" t="str">
            <v>RS RETAINER</v>
          </cell>
          <cell r="P1007">
            <v>182</v>
          </cell>
        </row>
        <row r="1008">
          <cell r="B1008" t="str">
            <v>1634-48</v>
          </cell>
          <cell r="C1008" t="str">
            <v>RS RETAINER</v>
          </cell>
          <cell r="D1008">
            <v>96.5</v>
          </cell>
          <cell r="N1008" t="str">
            <v>1634-48</v>
          </cell>
          <cell r="O1008" t="str">
            <v>RS RETAINER</v>
          </cell>
          <cell r="P1008">
            <v>193</v>
          </cell>
        </row>
        <row r="1009">
          <cell r="B1009" t="str">
            <v>1734-05</v>
          </cell>
          <cell r="C1009" t="str">
            <v>RS RETAINER</v>
          </cell>
          <cell r="D1009">
            <v>93</v>
          </cell>
          <cell r="N1009" t="str">
            <v>1734-05</v>
          </cell>
          <cell r="O1009" t="str">
            <v>RS RETAINER</v>
          </cell>
          <cell r="P1009">
            <v>186</v>
          </cell>
        </row>
        <row r="1010">
          <cell r="B1010" t="str">
            <v>1734-09</v>
          </cell>
          <cell r="C1010" t="str">
            <v>RS RETAINER</v>
          </cell>
          <cell r="D1010">
            <v>96.5</v>
          </cell>
          <cell r="N1010" t="str">
            <v>1734-09</v>
          </cell>
          <cell r="O1010" t="str">
            <v>RS RETAINER</v>
          </cell>
          <cell r="P1010">
            <v>193</v>
          </cell>
        </row>
        <row r="1011">
          <cell r="B1011" t="str">
            <v>1832-02</v>
          </cell>
          <cell r="C1011" t="str">
            <v>BODY RETAINER</v>
          </cell>
          <cell r="D1011">
            <v>90.5</v>
          </cell>
          <cell r="N1011" t="str">
            <v>1832-02</v>
          </cell>
          <cell r="O1011" t="str">
            <v>BODY RETAINER</v>
          </cell>
          <cell r="P1011">
            <v>181</v>
          </cell>
        </row>
        <row r="1012">
          <cell r="B1012" t="str">
            <v>1832-10</v>
          </cell>
          <cell r="C1012" t="str">
            <v>BODY RETAINER</v>
          </cell>
          <cell r="D1012">
            <v>95.5</v>
          </cell>
          <cell r="N1012" t="str">
            <v>1832-10</v>
          </cell>
          <cell r="O1012" t="str">
            <v>BODY RETAINER</v>
          </cell>
          <cell r="P1012">
            <v>191</v>
          </cell>
        </row>
        <row r="1013">
          <cell r="B1013" t="str">
            <v>233-00</v>
          </cell>
          <cell r="C1013" t="str">
            <v>SUPPORT YOKE ASS'Y</v>
          </cell>
          <cell r="D1013">
            <v>96.5</v>
          </cell>
          <cell r="N1013" t="str">
            <v>233-00</v>
          </cell>
          <cell r="O1013" t="str">
            <v>SUPPORT YOKE ASS'Y</v>
          </cell>
          <cell r="P1013">
            <v>193</v>
          </cell>
        </row>
        <row r="1014">
          <cell r="B1014" t="str">
            <v>324-00</v>
          </cell>
          <cell r="C1014" t="str">
            <v>FLY WEIGHT</v>
          </cell>
          <cell r="D1014">
            <v>115.8</v>
          </cell>
          <cell r="N1014" t="str">
            <v>324-00</v>
          </cell>
          <cell r="O1014" t="str">
            <v>FLY WEIGHT</v>
          </cell>
          <cell r="P1014">
            <v>193</v>
          </cell>
        </row>
        <row r="1015">
          <cell r="B1015" t="str">
            <v>567-12</v>
          </cell>
          <cell r="C1015" t="str">
            <v>BODY</v>
          </cell>
          <cell r="D1015">
            <v>96.5</v>
          </cell>
          <cell r="N1015" t="str">
            <v>567-12</v>
          </cell>
          <cell r="O1015" t="str">
            <v>BODY</v>
          </cell>
          <cell r="P1015">
            <v>193</v>
          </cell>
        </row>
        <row r="1016">
          <cell r="B1016" t="str">
            <v>661-03</v>
          </cell>
          <cell r="C1016" t="str">
            <v>BODY</v>
          </cell>
          <cell r="D1016">
            <v>96</v>
          </cell>
          <cell r="N1016" t="str">
            <v>661-03</v>
          </cell>
          <cell r="O1016" t="str">
            <v>BODY</v>
          </cell>
          <cell r="P1016">
            <v>192</v>
          </cell>
        </row>
        <row r="1017">
          <cell r="B1017" t="str">
            <v>661-05</v>
          </cell>
          <cell r="C1017" t="str">
            <v>BODY</v>
          </cell>
          <cell r="D1017">
            <v>93.5</v>
          </cell>
          <cell r="N1017" t="str">
            <v>661-05</v>
          </cell>
          <cell r="O1017" t="str">
            <v>BODY</v>
          </cell>
          <cell r="P1017">
            <v>187</v>
          </cell>
        </row>
        <row r="1018">
          <cell r="B1018" t="str">
            <v>853-26</v>
          </cell>
          <cell r="C1018" t="str">
            <v>REB,RETAINER</v>
          </cell>
          <cell r="D1018">
            <v>70.5</v>
          </cell>
          <cell r="N1018" t="str">
            <v>853-26</v>
          </cell>
          <cell r="O1018" t="str">
            <v>REB,RETAINER</v>
          </cell>
          <cell r="P1018">
            <v>141</v>
          </cell>
        </row>
        <row r="1019">
          <cell r="B1019" t="str">
            <v>853-40</v>
          </cell>
          <cell r="C1019" t="str">
            <v>REB,RETAINER</v>
          </cell>
          <cell r="D1019">
            <v>96.5</v>
          </cell>
          <cell r="N1019" t="str">
            <v>853-40</v>
          </cell>
          <cell r="O1019" t="str">
            <v>REB,RETAINER</v>
          </cell>
          <cell r="P1019">
            <v>193</v>
          </cell>
        </row>
        <row r="1020">
          <cell r="B1020" t="str">
            <v>853-47</v>
          </cell>
          <cell r="C1020" t="str">
            <v>REB,RETAINER</v>
          </cell>
          <cell r="D1020">
            <v>93</v>
          </cell>
          <cell r="N1020" t="str">
            <v>853-47</v>
          </cell>
          <cell r="O1020" t="str">
            <v>REB,RETAINER</v>
          </cell>
          <cell r="P1020">
            <v>186</v>
          </cell>
        </row>
        <row r="1021">
          <cell r="B1021" t="str">
            <v>1554-03</v>
          </cell>
          <cell r="C1021" t="str">
            <v>RS RETAINER</v>
          </cell>
          <cell r="D1021">
            <v>87.5</v>
          </cell>
          <cell r="N1021" t="str">
            <v>1554-03</v>
          </cell>
          <cell r="O1021" t="str">
            <v>RS RETAINER</v>
          </cell>
          <cell r="P1021">
            <v>175</v>
          </cell>
        </row>
        <row r="1022">
          <cell r="B1022" t="str">
            <v>1554-03</v>
          </cell>
          <cell r="C1022" t="str">
            <v>RS RETAINER</v>
          </cell>
          <cell r="D1022">
            <v>87.5</v>
          </cell>
          <cell r="N1022" t="str">
            <v>1554-03</v>
          </cell>
          <cell r="O1022" t="str">
            <v>RS RETAINER</v>
          </cell>
          <cell r="P1022">
            <v>175</v>
          </cell>
        </row>
        <row r="1023">
          <cell r="B1023" t="str">
            <v>1554-03</v>
          </cell>
          <cell r="C1023" t="str">
            <v>RS RETAINER</v>
          </cell>
          <cell r="D1023">
            <v>87.5</v>
          </cell>
          <cell r="N1023" t="str">
            <v>1554-03</v>
          </cell>
          <cell r="O1023" t="str">
            <v>RS RETAINER</v>
          </cell>
          <cell r="P1023">
            <v>175</v>
          </cell>
        </row>
        <row r="1024">
          <cell r="B1024" t="str">
            <v>1554-03</v>
          </cell>
          <cell r="C1024" t="str">
            <v>RS RETAINER</v>
          </cell>
          <cell r="D1024">
            <v>87.5</v>
          </cell>
          <cell r="N1024" t="str">
            <v>1554-03</v>
          </cell>
          <cell r="O1024" t="str">
            <v>RS RETAINER</v>
          </cell>
          <cell r="P1024">
            <v>175</v>
          </cell>
        </row>
        <row r="1025">
          <cell r="B1025" t="str">
            <v>1554-03</v>
          </cell>
          <cell r="C1025" t="str">
            <v>RS RETAINER</v>
          </cell>
          <cell r="D1025">
            <v>87.5</v>
          </cell>
          <cell r="N1025" t="str">
            <v>1554-03</v>
          </cell>
          <cell r="O1025" t="str">
            <v>RS RETAINER</v>
          </cell>
          <cell r="P1025">
            <v>175</v>
          </cell>
        </row>
        <row r="1026">
          <cell r="B1026" t="str">
            <v>1554-03</v>
          </cell>
          <cell r="C1026" t="str">
            <v>RS RETAINER</v>
          </cell>
          <cell r="D1026">
            <v>87.5</v>
          </cell>
          <cell r="N1026" t="str">
            <v>1554-03</v>
          </cell>
          <cell r="O1026" t="str">
            <v>RS RETAINER</v>
          </cell>
          <cell r="P1026">
            <v>175</v>
          </cell>
        </row>
        <row r="1027">
          <cell r="B1027" t="str">
            <v>1554-03</v>
          </cell>
          <cell r="C1027" t="str">
            <v>RS RETAINER</v>
          </cell>
          <cell r="D1027">
            <v>87.5</v>
          </cell>
          <cell r="N1027" t="str">
            <v>1554-03</v>
          </cell>
          <cell r="O1027" t="str">
            <v>RS RETAINER</v>
          </cell>
          <cell r="P1027">
            <v>175</v>
          </cell>
        </row>
        <row r="1028">
          <cell r="B1028" t="str">
            <v>1554-03</v>
          </cell>
          <cell r="C1028" t="str">
            <v>RS RETAINER</v>
          </cell>
          <cell r="D1028">
            <v>87.5</v>
          </cell>
          <cell r="N1028" t="str">
            <v>1554-03</v>
          </cell>
          <cell r="O1028" t="str">
            <v>RS RETAINER</v>
          </cell>
          <cell r="P1028">
            <v>175</v>
          </cell>
        </row>
        <row r="1029">
          <cell r="B1029" t="str">
            <v>1554-03</v>
          </cell>
          <cell r="C1029" t="str">
            <v>RS RETAINER</v>
          </cell>
          <cell r="D1029">
            <v>87.5</v>
          </cell>
          <cell r="N1029" t="str">
            <v>1554-03</v>
          </cell>
          <cell r="O1029" t="str">
            <v>RS RETAINER</v>
          </cell>
          <cell r="P1029">
            <v>175</v>
          </cell>
        </row>
        <row r="1030">
          <cell r="B1030" t="str">
            <v>1554-03</v>
          </cell>
          <cell r="C1030" t="str">
            <v>RS RETAINER</v>
          </cell>
          <cell r="D1030">
            <v>87.5</v>
          </cell>
          <cell r="N1030" t="str">
            <v>1554-03</v>
          </cell>
          <cell r="O1030" t="str">
            <v>RS RETAINER</v>
          </cell>
          <cell r="P1030">
            <v>175</v>
          </cell>
        </row>
        <row r="1031">
          <cell r="B1031" t="str">
            <v>1554-03</v>
          </cell>
          <cell r="C1031" t="str">
            <v>RS RETAINER</v>
          </cell>
          <cell r="D1031">
            <v>87.5</v>
          </cell>
          <cell r="N1031" t="str">
            <v>1554-03</v>
          </cell>
          <cell r="O1031" t="str">
            <v>RS RETAINER</v>
          </cell>
          <cell r="P1031">
            <v>175</v>
          </cell>
        </row>
        <row r="1032">
          <cell r="B1032" t="str">
            <v>1554-08</v>
          </cell>
          <cell r="C1032" t="str">
            <v>RS RETAINER</v>
          </cell>
          <cell r="D1032">
            <v>90</v>
          </cell>
          <cell r="N1032" t="str">
            <v>1554-08</v>
          </cell>
          <cell r="O1032" t="str">
            <v>RS RETAINER</v>
          </cell>
          <cell r="P1032">
            <v>180</v>
          </cell>
        </row>
        <row r="1033">
          <cell r="B1033" t="str">
            <v>1554-09</v>
          </cell>
          <cell r="C1033" t="str">
            <v>RS RETAINER</v>
          </cell>
          <cell r="D1033">
            <v>87.5</v>
          </cell>
          <cell r="N1033" t="str">
            <v>1554-09</v>
          </cell>
          <cell r="O1033" t="str">
            <v>RS RETAINER</v>
          </cell>
          <cell r="P1033">
            <v>175</v>
          </cell>
        </row>
        <row r="1034">
          <cell r="B1034" t="str">
            <v>1554-09</v>
          </cell>
          <cell r="C1034" t="str">
            <v>RS RETAINER</v>
          </cell>
          <cell r="D1034">
            <v>87.5</v>
          </cell>
          <cell r="N1034" t="str">
            <v>1554-09</v>
          </cell>
          <cell r="O1034" t="str">
            <v>RS RETAINER</v>
          </cell>
          <cell r="P1034">
            <v>175</v>
          </cell>
        </row>
        <row r="1035">
          <cell r="B1035" t="str">
            <v>1554-10</v>
          </cell>
          <cell r="C1035" t="str">
            <v>RS RETAINER</v>
          </cell>
          <cell r="D1035">
            <v>87</v>
          </cell>
          <cell r="N1035" t="str">
            <v>1554-10</v>
          </cell>
          <cell r="O1035" t="str">
            <v>RS RETAINER</v>
          </cell>
          <cell r="P1035">
            <v>174</v>
          </cell>
        </row>
        <row r="1036">
          <cell r="B1036" t="str">
            <v>1554-10</v>
          </cell>
          <cell r="C1036" t="str">
            <v>RS RETAINER</v>
          </cell>
          <cell r="D1036">
            <v>87</v>
          </cell>
          <cell r="N1036" t="str">
            <v>1554-10</v>
          </cell>
          <cell r="O1036" t="str">
            <v>RS RETAINER</v>
          </cell>
          <cell r="P1036">
            <v>174</v>
          </cell>
        </row>
        <row r="1037">
          <cell r="B1037" t="str">
            <v>1554-10</v>
          </cell>
          <cell r="C1037" t="str">
            <v>RS RETAINER</v>
          </cell>
          <cell r="D1037">
            <v>87</v>
          </cell>
          <cell r="N1037" t="str">
            <v>1554-10</v>
          </cell>
          <cell r="O1037" t="str">
            <v>RS RETAINER</v>
          </cell>
          <cell r="P1037">
            <v>174</v>
          </cell>
        </row>
        <row r="1038">
          <cell r="B1038" t="str">
            <v>1554-10</v>
          </cell>
          <cell r="C1038" t="str">
            <v>RS RETAINER</v>
          </cell>
          <cell r="D1038">
            <v>87</v>
          </cell>
          <cell r="N1038" t="str">
            <v>1554-10</v>
          </cell>
          <cell r="O1038" t="str">
            <v>RS RETAINER</v>
          </cell>
          <cell r="P1038">
            <v>174</v>
          </cell>
        </row>
        <row r="1039">
          <cell r="B1039" t="str">
            <v>1554-16</v>
          </cell>
          <cell r="C1039" t="str">
            <v>RS RETAINER</v>
          </cell>
          <cell r="D1039">
            <v>88</v>
          </cell>
          <cell r="N1039" t="str">
            <v>1554-16</v>
          </cell>
          <cell r="O1039" t="str">
            <v>RS RETAINER</v>
          </cell>
          <cell r="P1039">
            <v>176</v>
          </cell>
        </row>
        <row r="1040">
          <cell r="B1040" t="str">
            <v>1554-17</v>
          </cell>
          <cell r="C1040" t="str">
            <v>RS RETAINER</v>
          </cell>
          <cell r="D1040">
            <v>88</v>
          </cell>
          <cell r="N1040" t="str">
            <v>1554-17</v>
          </cell>
          <cell r="O1040" t="str">
            <v>RS RETAINER</v>
          </cell>
          <cell r="P1040">
            <v>176</v>
          </cell>
        </row>
        <row r="1041">
          <cell r="B1041" t="str">
            <v>1554-18</v>
          </cell>
          <cell r="C1041" t="str">
            <v>RS RETAINER</v>
          </cell>
          <cell r="D1041">
            <v>87.5</v>
          </cell>
          <cell r="N1041" t="str">
            <v>1554-18</v>
          </cell>
          <cell r="O1041" t="str">
            <v>RS RETAINER</v>
          </cell>
          <cell r="P1041">
            <v>175</v>
          </cell>
        </row>
        <row r="1042">
          <cell r="B1042" t="str">
            <v>1554-23</v>
          </cell>
          <cell r="C1042" t="str">
            <v>RS RETAINER</v>
          </cell>
          <cell r="D1042">
            <v>87.5</v>
          </cell>
          <cell r="N1042" t="str">
            <v>1554-23</v>
          </cell>
          <cell r="O1042" t="str">
            <v>RS RETAINER</v>
          </cell>
          <cell r="P1042">
            <v>175</v>
          </cell>
        </row>
        <row r="1043">
          <cell r="B1043" t="str">
            <v>1554-23</v>
          </cell>
          <cell r="C1043" t="str">
            <v>RS RETAINER</v>
          </cell>
          <cell r="D1043">
            <v>87.5</v>
          </cell>
          <cell r="N1043" t="str">
            <v>1554-23</v>
          </cell>
          <cell r="O1043" t="str">
            <v>RS RETAINER</v>
          </cell>
          <cell r="P1043">
            <v>175</v>
          </cell>
        </row>
        <row r="1044">
          <cell r="B1044" t="str">
            <v>1554-23</v>
          </cell>
          <cell r="C1044" t="str">
            <v>RS RETAINER</v>
          </cell>
          <cell r="D1044">
            <v>87.5</v>
          </cell>
          <cell r="N1044" t="str">
            <v>1554-23</v>
          </cell>
          <cell r="O1044" t="str">
            <v>RS RETAINER</v>
          </cell>
          <cell r="P1044">
            <v>175</v>
          </cell>
        </row>
        <row r="1045">
          <cell r="B1045" t="str">
            <v>1554-23</v>
          </cell>
          <cell r="C1045" t="str">
            <v>RS RETAINER</v>
          </cell>
          <cell r="D1045">
            <v>87.5</v>
          </cell>
          <cell r="N1045" t="str">
            <v>1554-23</v>
          </cell>
          <cell r="O1045" t="str">
            <v>RS RETAINER</v>
          </cell>
          <cell r="P1045">
            <v>175</v>
          </cell>
        </row>
        <row r="1046">
          <cell r="B1046" t="str">
            <v>1554-26</v>
          </cell>
          <cell r="C1046" t="str">
            <v>RS RETAINER</v>
          </cell>
          <cell r="D1046">
            <v>87.5</v>
          </cell>
          <cell r="N1046" t="str">
            <v>1554-26</v>
          </cell>
          <cell r="O1046" t="str">
            <v>RS RETAINER</v>
          </cell>
          <cell r="P1046">
            <v>175</v>
          </cell>
        </row>
        <row r="1047">
          <cell r="B1047" t="str">
            <v>1634-04</v>
          </cell>
          <cell r="C1047" t="str">
            <v>RS RETAINER</v>
          </cell>
          <cell r="D1047">
            <v>89.5</v>
          </cell>
          <cell r="N1047" t="str">
            <v>1634-04</v>
          </cell>
          <cell r="O1047" t="str">
            <v>RS RETAINER</v>
          </cell>
          <cell r="P1047">
            <v>179</v>
          </cell>
        </row>
        <row r="1048">
          <cell r="B1048" t="str">
            <v>1634-04</v>
          </cell>
          <cell r="C1048" t="str">
            <v>RS RETAINER</v>
          </cell>
          <cell r="D1048">
            <v>89.5</v>
          </cell>
          <cell r="N1048" t="str">
            <v>1634-04</v>
          </cell>
          <cell r="O1048" t="str">
            <v>RS RETAINER</v>
          </cell>
          <cell r="P1048">
            <v>179</v>
          </cell>
        </row>
        <row r="1049">
          <cell r="B1049" t="str">
            <v>1634-06</v>
          </cell>
          <cell r="C1049" t="str">
            <v>RS RETAINER</v>
          </cell>
          <cell r="D1049">
            <v>91</v>
          </cell>
          <cell r="N1049" t="str">
            <v>1634-06</v>
          </cell>
          <cell r="O1049" t="str">
            <v>RS RETAINER</v>
          </cell>
          <cell r="P1049">
            <v>182</v>
          </cell>
        </row>
        <row r="1050">
          <cell r="B1050" t="str">
            <v>1634-06</v>
          </cell>
          <cell r="C1050" t="str">
            <v>RS RETAINER</v>
          </cell>
          <cell r="D1050">
            <v>91</v>
          </cell>
          <cell r="N1050" t="str">
            <v>1634-06</v>
          </cell>
          <cell r="O1050" t="str">
            <v>RS RETAINER</v>
          </cell>
          <cell r="P1050">
            <v>182</v>
          </cell>
        </row>
        <row r="1051">
          <cell r="B1051" t="str">
            <v>1634-23</v>
          </cell>
          <cell r="C1051" t="str">
            <v>RS RETAINER</v>
          </cell>
          <cell r="D1051">
            <v>91</v>
          </cell>
          <cell r="N1051" t="str">
            <v>1634-23</v>
          </cell>
          <cell r="O1051" t="str">
            <v>RS RETAINER</v>
          </cell>
          <cell r="P1051">
            <v>182</v>
          </cell>
        </row>
        <row r="1052">
          <cell r="B1052" t="str">
            <v>1634-29</v>
          </cell>
          <cell r="C1052" t="str">
            <v>RS RETAINER</v>
          </cell>
          <cell r="D1052">
            <v>89.5</v>
          </cell>
          <cell r="N1052" t="str">
            <v>1634-29</v>
          </cell>
          <cell r="O1052" t="str">
            <v>RS RETAINER</v>
          </cell>
          <cell r="P1052">
            <v>179</v>
          </cell>
        </row>
        <row r="1053">
          <cell r="B1053" t="str">
            <v>1634-29</v>
          </cell>
          <cell r="C1053" t="str">
            <v>RS RETAINER</v>
          </cell>
          <cell r="D1053">
            <v>89.5</v>
          </cell>
          <cell r="N1053" t="str">
            <v>1634-29</v>
          </cell>
          <cell r="O1053" t="str">
            <v>RS RETAINER</v>
          </cell>
          <cell r="P1053">
            <v>179</v>
          </cell>
        </row>
        <row r="1054">
          <cell r="B1054" t="str">
            <v>1634-33</v>
          </cell>
          <cell r="C1054" t="str">
            <v>RS RETAINER</v>
          </cell>
          <cell r="D1054">
            <v>97</v>
          </cell>
          <cell r="N1054" t="str">
            <v>1634-33</v>
          </cell>
          <cell r="O1054" t="str">
            <v>RS RETAINER</v>
          </cell>
          <cell r="P1054">
            <v>194</v>
          </cell>
        </row>
        <row r="1055">
          <cell r="B1055" t="str">
            <v>1634-41</v>
          </cell>
          <cell r="C1055" t="str">
            <v>RS RETAINER</v>
          </cell>
          <cell r="D1055">
            <v>91</v>
          </cell>
          <cell r="N1055" t="str">
            <v>1634-41</v>
          </cell>
          <cell r="O1055" t="str">
            <v>RS RETAINER</v>
          </cell>
          <cell r="P1055">
            <v>182</v>
          </cell>
        </row>
        <row r="1056">
          <cell r="B1056" t="str">
            <v>1792-08</v>
          </cell>
          <cell r="C1056" t="str">
            <v>REB,RETAINER</v>
          </cell>
          <cell r="D1056">
            <v>89.5</v>
          </cell>
          <cell r="N1056" t="str">
            <v>1792-08</v>
          </cell>
          <cell r="O1056" t="str">
            <v>REB,RETAINER</v>
          </cell>
          <cell r="P1056">
            <v>179</v>
          </cell>
        </row>
        <row r="1057">
          <cell r="B1057" t="str">
            <v>1832-01</v>
          </cell>
          <cell r="C1057" t="str">
            <v>BODY RETAINER</v>
          </cell>
          <cell r="D1057">
            <v>97</v>
          </cell>
          <cell r="N1057" t="str">
            <v>1832-01</v>
          </cell>
          <cell r="O1057" t="str">
            <v>BODY RETAINER</v>
          </cell>
          <cell r="P1057">
            <v>194</v>
          </cell>
        </row>
        <row r="1058">
          <cell r="B1058" t="str">
            <v>1832-08</v>
          </cell>
          <cell r="C1058" t="str">
            <v>BODY RETAINER</v>
          </cell>
          <cell r="D1058">
            <v>92</v>
          </cell>
          <cell r="N1058" t="str">
            <v>1832-08</v>
          </cell>
          <cell r="O1058" t="str">
            <v>BODY RETAINER</v>
          </cell>
          <cell r="P1058">
            <v>184</v>
          </cell>
        </row>
        <row r="1059">
          <cell r="B1059" t="str">
            <v>2852-04</v>
          </cell>
          <cell r="C1059" t="str">
            <v>BODY</v>
          </cell>
          <cell r="D1059">
            <v>97</v>
          </cell>
          <cell r="N1059" t="str">
            <v>2852-04</v>
          </cell>
          <cell r="O1059" t="str">
            <v>BODY</v>
          </cell>
          <cell r="P1059">
            <v>194</v>
          </cell>
        </row>
        <row r="1060">
          <cell r="B1060" t="str">
            <v>567-09</v>
          </cell>
          <cell r="C1060" t="str">
            <v>BODY</v>
          </cell>
          <cell r="D1060">
            <v>97</v>
          </cell>
          <cell r="N1060" t="str">
            <v>567-09</v>
          </cell>
          <cell r="O1060" t="str">
            <v>BODY</v>
          </cell>
          <cell r="P1060">
            <v>194</v>
          </cell>
        </row>
        <row r="1061">
          <cell r="B1061" t="str">
            <v>639-01</v>
          </cell>
          <cell r="C1061" t="str">
            <v>PISTON</v>
          </cell>
          <cell r="D1061">
            <v>97</v>
          </cell>
          <cell r="N1061" t="str">
            <v>639-01</v>
          </cell>
          <cell r="O1061" t="str">
            <v>PISTON</v>
          </cell>
          <cell r="P1061">
            <v>194</v>
          </cell>
        </row>
        <row r="1062">
          <cell r="B1062" t="str">
            <v>661-01</v>
          </cell>
          <cell r="C1062" t="str">
            <v>BODY</v>
          </cell>
          <cell r="D1062">
            <v>88</v>
          </cell>
          <cell r="N1062" t="str">
            <v>661-01</v>
          </cell>
          <cell r="O1062" t="str">
            <v>BODY</v>
          </cell>
          <cell r="P1062">
            <v>176</v>
          </cell>
        </row>
        <row r="1063">
          <cell r="B1063" t="str">
            <v>749-17</v>
          </cell>
          <cell r="C1063" t="str">
            <v>REB,RETAINER</v>
          </cell>
          <cell r="D1063">
            <v>94</v>
          </cell>
          <cell r="N1063" t="str">
            <v>749-17</v>
          </cell>
          <cell r="O1063" t="str">
            <v>REB,RETAINER</v>
          </cell>
          <cell r="P1063">
            <v>188</v>
          </cell>
        </row>
        <row r="1064">
          <cell r="B1064" t="str">
            <v>786-06</v>
          </cell>
          <cell r="C1064" t="str">
            <v>BODY</v>
          </cell>
          <cell r="D1064">
            <v>85.5</v>
          </cell>
          <cell r="N1064" t="str">
            <v>786-06</v>
          </cell>
          <cell r="O1064" t="str">
            <v>BODY</v>
          </cell>
          <cell r="P1064">
            <v>171</v>
          </cell>
        </row>
        <row r="1065">
          <cell r="B1065" t="str">
            <v>787-13</v>
          </cell>
          <cell r="C1065" t="str">
            <v>BODY</v>
          </cell>
          <cell r="D1065">
            <v>84.5</v>
          </cell>
          <cell r="N1065" t="str">
            <v>787-13</v>
          </cell>
          <cell r="O1065" t="str">
            <v>BODY</v>
          </cell>
          <cell r="P1065">
            <v>169</v>
          </cell>
        </row>
        <row r="1066">
          <cell r="B1066" t="str">
            <v>787-13</v>
          </cell>
          <cell r="C1066" t="str">
            <v>BODY</v>
          </cell>
          <cell r="D1066">
            <v>84.5</v>
          </cell>
          <cell r="N1066" t="str">
            <v>787-13</v>
          </cell>
          <cell r="O1066" t="str">
            <v>BODY</v>
          </cell>
          <cell r="P1066">
            <v>169</v>
          </cell>
        </row>
        <row r="1067">
          <cell r="B1067" t="str">
            <v>840-01</v>
          </cell>
          <cell r="C1067" t="str">
            <v>LOCK BODY ASS'Y(LH)</v>
          </cell>
          <cell r="D1067">
            <v>97</v>
          </cell>
          <cell r="N1067" t="str">
            <v>840-01</v>
          </cell>
          <cell r="O1067" t="str">
            <v>LOCK BODY ASS'Y(LH)</v>
          </cell>
          <cell r="P1067">
            <v>194</v>
          </cell>
        </row>
        <row r="1068">
          <cell r="B1068" t="str">
            <v>840-02</v>
          </cell>
          <cell r="C1068" t="str">
            <v>LOCK BODY ASS'Y(RH)</v>
          </cell>
          <cell r="D1068">
            <v>97</v>
          </cell>
          <cell r="N1068" t="str">
            <v>840-02</v>
          </cell>
          <cell r="O1068" t="str">
            <v>LOCK BODY ASS'Y(RH)</v>
          </cell>
          <cell r="P1068">
            <v>194</v>
          </cell>
        </row>
        <row r="1069">
          <cell r="B1069" t="str">
            <v>853-36</v>
          </cell>
          <cell r="C1069" t="str">
            <v>REB,RETAINER</v>
          </cell>
          <cell r="D1069">
            <v>97</v>
          </cell>
          <cell r="N1069" t="str">
            <v>853-36</v>
          </cell>
          <cell r="O1069" t="str">
            <v>REB,RETAINER</v>
          </cell>
          <cell r="P1069">
            <v>194</v>
          </cell>
        </row>
        <row r="1070">
          <cell r="B1070" t="str">
            <v>853-44</v>
          </cell>
          <cell r="C1070" t="str">
            <v>REB,RETAINER</v>
          </cell>
          <cell r="D1070">
            <v>97</v>
          </cell>
          <cell r="N1070" t="str">
            <v>853-44</v>
          </cell>
          <cell r="O1070" t="str">
            <v>REB,RETAINER</v>
          </cell>
          <cell r="P1070">
            <v>194</v>
          </cell>
        </row>
        <row r="1071">
          <cell r="B1071" t="str">
            <v>853-48</v>
          </cell>
          <cell r="C1071" t="str">
            <v>REB,RETAINER</v>
          </cell>
          <cell r="D1071">
            <v>97</v>
          </cell>
          <cell r="N1071" t="str">
            <v>853-48</v>
          </cell>
          <cell r="O1071" t="str">
            <v>REB,RETAINER</v>
          </cell>
          <cell r="P1071">
            <v>194</v>
          </cell>
        </row>
        <row r="1072">
          <cell r="B1072" t="str">
            <v>1100-02</v>
          </cell>
          <cell r="C1072" t="str">
            <v>BASE VALVE</v>
          </cell>
          <cell r="D1072">
            <v>97.5</v>
          </cell>
          <cell r="N1072" t="str">
            <v>1100-02</v>
          </cell>
          <cell r="O1072" t="str">
            <v>BASE VALVE</v>
          </cell>
          <cell r="P1072">
            <v>195</v>
          </cell>
        </row>
        <row r="1073">
          <cell r="B1073" t="str">
            <v>1218-02</v>
          </cell>
          <cell r="C1073" t="str">
            <v>VALVE PISTON</v>
          </cell>
          <cell r="D1073">
            <v>97.5</v>
          </cell>
          <cell r="N1073" t="str">
            <v>1218-02</v>
          </cell>
          <cell r="O1073" t="str">
            <v>VALVE PISTON</v>
          </cell>
          <cell r="P1073">
            <v>195</v>
          </cell>
        </row>
        <row r="1074">
          <cell r="B1074" t="str">
            <v>1554-09</v>
          </cell>
          <cell r="C1074" t="str">
            <v>RS RETAINER</v>
          </cell>
          <cell r="D1074">
            <v>87.5</v>
          </cell>
          <cell r="N1074" t="str">
            <v>1554-09</v>
          </cell>
          <cell r="O1074" t="str">
            <v>RS RETAINER</v>
          </cell>
          <cell r="P1074">
            <v>175</v>
          </cell>
        </row>
        <row r="1075">
          <cell r="B1075" t="str">
            <v>1554-17</v>
          </cell>
          <cell r="C1075" t="str">
            <v>RS RETAINER</v>
          </cell>
          <cell r="D1075">
            <v>88</v>
          </cell>
          <cell r="N1075" t="str">
            <v>1554-17</v>
          </cell>
          <cell r="O1075" t="str">
            <v>RS RETAINER</v>
          </cell>
          <cell r="P1075">
            <v>176</v>
          </cell>
        </row>
        <row r="1076">
          <cell r="B1076" t="str">
            <v>1554-17</v>
          </cell>
          <cell r="C1076" t="str">
            <v>RS RETAINER</v>
          </cell>
          <cell r="D1076">
            <v>88</v>
          </cell>
          <cell r="N1076" t="str">
            <v>1554-17</v>
          </cell>
          <cell r="O1076" t="str">
            <v>RS RETAINER</v>
          </cell>
          <cell r="P1076">
            <v>176</v>
          </cell>
        </row>
        <row r="1077">
          <cell r="B1077" t="str">
            <v>1554-31</v>
          </cell>
          <cell r="C1077" t="str">
            <v>RS RETAINER</v>
          </cell>
          <cell r="D1077">
            <v>88</v>
          </cell>
          <cell r="N1077" t="str">
            <v>1554-31</v>
          </cell>
          <cell r="O1077" t="str">
            <v>RS RETAINER</v>
          </cell>
          <cell r="P1077">
            <v>176</v>
          </cell>
        </row>
        <row r="1078">
          <cell r="B1078" t="str">
            <v>1554-33</v>
          </cell>
          <cell r="C1078" t="str">
            <v>RS RETAINER</v>
          </cell>
          <cell r="D1078">
            <v>87.5</v>
          </cell>
          <cell r="N1078" t="str">
            <v>1554-33</v>
          </cell>
          <cell r="O1078" t="str">
            <v>RS RETAINER</v>
          </cell>
          <cell r="P1078">
            <v>175</v>
          </cell>
        </row>
        <row r="1079">
          <cell r="B1079" t="str">
            <v>1554-41</v>
          </cell>
          <cell r="C1079" t="str">
            <v>RS RETAINER</v>
          </cell>
          <cell r="D1079">
            <v>97.5</v>
          </cell>
          <cell r="N1079" t="str">
            <v>1554-41</v>
          </cell>
          <cell r="O1079" t="str">
            <v>RS RETAINER</v>
          </cell>
          <cell r="P1079">
            <v>195</v>
          </cell>
        </row>
        <row r="1080">
          <cell r="B1080" t="str">
            <v>1634-19</v>
          </cell>
          <cell r="C1080" t="str">
            <v>RS RETAINER</v>
          </cell>
          <cell r="D1080">
            <v>89.5</v>
          </cell>
          <cell r="N1080" t="str">
            <v>1634-19</v>
          </cell>
          <cell r="O1080" t="str">
            <v>RS RETAINER</v>
          </cell>
          <cell r="P1080">
            <v>179</v>
          </cell>
        </row>
        <row r="1081">
          <cell r="B1081" t="str">
            <v>1634-30</v>
          </cell>
          <cell r="C1081" t="str">
            <v>RS RETAINER</v>
          </cell>
          <cell r="D1081">
            <v>91</v>
          </cell>
          <cell r="N1081" t="str">
            <v>1634-30</v>
          </cell>
          <cell r="O1081" t="str">
            <v>RS RETAINER</v>
          </cell>
          <cell r="P1081">
            <v>182</v>
          </cell>
        </row>
        <row r="1082">
          <cell r="B1082" t="str">
            <v>1634-32</v>
          </cell>
          <cell r="C1082" t="str">
            <v>RS RETAINER</v>
          </cell>
          <cell r="D1082">
            <v>90.5</v>
          </cell>
          <cell r="N1082" t="str">
            <v>1634-32</v>
          </cell>
          <cell r="O1082" t="str">
            <v>RS RETAINER</v>
          </cell>
          <cell r="P1082">
            <v>181</v>
          </cell>
        </row>
        <row r="1083">
          <cell r="B1083" t="str">
            <v>1634-41</v>
          </cell>
          <cell r="C1083" t="str">
            <v>RS RETAINER</v>
          </cell>
          <cell r="D1083">
            <v>91</v>
          </cell>
          <cell r="N1083" t="str">
            <v>1634-41</v>
          </cell>
          <cell r="O1083" t="str">
            <v>RS RETAINER</v>
          </cell>
          <cell r="P1083">
            <v>182</v>
          </cell>
        </row>
        <row r="1084">
          <cell r="B1084" t="str">
            <v>1634-41</v>
          </cell>
          <cell r="C1084" t="str">
            <v>RS RETAINER</v>
          </cell>
          <cell r="D1084">
            <v>91</v>
          </cell>
          <cell r="N1084" t="str">
            <v>1634-41</v>
          </cell>
          <cell r="O1084" t="str">
            <v>RS RETAINER</v>
          </cell>
          <cell r="P1084">
            <v>182</v>
          </cell>
        </row>
        <row r="1085">
          <cell r="B1085" t="str">
            <v>1634-48</v>
          </cell>
          <cell r="C1085" t="str">
            <v>RS RETAINER</v>
          </cell>
          <cell r="D1085">
            <v>96.5</v>
          </cell>
          <cell r="N1085" t="str">
            <v>1634-48</v>
          </cell>
          <cell r="O1085" t="str">
            <v>RS RETAINER</v>
          </cell>
          <cell r="P1085">
            <v>193</v>
          </cell>
        </row>
        <row r="1086">
          <cell r="B1086" t="str">
            <v>1734-12</v>
          </cell>
          <cell r="C1086" t="str">
            <v>RS RETAINER</v>
          </cell>
          <cell r="D1086">
            <v>96</v>
          </cell>
          <cell r="N1086" t="str">
            <v>1734-12</v>
          </cell>
          <cell r="O1086" t="str">
            <v>RS RETAINER</v>
          </cell>
          <cell r="P1086">
            <v>192</v>
          </cell>
        </row>
        <row r="1087">
          <cell r="B1087" t="str">
            <v>1831-07</v>
          </cell>
          <cell r="C1087" t="str">
            <v>BODY RETAINER</v>
          </cell>
          <cell r="D1087">
            <v>90</v>
          </cell>
          <cell r="N1087" t="str">
            <v>1831-07</v>
          </cell>
          <cell r="O1087" t="str">
            <v>BODY RETAINER</v>
          </cell>
          <cell r="P1087">
            <v>180</v>
          </cell>
        </row>
        <row r="1088">
          <cell r="B1088" t="str">
            <v>2076-05</v>
          </cell>
          <cell r="C1088" t="str">
            <v>BODY RETAINER</v>
          </cell>
          <cell r="D1088">
            <v>92.5</v>
          </cell>
          <cell r="N1088" t="str">
            <v>2076-05</v>
          </cell>
          <cell r="O1088" t="str">
            <v>BODY RETAINER</v>
          </cell>
          <cell r="P1088">
            <v>185</v>
          </cell>
        </row>
        <row r="1089">
          <cell r="B1089" t="str">
            <v>2077-02</v>
          </cell>
          <cell r="C1089" t="str">
            <v>BODY RETAINER</v>
          </cell>
          <cell r="D1089">
            <v>83.5</v>
          </cell>
          <cell r="N1089" t="str">
            <v>2077-02</v>
          </cell>
          <cell r="O1089" t="str">
            <v>BODY RETAINER</v>
          </cell>
          <cell r="P1089">
            <v>167</v>
          </cell>
        </row>
        <row r="1090">
          <cell r="B1090" t="str">
            <v>2852-05</v>
          </cell>
          <cell r="C1090" t="str">
            <v>BODY</v>
          </cell>
          <cell r="D1090">
            <v>97.5</v>
          </cell>
          <cell r="N1090" t="str">
            <v>2852-05</v>
          </cell>
          <cell r="O1090" t="str">
            <v>BODY</v>
          </cell>
          <cell r="P1090">
            <v>195</v>
          </cell>
        </row>
        <row r="1091">
          <cell r="B1091" t="str">
            <v>567-05</v>
          </cell>
          <cell r="C1091" t="str">
            <v>BODY</v>
          </cell>
          <cell r="D1091">
            <v>97.5</v>
          </cell>
          <cell r="N1091" t="str">
            <v>567-05</v>
          </cell>
          <cell r="O1091" t="str">
            <v>BODY</v>
          </cell>
          <cell r="P1091">
            <v>195</v>
          </cell>
        </row>
        <row r="1092">
          <cell r="B1092" t="str">
            <v>567-08</v>
          </cell>
          <cell r="C1092" t="str">
            <v>BODY</v>
          </cell>
          <cell r="D1092">
            <v>95.5</v>
          </cell>
          <cell r="N1092" t="str">
            <v>567-08</v>
          </cell>
          <cell r="O1092" t="str">
            <v>BODY</v>
          </cell>
          <cell r="P1092">
            <v>191</v>
          </cell>
        </row>
        <row r="1093">
          <cell r="B1093" t="str">
            <v>567-09</v>
          </cell>
          <cell r="C1093" t="str">
            <v>BODY</v>
          </cell>
          <cell r="D1093">
            <v>97</v>
          </cell>
          <cell r="N1093" t="str">
            <v>567-09</v>
          </cell>
          <cell r="O1093" t="str">
            <v>BODY</v>
          </cell>
          <cell r="P1093">
            <v>194</v>
          </cell>
        </row>
        <row r="1094">
          <cell r="B1094" t="str">
            <v>567-13</v>
          </cell>
          <cell r="C1094" t="str">
            <v>BODY</v>
          </cell>
          <cell r="D1094">
            <v>97.5</v>
          </cell>
          <cell r="N1094" t="str">
            <v>567-13</v>
          </cell>
          <cell r="O1094" t="str">
            <v>BODY</v>
          </cell>
          <cell r="P1094">
            <v>195</v>
          </cell>
        </row>
        <row r="1095">
          <cell r="B1095" t="str">
            <v>661-08</v>
          </cell>
          <cell r="C1095" t="str">
            <v>BODY</v>
          </cell>
          <cell r="D1095">
            <v>97.5</v>
          </cell>
          <cell r="N1095" t="str">
            <v>661-08</v>
          </cell>
          <cell r="O1095" t="str">
            <v>BODY</v>
          </cell>
          <cell r="P1095">
            <v>195</v>
          </cell>
        </row>
        <row r="1096">
          <cell r="B1096" t="str">
            <v>727-05</v>
          </cell>
          <cell r="C1096" t="str">
            <v>BODY</v>
          </cell>
          <cell r="D1096">
            <v>97.5</v>
          </cell>
          <cell r="N1096" t="str">
            <v>727-05</v>
          </cell>
          <cell r="O1096" t="str">
            <v>BODY</v>
          </cell>
          <cell r="P1096">
            <v>195</v>
          </cell>
        </row>
        <row r="1097">
          <cell r="B1097" t="str">
            <v>749-13</v>
          </cell>
          <cell r="C1097" t="str">
            <v>REB,RETAINER</v>
          </cell>
          <cell r="D1097">
            <v>45.5</v>
          </cell>
          <cell r="N1097" t="str">
            <v>749-13</v>
          </cell>
          <cell r="O1097" t="str">
            <v>REB,RETAINER</v>
          </cell>
          <cell r="P1097">
            <v>91</v>
          </cell>
        </row>
        <row r="1098">
          <cell r="B1098" t="str">
            <v>861-07</v>
          </cell>
          <cell r="C1098" t="str">
            <v>BODY</v>
          </cell>
          <cell r="D1098">
            <v>84</v>
          </cell>
          <cell r="N1098" t="str">
            <v>861-07</v>
          </cell>
          <cell r="O1098" t="str">
            <v>BODY</v>
          </cell>
          <cell r="P1098">
            <v>168</v>
          </cell>
        </row>
        <row r="1099">
          <cell r="B1099" t="str">
            <v>1002-00</v>
          </cell>
          <cell r="C1099" t="str">
            <v>BODY</v>
          </cell>
          <cell r="D1099">
            <v>98</v>
          </cell>
          <cell r="N1099" t="str">
            <v>1002-00</v>
          </cell>
          <cell r="O1099" t="str">
            <v>BODY</v>
          </cell>
          <cell r="P1099">
            <v>196</v>
          </cell>
        </row>
        <row r="1100">
          <cell r="B1100" t="str">
            <v>1634-02</v>
          </cell>
          <cell r="C1100" t="str">
            <v>RS RETAINER</v>
          </cell>
          <cell r="D1100">
            <v>92</v>
          </cell>
          <cell r="N1100" t="str">
            <v>1634-02</v>
          </cell>
          <cell r="O1100" t="str">
            <v>RS RETAINER</v>
          </cell>
          <cell r="P1100">
            <v>184</v>
          </cell>
        </row>
        <row r="1101">
          <cell r="B1101" t="str">
            <v>1634-21</v>
          </cell>
          <cell r="C1101" t="str">
            <v>RS RETAINER</v>
          </cell>
          <cell r="D1101">
            <v>98</v>
          </cell>
          <cell r="N1101" t="str">
            <v>1634-21</v>
          </cell>
          <cell r="O1101" t="str">
            <v>RS RETAINER</v>
          </cell>
          <cell r="P1101">
            <v>196</v>
          </cell>
        </row>
        <row r="1102">
          <cell r="B1102" t="str">
            <v>1634-22</v>
          </cell>
          <cell r="C1102" t="str">
            <v>RS RETAINER</v>
          </cell>
          <cell r="D1102">
            <v>95</v>
          </cell>
          <cell r="N1102" t="str">
            <v>1634-22</v>
          </cell>
          <cell r="O1102" t="str">
            <v>RS RETAINER</v>
          </cell>
          <cell r="P1102">
            <v>190</v>
          </cell>
        </row>
        <row r="1103">
          <cell r="B1103" t="str">
            <v>1634-29</v>
          </cell>
          <cell r="C1103" t="str">
            <v>RS RETAINER</v>
          </cell>
          <cell r="D1103">
            <v>89.5</v>
          </cell>
          <cell r="N1103" t="str">
            <v>1634-29</v>
          </cell>
          <cell r="O1103" t="str">
            <v>RS RETAINER</v>
          </cell>
          <cell r="P1103">
            <v>179</v>
          </cell>
        </row>
        <row r="1104">
          <cell r="B1104" t="str">
            <v>1734-14</v>
          </cell>
          <cell r="C1104" t="str">
            <v>RS RETAINER</v>
          </cell>
          <cell r="D1104">
            <v>98</v>
          </cell>
          <cell r="N1104" t="str">
            <v>1734-14</v>
          </cell>
          <cell r="O1104" t="str">
            <v>RS RETAINER</v>
          </cell>
          <cell r="P1104">
            <v>196</v>
          </cell>
        </row>
        <row r="1105">
          <cell r="B1105" t="str">
            <v>1738-01</v>
          </cell>
          <cell r="C1105" t="str">
            <v>RS RETAINER</v>
          </cell>
          <cell r="D1105">
            <v>95</v>
          </cell>
          <cell r="N1105" t="str">
            <v>1738-01</v>
          </cell>
          <cell r="O1105" t="str">
            <v>RS RETAINER</v>
          </cell>
          <cell r="P1105">
            <v>190</v>
          </cell>
        </row>
        <row r="1106">
          <cell r="B1106" t="str">
            <v>1832-02</v>
          </cell>
          <cell r="C1106" t="str">
            <v>BODY RETAINER</v>
          </cell>
          <cell r="D1106">
            <v>90.5</v>
          </cell>
          <cell r="N1106" t="str">
            <v>1832-02</v>
          </cell>
          <cell r="O1106" t="str">
            <v>BODY RETAINER</v>
          </cell>
          <cell r="P1106">
            <v>181</v>
          </cell>
        </row>
        <row r="1107">
          <cell r="B1107" t="str">
            <v>2113-00</v>
          </cell>
          <cell r="C1107" t="str">
            <v>PILOT RETAINER</v>
          </cell>
          <cell r="D1107">
            <v>80</v>
          </cell>
          <cell r="N1107" t="str">
            <v>2113-00</v>
          </cell>
          <cell r="O1107" t="str">
            <v>PILOT RETAINER</v>
          </cell>
          <cell r="P1107">
            <v>160</v>
          </cell>
        </row>
        <row r="1108">
          <cell r="B1108" t="str">
            <v>2852-10</v>
          </cell>
          <cell r="C1108" t="str">
            <v>BODY</v>
          </cell>
          <cell r="D1108">
            <v>98</v>
          </cell>
          <cell r="N1108" t="str">
            <v>2852-10</v>
          </cell>
          <cell r="O1108" t="str">
            <v>BODY</v>
          </cell>
          <cell r="P1108">
            <v>196</v>
          </cell>
        </row>
        <row r="1109">
          <cell r="B1109" t="str">
            <v>508-14</v>
          </cell>
          <cell r="C1109" t="str">
            <v>BODY</v>
          </cell>
          <cell r="D1109">
            <v>98</v>
          </cell>
          <cell r="N1109" t="str">
            <v>508-14</v>
          </cell>
          <cell r="O1109" t="str">
            <v>BODY</v>
          </cell>
          <cell r="P1109">
            <v>196</v>
          </cell>
        </row>
        <row r="1110">
          <cell r="B1110" t="str">
            <v>600-00</v>
          </cell>
          <cell r="C1110" t="str">
            <v>BUSH</v>
          </cell>
          <cell r="D1110">
            <v>98</v>
          </cell>
          <cell r="N1110" t="str">
            <v>600-00</v>
          </cell>
          <cell r="O1110" t="str">
            <v>BUSH</v>
          </cell>
          <cell r="P1110">
            <v>196</v>
          </cell>
        </row>
        <row r="1111">
          <cell r="B1111" t="str">
            <v>600-00</v>
          </cell>
          <cell r="C1111" t="str">
            <v>BUSH</v>
          </cell>
          <cell r="D1111">
            <v>98</v>
          </cell>
          <cell r="N1111" t="str">
            <v>600-00</v>
          </cell>
          <cell r="O1111" t="str">
            <v>BUSH</v>
          </cell>
          <cell r="P1111">
            <v>196</v>
          </cell>
        </row>
        <row r="1112">
          <cell r="B1112" t="str">
            <v>661-12</v>
          </cell>
          <cell r="C1112" t="str">
            <v>BODY</v>
          </cell>
          <cell r="D1112">
            <v>89.5</v>
          </cell>
          <cell r="N1112" t="str">
            <v>661-12</v>
          </cell>
          <cell r="O1112" t="str">
            <v>BODY</v>
          </cell>
          <cell r="P1112">
            <v>179</v>
          </cell>
        </row>
        <row r="1113">
          <cell r="B1113" t="str">
            <v>749-07</v>
          </cell>
          <cell r="C1113" t="str">
            <v>REB,RETAINER</v>
          </cell>
          <cell r="D1113">
            <v>65.5</v>
          </cell>
          <cell r="N1113" t="str">
            <v>749-07</v>
          </cell>
          <cell r="O1113" t="str">
            <v>REB,RETAINER</v>
          </cell>
          <cell r="P1113">
            <v>131</v>
          </cell>
        </row>
        <row r="1114">
          <cell r="B1114" t="str">
            <v>786-12</v>
          </cell>
          <cell r="C1114" t="str">
            <v>BODY</v>
          </cell>
          <cell r="D1114">
            <v>87</v>
          </cell>
          <cell r="N1114" t="str">
            <v>786-12</v>
          </cell>
          <cell r="O1114" t="str">
            <v>BODY</v>
          </cell>
          <cell r="P1114">
            <v>174</v>
          </cell>
        </row>
        <row r="1115">
          <cell r="B1115" t="str">
            <v>786-12</v>
          </cell>
          <cell r="C1115" t="str">
            <v>BODY</v>
          </cell>
          <cell r="D1115">
            <v>87</v>
          </cell>
          <cell r="N1115" t="str">
            <v>786-12</v>
          </cell>
          <cell r="O1115" t="str">
            <v>BODY</v>
          </cell>
          <cell r="P1115">
            <v>174</v>
          </cell>
        </row>
        <row r="1116">
          <cell r="B1116" t="str">
            <v>786-12</v>
          </cell>
          <cell r="C1116" t="str">
            <v>BODY</v>
          </cell>
          <cell r="D1116">
            <v>87</v>
          </cell>
          <cell r="N1116" t="str">
            <v>786-12</v>
          </cell>
          <cell r="O1116" t="str">
            <v>BODY</v>
          </cell>
          <cell r="P1116">
            <v>174</v>
          </cell>
        </row>
        <row r="1117">
          <cell r="B1117" t="str">
            <v>853-31</v>
          </cell>
          <cell r="C1117" t="str">
            <v>REB,RETAINER</v>
          </cell>
          <cell r="D1117">
            <v>98</v>
          </cell>
          <cell r="N1117" t="str">
            <v>853-31</v>
          </cell>
          <cell r="O1117" t="str">
            <v>REB,RETAINER</v>
          </cell>
          <cell r="P1117">
            <v>196</v>
          </cell>
        </row>
        <row r="1118">
          <cell r="B1118" t="str">
            <v>853-36</v>
          </cell>
          <cell r="C1118" t="str">
            <v>REB,RETAINER</v>
          </cell>
          <cell r="D1118">
            <v>97</v>
          </cell>
          <cell r="N1118" t="str">
            <v>853-36</v>
          </cell>
          <cell r="O1118" t="str">
            <v>REB,RETAINER</v>
          </cell>
          <cell r="P1118">
            <v>194</v>
          </cell>
        </row>
        <row r="1119">
          <cell r="B1119" t="str">
            <v>853-46</v>
          </cell>
          <cell r="C1119" t="str">
            <v>REB,RETAINER</v>
          </cell>
          <cell r="D1119">
            <v>92.5</v>
          </cell>
          <cell r="N1119" t="str">
            <v>853-46</v>
          </cell>
          <cell r="O1119" t="str">
            <v>REB,RETAINER</v>
          </cell>
          <cell r="P1119">
            <v>185</v>
          </cell>
        </row>
        <row r="1120">
          <cell r="B1120" t="str">
            <v>861-20</v>
          </cell>
          <cell r="C1120" t="str">
            <v>BODY</v>
          </cell>
          <cell r="D1120">
            <v>98</v>
          </cell>
          <cell r="N1120" t="str">
            <v>861-20</v>
          </cell>
          <cell r="O1120" t="str">
            <v>BODY</v>
          </cell>
          <cell r="P1120">
            <v>196</v>
          </cell>
        </row>
        <row r="1121">
          <cell r="B1121" t="str">
            <v>1100-09</v>
          </cell>
          <cell r="C1121" t="str">
            <v>BASE VALVE</v>
          </cell>
          <cell r="D1121">
            <v>98.5</v>
          </cell>
          <cell r="N1121" t="str">
            <v>1100-09</v>
          </cell>
          <cell r="O1121" t="str">
            <v>BASE VALVE</v>
          </cell>
          <cell r="P1121">
            <v>197</v>
          </cell>
        </row>
        <row r="1122">
          <cell r="B1122" t="str">
            <v>1100-09</v>
          </cell>
          <cell r="C1122" t="str">
            <v>BASE VALVE</v>
          </cell>
          <cell r="D1122">
            <v>98.5</v>
          </cell>
          <cell r="N1122" t="str">
            <v>1100-09</v>
          </cell>
          <cell r="O1122" t="str">
            <v>BASE VALVE</v>
          </cell>
          <cell r="P1122">
            <v>197</v>
          </cell>
        </row>
        <row r="1123">
          <cell r="B1123" t="str">
            <v>1290-01</v>
          </cell>
          <cell r="C1123" t="str">
            <v>PILOT CASE</v>
          </cell>
          <cell r="D1123">
            <v>91.5</v>
          </cell>
          <cell r="N1123" t="str">
            <v>1290-01</v>
          </cell>
          <cell r="O1123" t="str">
            <v>PILOT CASE</v>
          </cell>
          <cell r="P1123">
            <v>183</v>
          </cell>
        </row>
        <row r="1124">
          <cell r="B1124" t="str">
            <v>1290-01</v>
          </cell>
          <cell r="C1124" t="str">
            <v>PILOT CASE</v>
          </cell>
          <cell r="D1124">
            <v>91.5</v>
          </cell>
          <cell r="N1124" t="str">
            <v>1290-01</v>
          </cell>
          <cell r="O1124" t="str">
            <v>PILOT CASE</v>
          </cell>
          <cell r="P1124">
            <v>183</v>
          </cell>
        </row>
        <row r="1125">
          <cell r="B1125" t="str">
            <v>1290-02</v>
          </cell>
          <cell r="C1125" t="str">
            <v>PILOT CASE</v>
          </cell>
          <cell r="D1125">
            <v>91</v>
          </cell>
          <cell r="N1125" t="str">
            <v>1290-02</v>
          </cell>
          <cell r="O1125" t="str">
            <v>PILOT CASE</v>
          </cell>
          <cell r="P1125">
            <v>182</v>
          </cell>
        </row>
        <row r="1126">
          <cell r="B1126" t="str">
            <v>1290-02</v>
          </cell>
          <cell r="C1126" t="str">
            <v>PILOT CASE</v>
          </cell>
          <cell r="D1126">
            <v>91</v>
          </cell>
          <cell r="N1126" t="str">
            <v>1290-02</v>
          </cell>
          <cell r="O1126" t="str">
            <v>PILOT CASE</v>
          </cell>
          <cell r="P1126">
            <v>182</v>
          </cell>
        </row>
        <row r="1127">
          <cell r="B1127" t="str">
            <v>1290-02</v>
          </cell>
          <cell r="C1127" t="str">
            <v>PILOT CASE</v>
          </cell>
          <cell r="D1127">
            <v>91</v>
          </cell>
          <cell r="N1127" t="str">
            <v>1290-02</v>
          </cell>
          <cell r="O1127" t="str">
            <v>PILOT CASE</v>
          </cell>
          <cell r="P1127">
            <v>182</v>
          </cell>
        </row>
        <row r="1128">
          <cell r="B1128" t="str">
            <v>1554-10</v>
          </cell>
          <cell r="C1128" t="str">
            <v>RS RETAINER</v>
          </cell>
          <cell r="D1128">
            <v>87</v>
          </cell>
          <cell r="N1128" t="str">
            <v>1554-10</v>
          </cell>
          <cell r="O1128" t="str">
            <v>RS RETAINER</v>
          </cell>
          <cell r="P1128">
            <v>174</v>
          </cell>
        </row>
        <row r="1129">
          <cell r="B1129" t="str">
            <v>1554-23</v>
          </cell>
          <cell r="C1129" t="str">
            <v>RS RETAINER</v>
          </cell>
          <cell r="D1129">
            <v>87.5</v>
          </cell>
          <cell r="N1129" t="str">
            <v>1554-23</v>
          </cell>
          <cell r="O1129" t="str">
            <v>RS RETAINER</v>
          </cell>
          <cell r="P1129">
            <v>175</v>
          </cell>
        </row>
        <row r="1130">
          <cell r="B1130" t="str">
            <v>1554-38</v>
          </cell>
          <cell r="C1130" t="str">
            <v>RS RETAINER</v>
          </cell>
          <cell r="D1130">
            <v>93.5</v>
          </cell>
          <cell r="N1130" t="str">
            <v>1554-38</v>
          </cell>
          <cell r="O1130" t="str">
            <v>RS RETAINER</v>
          </cell>
          <cell r="P1130">
            <v>187</v>
          </cell>
        </row>
        <row r="1131">
          <cell r="B1131" t="str">
            <v>1634-12</v>
          </cell>
          <cell r="C1131" t="str">
            <v>RS RETAINER</v>
          </cell>
          <cell r="D1131">
            <v>96.5</v>
          </cell>
          <cell r="N1131" t="str">
            <v>1634-12</v>
          </cell>
          <cell r="O1131" t="str">
            <v>RS RETAINER</v>
          </cell>
          <cell r="P1131">
            <v>193</v>
          </cell>
        </row>
        <row r="1132">
          <cell r="B1132" t="str">
            <v>1634-19</v>
          </cell>
          <cell r="C1132" t="str">
            <v>RS RETAINER</v>
          </cell>
          <cell r="D1132">
            <v>89.5</v>
          </cell>
          <cell r="N1132" t="str">
            <v>1634-19</v>
          </cell>
          <cell r="O1132" t="str">
            <v>RS RETAINER</v>
          </cell>
          <cell r="P1132">
            <v>179</v>
          </cell>
        </row>
        <row r="1133">
          <cell r="B1133" t="str">
            <v>1634-20</v>
          </cell>
          <cell r="C1133" t="str">
            <v>RS RETAINER</v>
          </cell>
          <cell r="D1133">
            <v>89.5</v>
          </cell>
          <cell r="N1133" t="str">
            <v>1634-20</v>
          </cell>
          <cell r="O1133" t="str">
            <v>RS RETAINER</v>
          </cell>
          <cell r="P1133">
            <v>179</v>
          </cell>
        </row>
        <row r="1134">
          <cell r="B1134" t="str">
            <v>1634-21</v>
          </cell>
          <cell r="C1134" t="str">
            <v>RS RETAINER</v>
          </cell>
          <cell r="D1134">
            <v>98</v>
          </cell>
          <cell r="N1134" t="str">
            <v>1634-21</v>
          </cell>
          <cell r="O1134" t="str">
            <v>RS RETAINER</v>
          </cell>
          <cell r="P1134">
            <v>196</v>
          </cell>
        </row>
        <row r="1135">
          <cell r="B1135" t="str">
            <v>1634-27</v>
          </cell>
          <cell r="C1135" t="str">
            <v>RS RETAINER</v>
          </cell>
          <cell r="D1135">
            <v>91</v>
          </cell>
          <cell r="N1135" t="str">
            <v>1634-27</v>
          </cell>
          <cell r="O1135" t="str">
            <v>RS RETAINER</v>
          </cell>
          <cell r="P1135">
            <v>182</v>
          </cell>
        </row>
        <row r="1136">
          <cell r="B1136" t="str">
            <v>1634-33</v>
          </cell>
          <cell r="C1136" t="str">
            <v>RS RETAINER</v>
          </cell>
          <cell r="D1136">
            <v>97</v>
          </cell>
          <cell r="N1136" t="str">
            <v>1634-33</v>
          </cell>
          <cell r="O1136" t="str">
            <v>RS RETAINER</v>
          </cell>
          <cell r="P1136">
            <v>194</v>
          </cell>
        </row>
        <row r="1137">
          <cell r="B1137" t="str">
            <v>1634-34</v>
          </cell>
          <cell r="C1137" t="str">
            <v>RS RETAINER</v>
          </cell>
          <cell r="D1137">
            <v>89.5</v>
          </cell>
          <cell r="N1137" t="str">
            <v>1634-34</v>
          </cell>
          <cell r="O1137" t="str">
            <v>RS RETAINER</v>
          </cell>
          <cell r="P1137">
            <v>179</v>
          </cell>
        </row>
        <row r="1138">
          <cell r="B1138" t="str">
            <v>1634-43</v>
          </cell>
          <cell r="C1138" t="str">
            <v>RS RETAINER</v>
          </cell>
          <cell r="D1138">
            <v>96</v>
          </cell>
          <cell r="N1138" t="str">
            <v>1634-43</v>
          </cell>
          <cell r="O1138" t="str">
            <v>RS RETAINER</v>
          </cell>
          <cell r="P1138">
            <v>192</v>
          </cell>
        </row>
        <row r="1139">
          <cell r="B1139" t="str">
            <v>1634-43</v>
          </cell>
          <cell r="C1139" t="str">
            <v>RS RETAINER</v>
          </cell>
          <cell r="D1139">
            <v>96</v>
          </cell>
          <cell r="N1139" t="str">
            <v>1634-43</v>
          </cell>
          <cell r="O1139" t="str">
            <v>RS RETAINER</v>
          </cell>
          <cell r="P1139">
            <v>192</v>
          </cell>
        </row>
        <row r="1140">
          <cell r="B1140" t="str">
            <v>1634-44</v>
          </cell>
          <cell r="C1140" t="str">
            <v>RS RETAINER</v>
          </cell>
          <cell r="D1140">
            <v>89</v>
          </cell>
          <cell r="N1140" t="str">
            <v>1634-44</v>
          </cell>
          <cell r="O1140" t="str">
            <v>RS RETAINER</v>
          </cell>
          <cell r="P1140">
            <v>178</v>
          </cell>
        </row>
        <row r="1141">
          <cell r="B1141" t="str">
            <v>1634-44</v>
          </cell>
          <cell r="C1141" t="str">
            <v>RS RETAINER</v>
          </cell>
          <cell r="D1141">
            <v>89</v>
          </cell>
          <cell r="N1141" t="str">
            <v>1634-44</v>
          </cell>
          <cell r="O1141" t="str">
            <v>RS RETAINER</v>
          </cell>
          <cell r="P1141">
            <v>178</v>
          </cell>
        </row>
        <row r="1142">
          <cell r="B1142" t="str">
            <v>1734-01</v>
          </cell>
          <cell r="C1142" t="str">
            <v>RS RETAINER</v>
          </cell>
          <cell r="D1142">
            <v>89.5</v>
          </cell>
          <cell r="N1142" t="str">
            <v>1734-01</v>
          </cell>
          <cell r="O1142" t="str">
            <v>RS RETAINER</v>
          </cell>
          <cell r="P1142">
            <v>179</v>
          </cell>
        </row>
        <row r="1143">
          <cell r="B1143" t="str">
            <v>1734-07</v>
          </cell>
          <cell r="C1143" t="str">
            <v>RS RETAINER</v>
          </cell>
          <cell r="D1143">
            <v>90</v>
          </cell>
          <cell r="N1143" t="str">
            <v>1734-07</v>
          </cell>
          <cell r="O1143" t="str">
            <v>RS RETAINER</v>
          </cell>
          <cell r="P1143">
            <v>180</v>
          </cell>
        </row>
        <row r="1144">
          <cell r="B1144" t="str">
            <v>448-00</v>
          </cell>
          <cell r="C1144" t="str">
            <v>SPACER</v>
          </cell>
          <cell r="D1144">
            <v>118.19999999999999</v>
          </cell>
          <cell r="N1144" t="str">
            <v>448-00</v>
          </cell>
          <cell r="O1144" t="str">
            <v>SPACER</v>
          </cell>
          <cell r="P1144">
            <v>197</v>
          </cell>
        </row>
        <row r="1145">
          <cell r="B1145" t="str">
            <v>567-15</v>
          </cell>
          <cell r="C1145" t="str">
            <v>BODY</v>
          </cell>
          <cell r="D1145">
            <v>98.5</v>
          </cell>
          <cell r="N1145" t="str">
            <v>567-15</v>
          </cell>
          <cell r="O1145" t="str">
            <v>BODY</v>
          </cell>
          <cell r="P1145">
            <v>197</v>
          </cell>
        </row>
        <row r="1146">
          <cell r="B1146" t="str">
            <v>661-01</v>
          </cell>
          <cell r="C1146" t="str">
            <v>BODY</v>
          </cell>
          <cell r="D1146">
            <v>88</v>
          </cell>
          <cell r="N1146" t="str">
            <v>661-01</v>
          </cell>
          <cell r="O1146" t="str">
            <v>BODY</v>
          </cell>
          <cell r="P1146">
            <v>176</v>
          </cell>
        </row>
        <row r="1147">
          <cell r="B1147" t="str">
            <v>661-06</v>
          </cell>
          <cell r="C1147" t="str">
            <v>BODY</v>
          </cell>
          <cell r="D1147">
            <v>82.5</v>
          </cell>
          <cell r="N1147" t="str">
            <v>661-06</v>
          </cell>
          <cell r="O1147" t="str">
            <v>BODY</v>
          </cell>
          <cell r="P1147">
            <v>165</v>
          </cell>
        </row>
        <row r="1148">
          <cell r="B1148" t="str">
            <v>853-32</v>
          </cell>
          <cell r="C1148" t="str">
            <v>REB,RETAINER</v>
          </cell>
          <cell r="D1148">
            <v>91.5</v>
          </cell>
          <cell r="N1148" t="str">
            <v>853-32</v>
          </cell>
          <cell r="O1148" t="str">
            <v>REB,RETAINER</v>
          </cell>
          <cell r="P1148">
            <v>183</v>
          </cell>
        </row>
        <row r="1149">
          <cell r="B1149" t="str">
            <v>853-33</v>
          </cell>
          <cell r="C1149" t="str">
            <v>REB,RETAINER</v>
          </cell>
          <cell r="D1149">
            <v>91.5</v>
          </cell>
          <cell r="N1149" t="str">
            <v>853-33</v>
          </cell>
          <cell r="O1149" t="str">
            <v>REB,RETAINER</v>
          </cell>
          <cell r="P1149">
            <v>183</v>
          </cell>
        </row>
        <row r="1150">
          <cell r="B1150" t="str">
            <v>853-33</v>
          </cell>
          <cell r="C1150" t="str">
            <v>REB,RETAINER</v>
          </cell>
          <cell r="D1150">
            <v>91.5</v>
          </cell>
          <cell r="N1150" t="str">
            <v>853-33</v>
          </cell>
          <cell r="O1150" t="str">
            <v>REB,RETAINER</v>
          </cell>
          <cell r="P1150">
            <v>183</v>
          </cell>
        </row>
        <row r="1151">
          <cell r="B1151" t="str">
            <v>853-37</v>
          </cell>
          <cell r="C1151" t="str">
            <v>REB,RETAINER</v>
          </cell>
          <cell r="D1151">
            <v>92.5</v>
          </cell>
          <cell r="N1151" t="str">
            <v>853-37</v>
          </cell>
          <cell r="O1151" t="str">
            <v>REB,RETAINER</v>
          </cell>
          <cell r="P1151">
            <v>185</v>
          </cell>
        </row>
        <row r="1152">
          <cell r="B1152" t="str">
            <v>853-40</v>
          </cell>
          <cell r="C1152" t="str">
            <v>REB,RETAINER</v>
          </cell>
          <cell r="D1152">
            <v>96.5</v>
          </cell>
          <cell r="N1152" t="str">
            <v>853-40</v>
          </cell>
          <cell r="O1152" t="str">
            <v>REB,RETAINER</v>
          </cell>
          <cell r="P1152">
            <v>193</v>
          </cell>
        </row>
        <row r="1153">
          <cell r="B1153" t="str">
            <v>853-46</v>
          </cell>
          <cell r="C1153" t="str">
            <v>REB,RETAINER</v>
          </cell>
          <cell r="D1153">
            <v>92.5</v>
          </cell>
          <cell r="N1153" t="str">
            <v>853-46</v>
          </cell>
          <cell r="O1153" t="str">
            <v>REB,RETAINER</v>
          </cell>
          <cell r="P1153">
            <v>185</v>
          </cell>
        </row>
        <row r="1154">
          <cell r="B1154" t="str">
            <v>044-05</v>
          </cell>
          <cell r="C1154" t="str">
            <v>ROD GUIDE ASS'Y</v>
          </cell>
          <cell r="D1154">
            <v>99</v>
          </cell>
          <cell r="N1154" t="str">
            <v>044-05</v>
          </cell>
          <cell r="O1154" t="str">
            <v>ROD GUIDE ASS'Y</v>
          </cell>
          <cell r="P1154">
            <v>198</v>
          </cell>
        </row>
        <row r="1155">
          <cell r="B1155" t="str">
            <v>1019-00</v>
          </cell>
          <cell r="C1155" t="str">
            <v>BODY</v>
          </cell>
          <cell r="D1155">
            <v>99</v>
          </cell>
          <cell r="N1155" t="str">
            <v>1019-00</v>
          </cell>
          <cell r="O1155" t="str">
            <v>BODY</v>
          </cell>
          <cell r="P1155">
            <v>198</v>
          </cell>
        </row>
        <row r="1156">
          <cell r="B1156" t="str">
            <v>1069-01</v>
          </cell>
          <cell r="C1156" t="str">
            <v>PISTON</v>
          </cell>
          <cell r="D1156">
            <v>99</v>
          </cell>
          <cell r="N1156" t="str">
            <v>1069-01</v>
          </cell>
          <cell r="O1156" t="str">
            <v>PISTON</v>
          </cell>
          <cell r="P1156">
            <v>198</v>
          </cell>
        </row>
        <row r="1157">
          <cell r="B1157" t="str">
            <v>1554-02</v>
          </cell>
          <cell r="C1157" t="str">
            <v>RS RETAINER</v>
          </cell>
          <cell r="D1157">
            <v>87.5</v>
          </cell>
          <cell r="N1157" t="str">
            <v>1554-02</v>
          </cell>
          <cell r="O1157" t="str">
            <v>RS RETAINER</v>
          </cell>
          <cell r="P1157">
            <v>175</v>
          </cell>
        </row>
        <row r="1158">
          <cell r="B1158" t="str">
            <v>1554-02</v>
          </cell>
          <cell r="C1158" t="str">
            <v>RS RETAINER</v>
          </cell>
          <cell r="D1158">
            <v>87.5</v>
          </cell>
          <cell r="N1158" t="str">
            <v>1554-02</v>
          </cell>
          <cell r="O1158" t="str">
            <v>RS RETAINER</v>
          </cell>
          <cell r="P1158">
            <v>175</v>
          </cell>
        </row>
        <row r="1159">
          <cell r="B1159" t="str">
            <v>1554-09</v>
          </cell>
          <cell r="C1159" t="str">
            <v>RS RETAINER</v>
          </cell>
          <cell r="D1159">
            <v>87.5</v>
          </cell>
          <cell r="N1159" t="str">
            <v>1554-09</v>
          </cell>
          <cell r="O1159" t="str">
            <v>RS RETAINER</v>
          </cell>
          <cell r="P1159">
            <v>175</v>
          </cell>
        </row>
        <row r="1160">
          <cell r="B1160" t="str">
            <v>1554-11</v>
          </cell>
          <cell r="C1160" t="str">
            <v>RS RETAINER</v>
          </cell>
          <cell r="D1160">
            <v>89</v>
          </cell>
          <cell r="N1160" t="str">
            <v>1554-11</v>
          </cell>
          <cell r="O1160" t="str">
            <v>RS RETAINER</v>
          </cell>
          <cell r="P1160">
            <v>178</v>
          </cell>
        </row>
        <row r="1161">
          <cell r="B1161" t="str">
            <v>1554-11</v>
          </cell>
          <cell r="C1161" t="str">
            <v>RS RETAINER</v>
          </cell>
          <cell r="D1161">
            <v>89</v>
          </cell>
          <cell r="N1161" t="str">
            <v>1554-11</v>
          </cell>
          <cell r="O1161" t="str">
            <v>RS RETAINER</v>
          </cell>
          <cell r="P1161">
            <v>178</v>
          </cell>
        </row>
        <row r="1162">
          <cell r="B1162" t="str">
            <v>1554-14</v>
          </cell>
          <cell r="C1162" t="str">
            <v>RS RETAINER</v>
          </cell>
          <cell r="D1162">
            <v>89.5</v>
          </cell>
          <cell r="N1162" t="str">
            <v>1554-14</v>
          </cell>
          <cell r="O1162" t="str">
            <v>RS RETAINER</v>
          </cell>
          <cell r="P1162">
            <v>179</v>
          </cell>
        </row>
        <row r="1163">
          <cell r="B1163" t="str">
            <v>1554-17</v>
          </cell>
          <cell r="C1163" t="str">
            <v>RS RETAINER</v>
          </cell>
          <cell r="D1163">
            <v>88</v>
          </cell>
          <cell r="N1163" t="str">
            <v>1554-17</v>
          </cell>
          <cell r="O1163" t="str">
            <v>RS RETAINER</v>
          </cell>
          <cell r="P1163">
            <v>176</v>
          </cell>
        </row>
        <row r="1164">
          <cell r="B1164" t="str">
            <v>1554-17</v>
          </cell>
          <cell r="C1164" t="str">
            <v>RS RETAINER</v>
          </cell>
          <cell r="D1164">
            <v>88</v>
          </cell>
          <cell r="N1164" t="str">
            <v>1554-17</v>
          </cell>
          <cell r="O1164" t="str">
            <v>RS RETAINER</v>
          </cell>
          <cell r="P1164">
            <v>176</v>
          </cell>
        </row>
        <row r="1165">
          <cell r="B1165" t="str">
            <v>1554-19</v>
          </cell>
          <cell r="C1165" t="str">
            <v>RS RETAINER</v>
          </cell>
          <cell r="D1165">
            <v>87.5</v>
          </cell>
          <cell r="N1165" t="str">
            <v>1554-19</v>
          </cell>
          <cell r="O1165" t="str">
            <v>RS RETAINER</v>
          </cell>
          <cell r="P1165">
            <v>175</v>
          </cell>
        </row>
        <row r="1166">
          <cell r="B1166" t="str">
            <v>1554-19</v>
          </cell>
          <cell r="C1166" t="str">
            <v>RS RETAINER</v>
          </cell>
          <cell r="D1166">
            <v>87.5</v>
          </cell>
          <cell r="N1166" t="str">
            <v>1554-19</v>
          </cell>
          <cell r="O1166" t="str">
            <v>RS RETAINER</v>
          </cell>
          <cell r="P1166">
            <v>175</v>
          </cell>
        </row>
        <row r="1167">
          <cell r="B1167" t="str">
            <v>1554-19</v>
          </cell>
          <cell r="C1167" t="str">
            <v>RS RETAINER</v>
          </cell>
          <cell r="D1167">
            <v>87.5</v>
          </cell>
          <cell r="N1167" t="str">
            <v>1554-19</v>
          </cell>
          <cell r="O1167" t="str">
            <v>RS RETAINER</v>
          </cell>
          <cell r="P1167">
            <v>175</v>
          </cell>
        </row>
        <row r="1168">
          <cell r="B1168" t="str">
            <v>1554-19</v>
          </cell>
          <cell r="C1168" t="str">
            <v>RS RETAINER</v>
          </cell>
          <cell r="D1168">
            <v>87.5</v>
          </cell>
          <cell r="N1168" t="str">
            <v>1554-19</v>
          </cell>
          <cell r="O1168" t="str">
            <v>RS RETAINER</v>
          </cell>
          <cell r="P1168">
            <v>175</v>
          </cell>
        </row>
        <row r="1169">
          <cell r="B1169" t="str">
            <v>1554-26</v>
          </cell>
          <cell r="C1169" t="str">
            <v>RS RETAINER</v>
          </cell>
          <cell r="D1169">
            <v>87.5</v>
          </cell>
          <cell r="N1169" t="str">
            <v>1554-26</v>
          </cell>
          <cell r="O1169" t="str">
            <v>RS RETAINER</v>
          </cell>
          <cell r="P1169">
            <v>175</v>
          </cell>
        </row>
        <row r="1170">
          <cell r="B1170" t="str">
            <v>1554-31</v>
          </cell>
          <cell r="C1170" t="str">
            <v>RS RETAINER</v>
          </cell>
          <cell r="D1170">
            <v>88</v>
          </cell>
          <cell r="N1170" t="str">
            <v>1554-31</v>
          </cell>
          <cell r="O1170" t="str">
            <v>RS RETAINER</v>
          </cell>
          <cell r="P1170">
            <v>176</v>
          </cell>
        </row>
        <row r="1171">
          <cell r="B1171" t="str">
            <v>1554-35</v>
          </cell>
          <cell r="C1171" t="str">
            <v>RS RETAINER</v>
          </cell>
          <cell r="D1171">
            <v>89.5</v>
          </cell>
          <cell r="N1171" t="str">
            <v>1554-35</v>
          </cell>
          <cell r="O1171" t="str">
            <v>RS RETAINER</v>
          </cell>
          <cell r="P1171">
            <v>179</v>
          </cell>
        </row>
        <row r="1172">
          <cell r="B1172" t="str">
            <v>1634-05</v>
          </cell>
          <cell r="C1172" t="str">
            <v>RS RETAINER</v>
          </cell>
          <cell r="D1172">
            <v>89.5</v>
          </cell>
          <cell r="N1172" t="str">
            <v>1634-05</v>
          </cell>
          <cell r="O1172" t="str">
            <v>RS RETAINER</v>
          </cell>
          <cell r="P1172">
            <v>179</v>
          </cell>
        </row>
        <row r="1173">
          <cell r="B1173" t="str">
            <v>661-01</v>
          </cell>
          <cell r="C1173" t="str">
            <v>BODY</v>
          </cell>
          <cell r="D1173">
            <v>88</v>
          </cell>
          <cell r="N1173" t="str">
            <v>661-01</v>
          </cell>
          <cell r="O1173" t="str">
            <v>BODY</v>
          </cell>
          <cell r="P1173">
            <v>176</v>
          </cell>
        </row>
        <row r="1174">
          <cell r="B1174" t="str">
            <v>661-01</v>
          </cell>
          <cell r="C1174" t="str">
            <v>BODY</v>
          </cell>
          <cell r="D1174">
            <v>88</v>
          </cell>
          <cell r="N1174" t="str">
            <v>661-01</v>
          </cell>
          <cell r="O1174" t="str">
            <v>BODY</v>
          </cell>
          <cell r="P1174">
            <v>176</v>
          </cell>
        </row>
        <row r="1175">
          <cell r="B1175" t="str">
            <v>661-13</v>
          </cell>
          <cell r="C1175" t="str">
            <v>BODY</v>
          </cell>
          <cell r="D1175">
            <v>88</v>
          </cell>
          <cell r="N1175" t="str">
            <v>661-13</v>
          </cell>
          <cell r="O1175" t="str">
            <v>BODY</v>
          </cell>
          <cell r="P1175">
            <v>176</v>
          </cell>
        </row>
        <row r="1176">
          <cell r="B1176" t="str">
            <v>786-07</v>
          </cell>
          <cell r="C1176" t="str">
            <v>BODY</v>
          </cell>
          <cell r="D1176">
            <v>89</v>
          </cell>
          <cell r="N1176" t="str">
            <v>786-07</v>
          </cell>
          <cell r="O1176" t="str">
            <v>BODY</v>
          </cell>
          <cell r="P1176">
            <v>178</v>
          </cell>
        </row>
        <row r="1177">
          <cell r="B1177" t="str">
            <v>797-01</v>
          </cell>
          <cell r="C1177" t="str">
            <v>BODY</v>
          </cell>
          <cell r="D1177">
            <v>99</v>
          </cell>
          <cell r="N1177" t="str">
            <v>797-01</v>
          </cell>
          <cell r="O1177" t="str">
            <v>BODY</v>
          </cell>
          <cell r="P1177">
            <v>198</v>
          </cell>
        </row>
        <row r="1178">
          <cell r="B1178" t="str">
            <v>853-46</v>
          </cell>
          <cell r="C1178" t="str">
            <v>REB,RETAINER</v>
          </cell>
          <cell r="D1178">
            <v>92.5</v>
          </cell>
          <cell r="N1178" t="str">
            <v>853-46</v>
          </cell>
          <cell r="O1178" t="str">
            <v>REB,RETAINER</v>
          </cell>
          <cell r="P1178">
            <v>185</v>
          </cell>
        </row>
        <row r="1179">
          <cell r="B1179" t="str">
            <v>861-01</v>
          </cell>
          <cell r="C1179" t="str">
            <v>BODY</v>
          </cell>
          <cell r="D1179">
            <v>80.5</v>
          </cell>
          <cell r="N1179" t="str">
            <v>861-01</v>
          </cell>
          <cell r="O1179" t="str">
            <v>BODY</v>
          </cell>
          <cell r="P1179">
            <v>161</v>
          </cell>
        </row>
        <row r="1180">
          <cell r="B1180" t="str">
            <v>878-00</v>
          </cell>
          <cell r="C1180" t="str">
            <v>BODY</v>
          </cell>
          <cell r="D1180">
            <v>99</v>
          </cell>
          <cell r="N1180" t="str">
            <v>878-00</v>
          </cell>
          <cell r="O1180" t="str">
            <v>BODY</v>
          </cell>
          <cell r="P1180">
            <v>198</v>
          </cell>
        </row>
        <row r="1181">
          <cell r="B1181" t="str">
            <v>1079-01</v>
          </cell>
          <cell r="C1181" t="str">
            <v>BODY</v>
          </cell>
          <cell r="D1181">
            <v>99.5</v>
          </cell>
          <cell r="N1181" t="str">
            <v>1079-01</v>
          </cell>
          <cell r="O1181" t="str">
            <v>BODY</v>
          </cell>
          <cell r="P1181">
            <v>199</v>
          </cell>
        </row>
        <row r="1182">
          <cell r="B1182" t="str">
            <v>1634-10</v>
          </cell>
          <cell r="C1182" t="str">
            <v>RS RETAINER</v>
          </cell>
          <cell r="D1182">
            <v>90.5</v>
          </cell>
          <cell r="N1182" t="str">
            <v>1634-10</v>
          </cell>
          <cell r="O1182" t="str">
            <v>RS RETAINER</v>
          </cell>
          <cell r="P1182">
            <v>181</v>
          </cell>
        </row>
        <row r="1183">
          <cell r="B1183" t="str">
            <v>1634-10</v>
          </cell>
          <cell r="C1183" t="str">
            <v>RS RETAINER</v>
          </cell>
          <cell r="D1183">
            <v>90.5</v>
          </cell>
          <cell r="N1183" t="str">
            <v>1634-10</v>
          </cell>
          <cell r="O1183" t="str">
            <v>RS RETAINER</v>
          </cell>
          <cell r="P1183">
            <v>181</v>
          </cell>
        </row>
        <row r="1184">
          <cell r="B1184" t="str">
            <v>1634-14</v>
          </cell>
          <cell r="C1184" t="str">
            <v>RS RETAINER</v>
          </cell>
          <cell r="D1184">
            <v>89.5</v>
          </cell>
          <cell r="N1184" t="str">
            <v>1634-14</v>
          </cell>
          <cell r="O1184" t="str">
            <v>RS RETAINER</v>
          </cell>
          <cell r="P1184">
            <v>179</v>
          </cell>
        </row>
        <row r="1185">
          <cell r="B1185" t="str">
            <v>1634-14</v>
          </cell>
          <cell r="C1185" t="str">
            <v>RS RETAINER</v>
          </cell>
          <cell r="D1185">
            <v>89.5</v>
          </cell>
          <cell r="N1185" t="str">
            <v>1634-14</v>
          </cell>
          <cell r="O1185" t="str">
            <v>RS RETAINER</v>
          </cell>
          <cell r="P1185">
            <v>179</v>
          </cell>
        </row>
        <row r="1186">
          <cell r="B1186" t="str">
            <v>1634-20</v>
          </cell>
          <cell r="C1186" t="str">
            <v>RS RETAINER</v>
          </cell>
          <cell r="D1186">
            <v>89.5</v>
          </cell>
          <cell r="N1186" t="str">
            <v>1634-20</v>
          </cell>
          <cell r="O1186" t="str">
            <v>RS RETAINER</v>
          </cell>
          <cell r="P1186">
            <v>179</v>
          </cell>
        </row>
        <row r="1187">
          <cell r="B1187" t="str">
            <v>1634-22</v>
          </cell>
          <cell r="C1187" t="str">
            <v>RS RETAINER</v>
          </cell>
          <cell r="D1187">
            <v>95</v>
          </cell>
          <cell r="N1187" t="str">
            <v>1634-22</v>
          </cell>
          <cell r="O1187" t="str">
            <v>RS RETAINER</v>
          </cell>
          <cell r="P1187">
            <v>190</v>
          </cell>
        </row>
        <row r="1188">
          <cell r="B1188" t="str">
            <v>1634-26</v>
          </cell>
          <cell r="C1188" t="str">
            <v>RS RETAINER</v>
          </cell>
          <cell r="D1188">
            <v>90.5</v>
          </cell>
          <cell r="N1188" t="str">
            <v>1634-26</v>
          </cell>
          <cell r="O1188" t="str">
            <v>RS RETAINER</v>
          </cell>
          <cell r="P1188">
            <v>181</v>
          </cell>
        </row>
        <row r="1189">
          <cell r="B1189" t="str">
            <v>1634-26</v>
          </cell>
          <cell r="C1189" t="str">
            <v>RS RETAINER</v>
          </cell>
          <cell r="D1189">
            <v>90.5</v>
          </cell>
          <cell r="N1189" t="str">
            <v>1634-26</v>
          </cell>
          <cell r="O1189" t="str">
            <v>RS RETAINER</v>
          </cell>
          <cell r="P1189">
            <v>181</v>
          </cell>
        </row>
        <row r="1190">
          <cell r="B1190" t="str">
            <v>1634-26</v>
          </cell>
          <cell r="C1190" t="str">
            <v>RS RETAINER</v>
          </cell>
          <cell r="D1190">
            <v>90.5</v>
          </cell>
          <cell r="N1190" t="str">
            <v>1634-26</v>
          </cell>
          <cell r="O1190" t="str">
            <v>RS RETAINER</v>
          </cell>
          <cell r="P1190">
            <v>181</v>
          </cell>
        </row>
        <row r="1191">
          <cell r="B1191" t="str">
            <v>1634-26</v>
          </cell>
          <cell r="C1191" t="str">
            <v>RS RETAINER</v>
          </cell>
          <cell r="D1191">
            <v>90.5</v>
          </cell>
          <cell r="N1191" t="str">
            <v>1634-26</v>
          </cell>
          <cell r="O1191" t="str">
            <v>RS RETAINER</v>
          </cell>
          <cell r="P1191">
            <v>181</v>
          </cell>
        </row>
        <row r="1192">
          <cell r="B1192" t="str">
            <v>1634-26</v>
          </cell>
          <cell r="C1192" t="str">
            <v>RS RETAINER</v>
          </cell>
          <cell r="D1192">
            <v>90.5</v>
          </cell>
          <cell r="N1192" t="str">
            <v>1634-26</v>
          </cell>
          <cell r="O1192" t="str">
            <v>RS RETAINER</v>
          </cell>
          <cell r="P1192">
            <v>181</v>
          </cell>
        </row>
        <row r="1193">
          <cell r="B1193" t="str">
            <v>1634-29</v>
          </cell>
          <cell r="C1193" t="str">
            <v>RS RETAINER</v>
          </cell>
          <cell r="D1193">
            <v>89.5</v>
          </cell>
          <cell r="N1193" t="str">
            <v>1634-29</v>
          </cell>
          <cell r="O1193" t="str">
            <v>RS RETAINER</v>
          </cell>
          <cell r="P1193">
            <v>179</v>
          </cell>
        </row>
        <row r="1194">
          <cell r="B1194" t="str">
            <v>1634-29</v>
          </cell>
          <cell r="C1194" t="str">
            <v>RS RETAINER</v>
          </cell>
          <cell r="D1194">
            <v>89.5</v>
          </cell>
          <cell r="N1194" t="str">
            <v>1634-29</v>
          </cell>
          <cell r="O1194" t="str">
            <v>RS RETAINER</v>
          </cell>
          <cell r="P1194">
            <v>179</v>
          </cell>
        </row>
        <row r="1195">
          <cell r="B1195" t="str">
            <v>1634-32</v>
          </cell>
          <cell r="C1195" t="str">
            <v>RS RETAINER</v>
          </cell>
          <cell r="D1195">
            <v>90.5</v>
          </cell>
          <cell r="N1195" t="str">
            <v>1634-32</v>
          </cell>
          <cell r="O1195" t="str">
            <v>RS RETAINER</v>
          </cell>
          <cell r="P1195">
            <v>181</v>
          </cell>
        </row>
        <row r="1196">
          <cell r="B1196" t="str">
            <v>588-11</v>
          </cell>
          <cell r="C1196" t="str">
            <v>PISTON</v>
          </cell>
          <cell r="D1196">
            <v>99.5</v>
          </cell>
          <cell r="N1196" t="str">
            <v>588-11</v>
          </cell>
          <cell r="O1196" t="str">
            <v>PISTON</v>
          </cell>
          <cell r="P1196">
            <v>199</v>
          </cell>
        </row>
        <row r="1197">
          <cell r="B1197" t="str">
            <v>588-17</v>
          </cell>
          <cell r="C1197" t="str">
            <v>PISTON</v>
          </cell>
          <cell r="D1197">
            <v>90.5</v>
          </cell>
          <cell r="N1197" t="str">
            <v>588-17</v>
          </cell>
          <cell r="O1197" t="str">
            <v>PISTON</v>
          </cell>
          <cell r="P1197">
            <v>181</v>
          </cell>
        </row>
        <row r="1198">
          <cell r="B1198" t="str">
            <v>661-10</v>
          </cell>
          <cell r="C1198" t="str">
            <v>BODY</v>
          </cell>
          <cell r="D1198">
            <v>94</v>
          </cell>
          <cell r="N1198" t="str">
            <v>661-10</v>
          </cell>
          <cell r="O1198" t="str">
            <v>BODY</v>
          </cell>
          <cell r="P1198">
            <v>188</v>
          </cell>
        </row>
        <row r="1199">
          <cell r="B1199" t="str">
            <v>671-02</v>
          </cell>
          <cell r="C1199" t="str">
            <v>PISTON</v>
          </cell>
          <cell r="D1199">
            <v>99.5</v>
          </cell>
          <cell r="N1199" t="str">
            <v>671-02</v>
          </cell>
          <cell r="O1199" t="str">
            <v>PISTON</v>
          </cell>
          <cell r="P1199">
            <v>199</v>
          </cell>
        </row>
        <row r="1200">
          <cell r="B1200" t="str">
            <v>853-31</v>
          </cell>
          <cell r="C1200" t="str">
            <v>REB,RETAINER</v>
          </cell>
          <cell r="D1200">
            <v>98</v>
          </cell>
          <cell r="N1200" t="str">
            <v>853-31</v>
          </cell>
          <cell r="O1200" t="str">
            <v>REB,RETAINER</v>
          </cell>
          <cell r="P1200">
            <v>196</v>
          </cell>
        </row>
        <row r="1201">
          <cell r="B1201" t="str">
            <v>853-47</v>
          </cell>
          <cell r="C1201" t="str">
            <v>REB,RETAINER</v>
          </cell>
          <cell r="D1201">
            <v>93</v>
          </cell>
          <cell r="N1201" t="str">
            <v>853-47</v>
          </cell>
          <cell r="O1201" t="str">
            <v>REB,RETAINER</v>
          </cell>
          <cell r="P1201">
            <v>186</v>
          </cell>
        </row>
        <row r="1202">
          <cell r="B1202" t="str">
            <v>861-02</v>
          </cell>
          <cell r="C1202" t="str">
            <v>BODY</v>
          </cell>
          <cell r="D1202">
            <v>99.5</v>
          </cell>
          <cell r="N1202" t="str">
            <v>861-02</v>
          </cell>
          <cell r="O1202" t="str">
            <v>BODY</v>
          </cell>
          <cell r="P1202">
            <v>199</v>
          </cell>
        </row>
        <row r="1203">
          <cell r="B1203" t="str">
            <v>1302-00</v>
          </cell>
          <cell r="C1203" t="str">
            <v>CAM</v>
          </cell>
          <cell r="D1203">
            <v>114.6</v>
          </cell>
          <cell r="N1203" t="str">
            <v>1302-00</v>
          </cell>
          <cell r="O1203" t="str">
            <v>CAM</v>
          </cell>
          <cell r="P1203">
            <v>191</v>
          </cell>
        </row>
        <row r="1204">
          <cell r="B1204" t="str">
            <v>1446-01</v>
          </cell>
          <cell r="C1204" t="str">
            <v>BODY</v>
          </cell>
          <cell r="D1204">
            <v>100</v>
          </cell>
          <cell r="N1204" t="str">
            <v>1446-01</v>
          </cell>
          <cell r="O1204" t="str">
            <v>BODY</v>
          </cell>
          <cell r="P1204">
            <v>200</v>
          </cell>
        </row>
        <row r="1205">
          <cell r="B1205" t="str">
            <v>1507-16</v>
          </cell>
          <cell r="C1205" t="str">
            <v>BASE VALVE</v>
          </cell>
          <cell r="D1205">
            <v>100</v>
          </cell>
          <cell r="N1205" t="str">
            <v>1507-16</v>
          </cell>
          <cell r="O1205" t="str">
            <v>BASE VALVE</v>
          </cell>
          <cell r="P1205">
            <v>200</v>
          </cell>
        </row>
        <row r="1206">
          <cell r="B1206" t="str">
            <v>1634-02</v>
          </cell>
          <cell r="C1206" t="str">
            <v>RS RETAINER</v>
          </cell>
          <cell r="D1206">
            <v>92</v>
          </cell>
          <cell r="N1206" t="str">
            <v>1634-02</v>
          </cell>
          <cell r="O1206" t="str">
            <v>RS RETAINER</v>
          </cell>
          <cell r="P1206">
            <v>184</v>
          </cell>
        </row>
        <row r="1207">
          <cell r="B1207" t="str">
            <v>1634-04</v>
          </cell>
          <cell r="C1207" t="str">
            <v>RS RETAINER</v>
          </cell>
          <cell r="D1207">
            <v>89.5</v>
          </cell>
          <cell r="N1207" t="str">
            <v>1634-04</v>
          </cell>
          <cell r="O1207" t="str">
            <v>RS RETAINER</v>
          </cell>
          <cell r="P1207">
            <v>179</v>
          </cell>
        </row>
        <row r="1208">
          <cell r="B1208" t="str">
            <v>1634-05</v>
          </cell>
          <cell r="C1208" t="str">
            <v>RS RETAINER</v>
          </cell>
          <cell r="D1208">
            <v>89.5</v>
          </cell>
          <cell r="N1208" t="str">
            <v>1634-05</v>
          </cell>
          <cell r="O1208" t="str">
            <v>RS RETAINER</v>
          </cell>
          <cell r="P1208">
            <v>179</v>
          </cell>
        </row>
        <row r="1209">
          <cell r="B1209" t="str">
            <v>1634-19</v>
          </cell>
          <cell r="C1209" t="str">
            <v>RS RETAINER</v>
          </cell>
          <cell r="D1209">
            <v>89.5</v>
          </cell>
          <cell r="N1209" t="str">
            <v>1634-19</v>
          </cell>
          <cell r="O1209" t="str">
            <v>RS RETAINER</v>
          </cell>
          <cell r="P1209">
            <v>179</v>
          </cell>
        </row>
        <row r="1210">
          <cell r="B1210" t="str">
            <v>1634-19</v>
          </cell>
          <cell r="C1210" t="str">
            <v>RS RETAINER</v>
          </cell>
          <cell r="D1210">
            <v>89.5</v>
          </cell>
          <cell r="N1210" t="str">
            <v>1634-19</v>
          </cell>
          <cell r="O1210" t="str">
            <v>RS RETAINER</v>
          </cell>
          <cell r="P1210">
            <v>179</v>
          </cell>
        </row>
        <row r="1211">
          <cell r="B1211" t="str">
            <v>1634-19</v>
          </cell>
          <cell r="C1211" t="str">
            <v>RS RETAINER</v>
          </cell>
          <cell r="D1211">
            <v>89.5</v>
          </cell>
          <cell r="N1211" t="str">
            <v>1634-19</v>
          </cell>
          <cell r="O1211" t="str">
            <v>RS RETAINER</v>
          </cell>
          <cell r="P1211">
            <v>179</v>
          </cell>
        </row>
        <row r="1212">
          <cell r="B1212" t="str">
            <v>1634-20</v>
          </cell>
          <cell r="C1212" t="str">
            <v>RS RETAINER</v>
          </cell>
          <cell r="D1212">
            <v>89.5</v>
          </cell>
          <cell r="N1212" t="str">
            <v>1634-20</v>
          </cell>
          <cell r="O1212" t="str">
            <v>RS RETAINER</v>
          </cell>
          <cell r="P1212">
            <v>179</v>
          </cell>
        </row>
        <row r="1213">
          <cell r="B1213" t="str">
            <v>1634-20</v>
          </cell>
          <cell r="C1213" t="str">
            <v>RS RETAINER</v>
          </cell>
          <cell r="D1213">
            <v>89.5</v>
          </cell>
          <cell r="N1213" t="str">
            <v>1634-20</v>
          </cell>
          <cell r="O1213" t="str">
            <v>RS RETAINER</v>
          </cell>
          <cell r="P1213">
            <v>179</v>
          </cell>
        </row>
        <row r="1214">
          <cell r="B1214" t="str">
            <v>1634-23</v>
          </cell>
          <cell r="C1214" t="str">
            <v>RS RETAINER</v>
          </cell>
          <cell r="D1214">
            <v>91</v>
          </cell>
          <cell r="N1214" t="str">
            <v>1634-23</v>
          </cell>
          <cell r="O1214" t="str">
            <v>RS RETAINER</v>
          </cell>
          <cell r="P1214">
            <v>182</v>
          </cell>
        </row>
        <row r="1215">
          <cell r="B1215" t="str">
            <v>1634-23</v>
          </cell>
          <cell r="C1215" t="str">
            <v>RS RETAINER</v>
          </cell>
          <cell r="D1215">
            <v>91</v>
          </cell>
          <cell r="N1215" t="str">
            <v>1634-23</v>
          </cell>
          <cell r="O1215" t="str">
            <v>RS RETAINER</v>
          </cell>
          <cell r="P1215">
            <v>182</v>
          </cell>
        </row>
        <row r="1216">
          <cell r="B1216" t="str">
            <v>1634-25</v>
          </cell>
          <cell r="C1216" t="str">
            <v>RS RETAINER</v>
          </cell>
          <cell r="D1216">
            <v>89.5</v>
          </cell>
          <cell r="N1216" t="str">
            <v>1634-25</v>
          </cell>
          <cell r="O1216" t="str">
            <v>RS RETAINER</v>
          </cell>
          <cell r="P1216">
            <v>179</v>
          </cell>
        </row>
        <row r="1217">
          <cell r="B1217" t="str">
            <v>1634-25</v>
          </cell>
          <cell r="C1217" t="str">
            <v>RS RETAINER</v>
          </cell>
          <cell r="D1217">
            <v>89.5</v>
          </cell>
          <cell r="N1217" t="str">
            <v>1634-25</v>
          </cell>
          <cell r="O1217" t="str">
            <v>RS RETAINER</v>
          </cell>
          <cell r="P1217">
            <v>179</v>
          </cell>
        </row>
        <row r="1218">
          <cell r="B1218" t="str">
            <v>1634-27</v>
          </cell>
          <cell r="C1218" t="str">
            <v>RS RETAINER</v>
          </cell>
          <cell r="D1218">
            <v>91</v>
          </cell>
          <cell r="N1218" t="str">
            <v>1634-27</v>
          </cell>
          <cell r="O1218" t="str">
            <v>RS RETAINER</v>
          </cell>
          <cell r="P1218">
            <v>182</v>
          </cell>
        </row>
        <row r="1219">
          <cell r="B1219" t="str">
            <v>1634-48</v>
          </cell>
          <cell r="C1219" t="str">
            <v>RS RETAINER</v>
          </cell>
          <cell r="D1219">
            <v>96.5</v>
          </cell>
          <cell r="N1219" t="str">
            <v>1634-48</v>
          </cell>
          <cell r="O1219" t="str">
            <v>RS RETAINER</v>
          </cell>
          <cell r="P1219">
            <v>193</v>
          </cell>
        </row>
        <row r="1220">
          <cell r="B1220" t="str">
            <v>1634-48</v>
          </cell>
          <cell r="C1220" t="str">
            <v>RS RETAINER</v>
          </cell>
          <cell r="D1220">
            <v>96.5</v>
          </cell>
          <cell r="N1220" t="str">
            <v>1634-48</v>
          </cell>
          <cell r="O1220" t="str">
            <v>RS RETAINER</v>
          </cell>
          <cell r="P1220">
            <v>193</v>
          </cell>
        </row>
        <row r="1221">
          <cell r="B1221" t="str">
            <v>1734-07</v>
          </cell>
          <cell r="C1221" t="str">
            <v>RS RETAINER</v>
          </cell>
          <cell r="D1221">
            <v>90</v>
          </cell>
          <cell r="N1221" t="str">
            <v>1734-07</v>
          </cell>
          <cell r="O1221" t="str">
            <v>RS RETAINER</v>
          </cell>
          <cell r="P1221">
            <v>180</v>
          </cell>
        </row>
        <row r="1222">
          <cell r="B1222" t="str">
            <v>567-05</v>
          </cell>
          <cell r="C1222" t="str">
            <v>BODY</v>
          </cell>
          <cell r="D1222">
            <v>97.5</v>
          </cell>
          <cell r="N1222" t="str">
            <v>567-05</v>
          </cell>
          <cell r="O1222" t="str">
            <v>BODY</v>
          </cell>
          <cell r="P1222">
            <v>195</v>
          </cell>
        </row>
        <row r="1223">
          <cell r="B1223" t="str">
            <v>567-05</v>
          </cell>
          <cell r="C1223" t="str">
            <v>BODY</v>
          </cell>
          <cell r="D1223">
            <v>97.5</v>
          </cell>
          <cell r="N1223" t="str">
            <v>567-05</v>
          </cell>
          <cell r="O1223" t="str">
            <v>BODY</v>
          </cell>
          <cell r="P1223">
            <v>195</v>
          </cell>
        </row>
        <row r="1224">
          <cell r="B1224" t="str">
            <v>567-14</v>
          </cell>
          <cell r="C1224" t="str">
            <v>BODY</v>
          </cell>
          <cell r="D1224">
            <v>100</v>
          </cell>
          <cell r="N1224" t="str">
            <v>567-14</v>
          </cell>
          <cell r="O1224" t="str">
            <v>BODY</v>
          </cell>
          <cell r="P1224">
            <v>200</v>
          </cell>
        </row>
        <row r="1225">
          <cell r="B1225" t="str">
            <v>661-13</v>
          </cell>
          <cell r="C1225" t="str">
            <v>BODY</v>
          </cell>
          <cell r="D1225">
            <v>88</v>
          </cell>
          <cell r="N1225" t="str">
            <v>661-13</v>
          </cell>
          <cell r="O1225" t="str">
            <v>BODY</v>
          </cell>
          <cell r="P1225">
            <v>176</v>
          </cell>
        </row>
        <row r="1226">
          <cell r="B1226" t="str">
            <v>785-02</v>
          </cell>
          <cell r="C1226" t="str">
            <v>BODY</v>
          </cell>
          <cell r="D1226">
            <v>87.5</v>
          </cell>
          <cell r="N1226" t="str">
            <v>785-02</v>
          </cell>
          <cell r="O1226" t="str">
            <v>BODY</v>
          </cell>
          <cell r="P1226">
            <v>175</v>
          </cell>
        </row>
        <row r="1227">
          <cell r="B1227" t="str">
            <v>786-07</v>
          </cell>
          <cell r="C1227" t="str">
            <v>BODY</v>
          </cell>
          <cell r="D1227">
            <v>89</v>
          </cell>
          <cell r="N1227" t="str">
            <v>786-07</v>
          </cell>
          <cell r="O1227" t="str">
            <v>BODY</v>
          </cell>
          <cell r="P1227">
            <v>178</v>
          </cell>
        </row>
        <row r="1228">
          <cell r="B1228" t="str">
            <v>797-15</v>
          </cell>
          <cell r="C1228" t="str">
            <v>BODY</v>
          </cell>
          <cell r="D1228">
            <v>100</v>
          </cell>
          <cell r="N1228" t="str">
            <v>797-15</v>
          </cell>
          <cell r="O1228" t="str">
            <v>BODY</v>
          </cell>
          <cell r="P1228">
            <v>200</v>
          </cell>
        </row>
        <row r="1229">
          <cell r="B1229" t="str">
            <v>852-05</v>
          </cell>
          <cell r="C1229" t="str">
            <v>BODY</v>
          </cell>
          <cell r="D1229">
            <v>100</v>
          </cell>
          <cell r="N1229" t="str">
            <v>852-05</v>
          </cell>
          <cell r="O1229" t="str">
            <v>BODY</v>
          </cell>
          <cell r="P1229">
            <v>200</v>
          </cell>
        </row>
        <row r="1230">
          <cell r="B1230" t="str">
            <v>853-40</v>
          </cell>
          <cell r="C1230" t="str">
            <v>REB,RETAINER</v>
          </cell>
          <cell r="D1230">
            <v>96.5</v>
          </cell>
          <cell r="N1230" t="str">
            <v>853-40</v>
          </cell>
          <cell r="O1230" t="str">
            <v>REB,RETAINER</v>
          </cell>
          <cell r="P1230">
            <v>193</v>
          </cell>
        </row>
        <row r="1231">
          <cell r="B1231" t="str">
            <v>853-47</v>
          </cell>
          <cell r="C1231" t="str">
            <v>REB,RETAINER</v>
          </cell>
          <cell r="D1231">
            <v>93</v>
          </cell>
          <cell r="N1231" t="str">
            <v>853-47</v>
          </cell>
          <cell r="O1231" t="str">
            <v>REB,RETAINER</v>
          </cell>
          <cell r="P1231">
            <v>186</v>
          </cell>
        </row>
        <row r="1232">
          <cell r="B1232" t="str">
            <v>861-06</v>
          </cell>
          <cell r="C1232" t="str">
            <v>BODY</v>
          </cell>
          <cell r="D1232">
            <v>88</v>
          </cell>
          <cell r="N1232" t="str">
            <v>861-06</v>
          </cell>
          <cell r="O1232" t="str">
            <v>BODY</v>
          </cell>
          <cell r="P1232">
            <v>176</v>
          </cell>
        </row>
        <row r="1233">
          <cell r="B1233" t="str">
            <v>1007-00</v>
          </cell>
          <cell r="C1233" t="str">
            <v>BODY</v>
          </cell>
          <cell r="D1233">
            <v>100.5</v>
          </cell>
          <cell r="N1233" t="str">
            <v>1007-00</v>
          </cell>
          <cell r="O1233" t="str">
            <v>BODY</v>
          </cell>
          <cell r="P1233">
            <v>201</v>
          </cell>
        </row>
        <row r="1234">
          <cell r="B1234" t="str">
            <v>1291-01</v>
          </cell>
          <cell r="C1234" t="str">
            <v>PILOT CASE</v>
          </cell>
          <cell r="D1234">
            <v>87.5</v>
          </cell>
          <cell r="N1234" t="str">
            <v>1291-01</v>
          </cell>
          <cell r="O1234" t="str">
            <v>PILOT CASE</v>
          </cell>
          <cell r="P1234">
            <v>175</v>
          </cell>
        </row>
        <row r="1235">
          <cell r="B1235" t="str">
            <v>2852-09</v>
          </cell>
          <cell r="C1235" t="str">
            <v>BODY</v>
          </cell>
          <cell r="D1235">
            <v>92.5</v>
          </cell>
          <cell r="N1235" t="str">
            <v>2852-09</v>
          </cell>
          <cell r="O1235" t="str">
            <v>BODY</v>
          </cell>
          <cell r="P1235">
            <v>185</v>
          </cell>
        </row>
        <row r="1236">
          <cell r="B1236" t="str">
            <v>559-00</v>
          </cell>
          <cell r="C1236" t="str">
            <v>BODY</v>
          </cell>
          <cell r="D1236">
            <v>100.5</v>
          </cell>
          <cell r="N1236" t="str">
            <v>559-00</v>
          </cell>
          <cell r="O1236" t="str">
            <v>BODY</v>
          </cell>
          <cell r="P1236">
            <v>201</v>
          </cell>
        </row>
        <row r="1237">
          <cell r="B1237" t="str">
            <v>567-13</v>
          </cell>
          <cell r="C1237" t="str">
            <v>BODY</v>
          </cell>
          <cell r="D1237">
            <v>97.5</v>
          </cell>
          <cell r="N1237" t="str">
            <v>567-13</v>
          </cell>
          <cell r="O1237" t="str">
            <v>BODY</v>
          </cell>
          <cell r="P1237">
            <v>195</v>
          </cell>
        </row>
        <row r="1238">
          <cell r="B1238" t="str">
            <v>661-06</v>
          </cell>
          <cell r="C1238" t="str">
            <v>BODY</v>
          </cell>
          <cell r="D1238">
            <v>82.5</v>
          </cell>
          <cell r="N1238" t="str">
            <v>661-06</v>
          </cell>
          <cell r="O1238" t="str">
            <v>BODY</v>
          </cell>
          <cell r="P1238">
            <v>165</v>
          </cell>
        </row>
        <row r="1239">
          <cell r="B1239" t="str">
            <v>661-12</v>
          </cell>
          <cell r="C1239" t="str">
            <v>BODY</v>
          </cell>
          <cell r="D1239">
            <v>89.5</v>
          </cell>
          <cell r="N1239" t="str">
            <v>661-12</v>
          </cell>
          <cell r="O1239" t="str">
            <v>BODY</v>
          </cell>
          <cell r="P1239">
            <v>179</v>
          </cell>
        </row>
        <row r="1240">
          <cell r="B1240" t="str">
            <v>727-04</v>
          </cell>
          <cell r="C1240" t="str">
            <v>BODY</v>
          </cell>
          <cell r="D1240">
            <v>100.5</v>
          </cell>
          <cell r="N1240" t="str">
            <v>727-04</v>
          </cell>
          <cell r="O1240" t="str">
            <v>BODY</v>
          </cell>
          <cell r="P1240">
            <v>201</v>
          </cell>
        </row>
        <row r="1241">
          <cell r="B1241" t="str">
            <v>787-05</v>
          </cell>
          <cell r="C1241" t="str">
            <v>BODY</v>
          </cell>
          <cell r="D1241">
            <v>93.5</v>
          </cell>
          <cell r="N1241" t="str">
            <v>787-05</v>
          </cell>
          <cell r="O1241" t="str">
            <v>BODY</v>
          </cell>
          <cell r="P1241">
            <v>187</v>
          </cell>
        </row>
        <row r="1242">
          <cell r="B1242" t="str">
            <v>853-29</v>
          </cell>
          <cell r="C1242" t="str">
            <v>REB,RETAINER</v>
          </cell>
          <cell r="D1242">
            <v>73</v>
          </cell>
          <cell r="N1242" t="str">
            <v>853-29</v>
          </cell>
          <cell r="O1242" t="str">
            <v>REB,RETAINER</v>
          </cell>
          <cell r="P1242">
            <v>146</v>
          </cell>
        </row>
        <row r="1243">
          <cell r="B1243" t="str">
            <v>853-30</v>
          </cell>
          <cell r="C1243" t="str">
            <v>REB,RETAINER</v>
          </cell>
          <cell r="D1243">
            <v>78</v>
          </cell>
          <cell r="N1243" t="str">
            <v>853-30</v>
          </cell>
          <cell r="O1243" t="str">
            <v>REB,RETAINER</v>
          </cell>
          <cell r="P1243">
            <v>156</v>
          </cell>
        </row>
        <row r="1244">
          <cell r="B1244" t="str">
            <v>853-48</v>
          </cell>
          <cell r="C1244" t="str">
            <v>REB,RETAINER</v>
          </cell>
          <cell r="D1244">
            <v>97</v>
          </cell>
          <cell r="N1244" t="str">
            <v>853-48</v>
          </cell>
          <cell r="O1244" t="str">
            <v>REB,RETAINER</v>
          </cell>
          <cell r="P1244">
            <v>194</v>
          </cell>
        </row>
        <row r="1245">
          <cell r="B1245" t="str">
            <v>861-15</v>
          </cell>
          <cell r="C1245" t="str">
            <v>BODY</v>
          </cell>
          <cell r="D1245">
            <v>91</v>
          </cell>
          <cell r="N1245" t="str">
            <v>861-15</v>
          </cell>
          <cell r="O1245" t="str">
            <v>BODY</v>
          </cell>
          <cell r="P1245">
            <v>182</v>
          </cell>
        </row>
        <row r="1246">
          <cell r="B1246" t="str">
            <v>1045-01</v>
          </cell>
          <cell r="C1246" t="str">
            <v>IBJ STOPPER</v>
          </cell>
          <cell r="D1246">
            <v>121.19999999999999</v>
          </cell>
          <cell r="N1246" t="str">
            <v>1045-01</v>
          </cell>
          <cell r="O1246" t="str">
            <v>IBJ STOPPER</v>
          </cell>
          <cell r="P1246">
            <v>202</v>
          </cell>
        </row>
        <row r="1247">
          <cell r="B1247" t="str">
            <v>1291-02</v>
          </cell>
          <cell r="C1247" t="str">
            <v>PILOT CASE</v>
          </cell>
          <cell r="D1247">
            <v>87</v>
          </cell>
          <cell r="N1247" t="str">
            <v>1291-02</v>
          </cell>
          <cell r="O1247" t="str">
            <v>PILOT CASE</v>
          </cell>
          <cell r="P1247">
            <v>174</v>
          </cell>
        </row>
        <row r="1248">
          <cell r="B1248" t="str">
            <v>1291-02</v>
          </cell>
          <cell r="C1248" t="str">
            <v>PILOT CASE</v>
          </cell>
          <cell r="D1248">
            <v>87</v>
          </cell>
          <cell r="N1248" t="str">
            <v>1291-02</v>
          </cell>
          <cell r="O1248" t="str">
            <v>PILOT CASE</v>
          </cell>
          <cell r="P1248">
            <v>174</v>
          </cell>
        </row>
        <row r="1249">
          <cell r="B1249" t="str">
            <v>1634-02</v>
          </cell>
          <cell r="C1249" t="str">
            <v>RS RETAINER</v>
          </cell>
          <cell r="D1249">
            <v>92</v>
          </cell>
          <cell r="N1249" t="str">
            <v>1634-02</v>
          </cell>
          <cell r="O1249" t="str">
            <v>RS RETAINER</v>
          </cell>
          <cell r="P1249">
            <v>184</v>
          </cell>
        </row>
        <row r="1250">
          <cell r="B1250" t="str">
            <v>1634-04</v>
          </cell>
          <cell r="C1250" t="str">
            <v>RS RETAINER</v>
          </cell>
          <cell r="D1250">
            <v>89.5</v>
          </cell>
          <cell r="N1250" t="str">
            <v>1634-04</v>
          </cell>
          <cell r="O1250" t="str">
            <v>RS RETAINER</v>
          </cell>
          <cell r="P1250">
            <v>179</v>
          </cell>
        </row>
        <row r="1251">
          <cell r="B1251" t="str">
            <v>1634-04</v>
          </cell>
          <cell r="C1251" t="str">
            <v>RS RETAINER</v>
          </cell>
          <cell r="D1251">
            <v>89.5</v>
          </cell>
          <cell r="N1251" t="str">
            <v>1634-04</v>
          </cell>
          <cell r="O1251" t="str">
            <v>RS RETAINER</v>
          </cell>
          <cell r="P1251">
            <v>179</v>
          </cell>
        </row>
        <row r="1252">
          <cell r="B1252" t="str">
            <v>1634-22</v>
          </cell>
          <cell r="C1252" t="str">
            <v>RS RETAINER</v>
          </cell>
          <cell r="D1252">
            <v>95</v>
          </cell>
          <cell r="N1252" t="str">
            <v>1634-22</v>
          </cell>
          <cell r="O1252" t="str">
            <v>RS RETAINER</v>
          </cell>
          <cell r="P1252">
            <v>190</v>
          </cell>
        </row>
        <row r="1253">
          <cell r="B1253" t="str">
            <v>1634-32</v>
          </cell>
          <cell r="C1253" t="str">
            <v>RS RETAINER</v>
          </cell>
          <cell r="D1253">
            <v>90.5</v>
          </cell>
          <cell r="N1253" t="str">
            <v>1634-32</v>
          </cell>
          <cell r="O1253" t="str">
            <v>RS RETAINER</v>
          </cell>
          <cell r="P1253">
            <v>181</v>
          </cell>
        </row>
        <row r="1254">
          <cell r="B1254" t="str">
            <v>1673-03</v>
          </cell>
          <cell r="C1254" t="str">
            <v>RS RETAINER</v>
          </cell>
          <cell r="D1254">
            <v>82.5</v>
          </cell>
          <cell r="N1254" t="str">
            <v>1673-03</v>
          </cell>
          <cell r="O1254" t="str">
            <v>RS RETAINER</v>
          </cell>
          <cell r="P1254">
            <v>165</v>
          </cell>
        </row>
        <row r="1255">
          <cell r="B1255" t="str">
            <v>1673-11</v>
          </cell>
          <cell r="C1255" t="str">
            <v>RS RETAINER</v>
          </cell>
          <cell r="D1255">
            <v>101</v>
          </cell>
          <cell r="N1255" t="str">
            <v>1673-11</v>
          </cell>
          <cell r="O1255" t="str">
            <v>RS RETAINER</v>
          </cell>
          <cell r="P1255">
            <v>202</v>
          </cell>
        </row>
        <row r="1256">
          <cell r="B1256" t="str">
            <v>588-11</v>
          </cell>
          <cell r="C1256" t="str">
            <v>PISTON</v>
          </cell>
          <cell r="D1256">
            <v>99.5</v>
          </cell>
          <cell r="N1256" t="str">
            <v>588-11</v>
          </cell>
          <cell r="O1256" t="str">
            <v>PISTON</v>
          </cell>
          <cell r="P1256">
            <v>199</v>
          </cell>
        </row>
        <row r="1257">
          <cell r="B1257" t="str">
            <v>661-12</v>
          </cell>
          <cell r="C1257" t="str">
            <v>BODY</v>
          </cell>
          <cell r="D1257">
            <v>89.5</v>
          </cell>
          <cell r="N1257" t="str">
            <v>661-12</v>
          </cell>
          <cell r="O1257" t="str">
            <v>BODY</v>
          </cell>
          <cell r="P1257">
            <v>179</v>
          </cell>
        </row>
        <row r="1258">
          <cell r="B1258" t="str">
            <v>661-12</v>
          </cell>
          <cell r="C1258" t="str">
            <v>BODY</v>
          </cell>
          <cell r="D1258">
            <v>89.5</v>
          </cell>
          <cell r="N1258" t="str">
            <v>661-12</v>
          </cell>
          <cell r="O1258" t="str">
            <v>BODY</v>
          </cell>
          <cell r="P1258">
            <v>179</v>
          </cell>
        </row>
        <row r="1259">
          <cell r="B1259" t="str">
            <v>671-02</v>
          </cell>
          <cell r="C1259" t="str">
            <v>PISTON</v>
          </cell>
          <cell r="D1259">
            <v>99.5</v>
          </cell>
          <cell r="N1259" t="str">
            <v>671-02</v>
          </cell>
          <cell r="O1259" t="str">
            <v>PISTON</v>
          </cell>
          <cell r="P1259">
            <v>199</v>
          </cell>
        </row>
        <row r="1260">
          <cell r="B1260" t="str">
            <v>853-31</v>
          </cell>
          <cell r="C1260" t="str">
            <v>REB,RETAINER</v>
          </cell>
          <cell r="D1260">
            <v>98</v>
          </cell>
          <cell r="N1260" t="str">
            <v>853-31</v>
          </cell>
          <cell r="O1260" t="str">
            <v>REB,RETAINER</v>
          </cell>
          <cell r="P1260">
            <v>196</v>
          </cell>
        </row>
        <row r="1261">
          <cell r="B1261" t="str">
            <v>853-42</v>
          </cell>
          <cell r="C1261" t="str">
            <v>REB,RETAINER</v>
          </cell>
          <cell r="D1261">
            <v>95.5</v>
          </cell>
          <cell r="N1261" t="str">
            <v>853-42</v>
          </cell>
          <cell r="O1261" t="str">
            <v>REB,RETAINER</v>
          </cell>
          <cell r="P1261">
            <v>191</v>
          </cell>
        </row>
        <row r="1262">
          <cell r="B1262" t="str">
            <v>853-47</v>
          </cell>
          <cell r="C1262" t="str">
            <v>REB,RETAINER</v>
          </cell>
          <cell r="D1262">
            <v>93</v>
          </cell>
          <cell r="N1262" t="str">
            <v>853-47</v>
          </cell>
          <cell r="O1262" t="str">
            <v>REB,RETAINER</v>
          </cell>
          <cell r="P1262">
            <v>186</v>
          </cell>
        </row>
        <row r="1263">
          <cell r="B1263" t="str">
            <v>878-00</v>
          </cell>
          <cell r="C1263" t="str">
            <v>BODY</v>
          </cell>
          <cell r="D1263">
            <v>99</v>
          </cell>
          <cell r="N1263" t="str">
            <v>878-00</v>
          </cell>
          <cell r="O1263" t="str">
            <v>BODY</v>
          </cell>
          <cell r="P1263">
            <v>198</v>
          </cell>
        </row>
        <row r="1264">
          <cell r="B1264" t="str">
            <v>1290-01</v>
          </cell>
          <cell r="C1264" t="str">
            <v>PILOT CASE</v>
          </cell>
          <cell r="D1264">
            <v>91.5</v>
          </cell>
          <cell r="N1264" t="str">
            <v>1290-01</v>
          </cell>
          <cell r="O1264" t="str">
            <v>PILOT CASE</v>
          </cell>
          <cell r="P1264">
            <v>183</v>
          </cell>
        </row>
        <row r="1265">
          <cell r="B1265" t="str">
            <v>1634-05</v>
          </cell>
          <cell r="C1265" t="str">
            <v>RS RETAINER</v>
          </cell>
          <cell r="D1265">
            <v>89.5</v>
          </cell>
          <cell r="N1265" t="str">
            <v>1634-05</v>
          </cell>
          <cell r="O1265" t="str">
            <v>RS RETAINER</v>
          </cell>
          <cell r="P1265">
            <v>179</v>
          </cell>
        </row>
        <row r="1266">
          <cell r="B1266" t="str">
            <v>1634-06</v>
          </cell>
          <cell r="C1266" t="str">
            <v>RS RETAINER</v>
          </cell>
          <cell r="D1266">
            <v>91</v>
          </cell>
          <cell r="N1266" t="str">
            <v>1634-06</v>
          </cell>
          <cell r="O1266" t="str">
            <v>RS RETAINER</v>
          </cell>
          <cell r="P1266">
            <v>182</v>
          </cell>
        </row>
        <row r="1267">
          <cell r="B1267" t="str">
            <v>1634-06</v>
          </cell>
          <cell r="C1267" t="str">
            <v>RS RETAINER</v>
          </cell>
          <cell r="D1267">
            <v>91</v>
          </cell>
          <cell r="N1267" t="str">
            <v>1634-06</v>
          </cell>
          <cell r="O1267" t="str">
            <v>RS RETAINER</v>
          </cell>
          <cell r="P1267">
            <v>182</v>
          </cell>
        </row>
        <row r="1268">
          <cell r="B1268" t="str">
            <v>1634-12</v>
          </cell>
          <cell r="C1268" t="str">
            <v>RS RETAINER</v>
          </cell>
          <cell r="D1268">
            <v>96.5</v>
          </cell>
          <cell r="N1268" t="str">
            <v>1634-12</v>
          </cell>
          <cell r="O1268" t="str">
            <v>RS RETAINER</v>
          </cell>
          <cell r="P1268">
            <v>193</v>
          </cell>
        </row>
        <row r="1269">
          <cell r="B1269" t="str">
            <v>1634-14</v>
          </cell>
          <cell r="C1269" t="str">
            <v>RS RETAINER</v>
          </cell>
          <cell r="D1269">
            <v>89.5</v>
          </cell>
          <cell r="N1269" t="str">
            <v>1634-14</v>
          </cell>
          <cell r="O1269" t="str">
            <v>RS RETAINER</v>
          </cell>
          <cell r="P1269">
            <v>179</v>
          </cell>
        </row>
        <row r="1270">
          <cell r="B1270" t="str">
            <v>1634-20</v>
          </cell>
          <cell r="C1270" t="str">
            <v>RS RETAINER</v>
          </cell>
          <cell r="D1270">
            <v>89.5</v>
          </cell>
          <cell r="N1270" t="str">
            <v>1634-20</v>
          </cell>
          <cell r="O1270" t="str">
            <v>RS RETAINER</v>
          </cell>
          <cell r="P1270">
            <v>179</v>
          </cell>
        </row>
        <row r="1271">
          <cell r="B1271" t="str">
            <v>1634-22</v>
          </cell>
          <cell r="C1271" t="str">
            <v>RS RETAINER</v>
          </cell>
          <cell r="D1271">
            <v>95</v>
          </cell>
          <cell r="N1271" t="str">
            <v>1634-22</v>
          </cell>
          <cell r="O1271" t="str">
            <v>RS RETAINER</v>
          </cell>
          <cell r="P1271">
            <v>190</v>
          </cell>
        </row>
        <row r="1272">
          <cell r="B1272" t="str">
            <v>1634-23</v>
          </cell>
          <cell r="C1272" t="str">
            <v>RS RETAINER</v>
          </cell>
          <cell r="D1272">
            <v>91</v>
          </cell>
          <cell r="N1272" t="str">
            <v>1634-23</v>
          </cell>
          <cell r="O1272" t="str">
            <v>RS RETAINER</v>
          </cell>
          <cell r="P1272">
            <v>182</v>
          </cell>
        </row>
        <row r="1273">
          <cell r="B1273" t="str">
            <v>1634-27</v>
          </cell>
          <cell r="C1273" t="str">
            <v>RS RETAINER</v>
          </cell>
          <cell r="D1273">
            <v>91</v>
          </cell>
          <cell r="N1273" t="str">
            <v>1634-27</v>
          </cell>
          <cell r="O1273" t="str">
            <v>RS RETAINER</v>
          </cell>
          <cell r="P1273">
            <v>182</v>
          </cell>
        </row>
        <row r="1274">
          <cell r="B1274" t="str">
            <v>1634-27</v>
          </cell>
          <cell r="C1274" t="str">
            <v>RS RETAINER</v>
          </cell>
          <cell r="D1274">
            <v>91</v>
          </cell>
          <cell r="N1274" t="str">
            <v>1634-27</v>
          </cell>
          <cell r="O1274" t="str">
            <v>RS RETAINER</v>
          </cell>
          <cell r="P1274">
            <v>182</v>
          </cell>
        </row>
        <row r="1275">
          <cell r="B1275" t="str">
            <v>1634-30</v>
          </cell>
          <cell r="C1275" t="str">
            <v>RS RETAINER</v>
          </cell>
          <cell r="D1275">
            <v>91</v>
          </cell>
          <cell r="N1275" t="str">
            <v>1634-30</v>
          </cell>
          <cell r="O1275" t="str">
            <v>RS RETAINER</v>
          </cell>
          <cell r="P1275">
            <v>182</v>
          </cell>
        </row>
        <row r="1276">
          <cell r="B1276" t="str">
            <v>1634-30</v>
          </cell>
          <cell r="C1276" t="str">
            <v>RS RETAINER</v>
          </cell>
          <cell r="D1276">
            <v>91</v>
          </cell>
          <cell r="N1276" t="str">
            <v>1634-30</v>
          </cell>
          <cell r="O1276" t="str">
            <v>RS RETAINER</v>
          </cell>
          <cell r="P1276">
            <v>182</v>
          </cell>
        </row>
        <row r="1277">
          <cell r="B1277" t="str">
            <v>1634-30</v>
          </cell>
          <cell r="C1277" t="str">
            <v>RS RETAINER</v>
          </cell>
          <cell r="D1277">
            <v>91</v>
          </cell>
          <cell r="N1277" t="str">
            <v>1634-30</v>
          </cell>
          <cell r="O1277" t="str">
            <v>RS RETAINER</v>
          </cell>
          <cell r="P1277">
            <v>182</v>
          </cell>
        </row>
        <row r="1278">
          <cell r="B1278" t="str">
            <v>1634-32</v>
          </cell>
          <cell r="C1278" t="str">
            <v>RS RETAINER</v>
          </cell>
          <cell r="D1278">
            <v>90.5</v>
          </cell>
          <cell r="N1278" t="str">
            <v>1634-32</v>
          </cell>
          <cell r="O1278" t="str">
            <v>RS RETAINER</v>
          </cell>
          <cell r="P1278">
            <v>181</v>
          </cell>
        </row>
        <row r="1279">
          <cell r="B1279" t="str">
            <v>1634-32</v>
          </cell>
          <cell r="C1279" t="str">
            <v>RS RETAINER</v>
          </cell>
          <cell r="D1279">
            <v>90.5</v>
          </cell>
          <cell r="N1279" t="str">
            <v>1634-32</v>
          </cell>
          <cell r="O1279" t="str">
            <v>RS RETAINER</v>
          </cell>
          <cell r="P1279">
            <v>181</v>
          </cell>
        </row>
        <row r="1280">
          <cell r="B1280" t="str">
            <v>1634-34</v>
          </cell>
          <cell r="C1280" t="str">
            <v>RS RETAINER</v>
          </cell>
          <cell r="D1280">
            <v>89.5</v>
          </cell>
          <cell r="N1280" t="str">
            <v>1634-34</v>
          </cell>
          <cell r="O1280" t="str">
            <v>RS RETAINER</v>
          </cell>
          <cell r="P1280">
            <v>179</v>
          </cell>
        </row>
        <row r="1281">
          <cell r="B1281" t="str">
            <v>1634-34</v>
          </cell>
          <cell r="C1281" t="str">
            <v>RS RETAINER</v>
          </cell>
          <cell r="D1281">
            <v>89.5</v>
          </cell>
          <cell r="N1281" t="str">
            <v>1634-34</v>
          </cell>
          <cell r="O1281" t="str">
            <v>RS RETAINER</v>
          </cell>
          <cell r="P1281">
            <v>179</v>
          </cell>
        </row>
        <row r="1282">
          <cell r="B1282" t="str">
            <v>1634-41</v>
          </cell>
          <cell r="C1282" t="str">
            <v>RS RETAINER</v>
          </cell>
          <cell r="D1282">
            <v>91</v>
          </cell>
          <cell r="N1282" t="str">
            <v>1634-41</v>
          </cell>
          <cell r="O1282" t="str">
            <v>RS RETAINER</v>
          </cell>
          <cell r="P1282">
            <v>182</v>
          </cell>
        </row>
        <row r="1283">
          <cell r="B1283" t="str">
            <v>2852-09</v>
          </cell>
          <cell r="C1283" t="str">
            <v>BODY</v>
          </cell>
          <cell r="D1283">
            <v>92.5</v>
          </cell>
          <cell r="N1283" t="str">
            <v>2852-09</v>
          </cell>
          <cell r="O1283" t="str">
            <v>BODY</v>
          </cell>
          <cell r="P1283">
            <v>185</v>
          </cell>
        </row>
        <row r="1284">
          <cell r="B1284" t="str">
            <v>584-01</v>
          </cell>
          <cell r="C1284" t="str">
            <v>BODY</v>
          </cell>
          <cell r="D1284">
            <v>101.5</v>
          </cell>
          <cell r="N1284" t="str">
            <v>584-01</v>
          </cell>
          <cell r="O1284" t="str">
            <v>BODY</v>
          </cell>
          <cell r="P1284">
            <v>203</v>
          </cell>
        </row>
        <row r="1285">
          <cell r="B1285" t="str">
            <v>749-19</v>
          </cell>
          <cell r="C1285" t="str">
            <v>REB,RETAINER</v>
          </cell>
          <cell r="D1285">
            <v>101.5</v>
          </cell>
          <cell r="N1285" t="str">
            <v>749-19</v>
          </cell>
          <cell r="O1285" t="str">
            <v>REB,RETAINER</v>
          </cell>
          <cell r="P1285">
            <v>203</v>
          </cell>
        </row>
        <row r="1286">
          <cell r="B1286" t="str">
            <v>853-31</v>
          </cell>
          <cell r="C1286" t="str">
            <v>REB,RETAINER</v>
          </cell>
          <cell r="D1286">
            <v>98</v>
          </cell>
          <cell r="N1286" t="str">
            <v>853-31</v>
          </cell>
          <cell r="O1286" t="str">
            <v>REB,RETAINER</v>
          </cell>
          <cell r="P1286">
            <v>196</v>
          </cell>
        </row>
        <row r="1287">
          <cell r="B1287" t="str">
            <v>853-34</v>
          </cell>
          <cell r="C1287" t="str">
            <v>REB,RETAINER</v>
          </cell>
          <cell r="D1287">
            <v>101.5</v>
          </cell>
          <cell r="N1287" t="str">
            <v>853-34</v>
          </cell>
          <cell r="O1287" t="str">
            <v>REB,RETAINER</v>
          </cell>
          <cell r="P1287">
            <v>203</v>
          </cell>
        </row>
        <row r="1288">
          <cell r="B1288" t="str">
            <v>853-48</v>
          </cell>
          <cell r="C1288" t="str">
            <v>REB,RETAINER</v>
          </cell>
          <cell r="D1288">
            <v>97</v>
          </cell>
          <cell r="N1288" t="str">
            <v>853-48</v>
          </cell>
          <cell r="O1288" t="str">
            <v>REB,RETAINER</v>
          </cell>
          <cell r="P1288">
            <v>194</v>
          </cell>
        </row>
        <row r="1289">
          <cell r="B1289" t="str">
            <v>853-48</v>
          </cell>
          <cell r="C1289" t="str">
            <v>REB,RETAINER</v>
          </cell>
          <cell r="D1289">
            <v>97</v>
          </cell>
          <cell r="N1289" t="str">
            <v>853-48</v>
          </cell>
          <cell r="O1289" t="str">
            <v>REB,RETAINER</v>
          </cell>
          <cell r="P1289">
            <v>194</v>
          </cell>
        </row>
        <row r="1290">
          <cell r="B1290" t="str">
            <v>853-55</v>
          </cell>
          <cell r="C1290" t="str">
            <v>REB,RETAINER</v>
          </cell>
          <cell r="D1290">
            <v>101.5</v>
          </cell>
          <cell r="N1290" t="str">
            <v>853-55</v>
          </cell>
          <cell r="O1290" t="str">
            <v>REB,RETAINER</v>
          </cell>
          <cell r="P1290">
            <v>203</v>
          </cell>
        </row>
        <row r="1291">
          <cell r="B1291" t="str">
            <v>1796-03</v>
          </cell>
          <cell r="C1291" t="str">
            <v>Washer</v>
          </cell>
          <cell r="D1291">
            <v>89</v>
          </cell>
          <cell r="N1291" t="str">
            <v>1796-03</v>
          </cell>
          <cell r="O1291" t="str">
            <v>Washer</v>
          </cell>
          <cell r="P1291">
            <v>178</v>
          </cell>
        </row>
        <row r="1292">
          <cell r="B1292" t="str">
            <v>584-04</v>
          </cell>
          <cell r="C1292" t="str">
            <v>BODY</v>
          </cell>
          <cell r="D1292">
            <v>102</v>
          </cell>
          <cell r="N1292" t="str">
            <v>584-04</v>
          </cell>
          <cell r="O1292" t="str">
            <v>BODY</v>
          </cell>
          <cell r="P1292">
            <v>204</v>
          </cell>
        </row>
        <row r="1293">
          <cell r="B1293" t="str">
            <v>661-01</v>
          </cell>
          <cell r="C1293" t="str">
            <v>BODY</v>
          </cell>
          <cell r="D1293">
            <v>88</v>
          </cell>
          <cell r="N1293" t="str">
            <v>661-01</v>
          </cell>
          <cell r="O1293" t="str">
            <v>BODY</v>
          </cell>
          <cell r="P1293">
            <v>176</v>
          </cell>
        </row>
        <row r="1294">
          <cell r="B1294" t="str">
            <v>786-15</v>
          </cell>
          <cell r="C1294" t="str">
            <v>BODY</v>
          </cell>
          <cell r="D1294">
            <v>102</v>
          </cell>
          <cell r="N1294" t="str">
            <v>786-15</v>
          </cell>
          <cell r="O1294" t="str">
            <v>BODY</v>
          </cell>
          <cell r="P1294">
            <v>204</v>
          </cell>
        </row>
        <row r="1295">
          <cell r="B1295" t="str">
            <v>853-42</v>
          </cell>
          <cell r="C1295" t="str">
            <v>REB,RETAINER</v>
          </cell>
          <cell r="D1295">
            <v>95.5</v>
          </cell>
          <cell r="N1295" t="str">
            <v>853-42</v>
          </cell>
          <cell r="O1295" t="str">
            <v>REB,RETAINER</v>
          </cell>
          <cell r="P1295">
            <v>191</v>
          </cell>
        </row>
        <row r="1296">
          <cell r="B1296" t="str">
            <v>853-43</v>
          </cell>
          <cell r="C1296" t="str">
            <v>REB,RETAINER</v>
          </cell>
          <cell r="D1296">
            <v>102</v>
          </cell>
          <cell r="N1296" t="str">
            <v>853-43</v>
          </cell>
          <cell r="O1296" t="str">
            <v>REB,RETAINER</v>
          </cell>
          <cell r="P1296">
            <v>204</v>
          </cell>
        </row>
        <row r="1297">
          <cell r="B1297" t="str">
            <v>853-48</v>
          </cell>
          <cell r="C1297" t="str">
            <v>REB,RETAINER</v>
          </cell>
          <cell r="D1297">
            <v>97</v>
          </cell>
          <cell r="N1297" t="str">
            <v>853-48</v>
          </cell>
          <cell r="O1297" t="str">
            <v>REB,RETAINER</v>
          </cell>
          <cell r="P1297">
            <v>194</v>
          </cell>
        </row>
        <row r="1298">
          <cell r="B1298" t="str">
            <v>853-54</v>
          </cell>
          <cell r="C1298" t="str">
            <v>REB,RETAINER</v>
          </cell>
          <cell r="D1298">
            <v>102</v>
          </cell>
          <cell r="N1298" t="str">
            <v>853-54</v>
          </cell>
          <cell r="O1298" t="str">
            <v>REB,RETAINER</v>
          </cell>
          <cell r="P1298">
            <v>204</v>
          </cell>
        </row>
        <row r="1299">
          <cell r="B1299" t="str">
            <v>1009-00</v>
          </cell>
          <cell r="C1299" t="str">
            <v>ROD GUIDE</v>
          </cell>
          <cell r="D1299">
            <v>102.5</v>
          </cell>
          <cell r="N1299" t="str">
            <v>1009-00</v>
          </cell>
          <cell r="O1299" t="str">
            <v>ROD GUIDE</v>
          </cell>
          <cell r="P1299">
            <v>205</v>
          </cell>
        </row>
        <row r="1300">
          <cell r="B1300" t="str">
            <v>1290-01</v>
          </cell>
          <cell r="C1300" t="str">
            <v>PILOT CASE</v>
          </cell>
          <cell r="D1300">
            <v>91.5</v>
          </cell>
          <cell r="N1300" t="str">
            <v>1290-01</v>
          </cell>
          <cell r="O1300" t="str">
            <v>PILOT CASE</v>
          </cell>
          <cell r="P1300">
            <v>183</v>
          </cell>
        </row>
        <row r="1301">
          <cell r="B1301" t="str">
            <v>1291-01</v>
          </cell>
          <cell r="C1301" t="str">
            <v>PILOT CASE</v>
          </cell>
          <cell r="D1301">
            <v>87.5</v>
          </cell>
          <cell r="N1301" t="str">
            <v>1291-01</v>
          </cell>
          <cell r="O1301" t="str">
            <v>PILOT CASE</v>
          </cell>
          <cell r="P1301">
            <v>175</v>
          </cell>
        </row>
        <row r="1302">
          <cell r="B1302" t="str">
            <v>1836-04</v>
          </cell>
          <cell r="C1302" t="str">
            <v>RS RETAINER</v>
          </cell>
          <cell r="D1302">
            <v>102.5</v>
          </cell>
          <cell r="N1302" t="str">
            <v>1836-04</v>
          </cell>
          <cell r="O1302" t="str">
            <v>RS RETAINER</v>
          </cell>
          <cell r="P1302">
            <v>205</v>
          </cell>
        </row>
        <row r="1303">
          <cell r="B1303" t="str">
            <v>727-06</v>
          </cell>
          <cell r="C1303" t="str">
            <v>BODY</v>
          </cell>
          <cell r="D1303">
            <v>102.5</v>
          </cell>
          <cell r="N1303" t="str">
            <v>727-06</v>
          </cell>
          <cell r="O1303" t="str">
            <v>BODY</v>
          </cell>
          <cell r="P1303">
            <v>205</v>
          </cell>
        </row>
        <row r="1304">
          <cell r="B1304" t="str">
            <v>853-19</v>
          </cell>
          <cell r="C1304" t="str">
            <v>REB,RETAINER</v>
          </cell>
          <cell r="D1304">
            <v>67.5</v>
          </cell>
          <cell r="N1304" t="str">
            <v>853-19</v>
          </cell>
          <cell r="O1304" t="str">
            <v>REB,RETAINER</v>
          </cell>
          <cell r="P1304">
            <v>135</v>
          </cell>
        </row>
        <row r="1305">
          <cell r="B1305" t="str">
            <v>853-19</v>
          </cell>
          <cell r="C1305" t="str">
            <v>REB,RETAINER</v>
          </cell>
          <cell r="D1305">
            <v>67.5</v>
          </cell>
          <cell r="N1305" t="str">
            <v>853-19</v>
          </cell>
          <cell r="O1305" t="str">
            <v>REB,RETAINER</v>
          </cell>
          <cell r="P1305">
            <v>135</v>
          </cell>
        </row>
        <row r="1306">
          <cell r="B1306" t="str">
            <v>853-30</v>
          </cell>
          <cell r="C1306" t="str">
            <v>REB,RETAINER</v>
          </cell>
          <cell r="D1306">
            <v>78</v>
          </cell>
          <cell r="N1306" t="str">
            <v>853-30</v>
          </cell>
          <cell r="O1306" t="str">
            <v>REB,RETAINER</v>
          </cell>
          <cell r="P1306">
            <v>156</v>
          </cell>
        </row>
        <row r="1307">
          <cell r="B1307" t="str">
            <v>853-42</v>
          </cell>
          <cell r="C1307" t="str">
            <v>REB,RETAINER</v>
          </cell>
          <cell r="D1307">
            <v>95.5</v>
          </cell>
          <cell r="N1307" t="str">
            <v>853-42</v>
          </cell>
          <cell r="O1307" t="str">
            <v>REB,RETAINER</v>
          </cell>
          <cell r="P1307">
            <v>191</v>
          </cell>
        </row>
        <row r="1308">
          <cell r="B1308" t="str">
            <v>853-43</v>
          </cell>
          <cell r="C1308" t="str">
            <v>REB,RETAINER</v>
          </cell>
          <cell r="D1308">
            <v>102</v>
          </cell>
          <cell r="N1308" t="str">
            <v>853-43</v>
          </cell>
          <cell r="O1308" t="str">
            <v>REB,RETAINER</v>
          </cell>
          <cell r="P1308">
            <v>204</v>
          </cell>
        </row>
        <row r="1309">
          <cell r="B1309" t="str">
            <v>853-44</v>
          </cell>
          <cell r="C1309" t="str">
            <v>REB,RETAINER</v>
          </cell>
          <cell r="D1309">
            <v>97</v>
          </cell>
          <cell r="N1309" t="str">
            <v>853-44</v>
          </cell>
          <cell r="O1309" t="str">
            <v>REB,RETAINER</v>
          </cell>
          <cell r="P1309">
            <v>194</v>
          </cell>
        </row>
        <row r="1310">
          <cell r="B1310" t="str">
            <v>861-08</v>
          </cell>
          <cell r="C1310" t="str">
            <v>BODY</v>
          </cell>
          <cell r="D1310">
            <v>90</v>
          </cell>
          <cell r="N1310" t="str">
            <v>861-08</v>
          </cell>
          <cell r="O1310" t="str">
            <v>BODY</v>
          </cell>
          <cell r="P1310">
            <v>180</v>
          </cell>
        </row>
        <row r="1311">
          <cell r="B1311" t="str">
            <v>1079-05</v>
          </cell>
          <cell r="C1311" t="str">
            <v>BODY</v>
          </cell>
          <cell r="D1311">
            <v>103</v>
          </cell>
          <cell r="N1311" t="str">
            <v>1079-05</v>
          </cell>
          <cell r="O1311" t="str">
            <v>BODY</v>
          </cell>
          <cell r="P1311">
            <v>206</v>
          </cell>
        </row>
        <row r="1312">
          <cell r="B1312" t="str">
            <v>1302-00</v>
          </cell>
          <cell r="C1312" t="str">
            <v>CAM</v>
          </cell>
          <cell r="D1312">
            <v>114.6</v>
          </cell>
          <cell r="N1312" t="str">
            <v>1302-00</v>
          </cell>
          <cell r="O1312" t="str">
            <v>CAM</v>
          </cell>
          <cell r="P1312">
            <v>191</v>
          </cell>
        </row>
        <row r="1313">
          <cell r="B1313" t="str">
            <v>2852-06</v>
          </cell>
          <cell r="C1313" t="str">
            <v>BODY</v>
          </cell>
          <cell r="D1313">
            <v>92.5</v>
          </cell>
          <cell r="N1313" t="str">
            <v>2852-06</v>
          </cell>
          <cell r="O1313" t="str">
            <v>BODY</v>
          </cell>
          <cell r="P1313">
            <v>185</v>
          </cell>
        </row>
        <row r="1314">
          <cell r="B1314" t="str">
            <v>2852-09</v>
          </cell>
          <cell r="C1314" t="str">
            <v>BODY</v>
          </cell>
          <cell r="D1314">
            <v>92.5</v>
          </cell>
          <cell r="N1314" t="str">
            <v>2852-09</v>
          </cell>
          <cell r="O1314" t="str">
            <v>BODY</v>
          </cell>
          <cell r="P1314">
            <v>185</v>
          </cell>
        </row>
        <row r="1315">
          <cell r="B1315" t="str">
            <v>588-09</v>
          </cell>
          <cell r="C1315" t="str">
            <v>PISTON</v>
          </cell>
          <cell r="D1315">
            <v>103</v>
          </cell>
          <cell r="N1315" t="str">
            <v>588-09</v>
          </cell>
          <cell r="O1315" t="str">
            <v>PISTON</v>
          </cell>
          <cell r="P1315">
            <v>206</v>
          </cell>
        </row>
        <row r="1316">
          <cell r="B1316" t="str">
            <v>727-01</v>
          </cell>
          <cell r="C1316" t="str">
            <v>BODY</v>
          </cell>
          <cell r="D1316">
            <v>103</v>
          </cell>
          <cell r="N1316" t="str">
            <v>727-01</v>
          </cell>
          <cell r="O1316" t="str">
            <v>BODY</v>
          </cell>
          <cell r="P1316">
            <v>206</v>
          </cell>
        </row>
        <row r="1317">
          <cell r="B1317" t="str">
            <v>735-01</v>
          </cell>
          <cell r="C1317" t="str">
            <v>BODY</v>
          </cell>
          <cell r="D1317">
            <v>103</v>
          </cell>
          <cell r="N1317" t="str">
            <v>735-01</v>
          </cell>
          <cell r="O1317" t="str">
            <v>BODY</v>
          </cell>
          <cell r="P1317">
            <v>206</v>
          </cell>
        </row>
        <row r="1318">
          <cell r="B1318" t="str">
            <v>853-30</v>
          </cell>
          <cell r="C1318" t="str">
            <v>REB,RETAINER</v>
          </cell>
          <cell r="D1318">
            <v>78</v>
          </cell>
          <cell r="N1318" t="str">
            <v>853-30</v>
          </cell>
          <cell r="O1318" t="str">
            <v>REB,RETAINER</v>
          </cell>
          <cell r="P1318">
            <v>156</v>
          </cell>
        </row>
        <row r="1319">
          <cell r="B1319" t="str">
            <v>853-40</v>
          </cell>
          <cell r="C1319" t="str">
            <v>REB,RETAINER</v>
          </cell>
          <cell r="D1319">
            <v>96.5</v>
          </cell>
          <cell r="N1319" t="str">
            <v>853-40</v>
          </cell>
          <cell r="O1319" t="str">
            <v>REB,RETAINER</v>
          </cell>
          <cell r="P1319">
            <v>193</v>
          </cell>
        </row>
        <row r="1320">
          <cell r="B1320" t="str">
            <v>853-40</v>
          </cell>
          <cell r="C1320" t="str">
            <v>REB,RETAINER</v>
          </cell>
          <cell r="D1320">
            <v>96.5</v>
          </cell>
          <cell r="N1320" t="str">
            <v>853-40</v>
          </cell>
          <cell r="O1320" t="str">
            <v>REB,RETAINER</v>
          </cell>
          <cell r="P1320">
            <v>193</v>
          </cell>
        </row>
        <row r="1321">
          <cell r="B1321" t="str">
            <v>853-42</v>
          </cell>
          <cell r="C1321" t="str">
            <v>REB,RETAINER</v>
          </cell>
          <cell r="D1321">
            <v>95.5</v>
          </cell>
          <cell r="N1321" t="str">
            <v>853-42</v>
          </cell>
          <cell r="O1321" t="str">
            <v>REB,RETAINER</v>
          </cell>
          <cell r="P1321">
            <v>191</v>
          </cell>
        </row>
        <row r="1322">
          <cell r="B1322" t="str">
            <v>853-45</v>
          </cell>
          <cell r="C1322" t="str">
            <v>REB,RETAINER</v>
          </cell>
          <cell r="D1322">
            <v>103</v>
          </cell>
          <cell r="N1322" t="str">
            <v>853-45</v>
          </cell>
          <cell r="O1322" t="str">
            <v>REB,RETAINER</v>
          </cell>
          <cell r="P1322">
            <v>206</v>
          </cell>
        </row>
        <row r="1323">
          <cell r="B1323" t="str">
            <v>044-06</v>
          </cell>
          <cell r="C1323" t="str">
            <v>ROD GUIDE ASS'Y</v>
          </cell>
          <cell r="D1323">
            <v>103.5</v>
          </cell>
          <cell r="N1323" t="str">
            <v>044-06</v>
          </cell>
          <cell r="O1323" t="str">
            <v>ROD GUIDE ASS'Y</v>
          </cell>
          <cell r="P1323">
            <v>207</v>
          </cell>
        </row>
        <row r="1324">
          <cell r="B1324" t="str">
            <v>1113-00</v>
          </cell>
          <cell r="C1324" t="str">
            <v>CAM</v>
          </cell>
          <cell r="D1324">
            <v>124.19999999999999</v>
          </cell>
          <cell r="N1324" t="str">
            <v>1113-00</v>
          </cell>
          <cell r="O1324" t="str">
            <v>CAM</v>
          </cell>
          <cell r="P1324">
            <v>207</v>
          </cell>
        </row>
        <row r="1325">
          <cell r="B1325" t="str">
            <v>2852-06</v>
          </cell>
          <cell r="C1325" t="str">
            <v>BODY</v>
          </cell>
          <cell r="D1325">
            <v>92.5</v>
          </cell>
          <cell r="N1325" t="str">
            <v>2852-06</v>
          </cell>
          <cell r="O1325" t="str">
            <v>BODY</v>
          </cell>
          <cell r="P1325">
            <v>185</v>
          </cell>
        </row>
        <row r="1326">
          <cell r="B1326" t="str">
            <v>588-19</v>
          </cell>
          <cell r="C1326" t="str">
            <v>PISTON</v>
          </cell>
          <cell r="D1326">
            <v>94</v>
          </cell>
          <cell r="N1326" t="str">
            <v>588-19</v>
          </cell>
          <cell r="O1326" t="str">
            <v>PISTON</v>
          </cell>
          <cell r="P1326">
            <v>188</v>
          </cell>
        </row>
        <row r="1327">
          <cell r="B1327" t="str">
            <v>661-05</v>
          </cell>
          <cell r="C1327" t="str">
            <v>BODY</v>
          </cell>
          <cell r="D1327">
            <v>93.5</v>
          </cell>
          <cell r="N1327" t="str">
            <v>661-05</v>
          </cell>
          <cell r="O1327" t="str">
            <v>BODY</v>
          </cell>
          <cell r="P1327">
            <v>187</v>
          </cell>
        </row>
        <row r="1328">
          <cell r="B1328" t="str">
            <v>661-14</v>
          </cell>
          <cell r="C1328" t="str">
            <v>BODY</v>
          </cell>
          <cell r="D1328">
            <v>103.5</v>
          </cell>
          <cell r="N1328" t="str">
            <v>661-14</v>
          </cell>
          <cell r="O1328" t="str">
            <v>BODY</v>
          </cell>
          <cell r="P1328">
            <v>207</v>
          </cell>
        </row>
        <row r="1329">
          <cell r="B1329" t="str">
            <v>786-07</v>
          </cell>
          <cell r="C1329" t="str">
            <v>BODY</v>
          </cell>
          <cell r="D1329">
            <v>89</v>
          </cell>
          <cell r="N1329" t="str">
            <v>786-07</v>
          </cell>
          <cell r="O1329" t="str">
            <v>BODY</v>
          </cell>
          <cell r="P1329">
            <v>178</v>
          </cell>
        </row>
        <row r="1330">
          <cell r="B1330" t="str">
            <v>852-10</v>
          </cell>
          <cell r="C1330" t="str">
            <v>BODY</v>
          </cell>
          <cell r="D1330">
            <v>96</v>
          </cell>
          <cell r="N1330" t="str">
            <v>852-10</v>
          </cell>
          <cell r="O1330" t="str">
            <v>BODY</v>
          </cell>
          <cell r="P1330">
            <v>192</v>
          </cell>
        </row>
        <row r="1331">
          <cell r="B1331" t="str">
            <v>852-10</v>
          </cell>
          <cell r="C1331" t="str">
            <v>BODY</v>
          </cell>
          <cell r="D1331">
            <v>96</v>
          </cell>
          <cell r="N1331" t="str">
            <v>852-10</v>
          </cell>
          <cell r="O1331" t="str">
            <v>BODY</v>
          </cell>
          <cell r="P1331">
            <v>192</v>
          </cell>
        </row>
        <row r="1332">
          <cell r="B1332" t="str">
            <v>853-42</v>
          </cell>
          <cell r="C1332" t="str">
            <v>REB,RETAINER</v>
          </cell>
          <cell r="D1332">
            <v>95.5</v>
          </cell>
          <cell r="N1332" t="str">
            <v>853-42</v>
          </cell>
          <cell r="O1332" t="str">
            <v>REB,RETAINER</v>
          </cell>
          <cell r="P1332">
            <v>191</v>
          </cell>
        </row>
        <row r="1333">
          <cell r="B1333" t="str">
            <v>853-44</v>
          </cell>
          <cell r="C1333" t="str">
            <v>REB,RETAINER</v>
          </cell>
          <cell r="D1333">
            <v>97</v>
          </cell>
          <cell r="N1333" t="str">
            <v>853-44</v>
          </cell>
          <cell r="O1333" t="str">
            <v>REB,RETAINER</v>
          </cell>
          <cell r="P1333">
            <v>194</v>
          </cell>
        </row>
        <row r="1334">
          <cell r="B1334" t="str">
            <v>044-05</v>
          </cell>
          <cell r="C1334" t="str">
            <v>ROD GUIDE ASS'Y</v>
          </cell>
          <cell r="D1334">
            <v>99</v>
          </cell>
          <cell r="N1334" t="str">
            <v>044-05</v>
          </cell>
          <cell r="O1334" t="str">
            <v>ROD GUIDE ASS'Y</v>
          </cell>
          <cell r="P1334">
            <v>198</v>
          </cell>
        </row>
        <row r="1335">
          <cell r="B1335" t="str">
            <v>1100-08</v>
          </cell>
          <cell r="C1335" t="str">
            <v>BASE VALVE</v>
          </cell>
          <cell r="D1335">
            <v>93.5</v>
          </cell>
          <cell r="N1335" t="str">
            <v>1100-08</v>
          </cell>
          <cell r="O1335" t="str">
            <v>BASE VALVE</v>
          </cell>
          <cell r="P1335">
            <v>187</v>
          </cell>
        </row>
        <row r="1336">
          <cell r="B1336" t="str">
            <v>203-01</v>
          </cell>
          <cell r="C1336" t="str">
            <v>PISTON</v>
          </cell>
          <cell r="D1336">
            <v>36</v>
          </cell>
          <cell r="N1336" t="str">
            <v>203-01</v>
          </cell>
          <cell r="O1336" t="str">
            <v>PISTON</v>
          </cell>
          <cell r="P1336">
            <v>72</v>
          </cell>
        </row>
        <row r="1337">
          <cell r="B1337" t="str">
            <v>2671-01</v>
          </cell>
          <cell r="C1337" t="str">
            <v>PISTON</v>
          </cell>
          <cell r="D1337">
            <v>104</v>
          </cell>
          <cell r="N1337" t="str">
            <v>2671-01</v>
          </cell>
          <cell r="O1337" t="str">
            <v>PISTON</v>
          </cell>
          <cell r="P1337">
            <v>208</v>
          </cell>
        </row>
        <row r="1338">
          <cell r="B1338" t="str">
            <v>588-18</v>
          </cell>
          <cell r="C1338" t="str">
            <v>PISTON</v>
          </cell>
          <cell r="D1338">
            <v>85</v>
          </cell>
          <cell r="N1338" t="str">
            <v>588-18</v>
          </cell>
          <cell r="O1338" t="str">
            <v>PISTON</v>
          </cell>
          <cell r="P1338">
            <v>170</v>
          </cell>
        </row>
        <row r="1339">
          <cell r="B1339" t="str">
            <v>661-03</v>
          </cell>
          <cell r="C1339" t="str">
            <v>BODY</v>
          </cell>
          <cell r="D1339">
            <v>96</v>
          </cell>
          <cell r="N1339" t="str">
            <v>661-03</v>
          </cell>
          <cell r="O1339" t="str">
            <v>BODY</v>
          </cell>
          <cell r="P1339">
            <v>192</v>
          </cell>
        </row>
        <row r="1340">
          <cell r="B1340" t="str">
            <v>661-10</v>
          </cell>
          <cell r="C1340" t="str">
            <v>BODY</v>
          </cell>
          <cell r="D1340">
            <v>94</v>
          </cell>
          <cell r="N1340" t="str">
            <v>661-10</v>
          </cell>
          <cell r="O1340" t="str">
            <v>BODY</v>
          </cell>
          <cell r="P1340">
            <v>188</v>
          </cell>
        </row>
        <row r="1341">
          <cell r="B1341" t="str">
            <v>661-12</v>
          </cell>
          <cell r="C1341" t="str">
            <v>BODY</v>
          </cell>
          <cell r="D1341">
            <v>89.5</v>
          </cell>
          <cell r="N1341" t="str">
            <v>661-12</v>
          </cell>
          <cell r="O1341" t="str">
            <v>BODY</v>
          </cell>
          <cell r="P1341">
            <v>179</v>
          </cell>
        </row>
        <row r="1342">
          <cell r="B1342" t="str">
            <v>661-14</v>
          </cell>
          <cell r="C1342" t="str">
            <v>BODY</v>
          </cell>
          <cell r="D1342">
            <v>103.5</v>
          </cell>
          <cell r="N1342" t="str">
            <v>661-14</v>
          </cell>
          <cell r="O1342" t="str">
            <v>BODY</v>
          </cell>
          <cell r="P1342">
            <v>207</v>
          </cell>
        </row>
        <row r="1343">
          <cell r="B1343" t="str">
            <v>671-01</v>
          </cell>
          <cell r="C1343" t="str">
            <v>PISTON</v>
          </cell>
          <cell r="D1343">
            <v>84</v>
          </cell>
          <cell r="N1343" t="str">
            <v>671-01</v>
          </cell>
          <cell r="O1343" t="str">
            <v>PISTON</v>
          </cell>
          <cell r="P1343">
            <v>168</v>
          </cell>
        </row>
        <row r="1344">
          <cell r="B1344" t="str">
            <v>671-06</v>
          </cell>
          <cell r="C1344" t="str">
            <v>PISTON</v>
          </cell>
          <cell r="D1344">
            <v>104</v>
          </cell>
          <cell r="N1344" t="str">
            <v>671-06</v>
          </cell>
          <cell r="O1344" t="str">
            <v>PISTON</v>
          </cell>
          <cell r="P1344">
            <v>208</v>
          </cell>
        </row>
        <row r="1345">
          <cell r="B1345" t="str">
            <v>786-14</v>
          </cell>
          <cell r="C1345" t="str">
            <v>BODY</v>
          </cell>
          <cell r="D1345">
            <v>104</v>
          </cell>
          <cell r="N1345" t="str">
            <v>786-14</v>
          </cell>
          <cell r="O1345" t="str">
            <v>BODY</v>
          </cell>
          <cell r="P1345">
            <v>208</v>
          </cell>
        </row>
        <row r="1346">
          <cell r="B1346" t="str">
            <v>797-01</v>
          </cell>
          <cell r="C1346" t="str">
            <v>BODY</v>
          </cell>
          <cell r="D1346">
            <v>99</v>
          </cell>
          <cell r="N1346" t="str">
            <v>797-01</v>
          </cell>
          <cell r="O1346" t="str">
            <v>BODY</v>
          </cell>
          <cell r="P1346">
            <v>198</v>
          </cell>
        </row>
        <row r="1347">
          <cell r="B1347" t="str">
            <v>853-38</v>
          </cell>
          <cell r="C1347" t="str">
            <v>REB,RETAINER</v>
          </cell>
          <cell r="D1347">
            <v>104</v>
          </cell>
          <cell r="N1347" t="str">
            <v>853-38</v>
          </cell>
          <cell r="O1347" t="str">
            <v>REB,RETAINER</v>
          </cell>
          <cell r="P1347">
            <v>208</v>
          </cell>
        </row>
        <row r="1348">
          <cell r="B1348" t="str">
            <v>853-44</v>
          </cell>
          <cell r="C1348" t="str">
            <v>REB,RETAINER</v>
          </cell>
          <cell r="D1348">
            <v>97</v>
          </cell>
          <cell r="N1348" t="str">
            <v>853-44</v>
          </cell>
          <cell r="O1348" t="str">
            <v>REB,RETAINER</v>
          </cell>
          <cell r="P1348">
            <v>194</v>
          </cell>
        </row>
        <row r="1349">
          <cell r="B1349" t="str">
            <v>867-04</v>
          </cell>
          <cell r="C1349" t="str">
            <v>SLEEVE</v>
          </cell>
          <cell r="D1349">
            <v>104</v>
          </cell>
          <cell r="N1349" t="str">
            <v>867-04</v>
          </cell>
          <cell r="O1349" t="str">
            <v>SLEEVE</v>
          </cell>
          <cell r="P1349">
            <v>208</v>
          </cell>
        </row>
        <row r="1350">
          <cell r="B1350" t="str">
            <v>1415-00</v>
          </cell>
          <cell r="C1350" t="str">
            <v>CHECK VALVE BODY</v>
          </cell>
          <cell r="D1350">
            <v>104.44499999999999</v>
          </cell>
          <cell r="N1350" t="str">
            <v>1415-00</v>
          </cell>
          <cell r="O1350" t="str">
            <v>CHECK VALVE BODY</v>
          </cell>
          <cell r="P1350">
            <v>208.89</v>
          </cell>
        </row>
        <row r="1351">
          <cell r="B1351" t="str">
            <v>1291-01</v>
          </cell>
          <cell r="C1351" t="str">
            <v>PILOT CASE</v>
          </cell>
          <cell r="D1351">
            <v>87.5</v>
          </cell>
          <cell r="N1351" t="str">
            <v>1291-01</v>
          </cell>
          <cell r="O1351" t="str">
            <v>PILOT CASE</v>
          </cell>
          <cell r="P1351">
            <v>175</v>
          </cell>
        </row>
        <row r="1352">
          <cell r="B1352" t="str">
            <v>567-05</v>
          </cell>
          <cell r="C1352" t="str">
            <v>BODY</v>
          </cell>
          <cell r="D1352">
            <v>97.5</v>
          </cell>
          <cell r="N1352" t="str">
            <v>567-05</v>
          </cell>
          <cell r="O1352" t="str">
            <v>BODY</v>
          </cell>
          <cell r="P1352">
            <v>195</v>
          </cell>
        </row>
        <row r="1353">
          <cell r="B1353" t="str">
            <v>671-01</v>
          </cell>
          <cell r="C1353" t="str">
            <v>PISTON</v>
          </cell>
          <cell r="D1353">
            <v>84</v>
          </cell>
          <cell r="N1353" t="str">
            <v>671-01</v>
          </cell>
          <cell r="O1353" t="str">
            <v>PISTON</v>
          </cell>
          <cell r="P1353">
            <v>168</v>
          </cell>
        </row>
        <row r="1354">
          <cell r="B1354" t="str">
            <v>786-04</v>
          </cell>
          <cell r="C1354" t="str">
            <v>BODY</v>
          </cell>
          <cell r="D1354">
            <v>85</v>
          </cell>
          <cell r="N1354" t="str">
            <v>786-04</v>
          </cell>
          <cell r="O1354" t="str">
            <v>BODY</v>
          </cell>
          <cell r="P1354">
            <v>170</v>
          </cell>
        </row>
        <row r="1355">
          <cell r="B1355" t="str">
            <v>786-04</v>
          </cell>
          <cell r="C1355" t="str">
            <v>BODY</v>
          </cell>
          <cell r="D1355">
            <v>85</v>
          </cell>
          <cell r="N1355" t="str">
            <v>786-04</v>
          </cell>
          <cell r="O1355" t="str">
            <v>BODY</v>
          </cell>
          <cell r="P1355">
            <v>170</v>
          </cell>
        </row>
        <row r="1356">
          <cell r="B1356" t="str">
            <v>786-17</v>
          </cell>
          <cell r="C1356" t="str">
            <v>BODY</v>
          </cell>
          <cell r="D1356">
            <v>104.5</v>
          </cell>
          <cell r="N1356" t="str">
            <v>786-17</v>
          </cell>
          <cell r="O1356" t="str">
            <v>BODY</v>
          </cell>
          <cell r="P1356">
            <v>209</v>
          </cell>
        </row>
        <row r="1357">
          <cell r="B1357" t="str">
            <v>786-17</v>
          </cell>
          <cell r="C1357" t="str">
            <v>BODY</v>
          </cell>
          <cell r="D1357">
            <v>104.5</v>
          </cell>
          <cell r="N1357" t="str">
            <v>786-17</v>
          </cell>
          <cell r="O1357" t="str">
            <v>BODY</v>
          </cell>
          <cell r="P1357">
            <v>209</v>
          </cell>
        </row>
        <row r="1358">
          <cell r="B1358" t="str">
            <v>787-02</v>
          </cell>
          <cell r="C1358" t="str">
            <v>BODY</v>
          </cell>
          <cell r="D1358">
            <v>93.5</v>
          </cell>
          <cell r="N1358" t="str">
            <v>787-02</v>
          </cell>
          <cell r="O1358" t="str">
            <v>BODY</v>
          </cell>
          <cell r="P1358">
            <v>187</v>
          </cell>
        </row>
        <row r="1359">
          <cell r="B1359" t="str">
            <v>787-06</v>
          </cell>
          <cell r="C1359" t="str">
            <v>BODY</v>
          </cell>
          <cell r="D1359">
            <v>89</v>
          </cell>
          <cell r="N1359" t="str">
            <v>787-06</v>
          </cell>
          <cell r="O1359" t="str">
            <v>BODY</v>
          </cell>
          <cell r="P1359">
            <v>178</v>
          </cell>
        </row>
        <row r="1360">
          <cell r="B1360" t="str">
            <v>044-06</v>
          </cell>
          <cell r="C1360" t="str">
            <v>ROD GUIDE ASS'Y</v>
          </cell>
          <cell r="D1360">
            <v>103.5</v>
          </cell>
          <cell r="N1360" t="str">
            <v>044-06</v>
          </cell>
          <cell r="O1360" t="str">
            <v>ROD GUIDE ASS'Y</v>
          </cell>
          <cell r="P1360">
            <v>207</v>
          </cell>
        </row>
        <row r="1361">
          <cell r="B1361" t="str">
            <v>1164-09</v>
          </cell>
          <cell r="C1361" t="str">
            <v>BASE VALVE</v>
          </cell>
          <cell r="D1361">
            <v>105</v>
          </cell>
          <cell r="N1361" t="str">
            <v>1164-09</v>
          </cell>
          <cell r="O1361" t="str">
            <v>BASE VALVE</v>
          </cell>
          <cell r="P1361">
            <v>210</v>
          </cell>
        </row>
        <row r="1362">
          <cell r="B1362" t="str">
            <v>1164-10</v>
          </cell>
          <cell r="C1362" t="str">
            <v>BASE VALVE</v>
          </cell>
          <cell r="D1362">
            <v>105</v>
          </cell>
          <cell r="N1362" t="str">
            <v>1164-10</v>
          </cell>
          <cell r="O1362" t="str">
            <v>BASE VALVE</v>
          </cell>
          <cell r="P1362">
            <v>210</v>
          </cell>
        </row>
        <row r="1363">
          <cell r="B1363" t="str">
            <v>1291-01</v>
          </cell>
          <cell r="C1363" t="str">
            <v>PILOT CASE</v>
          </cell>
          <cell r="D1363">
            <v>87.5</v>
          </cell>
          <cell r="N1363" t="str">
            <v>1291-01</v>
          </cell>
          <cell r="O1363" t="str">
            <v>PILOT CASE</v>
          </cell>
          <cell r="P1363">
            <v>175</v>
          </cell>
        </row>
        <row r="1364">
          <cell r="B1364" t="str">
            <v>1291-01</v>
          </cell>
          <cell r="C1364" t="str">
            <v>PILOT CASE</v>
          </cell>
          <cell r="D1364">
            <v>87.5</v>
          </cell>
          <cell r="N1364" t="str">
            <v>1291-01</v>
          </cell>
          <cell r="O1364" t="str">
            <v>PILOT CASE</v>
          </cell>
          <cell r="P1364">
            <v>175</v>
          </cell>
        </row>
        <row r="1365">
          <cell r="B1365" t="str">
            <v>1291-01</v>
          </cell>
          <cell r="C1365" t="str">
            <v>PILOT CASE</v>
          </cell>
          <cell r="D1365">
            <v>87.5</v>
          </cell>
          <cell r="N1365" t="str">
            <v>1291-01</v>
          </cell>
          <cell r="O1365" t="str">
            <v>PILOT CASE</v>
          </cell>
          <cell r="P1365">
            <v>175</v>
          </cell>
        </row>
        <row r="1366">
          <cell r="B1366" t="str">
            <v>584-04</v>
          </cell>
          <cell r="C1366" t="str">
            <v>BODY</v>
          </cell>
          <cell r="D1366">
            <v>102</v>
          </cell>
          <cell r="N1366" t="str">
            <v>584-04</v>
          </cell>
          <cell r="O1366" t="str">
            <v>BODY</v>
          </cell>
          <cell r="P1366">
            <v>204</v>
          </cell>
        </row>
        <row r="1367">
          <cell r="B1367" t="str">
            <v>661-05</v>
          </cell>
          <cell r="C1367" t="str">
            <v>BODY</v>
          </cell>
          <cell r="D1367">
            <v>93.5</v>
          </cell>
          <cell r="N1367" t="str">
            <v>661-05</v>
          </cell>
          <cell r="O1367" t="str">
            <v>BODY</v>
          </cell>
          <cell r="P1367">
            <v>187</v>
          </cell>
        </row>
        <row r="1368">
          <cell r="B1368" t="str">
            <v>749-14</v>
          </cell>
          <cell r="C1368" t="str">
            <v>REB,RETAINER</v>
          </cell>
          <cell r="D1368">
            <v>105</v>
          </cell>
          <cell r="N1368" t="str">
            <v>749-14</v>
          </cell>
          <cell r="O1368" t="str">
            <v>REB,RETAINER</v>
          </cell>
          <cell r="P1368">
            <v>210</v>
          </cell>
        </row>
        <row r="1369">
          <cell r="B1369" t="str">
            <v>786-01</v>
          </cell>
          <cell r="C1369" t="str">
            <v>BODY</v>
          </cell>
          <cell r="D1369">
            <v>85</v>
          </cell>
          <cell r="N1369" t="str">
            <v>786-01</v>
          </cell>
          <cell r="O1369" t="str">
            <v>BODY</v>
          </cell>
          <cell r="P1369">
            <v>170</v>
          </cell>
        </row>
        <row r="1370">
          <cell r="B1370" t="str">
            <v>786-03</v>
          </cell>
          <cell r="C1370" t="str">
            <v>BODY</v>
          </cell>
          <cell r="D1370">
            <v>82</v>
          </cell>
          <cell r="N1370" t="str">
            <v>786-03</v>
          </cell>
          <cell r="O1370" t="str">
            <v>BODY</v>
          </cell>
          <cell r="P1370">
            <v>164</v>
          </cell>
        </row>
        <row r="1371">
          <cell r="B1371" t="str">
            <v>786-04</v>
          </cell>
          <cell r="C1371" t="str">
            <v>BODY</v>
          </cell>
          <cell r="D1371">
            <v>85</v>
          </cell>
          <cell r="N1371" t="str">
            <v>786-04</v>
          </cell>
          <cell r="O1371" t="str">
            <v>BODY</v>
          </cell>
          <cell r="P1371">
            <v>170</v>
          </cell>
        </row>
        <row r="1372">
          <cell r="B1372" t="str">
            <v>853-38</v>
          </cell>
          <cell r="C1372" t="str">
            <v>REB,RETAINER</v>
          </cell>
          <cell r="D1372">
            <v>104</v>
          </cell>
          <cell r="N1372" t="str">
            <v>853-38</v>
          </cell>
          <cell r="O1372" t="str">
            <v>REB,RETAINER</v>
          </cell>
          <cell r="P1372">
            <v>208</v>
          </cell>
        </row>
        <row r="1373">
          <cell r="B1373" t="str">
            <v>1290-02</v>
          </cell>
          <cell r="C1373" t="str">
            <v>PILOT CASE</v>
          </cell>
          <cell r="D1373">
            <v>91</v>
          </cell>
          <cell r="N1373" t="str">
            <v>1290-02</v>
          </cell>
          <cell r="O1373" t="str">
            <v>PILOT CASE</v>
          </cell>
          <cell r="P1373">
            <v>182</v>
          </cell>
        </row>
        <row r="1374">
          <cell r="B1374" t="str">
            <v>1290-02</v>
          </cell>
          <cell r="C1374" t="str">
            <v>PILOT CASE</v>
          </cell>
          <cell r="D1374">
            <v>91</v>
          </cell>
          <cell r="N1374" t="str">
            <v>1290-02</v>
          </cell>
          <cell r="O1374" t="str">
            <v>PILOT CASE</v>
          </cell>
          <cell r="P1374">
            <v>182</v>
          </cell>
        </row>
        <row r="1375">
          <cell r="B1375" t="str">
            <v>1291-01</v>
          </cell>
          <cell r="C1375" t="str">
            <v>PILOT CASE</v>
          </cell>
          <cell r="D1375">
            <v>87.5</v>
          </cell>
          <cell r="N1375" t="str">
            <v>1291-01</v>
          </cell>
          <cell r="O1375" t="str">
            <v>PILOT CASE</v>
          </cell>
          <cell r="P1375">
            <v>175</v>
          </cell>
        </row>
        <row r="1376">
          <cell r="B1376" t="str">
            <v>1836-04</v>
          </cell>
          <cell r="C1376" t="str">
            <v>RS RETAINER</v>
          </cell>
          <cell r="D1376">
            <v>102.5</v>
          </cell>
          <cell r="N1376" t="str">
            <v>1836-04</v>
          </cell>
          <cell r="O1376" t="str">
            <v>RS RETAINER</v>
          </cell>
          <cell r="P1376">
            <v>205</v>
          </cell>
        </row>
        <row r="1377">
          <cell r="B1377" t="str">
            <v>2852-09</v>
          </cell>
          <cell r="C1377" t="str">
            <v>BODY</v>
          </cell>
          <cell r="D1377">
            <v>92.5</v>
          </cell>
          <cell r="N1377" t="str">
            <v>2852-09</v>
          </cell>
          <cell r="O1377" t="str">
            <v>BODY</v>
          </cell>
          <cell r="P1377">
            <v>185</v>
          </cell>
        </row>
        <row r="1378">
          <cell r="B1378" t="str">
            <v>508-15</v>
          </cell>
          <cell r="C1378" t="str">
            <v>BODY</v>
          </cell>
          <cell r="D1378">
            <v>105.5</v>
          </cell>
          <cell r="N1378" t="str">
            <v>508-15</v>
          </cell>
          <cell r="O1378" t="str">
            <v>BODY</v>
          </cell>
          <cell r="P1378">
            <v>211</v>
          </cell>
        </row>
        <row r="1379">
          <cell r="B1379" t="str">
            <v>661-05</v>
          </cell>
          <cell r="C1379" t="str">
            <v>BODY</v>
          </cell>
          <cell r="D1379">
            <v>93.5</v>
          </cell>
          <cell r="N1379" t="str">
            <v>661-05</v>
          </cell>
          <cell r="O1379" t="str">
            <v>BODY</v>
          </cell>
          <cell r="P1379">
            <v>187</v>
          </cell>
        </row>
        <row r="1380">
          <cell r="B1380" t="str">
            <v>853-29</v>
          </cell>
          <cell r="C1380" t="str">
            <v>REB,RETAINER</v>
          </cell>
          <cell r="D1380">
            <v>73</v>
          </cell>
          <cell r="N1380" t="str">
            <v>853-29</v>
          </cell>
          <cell r="O1380" t="str">
            <v>REB,RETAINER</v>
          </cell>
          <cell r="P1380">
            <v>146</v>
          </cell>
        </row>
        <row r="1381">
          <cell r="B1381" t="str">
            <v>853-29</v>
          </cell>
          <cell r="C1381" t="str">
            <v>REB,RETAINER</v>
          </cell>
          <cell r="D1381">
            <v>73</v>
          </cell>
          <cell r="N1381" t="str">
            <v>853-29</v>
          </cell>
          <cell r="O1381" t="str">
            <v>REB,RETAINER</v>
          </cell>
          <cell r="P1381">
            <v>146</v>
          </cell>
        </row>
        <row r="1382">
          <cell r="B1382" t="str">
            <v>1291-02</v>
          </cell>
          <cell r="C1382" t="str">
            <v>PILOT CASE</v>
          </cell>
          <cell r="D1382">
            <v>87</v>
          </cell>
          <cell r="N1382" t="str">
            <v>1291-02</v>
          </cell>
          <cell r="O1382" t="str">
            <v>PILOT CASE</v>
          </cell>
          <cell r="P1382">
            <v>174</v>
          </cell>
        </row>
        <row r="1383">
          <cell r="B1383" t="str">
            <v>1291-02</v>
          </cell>
          <cell r="C1383" t="str">
            <v>PILOT CASE</v>
          </cell>
          <cell r="D1383">
            <v>87</v>
          </cell>
          <cell r="N1383" t="str">
            <v>1291-02</v>
          </cell>
          <cell r="O1383" t="str">
            <v>PILOT CASE</v>
          </cell>
          <cell r="P1383">
            <v>174</v>
          </cell>
        </row>
        <row r="1384">
          <cell r="B1384" t="str">
            <v>1379-00</v>
          </cell>
          <cell r="C1384" t="str">
            <v>CAM</v>
          </cell>
          <cell r="D1384">
            <v>127.19999999999999</v>
          </cell>
          <cell r="N1384" t="str">
            <v>1379-00</v>
          </cell>
          <cell r="O1384" t="str">
            <v>CAM</v>
          </cell>
          <cell r="P1384">
            <v>212</v>
          </cell>
        </row>
        <row r="1385">
          <cell r="B1385" t="str">
            <v>1446-01</v>
          </cell>
          <cell r="C1385" t="str">
            <v>BODY</v>
          </cell>
          <cell r="D1385">
            <v>100</v>
          </cell>
          <cell r="N1385" t="str">
            <v>1446-01</v>
          </cell>
          <cell r="O1385" t="str">
            <v>BODY</v>
          </cell>
          <cell r="P1385">
            <v>200</v>
          </cell>
        </row>
        <row r="1386">
          <cell r="B1386" t="str">
            <v>1673-11</v>
          </cell>
          <cell r="C1386" t="str">
            <v>RS RETAINER</v>
          </cell>
          <cell r="D1386">
            <v>101</v>
          </cell>
          <cell r="N1386" t="str">
            <v>1673-11</v>
          </cell>
          <cell r="O1386" t="str">
            <v>RS RETAINER</v>
          </cell>
          <cell r="P1386">
            <v>202</v>
          </cell>
        </row>
        <row r="1387">
          <cell r="B1387" t="str">
            <v>661-10</v>
          </cell>
          <cell r="C1387" t="str">
            <v>BODY</v>
          </cell>
          <cell r="D1387">
            <v>94</v>
          </cell>
          <cell r="N1387" t="str">
            <v>661-10</v>
          </cell>
          <cell r="O1387" t="str">
            <v>BODY</v>
          </cell>
          <cell r="P1387">
            <v>188</v>
          </cell>
        </row>
        <row r="1388">
          <cell r="B1388" t="str">
            <v>671-05</v>
          </cell>
          <cell r="C1388" t="str">
            <v>PISTON</v>
          </cell>
          <cell r="D1388">
            <v>106</v>
          </cell>
          <cell r="N1388" t="str">
            <v>671-05</v>
          </cell>
          <cell r="O1388" t="str">
            <v>PISTON</v>
          </cell>
          <cell r="P1388">
            <v>212</v>
          </cell>
        </row>
        <row r="1389">
          <cell r="B1389" t="str">
            <v>749-16</v>
          </cell>
          <cell r="C1389" t="str">
            <v>REB,RETAINER</v>
          </cell>
          <cell r="D1389">
            <v>68.5</v>
          </cell>
          <cell r="N1389" t="str">
            <v>749-16</v>
          </cell>
          <cell r="O1389" t="str">
            <v>REB,RETAINER</v>
          </cell>
          <cell r="P1389">
            <v>137</v>
          </cell>
        </row>
        <row r="1390">
          <cell r="B1390" t="str">
            <v>786-02</v>
          </cell>
          <cell r="C1390" t="str">
            <v>BODY</v>
          </cell>
          <cell r="D1390">
            <v>84</v>
          </cell>
          <cell r="N1390" t="str">
            <v>786-02</v>
          </cell>
          <cell r="O1390" t="str">
            <v>BODY</v>
          </cell>
          <cell r="P1390">
            <v>168</v>
          </cell>
        </row>
        <row r="1391">
          <cell r="B1391" t="str">
            <v>786-08</v>
          </cell>
          <cell r="C1391" t="str">
            <v>BODY</v>
          </cell>
          <cell r="D1391">
            <v>85</v>
          </cell>
          <cell r="N1391" t="str">
            <v>786-08</v>
          </cell>
          <cell r="O1391" t="str">
            <v>BODY</v>
          </cell>
          <cell r="P1391">
            <v>170</v>
          </cell>
        </row>
        <row r="1392">
          <cell r="B1392" t="str">
            <v>786-09</v>
          </cell>
          <cell r="C1392" t="str">
            <v>BODY</v>
          </cell>
          <cell r="D1392">
            <v>88</v>
          </cell>
          <cell r="N1392" t="str">
            <v>786-09</v>
          </cell>
          <cell r="O1392" t="str">
            <v>BODY</v>
          </cell>
          <cell r="P1392">
            <v>176</v>
          </cell>
        </row>
        <row r="1393">
          <cell r="B1393" t="str">
            <v>852-09</v>
          </cell>
          <cell r="C1393" t="str">
            <v>BODY</v>
          </cell>
          <cell r="D1393">
            <v>93</v>
          </cell>
          <cell r="N1393" t="str">
            <v>852-09</v>
          </cell>
          <cell r="O1393" t="str">
            <v>BODY</v>
          </cell>
          <cell r="P1393">
            <v>186</v>
          </cell>
        </row>
        <row r="1394">
          <cell r="B1394" t="str">
            <v>852-13</v>
          </cell>
          <cell r="C1394" t="str">
            <v>BODY</v>
          </cell>
          <cell r="D1394">
            <v>106</v>
          </cell>
          <cell r="N1394" t="str">
            <v>852-13</v>
          </cell>
          <cell r="O1394" t="str">
            <v>BODY</v>
          </cell>
          <cell r="P1394">
            <v>212</v>
          </cell>
        </row>
        <row r="1395">
          <cell r="B1395" t="str">
            <v>044-06</v>
          </cell>
          <cell r="C1395" t="str">
            <v>ROD GUIDE ASS'Y</v>
          </cell>
          <cell r="D1395">
            <v>103.5</v>
          </cell>
          <cell r="N1395" t="str">
            <v>044-06</v>
          </cell>
          <cell r="O1395" t="str">
            <v>ROD GUIDE ASS'Y</v>
          </cell>
          <cell r="P1395">
            <v>207</v>
          </cell>
        </row>
        <row r="1396">
          <cell r="B1396" t="str">
            <v>1290-01</v>
          </cell>
          <cell r="C1396" t="str">
            <v>PILOT CASE</v>
          </cell>
          <cell r="D1396">
            <v>91.5</v>
          </cell>
          <cell r="N1396" t="str">
            <v>1290-01</v>
          </cell>
          <cell r="O1396" t="str">
            <v>PILOT CASE</v>
          </cell>
          <cell r="P1396">
            <v>183</v>
          </cell>
        </row>
        <row r="1397">
          <cell r="B1397" t="str">
            <v>1554-03</v>
          </cell>
          <cell r="C1397" t="str">
            <v>RS RETAINER</v>
          </cell>
          <cell r="D1397">
            <v>87.5</v>
          </cell>
          <cell r="N1397" t="str">
            <v>1554-03</v>
          </cell>
          <cell r="O1397" t="str">
            <v>RS RETAINER</v>
          </cell>
          <cell r="P1397">
            <v>175</v>
          </cell>
        </row>
        <row r="1398">
          <cell r="B1398" t="str">
            <v>1554-17</v>
          </cell>
          <cell r="C1398" t="str">
            <v>RS RETAINER</v>
          </cell>
          <cell r="D1398">
            <v>88</v>
          </cell>
          <cell r="N1398" t="str">
            <v>1554-17</v>
          </cell>
          <cell r="O1398" t="str">
            <v>RS RETAINER</v>
          </cell>
          <cell r="P1398">
            <v>176</v>
          </cell>
        </row>
        <row r="1399">
          <cell r="B1399" t="str">
            <v>2852-13</v>
          </cell>
          <cell r="C1399" t="str">
            <v>BODY</v>
          </cell>
          <cell r="D1399">
            <v>106.5</v>
          </cell>
          <cell r="N1399" t="str">
            <v>2852-13</v>
          </cell>
          <cell r="O1399" t="str">
            <v>BODY</v>
          </cell>
          <cell r="P1399">
            <v>213</v>
          </cell>
        </row>
        <row r="1400">
          <cell r="B1400" t="str">
            <v>470-02</v>
          </cell>
          <cell r="C1400" t="str">
            <v>REB,RETAINER</v>
          </cell>
          <cell r="D1400">
            <v>106.5</v>
          </cell>
          <cell r="N1400" t="str">
            <v>470-02</v>
          </cell>
          <cell r="O1400" t="str">
            <v>REB,RETAINER</v>
          </cell>
          <cell r="P1400">
            <v>213</v>
          </cell>
        </row>
        <row r="1401">
          <cell r="B1401" t="str">
            <v>567-15</v>
          </cell>
          <cell r="C1401" t="str">
            <v>BODY</v>
          </cell>
          <cell r="D1401">
            <v>98.5</v>
          </cell>
          <cell r="N1401" t="str">
            <v>567-15</v>
          </cell>
          <cell r="O1401" t="str">
            <v>BODY</v>
          </cell>
          <cell r="P1401">
            <v>197</v>
          </cell>
        </row>
        <row r="1402">
          <cell r="B1402" t="str">
            <v>661-01</v>
          </cell>
          <cell r="C1402" t="str">
            <v>BODY</v>
          </cell>
          <cell r="D1402">
            <v>88</v>
          </cell>
          <cell r="N1402" t="str">
            <v>661-01</v>
          </cell>
          <cell r="O1402" t="str">
            <v>BODY</v>
          </cell>
          <cell r="P1402">
            <v>176</v>
          </cell>
        </row>
        <row r="1403">
          <cell r="B1403" t="str">
            <v>661-01</v>
          </cell>
          <cell r="C1403" t="str">
            <v>BODY</v>
          </cell>
          <cell r="D1403">
            <v>88</v>
          </cell>
          <cell r="N1403" t="str">
            <v>661-01</v>
          </cell>
          <cell r="O1403" t="str">
            <v>BODY</v>
          </cell>
          <cell r="P1403">
            <v>176</v>
          </cell>
        </row>
        <row r="1404">
          <cell r="B1404" t="str">
            <v>661-03</v>
          </cell>
          <cell r="C1404" t="str">
            <v>BODY</v>
          </cell>
          <cell r="D1404">
            <v>96</v>
          </cell>
          <cell r="N1404" t="str">
            <v>661-03</v>
          </cell>
          <cell r="O1404" t="str">
            <v>BODY</v>
          </cell>
          <cell r="P1404">
            <v>192</v>
          </cell>
        </row>
        <row r="1405">
          <cell r="B1405" t="str">
            <v>671-01</v>
          </cell>
          <cell r="C1405" t="str">
            <v>PISTON</v>
          </cell>
          <cell r="D1405">
            <v>84</v>
          </cell>
          <cell r="N1405" t="str">
            <v>671-01</v>
          </cell>
          <cell r="O1405" t="str">
            <v>PISTON</v>
          </cell>
          <cell r="P1405">
            <v>168</v>
          </cell>
        </row>
        <row r="1406">
          <cell r="B1406" t="str">
            <v>727-05</v>
          </cell>
          <cell r="C1406" t="str">
            <v>BODY</v>
          </cell>
          <cell r="D1406">
            <v>97.5</v>
          </cell>
          <cell r="N1406" t="str">
            <v>727-05</v>
          </cell>
          <cell r="O1406" t="str">
            <v>BODY</v>
          </cell>
          <cell r="P1406">
            <v>195</v>
          </cell>
        </row>
        <row r="1407">
          <cell r="B1407" t="str">
            <v>787-07</v>
          </cell>
          <cell r="C1407" t="str">
            <v>BODY</v>
          </cell>
          <cell r="D1407">
            <v>106.5</v>
          </cell>
          <cell r="N1407" t="str">
            <v>787-07</v>
          </cell>
          <cell r="O1407" t="str">
            <v>BODY</v>
          </cell>
          <cell r="P1407">
            <v>213</v>
          </cell>
        </row>
        <row r="1408">
          <cell r="B1408" t="str">
            <v>852-05</v>
          </cell>
          <cell r="C1408" t="str">
            <v>BODY</v>
          </cell>
          <cell r="D1408">
            <v>100</v>
          </cell>
          <cell r="N1408" t="str">
            <v>852-05</v>
          </cell>
          <cell r="O1408" t="str">
            <v>BODY</v>
          </cell>
          <cell r="P1408">
            <v>200</v>
          </cell>
        </row>
        <row r="1409">
          <cell r="B1409" t="str">
            <v>853-00</v>
          </cell>
          <cell r="C1409" t="str">
            <v>REB,RETAINER</v>
          </cell>
          <cell r="D1409">
            <v>64.5</v>
          </cell>
          <cell r="N1409" t="str">
            <v>853-00</v>
          </cell>
          <cell r="O1409" t="str">
            <v>REB,RETAINER</v>
          </cell>
          <cell r="P1409">
            <v>129</v>
          </cell>
        </row>
        <row r="1410">
          <cell r="B1410" t="str">
            <v>853-40</v>
          </cell>
          <cell r="C1410" t="str">
            <v>REB,RETAINER</v>
          </cell>
          <cell r="D1410">
            <v>96.5</v>
          </cell>
          <cell r="N1410" t="str">
            <v>853-40</v>
          </cell>
          <cell r="O1410" t="str">
            <v>REB,RETAINER</v>
          </cell>
          <cell r="P1410">
            <v>193</v>
          </cell>
        </row>
        <row r="1411">
          <cell r="B1411" t="str">
            <v>853-40</v>
          </cell>
          <cell r="C1411" t="str">
            <v>REB,RETAINER</v>
          </cell>
          <cell r="D1411">
            <v>96.5</v>
          </cell>
          <cell r="N1411" t="str">
            <v>853-40</v>
          </cell>
          <cell r="O1411" t="str">
            <v>REB,RETAINER</v>
          </cell>
          <cell r="P1411">
            <v>193</v>
          </cell>
        </row>
        <row r="1412">
          <cell r="B1412" t="str">
            <v>981-02</v>
          </cell>
          <cell r="C1412" t="str">
            <v>PISTON</v>
          </cell>
          <cell r="D1412">
            <v>106.5</v>
          </cell>
          <cell r="N1412" t="str">
            <v>981-02</v>
          </cell>
          <cell r="O1412" t="str">
            <v>PISTON</v>
          </cell>
          <cell r="P1412">
            <v>213</v>
          </cell>
        </row>
        <row r="1413">
          <cell r="B1413" t="str">
            <v>044-04</v>
          </cell>
          <cell r="C1413" t="str">
            <v>ROD GUIDE ASS'Y</v>
          </cell>
          <cell r="D1413">
            <v>107</v>
          </cell>
          <cell r="N1413" t="str">
            <v>044-04</v>
          </cell>
          <cell r="O1413" t="str">
            <v>ROD GUIDE ASS'Y</v>
          </cell>
          <cell r="P1413">
            <v>214</v>
          </cell>
        </row>
        <row r="1414">
          <cell r="B1414" t="str">
            <v>044-05</v>
          </cell>
          <cell r="C1414" t="str">
            <v>ROD GUIDE ASS'Y</v>
          </cell>
          <cell r="D1414">
            <v>99</v>
          </cell>
          <cell r="N1414" t="str">
            <v>044-05</v>
          </cell>
          <cell r="O1414" t="str">
            <v>ROD GUIDE ASS'Y</v>
          </cell>
          <cell r="P1414">
            <v>198</v>
          </cell>
        </row>
        <row r="1415">
          <cell r="B1415" t="str">
            <v>588-07</v>
          </cell>
          <cell r="C1415" t="str">
            <v>PISTON</v>
          </cell>
          <cell r="D1415">
            <v>107</v>
          </cell>
          <cell r="N1415" t="str">
            <v>588-07</v>
          </cell>
          <cell r="O1415" t="str">
            <v>PISTON</v>
          </cell>
          <cell r="P1415">
            <v>214</v>
          </cell>
        </row>
        <row r="1416">
          <cell r="B1416" t="str">
            <v>661-10</v>
          </cell>
          <cell r="C1416" t="str">
            <v>BODY</v>
          </cell>
          <cell r="D1416">
            <v>94</v>
          </cell>
          <cell r="N1416" t="str">
            <v>661-10</v>
          </cell>
          <cell r="O1416" t="str">
            <v>BODY</v>
          </cell>
          <cell r="P1416">
            <v>188</v>
          </cell>
        </row>
        <row r="1417">
          <cell r="B1417" t="str">
            <v>661-10</v>
          </cell>
          <cell r="C1417" t="str">
            <v>BODY</v>
          </cell>
          <cell r="D1417">
            <v>94</v>
          </cell>
          <cell r="N1417" t="str">
            <v>661-10</v>
          </cell>
          <cell r="O1417" t="str">
            <v>BODY</v>
          </cell>
          <cell r="P1417">
            <v>188</v>
          </cell>
        </row>
        <row r="1418">
          <cell r="B1418" t="str">
            <v>661-10</v>
          </cell>
          <cell r="C1418" t="str">
            <v>BODY</v>
          </cell>
          <cell r="D1418">
            <v>94</v>
          </cell>
          <cell r="N1418" t="str">
            <v>661-10</v>
          </cell>
          <cell r="O1418" t="str">
            <v>BODY</v>
          </cell>
          <cell r="P1418">
            <v>188</v>
          </cell>
        </row>
        <row r="1419">
          <cell r="B1419" t="str">
            <v>661-13</v>
          </cell>
          <cell r="C1419" t="str">
            <v>BODY</v>
          </cell>
          <cell r="D1419">
            <v>88</v>
          </cell>
          <cell r="N1419" t="str">
            <v>661-13</v>
          </cell>
          <cell r="O1419" t="str">
            <v>BODY</v>
          </cell>
          <cell r="P1419">
            <v>176</v>
          </cell>
        </row>
        <row r="1420">
          <cell r="B1420" t="str">
            <v>661-13</v>
          </cell>
          <cell r="C1420" t="str">
            <v>BODY</v>
          </cell>
          <cell r="D1420">
            <v>88</v>
          </cell>
          <cell r="N1420" t="str">
            <v>661-13</v>
          </cell>
          <cell r="O1420" t="str">
            <v>BODY</v>
          </cell>
          <cell r="P1420">
            <v>176</v>
          </cell>
        </row>
        <row r="1421">
          <cell r="B1421" t="str">
            <v>727-03</v>
          </cell>
          <cell r="C1421" t="str">
            <v>BODY</v>
          </cell>
          <cell r="D1421">
            <v>107</v>
          </cell>
          <cell r="N1421" t="str">
            <v>727-03</v>
          </cell>
          <cell r="O1421" t="str">
            <v>BODY</v>
          </cell>
          <cell r="P1421">
            <v>214</v>
          </cell>
        </row>
        <row r="1422">
          <cell r="B1422" t="str">
            <v>786-06</v>
          </cell>
          <cell r="C1422" t="str">
            <v>BODY</v>
          </cell>
          <cell r="D1422">
            <v>85.5</v>
          </cell>
          <cell r="N1422" t="str">
            <v>786-06</v>
          </cell>
          <cell r="O1422" t="str">
            <v>BODY</v>
          </cell>
          <cell r="P1422">
            <v>171</v>
          </cell>
        </row>
        <row r="1423">
          <cell r="B1423" t="str">
            <v>787-04</v>
          </cell>
          <cell r="C1423" t="str">
            <v>BODY</v>
          </cell>
          <cell r="D1423">
            <v>107</v>
          </cell>
          <cell r="N1423" t="str">
            <v>787-04</v>
          </cell>
          <cell r="O1423" t="str">
            <v>BODY</v>
          </cell>
          <cell r="P1423">
            <v>214</v>
          </cell>
        </row>
        <row r="1424">
          <cell r="B1424" t="str">
            <v>853-36</v>
          </cell>
          <cell r="C1424" t="str">
            <v>REB,RETAINER</v>
          </cell>
          <cell r="D1424">
            <v>97</v>
          </cell>
          <cell r="N1424" t="str">
            <v>853-36</v>
          </cell>
          <cell r="O1424" t="str">
            <v>REB,RETAINER</v>
          </cell>
          <cell r="P1424">
            <v>194</v>
          </cell>
        </row>
        <row r="1425">
          <cell r="B1425" t="str">
            <v>861-20</v>
          </cell>
          <cell r="C1425" t="str">
            <v>BODY</v>
          </cell>
          <cell r="D1425">
            <v>98</v>
          </cell>
          <cell r="N1425" t="str">
            <v>861-20</v>
          </cell>
          <cell r="O1425" t="str">
            <v>BODY</v>
          </cell>
          <cell r="P1425">
            <v>196</v>
          </cell>
        </row>
        <row r="1426">
          <cell r="B1426" t="str">
            <v>1290-01</v>
          </cell>
          <cell r="C1426" t="str">
            <v>PILOT CASE</v>
          </cell>
          <cell r="D1426">
            <v>91.5</v>
          </cell>
          <cell r="N1426" t="str">
            <v>1290-01</v>
          </cell>
          <cell r="O1426" t="str">
            <v>PILOT CASE</v>
          </cell>
          <cell r="P1426">
            <v>183</v>
          </cell>
        </row>
        <row r="1427">
          <cell r="B1427" t="str">
            <v>1290-01</v>
          </cell>
          <cell r="C1427" t="str">
            <v>PILOT CASE</v>
          </cell>
          <cell r="D1427">
            <v>91.5</v>
          </cell>
          <cell r="N1427" t="str">
            <v>1290-01</v>
          </cell>
          <cell r="O1427" t="str">
            <v>PILOT CASE</v>
          </cell>
          <cell r="P1427">
            <v>183</v>
          </cell>
        </row>
        <row r="1428">
          <cell r="B1428" t="str">
            <v>1290-01</v>
          </cell>
          <cell r="C1428" t="str">
            <v>PILOT CASE</v>
          </cell>
          <cell r="D1428">
            <v>91.5</v>
          </cell>
          <cell r="N1428" t="str">
            <v>1290-01</v>
          </cell>
          <cell r="O1428" t="str">
            <v>PILOT CASE</v>
          </cell>
          <cell r="P1428">
            <v>183</v>
          </cell>
        </row>
        <row r="1429">
          <cell r="B1429" t="str">
            <v>1446-01</v>
          </cell>
          <cell r="C1429" t="str">
            <v>BODY</v>
          </cell>
          <cell r="D1429">
            <v>100</v>
          </cell>
          <cell r="N1429" t="str">
            <v>1446-01</v>
          </cell>
          <cell r="O1429" t="str">
            <v>BODY</v>
          </cell>
          <cell r="P1429">
            <v>200</v>
          </cell>
        </row>
        <row r="1430">
          <cell r="B1430" t="str">
            <v>2099-00</v>
          </cell>
          <cell r="C1430" t="str">
            <v>SUN GEAR</v>
          </cell>
          <cell r="D1430">
            <v>129</v>
          </cell>
          <cell r="N1430" t="str">
            <v>2099-00</v>
          </cell>
          <cell r="O1430" t="str">
            <v>SUN GEAR</v>
          </cell>
          <cell r="P1430">
            <v>215</v>
          </cell>
        </row>
        <row r="1431">
          <cell r="B1431" t="str">
            <v>2671-05</v>
          </cell>
          <cell r="C1431" t="str">
            <v>PISTON</v>
          </cell>
          <cell r="D1431">
            <v>107.5</v>
          </cell>
          <cell r="N1431" t="str">
            <v>2671-05</v>
          </cell>
          <cell r="O1431" t="str">
            <v>PISTON</v>
          </cell>
          <cell r="P1431">
            <v>215</v>
          </cell>
        </row>
        <row r="1432">
          <cell r="B1432" t="str">
            <v>567-06</v>
          </cell>
          <cell r="C1432" t="str">
            <v>BODY</v>
          </cell>
          <cell r="D1432">
            <v>94.5</v>
          </cell>
          <cell r="N1432" t="str">
            <v>567-06</v>
          </cell>
          <cell r="O1432" t="str">
            <v>BODY</v>
          </cell>
          <cell r="P1432">
            <v>189</v>
          </cell>
        </row>
        <row r="1433">
          <cell r="B1433" t="str">
            <v>661-03</v>
          </cell>
          <cell r="C1433" t="str">
            <v>BODY</v>
          </cell>
          <cell r="D1433">
            <v>96</v>
          </cell>
          <cell r="N1433" t="str">
            <v>661-03</v>
          </cell>
          <cell r="O1433" t="str">
            <v>BODY</v>
          </cell>
          <cell r="P1433">
            <v>192</v>
          </cell>
        </row>
        <row r="1434">
          <cell r="B1434" t="str">
            <v>661-28</v>
          </cell>
          <cell r="C1434" t="str">
            <v>BODY</v>
          </cell>
          <cell r="D1434">
            <v>107.5</v>
          </cell>
          <cell r="N1434" t="str">
            <v>661-28</v>
          </cell>
          <cell r="O1434" t="str">
            <v>BODY</v>
          </cell>
          <cell r="P1434">
            <v>215</v>
          </cell>
        </row>
        <row r="1435">
          <cell r="B1435" t="str">
            <v>786-13</v>
          </cell>
          <cell r="C1435" t="str">
            <v>BODY</v>
          </cell>
          <cell r="D1435">
            <v>107.5</v>
          </cell>
          <cell r="N1435" t="str">
            <v>786-13</v>
          </cell>
          <cell r="O1435" t="str">
            <v>BODY</v>
          </cell>
          <cell r="P1435">
            <v>215</v>
          </cell>
        </row>
        <row r="1436">
          <cell r="B1436" t="str">
            <v>787-07</v>
          </cell>
          <cell r="C1436" t="str">
            <v>BODY</v>
          </cell>
          <cell r="D1436">
            <v>106.5</v>
          </cell>
          <cell r="N1436" t="str">
            <v>787-07</v>
          </cell>
          <cell r="O1436" t="str">
            <v>BODY</v>
          </cell>
          <cell r="P1436">
            <v>213</v>
          </cell>
        </row>
        <row r="1437">
          <cell r="B1437" t="str">
            <v>852-15</v>
          </cell>
          <cell r="C1437" t="str">
            <v>BODY</v>
          </cell>
          <cell r="D1437">
            <v>107.5</v>
          </cell>
          <cell r="N1437" t="str">
            <v>852-15</v>
          </cell>
          <cell r="O1437" t="str">
            <v>BODY</v>
          </cell>
          <cell r="P1437">
            <v>215</v>
          </cell>
        </row>
        <row r="1438">
          <cell r="B1438" t="str">
            <v>981-06</v>
          </cell>
          <cell r="C1438" t="str">
            <v>PISTON</v>
          </cell>
          <cell r="D1438">
            <v>107.5</v>
          </cell>
          <cell r="N1438" t="str">
            <v>981-06</v>
          </cell>
          <cell r="O1438" t="str">
            <v>PISTON</v>
          </cell>
          <cell r="P1438">
            <v>215</v>
          </cell>
        </row>
        <row r="1439">
          <cell r="B1439" t="str">
            <v>1098-21</v>
          </cell>
          <cell r="C1439" t="str">
            <v>BASE VALVE</v>
          </cell>
          <cell r="D1439">
            <v>108</v>
          </cell>
          <cell r="N1439" t="str">
            <v>1098-21</v>
          </cell>
          <cell r="O1439" t="str">
            <v>BASE VALVE</v>
          </cell>
          <cell r="P1439">
            <v>216</v>
          </cell>
        </row>
        <row r="1440">
          <cell r="B1440" t="str">
            <v>1922-08</v>
          </cell>
          <cell r="C1440" t="str">
            <v>RS RETAINER</v>
          </cell>
          <cell r="D1440">
            <v>108</v>
          </cell>
          <cell r="N1440" t="str">
            <v>1922-08</v>
          </cell>
          <cell r="O1440" t="str">
            <v>RS RETAINER</v>
          </cell>
          <cell r="P1440">
            <v>216</v>
          </cell>
        </row>
        <row r="1441">
          <cell r="B1441" t="str">
            <v>494-51</v>
          </cell>
          <cell r="C1441" t="str">
            <v>REB,RETAINER</v>
          </cell>
          <cell r="D1441">
            <v>108</v>
          </cell>
          <cell r="N1441" t="str">
            <v>494-51</v>
          </cell>
          <cell r="O1441" t="str">
            <v>REB,RETAINER</v>
          </cell>
          <cell r="P1441">
            <v>216</v>
          </cell>
        </row>
        <row r="1442">
          <cell r="B1442" t="str">
            <v>588-13</v>
          </cell>
          <cell r="C1442" t="str">
            <v>PISTON</v>
          </cell>
          <cell r="D1442">
            <v>108</v>
          </cell>
          <cell r="N1442" t="str">
            <v>588-13</v>
          </cell>
          <cell r="O1442" t="str">
            <v>PISTON</v>
          </cell>
          <cell r="P1442">
            <v>216</v>
          </cell>
        </row>
        <row r="1443">
          <cell r="B1443" t="str">
            <v>787-17</v>
          </cell>
          <cell r="C1443" t="str">
            <v>BODY</v>
          </cell>
          <cell r="D1443">
            <v>108</v>
          </cell>
          <cell r="N1443" t="str">
            <v>787-17</v>
          </cell>
          <cell r="O1443" t="str">
            <v>BODY</v>
          </cell>
          <cell r="P1443">
            <v>216</v>
          </cell>
        </row>
        <row r="1444">
          <cell r="B1444" t="str">
            <v>807-07</v>
          </cell>
          <cell r="C1444" t="str">
            <v>REB,RETAINER</v>
          </cell>
          <cell r="D1444">
            <v>47.5</v>
          </cell>
          <cell r="N1444" t="str">
            <v>807-07</v>
          </cell>
          <cell r="O1444" t="str">
            <v>REB,RETAINER</v>
          </cell>
          <cell r="P1444">
            <v>95</v>
          </cell>
        </row>
        <row r="1445">
          <cell r="B1445" t="str">
            <v>807-51</v>
          </cell>
          <cell r="C1445" t="str">
            <v>REB,RETAINER</v>
          </cell>
          <cell r="D1445">
            <v>108</v>
          </cell>
          <cell r="N1445" t="str">
            <v>807-51</v>
          </cell>
          <cell r="O1445" t="str">
            <v>REB,RETAINER</v>
          </cell>
          <cell r="P1445">
            <v>216</v>
          </cell>
        </row>
        <row r="1446">
          <cell r="B1446" t="str">
            <v>852-04</v>
          </cell>
          <cell r="C1446" t="str">
            <v>BODY</v>
          </cell>
          <cell r="D1446">
            <v>96</v>
          </cell>
          <cell r="N1446" t="str">
            <v>852-04</v>
          </cell>
          <cell r="O1446" t="str">
            <v>BODY</v>
          </cell>
          <cell r="P1446">
            <v>192</v>
          </cell>
        </row>
        <row r="1447">
          <cell r="B1447" t="str">
            <v>852-04</v>
          </cell>
          <cell r="C1447" t="str">
            <v>BODY</v>
          </cell>
          <cell r="D1447">
            <v>96</v>
          </cell>
          <cell r="N1447" t="str">
            <v>852-04</v>
          </cell>
          <cell r="O1447" t="str">
            <v>BODY</v>
          </cell>
          <cell r="P1447">
            <v>192</v>
          </cell>
        </row>
        <row r="1448">
          <cell r="B1448" t="str">
            <v>1164-07</v>
          </cell>
          <cell r="C1448" t="str">
            <v>BASE VALVE</v>
          </cell>
          <cell r="D1448">
            <v>108.5</v>
          </cell>
          <cell r="N1448" t="str">
            <v>1164-07</v>
          </cell>
          <cell r="O1448" t="str">
            <v>BASE VALVE</v>
          </cell>
          <cell r="P1448">
            <v>217</v>
          </cell>
        </row>
        <row r="1449">
          <cell r="B1449" t="str">
            <v>1164-08</v>
          </cell>
          <cell r="C1449" t="str">
            <v>BASE VALVE</v>
          </cell>
          <cell r="D1449">
            <v>108.5</v>
          </cell>
          <cell r="N1449" t="str">
            <v>1164-08</v>
          </cell>
          <cell r="O1449" t="str">
            <v>BASE VALVE</v>
          </cell>
          <cell r="P1449">
            <v>217</v>
          </cell>
        </row>
        <row r="1450">
          <cell r="B1450" t="str">
            <v>1164-11</v>
          </cell>
          <cell r="C1450" t="str">
            <v>BASE VALVE</v>
          </cell>
          <cell r="D1450">
            <v>108.5</v>
          </cell>
          <cell r="N1450" t="str">
            <v>1164-11</v>
          </cell>
          <cell r="O1450" t="str">
            <v>BASE VALVE</v>
          </cell>
          <cell r="P1450">
            <v>217</v>
          </cell>
        </row>
        <row r="1451">
          <cell r="B1451" t="str">
            <v>1291-02</v>
          </cell>
          <cell r="C1451" t="str">
            <v>PILOT CASE</v>
          </cell>
          <cell r="D1451">
            <v>87</v>
          </cell>
          <cell r="N1451" t="str">
            <v>1291-02</v>
          </cell>
          <cell r="O1451" t="str">
            <v>PILOT CASE</v>
          </cell>
          <cell r="P1451">
            <v>174</v>
          </cell>
        </row>
        <row r="1452">
          <cell r="B1452" t="str">
            <v>1291-02</v>
          </cell>
          <cell r="C1452" t="str">
            <v>PILOT CASE</v>
          </cell>
          <cell r="D1452">
            <v>87</v>
          </cell>
          <cell r="N1452" t="str">
            <v>1291-02</v>
          </cell>
          <cell r="O1452" t="str">
            <v>PILOT CASE</v>
          </cell>
          <cell r="P1452">
            <v>174</v>
          </cell>
        </row>
        <row r="1453">
          <cell r="B1453" t="str">
            <v>1359-00</v>
          </cell>
          <cell r="C1453" t="str">
            <v>TELES BLOCK</v>
          </cell>
          <cell r="D1453">
            <v>130.19999999999999</v>
          </cell>
          <cell r="N1453" t="str">
            <v>1359-00</v>
          </cell>
          <cell r="O1453" t="str">
            <v>TELES BLOCK</v>
          </cell>
          <cell r="P1453">
            <v>217</v>
          </cell>
        </row>
        <row r="1454">
          <cell r="B1454" t="str">
            <v>1361-50</v>
          </cell>
          <cell r="C1454" t="str">
            <v>BELT GUIDE</v>
          </cell>
          <cell r="D1454">
            <v>130.19999999999999</v>
          </cell>
          <cell r="N1454" t="str">
            <v>1361-50</v>
          </cell>
          <cell r="O1454" t="str">
            <v>BELT GUIDE</v>
          </cell>
          <cell r="P1454">
            <v>217</v>
          </cell>
        </row>
        <row r="1455">
          <cell r="B1455" t="str">
            <v>1922-02</v>
          </cell>
          <cell r="C1455" t="str">
            <v>RS RETAINER</v>
          </cell>
          <cell r="D1455">
            <v>108.5</v>
          </cell>
          <cell r="N1455" t="str">
            <v>1922-02</v>
          </cell>
          <cell r="O1455" t="str">
            <v>RS RETAINER</v>
          </cell>
          <cell r="P1455">
            <v>217</v>
          </cell>
        </row>
        <row r="1456">
          <cell r="B1456" t="str">
            <v>1922-04</v>
          </cell>
          <cell r="C1456" t="str">
            <v>RS RETAINER</v>
          </cell>
          <cell r="D1456">
            <v>108.5</v>
          </cell>
          <cell r="N1456" t="str">
            <v>1922-04</v>
          </cell>
          <cell r="O1456" t="str">
            <v>RS RETAINER</v>
          </cell>
          <cell r="P1456">
            <v>217</v>
          </cell>
        </row>
        <row r="1457">
          <cell r="B1457" t="str">
            <v>2043-01</v>
          </cell>
          <cell r="C1457" t="str">
            <v>REB,RETAINER</v>
          </cell>
          <cell r="D1457">
            <v>108.5</v>
          </cell>
          <cell r="N1457" t="str">
            <v>2043-01</v>
          </cell>
          <cell r="O1457" t="str">
            <v>REB,RETAINER</v>
          </cell>
          <cell r="P1457">
            <v>217</v>
          </cell>
        </row>
        <row r="1458">
          <cell r="B1458" t="str">
            <v>661-14</v>
          </cell>
          <cell r="C1458" t="str">
            <v>BODY</v>
          </cell>
          <cell r="D1458">
            <v>103.5</v>
          </cell>
          <cell r="N1458" t="str">
            <v>661-14</v>
          </cell>
          <cell r="O1458" t="str">
            <v>BODY</v>
          </cell>
          <cell r="P1458">
            <v>207</v>
          </cell>
        </row>
        <row r="1459">
          <cell r="B1459" t="str">
            <v>727-03</v>
          </cell>
          <cell r="C1459" t="str">
            <v>BODY</v>
          </cell>
          <cell r="D1459">
            <v>107</v>
          </cell>
          <cell r="N1459" t="str">
            <v>727-03</v>
          </cell>
          <cell r="O1459" t="str">
            <v>BODY</v>
          </cell>
          <cell r="P1459">
            <v>214</v>
          </cell>
        </row>
        <row r="1460">
          <cell r="B1460" t="str">
            <v>749-14</v>
          </cell>
          <cell r="C1460" t="str">
            <v>REB,RETAINER</v>
          </cell>
          <cell r="D1460">
            <v>105</v>
          </cell>
          <cell r="N1460" t="str">
            <v>749-14</v>
          </cell>
          <cell r="O1460" t="str">
            <v>REB,RETAINER</v>
          </cell>
          <cell r="P1460">
            <v>210</v>
          </cell>
        </row>
        <row r="1461">
          <cell r="B1461" t="str">
            <v>749-14</v>
          </cell>
          <cell r="C1461" t="str">
            <v>REB,RETAINER</v>
          </cell>
          <cell r="D1461">
            <v>105</v>
          </cell>
          <cell r="N1461" t="str">
            <v>749-14</v>
          </cell>
          <cell r="O1461" t="str">
            <v>REB,RETAINER</v>
          </cell>
          <cell r="P1461">
            <v>210</v>
          </cell>
        </row>
        <row r="1462">
          <cell r="B1462" t="str">
            <v>786-12</v>
          </cell>
          <cell r="C1462" t="str">
            <v>BODY</v>
          </cell>
          <cell r="D1462">
            <v>87</v>
          </cell>
          <cell r="N1462" t="str">
            <v>786-12</v>
          </cell>
          <cell r="O1462" t="str">
            <v>BODY</v>
          </cell>
          <cell r="P1462">
            <v>174</v>
          </cell>
        </row>
        <row r="1463">
          <cell r="B1463" t="str">
            <v>787-08</v>
          </cell>
          <cell r="C1463" t="str">
            <v>BODY</v>
          </cell>
          <cell r="D1463">
            <v>108.5</v>
          </cell>
          <cell r="N1463" t="str">
            <v>787-08</v>
          </cell>
          <cell r="O1463" t="str">
            <v>BODY</v>
          </cell>
          <cell r="P1463">
            <v>217</v>
          </cell>
        </row>
        <row r="1464">
          <cell r="B1464" t="str">
            <v>797-02</v>
          </cell>
          <cell r="C1464" t="str">
            <v>BODY</v>
          </cell>
          <cell r="D1464">
            <v>108.5</v>
          </cell>
          <cell r="N1464" t="str">
            <v>797-02</v>
          </cell>
          <cell r="O1464" t="str">
            <v>BODY</v>
          </cell>
          <cell r="P1464">
            <v>217</v>
          </cell>
        </row>
        <row r="1465">
          <cell r="B1465" t="str">
            <v>1634-04</v>
          </cell>
          <cell r="C1465" t="str">
            <v>RS RETAINER</v>
          </cell>
          <cell r="D1465">
            <v>89.5</v>
          </cell>
          <cell r="N1465" t="str">
            <v>1634-04</v>
          </cell>
          <cell r="O1465" t="str">
            <v>RS RETAINER</v>
          </cell>
          <cell r="P1465">
            <v>179</v>
          </cell>
        </row>
        <row r="1466">
          <cell r="B1466" t="str">
            <v>1634-10</v>
          </cell>
          <cell r="C1466" t="str">
            <v>RS RETAINER</v>
          </cell>
          <cell r="D1466">
            <v>90.5</v>
          </cell>
          <cell r="N1466" t="str">
            <v>1634-10</v>
          </cell>
          <cell r="O1466" t="str">
            <v>RS RETAINER</v>
          </cell>
          <cell r="P1466">
            <v>181</v>
          </cell>
        </row>
        <row r="1467">
          <cell r="B1467" t="str">
            <v>1634-22</v>
          </cell>
          <cell r="C1467" t="str">
            <v>RS RETAINER</v>
          </cell>
          <cell r="D1467">
            <v>95</v>
          </cell>
          <cell r="N1467" t="str">
            <v>1634-22</v>
          </cell>
          <cell r="O1467" t="str">
            <v>RS RETAINER</v>
          </cell>
          <cell r="P1467">
            <v>190</v>
          </cell>
        </row>
        <row r="1468">
          <cell r="B1468" t="str">
            <v>1634-27</v>
          </cell>
          <cell r="C1468" t="str">
            <v>RS RETAINER</v>
          </cell>
          <cell r="D1468">
            <v>91</v>
          </cell>
          <cell r="N1468" t="str">
            <v>1634-27</v>
          </cell>
          <cell r="O1468" t="str">
            <v>RS RETAINER</v>
          </cell>
          <cell r="P1468">
            <v>182</v>
          </cell>
        </row>
        <row r="1469">
          <cell r="B1469" t="str">
            <v>1790-08</v>
          </cell>
          <cell r="C1469" t="str">
            <v>BODY</v>
          </cell>
          <cell r="D1469">
            <v>109</v>
          </cell>
          <cell r="N1469" t="str">
            <v>1790-08</v>
          </cell>
          <cell r="O1469" t="str">
            <v>BODY</v>
          </cell>
          <cell r="P1469">
            <v>218</v>
          </cell>
        </row>
        <row r="1470">
          <cell r="B1470" t="str">
            <v>1922-04</v>
          </cell>
          <cell r="C1470" t="str">
            <v>RS RETAINER</v>
          </cell>
          <cell r="D1470">
            <v>108.5</v>
          </cell>
          <cell r="N1470" t="str">
            <v>1922-04</v>
          </cell>
          <cell r="O1470" t="str">
            <v>RS RETAINER</v>
          </cell>
          <cell r="P1470">
            <v>217</v>
          </cell>
        </row>
        <row r="1471">
          <cell r="B1471" t="str">
            <v>1931-02</v>
          </cell>
          <cell r="C1471" t="str">
            <v>RS RETAINER</v>
          </cell>
          <cell r="D1471">
            <v>109</v>
          </cell>
          <cell r="N1471" t="str">
            <v>1931-02</v>
          </cell>
          <cell r="O1471" t="str">
            <v>RS RETAINER</v>
          </cell>
          <cell r="P1471">
            <v>218</v>
          </cell>
        </row>
        <row r="1472">
          <cell r="B1472" t="str">
            <v>588-13</v>
          </cell>
          <cell r="C1472" t="str">
            <v>PISTON</v>
          </cell>
          <cell r="D1472">
            <v>108</v>
          </cell>
          <cell r="N1472" t="str">
            <v>588-13</v>
          </cell>
          <cell r="O1472" t="str">
            <v>PISTON</v>
          </cell>
          <cell r="P1472">
            <v>216</v>
          </cell>
        </row>
        <row r="1473">
          <cell r="B1473" t="str">
            <v>671-05</v>
          </cell>
          <cell r="C1473" t="str">
            <v>PISTON</v>
          </cell>
          <cell r="D1473">
            <v>106</v>
          </cell>
          <cell r="N1473" t="str">
            <v>671-05</v>
          </cell>
          <cell r="O1473" t="str">
            <v>PISTON</v>
          </cell>
          <cell r="P1473">
            <v>212</v>
          </cell>
        </row>
        <row r="1474">
          <cell r="B1474" t="str">
            <v>853-00</v>
          </cell>
          <cell r="C1474" t="str">
            <v>REB,RETAINER</v>
          </cell>
          <cell r="D1474">
            <v>64.5</v>
          </cell>
          <cell r="N1474" t="str">
            <v>853-00</v>
          </cell>
          <cell r="O1474" t="str">
            <v>REB,RETAINER</v>
          </cell>
          <cell r="P1474">
            <v>129</v>
          </cell>
        </row>
        <row r="1475">
          <cell r="B1475" t="str">
            <v>853-21</v>
          </cell>
          <cell r="C1475" t="str">
            <v>REB,RETAINER</v>
          </cell>
          <cell r="D1475">
            <v>67.5</v>
          </cell>
          <cell r="N1475" t="str">
            <v>853-21</v>
          </cell>
          <cell r="O1475" t="str">
            <v>REB,RETAINER</v>
          </cell>
          <cell r="P1475">
            <v>135</v>
          </cell>
        </row>
        <row r="1476">
          <cell r="B1476" t="str">
            <v>853-23</v>
          </cell>
          <cell r="C1476" t="str">
            <v>REB,RETAINER</v>
          </cell>
          <cell r="D1476">
            <v>71</v>
          </cell>
          <cell r="N1476" t="str">
            <v>853-23</v>
          </cell>
          <cell r="O1476" t="str">
            <v>REB,RETAINER</v>
          </cell>
          <cell r="P1476">
            <v>142</v>
          </cell>
        </row>
        <row r="1477">
          <cell r="B1477" t="str">
            <v>853-25</v>
          </cell>
          <cell r="C1477" t="str">
            <v>REB,RETAINER</v>
          </cell>
          <cell r="D1477">
            <v>70</v>
          </cell>
          <cell r="N1477" t="str">
            <v>853-25</v>
          </cell>
          <cell r="O1477" t="str">
            <v>REB,RETAINER</v>
          </cell>
          <cell r="P1477">
            <v>140</v>
          </cell>
        </row>
        <row r="1478">
          <cell r="B1478" t="str">
            <v>853-27</v>
          </cell>
          <cell r="C1478" t="str">
            <v>REB,RETAINER</v>
          </cell>
          <cell r="D1478">
            <v>69</v>
          </cell>
          <cell r="N1478" t="str">
            <v>853-27</v>
          </cell>
          <cell r="O1478" t="str">
            <v>REB,RETAINER</v>
          </cell>
          <cell r="P1478">
            <v>138</v>
          </cell>
        </row>
        <row r="1479">
          <cell r="B1479" t="str">
            <v>1430-01</v>
          </cell>
          <cell r="C1479" t="str">
            <v>BODY</v>
          </cell>
          <cell r="D1479">
            <v>109.5</v>
          </cell>
          <cell r="N1479" t="str">
            <v>1430-01</v>
          </cell>
          <cell r="O1479" t="str">
            <v>BODY</v>
          </cell>
          <cell r="P1479">
            <v>219</v>
          </cell>
        </row>
        <row r="1480">
          <cell r="B1480" t="str">
            <v>1446-01</v>
          </cell>
          <cell r="C1480" t="str">
            <v>BODY</v>
          </cell>
          <cell r="D1480">
            <v>100</v>
          </cell>
          <cell r="N1480" t="str">
            <v>1446-01</v>
          </cell>
          <cell r="O1480" t="str">
            <v>BODY</v>
          </cell>
          <cell r="P1480">
            <v>200</v>
          </cell>
        </row>
        <row r="1481">
          <cell r="B1481" t="str">
            <v>1790-05</v>
          </cell>
          <cell r="C1481" t="str">
            <v>BODY</v>
          </cell>
          <cell r="D1481">
            <v>109.5</v>
          </cell>
          <cell r="N1481" t="str">
            <v>1790-05</v>
          </cell>
          <cell r="O1481" t="str">
            <v>BODY</v>
          </cell>
          <cell r="P1481">
            <v>219</v>
          </cell>
        </row>
        <row r="1482">
          <cell r="B1482" t="str">
            <v>1790-13</v>
          </cell>
          <cell r="C1482" t="str">
            <v>BODY</v>
          </cell>
          <cell r="D1482">
            <v>109.5</v>
          </cell>
          <cell r="N1482" t="str">
            <v>1790-13</v>
          </cell>
          <cell r="O1482" t="str">
            <v>BODY</v>
          </cell>
          <cell r="P1482">
            <v>219</v>
          </cell>
        </row>
        <row r="1483">
          <cell r="B1483" t="str">
            <v>1791-01</v>
          </cell>
          <cell r="C1483" t="str">
            <v>BODY</v>
          </cell>
          <cell r="D1483">
            <v>109.5</v>
          </cell>
          <cell r="N1483" t="str">
            <v>1791-01</v>
          </cell>
          <cell r="O1483" t="str">
            <v>BODY</v>
          </cell>
          <cell r="P1483">
            <v>219</v>
          </cell>
        </row>
        <row r="1484">
          <cell r="B1484" t="str">
            <v>1791-02</v>
          </cell>
          <cell r="C1484" t="str">
            <v>BODY</v>
          </cell>
          <cell r="D1484">
            <v>109.5</v>
          </cell>
          <cell r="N1484" t="str">
            <v>1791-02</v>
          </cell>
          <cell r="O1484" t="str">
            <v>BODY</v>
          </cell>
          <cell r="P1484">
            <v>219</v>
          </cell>
        </row>
        <row r="1485">
          <cell r="B1485" t="str">
            <v>1791-05</v>
          </cell>
          <cell r="C1485" t="str">
            <v>BODY</v>
          </cell>
          <cell r="D1485">
            <v>109.5</v>
          </cell>
          <cell r="N1485" t="str">
            <v>1791-05</v>
          </cell>
          <cell r="O1485" t="str">
            <v>BODY</v>
          </cell>
          <cell r="P1485">
            <v>219</v>
          </cell>
        </row>
        <row r="1486">
          <cell r="B1486" t="str">
            <v>661-21</v>
          </cell>
          <cell r="C1486" t="str">
            <v>BODY</v>
          </cell>
          <cell r="D1486">
            <v>109.5</v>
          </cell>
          <cell r="N1486" t="str">
            <v>661-21</v>
          </cell>
          <cell r="O1486" t="str">
            <v>BODY</v>
          </cell>
          <cell r="P1486">
            <v>219</v>
          </cell>
        </row>
        <row r="1487">
          <cell r="B1487" t="str">
            <v>661-28</v>
          </cell>
          <cell r="C1487" t="str">
            <v>BODY</v>
          </cell>
          <cell r="D1487">
            <v>107.5</v>
          </cell>
          <cell r="N1487" t="str">
            <v>661-28</v>
          </cell>
          <cell r="O1487" t="str">
            <v>BODY</v>
          </cell>
          <cell r="P1487">
            <v>215</v>
          </cell>
        </row>
        <row r="1488">
          <cell r="B1488" t="str">
            <v>671-08</v>
          </cell>
          <cell r="C1488" t="str">
            <v>PISTON</v>
          </cell>
          <cell r="D1488">
            <v>109.5</v>
          </cell>
          <cell r="N1488" t="str">
            <v>671-08</v>
          </cell>
          <cell r="O1488" t="str">
            <v>PISTON</v>
          </cell>
          <cell r="P1488">
            <v>219</v>
          </cell>
        </row>
        <row r="1489">
          <cell r="B1489" t="str">
            <v>735-01</v>
          </cell>
          <cell r="C1489" t="str">
            <v>BODY</v>
          </cell>
          <cell r="D1489">
            <v>103</v>
          </cell>
          <cell r="N1489" t="str">
            <v>735-01</v>
          </cell>
          <cell r="O1489" t="str">
            <v>BODY</v>
          </cell>
          <cell r="P1489">
            <v>206</v>
          </cell>
        </row>
        <row r="1490">
          <cell r="B1490" t="str">
            <v>787-08</v>
          </cell>
          <cell r="C1490" t="str">
            <v>BODY</v>
          </cell>
          <cell r="D1490">
            <v>108.5</v>
          </cell>
          <cell r="N1490" t="str">
            <v>787-08</v>
          </cell>
          <cell r="O1490" t="str">
            <v>BODY</v>
          </cell>
          <cell r="P1490">
            <v>217</v>
          </cell>
        </row>
        <row r="1491">
          <cell r="B1491" t="str">
            <v>787-08</v>
          </cell>
          <cell r="C1491" t="str">
            <v>BODY</v>
          </cell>
          <cell r="D1491">
            <v>108.5</v>
          </cell>
          <cell r="N1491" t="str">
            <v>787-08</v>
          </cell>
          <cell r="O1491" t="str">
            <v>BODY</v>
          </cell>
          <cell r="P1491">
            <v>217</v>
          </cell>
        </row>
        <row r="1492">
          <cell r="B1492" t="str">
            <v>787-17</v>
          </cell>
          <cell r="C1492" t="str">
            <v>BODY</v>
          </cell>
          <cell r="D1492">
            <v>108</v>
          </cell>
          <cell r="N1492" t="str">
            <v>787-17</v>
          </cell>
          <cell r="O1492" t="str">
            <v>BODY</v>
          </cell>
          <cell r="P1492">
            <v>216</v>
          </cell>
        </row>
        <row r="1493">
          <cell r="B1493" t="str">
            <v>787-17</v>
          </cell>
          <cell r="C1493" t="str">
            <v>BODY</v>
          </cell>
          <cell r="D1493">
            <v>108</v>
          </cell>
          <cell r="N1493" t="str">
            <v>787-17</v>
          </cell>
          <cell r="O1493" t="str">
            <v>BODY</v>
          </cell>
          <cell r="P1493">
            <v>216</v>
          </cell>
        </row>
        <row r="1494">
          <cell r="B1494" t="str">
            <v>853-30</v>
          </cell>
          <cell r="C1494" t="str">
            <v>REB,RETAINER</v>
          </cell>
          <cell r="D1494">
            <v>78</v>
          </cell>
          <cell r="N1494" t="str">
            <v>853-30</v>
          </cell>
          <cell r="O1494" t="str">
            <v>REB,RETAINER</v>
          </cell>
          <cell r="P1494">
            <v>156</v>
          </cell>
        </row>
        <row r="1495">
          <cell r="B1495" t="str">
            <v>1098-06</v>
          </cell>
          <cell r="C1495" t="str">
            <v>BASE VALVE</v>
          </cell>
          <cell r="D1495">
            <v>110</v>
          </cell>
          <cell r="N1495" t="str">
            <v>1098-06</v>
          </cell>
          <cell r="O1495" t="str">
            <v>BASE VALVE</v>
          </cell>
          <cell r="P1495">
            <v>220</v>
          </cell>
        </row>
        <row r="1496">
          <cell r="B1496" t="str">
            <v>1098-07</v>
          </cell>
          <cell r="C1496" t="str">
            <v>BASE VALVE</v>
          </cell>
          <cell r="D1496">
            <v>110</v>
          </cell>
          <cell r="N1496" t="str">
            <v>1098-07</v>
          </cell>
          <cell r="O1496" t="str">
            <v>BASE VALVE</v>
          </cell>
          <cell r="P1496">
            <v>220</v>
          </cell>
        </row>
        <row r="1497">
          <cell r="B1497" t="str">
            <v>1098-07</v>
          </cell>
          <cell r="C1497" t="str">
            <v>BASE VALVE</v>
          </cell>
          <cell r="D1497">
            <v>110</v>
          </cell>
          <cell r="N1497" t="str">
            <v>1098-07</v>
          </cell>
          <cell r="O1497" t="str">
            <v>BASE VALVE</v>
          </cell>
          <cell r="P1497">
            <v>220</v>
          </cell>
        </row>
        <row r="1498">
          <cell r="B1498" t="str">
            <v>1182-08</v>
          </cell>
          <cell r="C1498" t="str">
            <v>VALVE PISTON</v>
          </cell>
          <cell r="D1498">
            <v>110</v>
          </cell>
          <cell r="N1498" t="str">
            <v>1182-08</v>
          </cell>
          <cell r="O1498" t="str">
            <v>VALVE PISTON</v>
          </cell>
          <cell r="P1498">
            <v>220</v>
          </cell>
        </row>
        <row r="1499">
          <cell r="B1499" t="str">
            <v>1400-01</v>
          </cell>
          <cell r="C1499" t="str">
            <v>BODY</v>
          </cell>
          <cell r="D1499">
            <v>110</v>
          </cell>
          <cell r="N1499" t="str">
            <v>1400-01</v>
          </cell>
          <cell r="O1499" t="str">
            <v>BODY</v>
          </cell>
          <cell r="P1499">
            <v>220</v>
          </cell>
        </row>
        <row r="1500">
          <cell r="B1500" t="str">
            <v>1931-02</v>
          </cell>
          <cell r="C1500" t="str">
            <v>RS RETAINER</v>
          </cell>
          <cell r="D1500">
            <v>109</v>
          </cell>
          <cell r="N1500" t="str">
            <v>1931-02</v>
          </cell>
          <cell r="O1500" t="str">
            <v>RS RETAINER</v>
          </cell>
          <cell r="P1500">
            <v>218</v>
          </cell>
        </row>
        <row r="1501">
          <cell r="B1501" t="str">
            <v>1931-05</v>
          </cell>
          <cell r="C1501" t="str">
            <v>RS RETAINER</v>
          </cell>
          <cell r="D1501">
            <v>110</v>
          </cell>
          <cell r="N1501" t="str">
            <v>1931-05</v>
          </cell>
          <cell r="O1501" t="str">
            <v>RS RETAINER</v>
          </cell>
          <cell r="P1501">
            <v>220</v>
          </cell>
        </row>
        <row r="1502">
          <cell r="B1502" t="str">
            <v>2671-06</v>
          </cell>
          <cell r="C1502" t="str">
            <v>PISTON</v>
          </cell>
          <cell r="D1502">
            <v>110</v>
          </cell>
          <cell r="N1502" t="str">
            <v>2671-06</v>
          </cell>
          <cell r="O1502" t="str">
            <v>PISTON</v>
          </cell>
          <cell r="P1502">
            <v>220</v>
          </cell>
        </row>
        <row r="1503">
          <cell r="B1503" t="str">
            <v>432-00</v>
          </cell>
          <cell r="C1503" t="str">
            <v>RACK STOPPER</v>
          </cell>
          <cell r="D1503">
            <v>132</v>
          </cell>
          <cell r="N1503" t="str">
            <v>432-00</v>
          </cell>
          <cell r="O1503" t="str">
            <v>RACK STOPPER</v>
          </cell>
          <cell r="P1503">
            <v>220</v>
          </cell>
        </row>
        <row r="1504">
          <cell r="B1504" t="str">
            <v>508-15</v>
          </cell>
          <cell r="C1504" t="str">
            <v>BODY</v>
          </cell>
          <cell r="D1504">
            <v>105.5</v>
          </cell>
          <cell r="N1504" t="str">
            <v>508-15</v>
          </cell>
          <cell r="O1504" t="str">
            <v>BODY</v>
          </cell>
          <cell r="P1504">
            <v>211</v>
          </cell>
        </row>
        <row r="1505">
          <cell r="B1505" t="str">
            <v>671-06</v>
          </cell>
          <cell r="C1505" t="str">
            <v>PISTON</v>
          </cell>
          <cell r="D1505">
            <v>104</v>
          </cell>
          <cell r="N1505" t="str">
            <v>671-06</v>
          </cell>
          <cell r="O1505" t="str">
            <v>PISTON</v>
          </cell>
          <cell r="P1505">
            <v>208</v>
          </cell>
        </row>
        <row r="1506">
          <cell r="B1506" t="str">
            <v>852-04</v>
          </cell>
          <cell r="C1506" t="str">
            <v>BODY</v>
          </cell>
          <cell r="D1506">
            <v>96</v>
          </cell>
          <cell r="N1506" t="str">
            <v>852-04</v>
          </cell>
          <cell r="O1506" t="str">
            <v>BODY</v>
          </cell>
          <cell r="P1506">
            <v>192</v>
          </cell>
        </row>
        <row r="1507">
          <cell r="B1507" t="str">
            <v>1302-00</v>
          </cell>
          <cell r="C1507" t="str">
            <v>CAM</v>
          </cell>
          <cell r="D1507">
            <v>114.6</v>
          </cell>
          <cell r="N1507" t="str">
            <v>1302-00</v>
          </cell>
          <cell r="O1507" t="str">
            <v>CAM</v>
          </cell>
          <cell r="P1507">
            <v>191</v>
          </cell>
        </row>
        <row r="1508">
          <cell r="B1508" t="str">
            <v>1922-02</v>
          </cell>
          <cell r="C1508" t="str">
            <v>RS RETAINER</v>
          </cell>
          <cell r="D1508">
            <v>108.5</v>
          </cell>
          <cell r="N1508" t="str">
            <v>1922-02</v>
          </cell>
          <cell r="O1508" t="str">
            <v>RS RETAINER</v>
          </cell>
          <cell r="P1508">
            <v>217</v>
          </cell>
        </row>
        <row r="1509">
          <cell r="B1509" t="str">
            <v>1922-02</v>
          </cell>
          <cell r="C1509" t="str">
            <v>RS RETAINER</v>
          </cell>
          <cell r="D1509">
            <v>108.5</v>
          </cell>
          <cell r="N1509" t="str">
            <v>1922-02</v>
          </cell>
          <cell r="O1509" t="str">
            <v>RS RETAINER</v>
          </cell>
          <cell r="P1509">
            <v>217</v>
          </cell>
        </row>
        <row r="1510">
          <cell r="B1510" t="str">
            <v>1922-08</v>
          </cell>
          <cell r="C1510" t="str">
            <v>RS RETAINER</v>
          </cell>
          <cell r="D1510">
            <v>108</v>
          </cell>
          <cell r="N1510" t="str">
            <v>1922-08</v>
          </cell>
          <cell r="O1510" t="str">
            <v>RS RETAINER</v>
          </cell>
          <cell r="P1510">
            <v>216</v>
          </cell>
        </row>
        <row r="1511">
          <cell r="B1511" t="str">
            <v>1931-05</v>
          </cell>
          <cell r="C1511" t="str">
            <v>RS RETAINER</v>
          </cell>
          <cell r="D1511">
            <v>110</v>
          </cell>
          <cell r="N1511" t="str">
            <v>1931-05</v>
          </cell>
          <cell r="O1511" t="str">
            <v>RS RETAINER</v>
          </cell>
          <cell r="P1511">
            <v>220</v>
          </cell>
        </row>
        <row r="1512">
          <cell r="B1512" t="str">
            <v>588-05</v>
          </cell>
          <cell r="C1512" t="str">
            <v>PISTON</v>
          </cell>
          <cell r="D1512">
            <v>110.5</v>
          </cell>
          <cell r="N1512" t="str">
            <v>588-05</v>
          </cell>
          <cell r="O1512" t="str">
            <v>PISTON</v>
          </cell>
          <cell r="P1512">
            <v>221</v>
          </cell>
        </row>
        <row r="1513">
          <cell r="B1513" t="str">
            <v>588-07</v>
          </cell>
          <cell r="C1513" t="str">
            <v>PISTON</v>
          </cell>
          <cell r="D1513">
            <v>107</v>
          </cell>
          <cell r="N1513" t="str">
            <v>588-07</v>
          </cell>
          <cell r="O1513" t="str">
            <v>PISTON</v>
          </cell>
          <cell r="P1513">
            <v>214</v>
          </cell>
        </row>
        <row r="1514">
          <cell r="B1514" t="str">
            <v>661-01</v>
          </cell>
          <cell r="C1514" t="str">
            <v>BODY</v>
          </cell>
          <cell r="D1514">
            <v>88</v>
          </cell>
          <cell r="N1514" t="str">
            <v>661-01</v>
          </cell>
          <cell r="O1514" t="str">
            <v>BODY</v>
          </cell>
          <cell r="P1514">
            <v>176</v>
          </cell>
        </row>
        <row r="1515">
          <cell r="B1515" t="str">
            <v>661-04</v>
          </cell>
          <cell r="C1515" t="str">
            <v>BODY</v>
          </cell>
          <cell r="D1515">
            <v>91.5</v>
          </cell>
          <cell r="N1515" t="str">
            <v>661-04</v>
          </cell>
          <cell r="O1515" t="str">
            <v>BODY</v>
          </cell>
          <cell r="P1515">
            <v>183</v>
          </cell>
        </row>
        <row r="1516">
          <cell r="B1516" t="str">
            <v>661-04</v>
          </cell>
          <cell r="C1516" t="str">
            <v>BODY</v>
          </cell>
          <cell r="D1516">
            <v>91.5</v>
          </cell>
          <cell r="N1516" t="str">
            <v>661-04</v>
          </cell>
          <cell r="O1516" t="str">
            <v>BODY</v>
          </cell>
          <cell r="P1516">
            <v>183</v>
          </cell>
        </row>
        <row r="1517">
          <cell r="B1517" t="str">
            <v>661-06</v>
          </cell>
          <cell r="C1517" t="str">
            <v>BODY</v>
          </cell>
          <cell r="D1517">
            <v>82.5</v>
          </cell>
          <cell r="N1517" t="str">
            <v>661-06</v>
          </cell>
          <cell r="O1517" t="str">
            <v>BODY</v>
          </cell>
          <cell r="P1517">
            <v>165</v>
          </cell>
        </row>
        <row r="1518">
          <cell r="B1518" t="str">
            <v>661-12</v>
          </cell>
          <cell r="C1518" t="str">
            <v>BODY</v>
          </cell>
          <cell r="D1518">
            <v>89.5</v>
          </cell>
          <cell r="N1518" t="str">
            <v>661-12</v>
          </cell>
          <cell r="O1518" t="str">
            <v>BODY</v>
          </cell>
          <cell r="P1518">
            <v>179</v>
          </cell>
        </row>
        <row r="1519">
          <cell r="B1519" t="str">
            <v>661-13</v>
          </cell>
          <cell r="C1519" t="str">
            <v>BODY</v>
          </cell>
          <cell r="D1519">
            <v>88</v>
          </cell>
          <cell r="N1519" t="str">
            <v>661-13</v>
          </cell>
          <cell r="O1519" t="str">
            <v>BODY</v>
          </cell>
          <cell r="P1519">
            <v>176</v>
          </cell>
        </row>
        <row r="1520">
          <cell r="B1520" t="str">
            <v>661-15</v>
          </cell>
          <cell r="C1520" t="str">
            <v>BODY</v>
          </cell>
          <cell r="D1520">
            <v>110.5</v>
          </cell>
          <cell r="N1520" t="str">
            <v>661-15</v>
          </cell>
          <cell r="O1520" t="str">
            <v>BODY</v>
          </cell>
          <cell r="P1520">
            <v>221</v>
          </cell>
        </row>
        <row r="1521">
          <cell r="B1521" t="str">
            <v>786-07</v>
          </cell>
          <cell r="C1521" t="str">
            <v>BODY</v>
          </cell>
          <cell r="D1521">
            <v>89</v>
          </cell>
          <cell r="N1521" t="str">
            <v>786-07</v>
          </cell>
          <cell r="O1521" t="str">
            <v>BODY</v>
          </cell>
          <cell r="P1521">
            <v>178</v>
          </cell>
        </row>
        <row r="1522">
          <cell r="B1522" t="str">
            <v>786-16</v>
          </cell>
          <cell r="C1522" t="str">
            <v>BODY</v>
          </cell>
          <cell r="D1522">
            <v>110.5</v>
          </cell>
          <cell r="N1522" t="str">
            <v>786-16</v>
          </cell>
          <cell r="O1522" t="str">
            <v>BODY</v>
          </cell>
          <cell r="P1522">
            <v>221</v>
          </cell>
        </row>
        <row r="1523">
          <cell r="B1523" t="str">
            <v>786-18</v>
          </cell>
          <cell r="C1523" t="str">
            <v>BODY</v>
          </cell>
          <cell r="D1523">
            <v>110.5</v>
          </cell>
          <cell r="N1523" t="str">
            <v>786-18</v>
          </cell>
          <cell r="O1523" t="str">
            <v>BODY</v>
          </cell>
          <cell r="P1523">
            <v>221</v>
          </cell>
        </row>
        <row r="1524">
          <cell r="B1524" t="str">
            <v>786-20</v>
          </cell>
          <cell r="C1524" t="str">
            <v>BODY</v>
          </cell>
          <cell r="D1524">
            <v>110.5</v>
          </cell>
          <cell r="N1524" t="str">
            <v>786-20</v>
          </cell>
          <cell r="O1524" t="str">
            <v>BODY</v>
          </cell>
          <cell r="P1524">
            <v>221</v>
          </cell>
        </row>
        <row r="1525">
          <cell r="B1525" t="str">
            <v>786-20</v>
          </cell>
          <cell r="C1525" t="str">
            <v>BODY</v>
          </cell>
          <cell r="D1525">
            <v>110.5</v>
          </cell>
          <cell r="N1525" t="str">
            <v>786-20</v>
          </cell>
          <cell r="O1525" t="str">
            <v>BODY</v>
          </cell>
          <cell r="P1525">
            <v>221</v>
          </cell>
        </row>
        <row r="1526">
          <cell r="B1526" t="str">
            <v>852-09</v>
          </cell>
          <cell r="C1526" t="str">
            <v>BODY</v>
          </cell>
          <cell r="D1526">
            <v>93</v>
          </cell>
          <cell r="N1526" t="str">
            <v>852-09</v>
          </cell>
          <cell r="O1526" t="str">
            <v>BODY</v>
          </cell>
          <cell r="P1526">
            <v>186</v>
          </cell>
        </row>
        <row r="1527">
          <cell r="B1527" t="str">
            <v>852-09</v>
          </cell>
          <cell r="C1527" t="str">
            <v>BODY</v>
          </cell>
          <cell r="D1527">
            <v>93</v>
          </cell>
          <cell r="N1527" t="str">
            <v>852-09</v>
          </cell>
          <cell r="O1527" t="str">
            <v>BODY</v>
          </cell>
          <cell r="P1527">
            <v>186</v>
          </cell>
        </row>
        <row r="1528">
          <cell r="B1528" t="str">
            <v>852-09</v>
          </cell>
          <cell r="C1528" t="str">
            <v>BODY</v>
          </cell>
          <cell r="D1528">
            <v>93</v>
          </cell>
          <cell r="N1528" t="str">
            <v>852-09</v>
          </cell>
          <cell r="O1528" t="str">
            <v>BODY</v>
          </cell>
          <cell r="P1528">
            <v>186</v>
          </cell>
        </row>
        <row r="1529">
          <cell r="B1529" t="str">
            <v>1079-03</v>
          </cell>
          <cell r="C1529" t="str">
            <v>BODY</v>
          </cell>
          <cell r="D1529">
            <v>111</v>
          </cell>
          <cell r="N1529" t="str">
            <v>1079-03</v>
          </cell>
          <cell r="O1529" t="str">
            <v>BODY</v>
          </cell>
          <cell r="P1529">
            <v>222</v>
          </cell>
        </row>
        <row r="1530">
          <cell r="B1530" t="str">
            <v>1164-11</v>
          </cell>
          <cell r="C1530" t="str">
            <v>BASE VALVE</v>
          </cell>
          <cell r="D1530">
            <v>108.5</v>
          </cell>
          <cell r="N1530" t="str">
            <v>1164-11</v>
          </cell>
          <cell r="O1530" t="str">
            <v>BASE VALVE</v>
          </cell>
          <cell r="P1530">
            <v>217</v>
          </cell>
        </row>
        <row r="1531">
          <cell r="B1531" t="str">
            <v>1290-02</v>
          </cell>
          <cell r="C1531" t="str">
            <v>PILOT CASE</v>
          </cell>
          <cell r="D1531">
            <v>91</v>
          </cell>
          <cell r="N1531" t="str">
            <v>1290-02</v>
          </cell>
          <cell r="O1531" t="str">
            <v>PILOT CASE</v>
          </cell>
          <cell r="P1531">
            <v>182</v>
          </cell>
        </row>
        <row r="1532">
          <cell r="B1532" t="str">
            <v>1290-02</v>
          </cell>
          <cell r="C1532" t="str">
            <v>PILOT CASE</v>
          </cell>
          <cell r="D1532">
            <v>91</v>
          </cell>
          <cell r="N1532" t="str">
            <v>1290-02</v>
          </cell>
          <cell r="O1532" t="str">
            <v>PILOT CASE</v>
          </cell>
          <cell r="P1532">
            <v>182</v>
          </cell>
        </row>
        <row r="1533">
          <cell r="B1533" t="str">
            <v>1430-01</v>
          </cell>
          <cell r="C1533" t="str">
            <v>BODY</v>
          </cell>
          <cell r="D1533">
            <v>109.5</v>
          </cell>
          <cell r="N1533" t="str">
            <v>1430-01</v>
          </cell>
          <cell r="O1533" t="str">
            <v>BODY</v>
          </cell>
          <cell r="P1533">
            <v>219</v>
          </cell>
        </row>
        <row r="1534">
          <cell r="B1534" t="str">
            <v>1446-02</v>
          </cell>
          <cell r="C1534" t="str">
            <v>BODY</v>
          </cell>
          <cell r="D1534">
            <v>111</v>
          </cell>
          <cell r="N1534" t="str">
            <v>1446-02</v>
          </cell>
          <cell r="O1534" t="str">
            <v>BODY</v>
          </cell>
          <cell r="P1534">
            <v>222</v>
          </cell>
        </row>
        <row r="1535">
          <cell r="B1535" t="str">
            <v>1931-07</v>
          </cell>
          <cell r="C1535" t="str">
            <v>RS RETAINER</v>
          </cell>
          <cell r="D1535">
            <v>111</v>
          </cell>
          <cell r="N1535" t="str">
            <v>1931-07</v>
          </cell>
          <cell r="O1535" t="str">
            <v>RS RETAINER</v>
          </cell>
          <cell r="P1535">
            <v>222</v>
          </cell>
        </row>
        <row r="1536">
          <cell r="B1536" t="str">
            <v>2671-06</v>
          </cell>
          <cell r="C1536" t="str">
            <v>PISTON</v>
          </cell>
          <cell r="D1536">
            <v>110</v>
          </cell>
          <cell r="N1536" t="str">
            <v>2671-06</v>
          </cell>
          <cell r="O1536" t="str">
            <v>PISTON</v>
          </cell>
          <cell r="P1536">
            <v>220</v>
          </cell>
        </row>
        <row r="1537">
          <cell r="B1537" t="str">
            <v>470-01</v>
          </cell>
          <cell r="C1537" t="str">
            <v>REB,RETAINER</v>
          </cell>
          <cell r="D1537">
            <v>111</v>
          </cell>
          <cell r="N1537" t="str">
            <v>470-01</v>
          </cell>
          <cell r="O1537" t="str">
            <v>REB,RETAINER</v>
          </cell>
          <cell r="P1537">
            <v>222</v>
          </cell>
        </row>
        <row r="1538">
          <cell r="B1538" t="str">
            <v>567-14</v>
          </cell>
          <cell r="C1538" t="str">
            <v>BODY</v>
          </cell>
          <cell r="D1538">
            <v>100</v>
          </cell>
          <cell r="N1538" t="str">
            <v>567-14</v>
          </cell>
          <cell r="O1538" t="str">
            <v>BODY</v>
          </cell>
          <cell r="P1538">
            <v>200</v>
          </cell>
        </row>
        <row r="1539">
          <cell r="B1539" t="str">
            <v>584-01</v>
          </cell>
          <cell r="C1539" t="str">
            <v>BODY</v>
          </cell>
          <cell r="D1539">
            <v>101.5</v>
          </cell>
          <cell r="N1539" t="str">
            <v>584-01</v>
          </cell>
          <cell r="O1539" t="str">
            <v>BODY</v>
          </cell>
          <cell r="P1539">
            <v>203</v>
          </cell>
        </row>
        <row r="1540">
          <cell r="B1540" t="str">
            <v>584-02</v>
          </cell>
          <cell r="C1540" t="str">
            <v>BODY</v>
          </cell>
          <cell r="D1540">
            <v>111</v>
          </cell>
          <cell r="N1540" t="str">
            <v>584-02</v>
          </cell>
          <cell r="O1540" t="str">
            <v>BODY</v>
          </cell>
          <cell r="P1540">
            <v>222</v>
          </cell>
        </row>
        <row r="1541">
          <cell r="B1541" t="str">
            <v>588-10</v>
          </cell>
          <cell r="C1541" t="str">
            <v>PISTON</v>
          </cell>
          <cell r="D1541">
            <v>111</v>
          </cell>
          <cell r="N1541" t="str">
            <v>588-10</v>
          </cell>
          <cell r="O1541" t="str">
            <v>PISTON</v>
          </cell>
          <cell r="P1541">
            <v>222</v>
          </cell>
        </row>
        <row r="1542">
          <cell r="B1542" t="str">
            <v>735-01</v>
          </cell>
          <cell r="C1542" t="str">
            <v>BODY</v>
          </cell>
          <cell r="D1542">
            <v>103</v>
          </cell>
          <cell r="N1542" t="str">
            <v>735-01</v>
          </cell>
          <cell r="O1542" t="str">
            <v>BODY</v>
          </cell>
          <cell r="P1542">
            <v>206</v>
          </cell>
        </row>
        <row r="1543">
          <cell r="B1543" t="str">
            <v>852-05</v>
          </cell>
          <cell r="C1543" t="str">
            <v>BODY</v>
          </cell>
          <cell r="D1543">
            <v>100</v>
          </cell>
          <cell r="N1543" t="str">
            <v>852-05</v>
          </cell>
          <cell r="O1543" t="str">
            <v>BODY</v>
          </cell>
          <cell r="P1543">
            <v>200</v>
          </cell>
        </row>
        <row r="1544">
          <cell r="B1544" t="str">
            <v>852-05</v>
          </cell>
          <cell r="C1544" t="str">
            <v>BODY</v>
          </cell>
          <cell r="D1544">
            <v>100</v>
          </cell>
          <cell r="N1544" t="str">
            <v>852-05</v>
          </cell>
          <cell r="O1544" t="str">
            <v>BODY</v>
          </cell>
          <cell r="P1544">
            <v>200</v>
          </cell>
        </row>
        <row r="1545">
          <cell r="B1545" t="str">
            <v>852-06</v>
          </cell>
          <cell r="C1545" t="str">
            <v>BODY</v>
          </cell>
          <cell r="D1545">
            <v>95.5</v>
          </cell>
          <cell r="N1545" t="str">
            <v>852-06</v>
          </cell>
          <cell r="O1545" t="str">
            <v>BODY</v>
          </cell>
          <cell r="P1545">
            <v>191</v>
          </cell>
        </row>
        <row r="1546">
          <cell r="B1546" t="str">
            <v>852-06</v>
          </cell>
          <cell r="C1546" t="str">
            <v>BODY</v>
          </cell>
          <cell r="D1546">
            <v>95.5</v>
          </cell>
          <cell r="N1546" t="str">
            <v>852-06</v>
          </cell>
          <cell r="O1546" t="str">
            <v>BODY</v>
          </cell>
          <cell r="P1546">
            <v>191</v>
          </cell>
        </row>
        <row r="1547">
          <cell r="B1547" t="str">
            <v>852-07</v>
          </cell>
          <cell r="C1547" t="str">
            <v>BODY</v>
          </cell>
          <cell r="D1547">
            <v>92</v>
          </cell>
          <cell r="N1547" t="str">
            <v>852-07</v>
          </cell>
          <cell r="O1547" t="str">
            <v>BODY</v>
          </cell>
          <cell r="P1547">
            <v>184</v>
          </cell>
        </row>
        <row r="1548">
          <cell r="B1548" t="str">
            <v>852-07</v>
          </cell>
          <cell r="C1548" t="str">
            <v>BODY</v>
          </cell>
          <cell r="D1548">
            <v>92</v>
          </cell>
          <cell r="N1548" t="str">
            <v>852-07</v>
          </cell>
          <cell r="O1548" t="str">
            <v>BODY</v>
          </cell>
          <cell r="P1548">
            <v>184</v>
          </cell>
        </row>
        <row r="1549">
          <cell r="B1549" t="str">
            <v>852-15</v>
          </cell>
          <cell r="C1549" t="str">
            <v>BODY</v>
          </cell>
          <cell r="D1549">
            <v>107.5</v>
          </cell>
          <cell r="N1549" t="str">
            <v>852-15</v>
          </cell>
          <cell r="O1549" t="str">
            <v>BODY</v>
          </cell>
          <cell r="P1549">
            <v>215</v>
          </cell>
        </row>
        <row r="1550">
          <cell r="B1550" t="str">
            <v>853-18</v>
          </cell>
          <cell r="C1550" t="str">
            <v>REB,RETAINER</v>
          </cell>
          <cell r="D1550">
            <v>66</v>
          </cell>
          <cell r="N1550" t="str">
            <v>853-18</v>
          </cell>
          <cell r="O1550" t="str">
            <v>REB,RETAINER</v>
          </cell>
          <cell r="P1550">
            <v>132</v>
          </cell>
        </row>
        <row r="1551">
          <cell r="B1551" t="str">
            <v>853-26</v>
          </cell>
          <cell r="C1551" t="str">
            <v>REB,RETAINER</v>
          </cell>
          <cell r="D1551">
            <v>70.5</v>
          </cell>
          <cell r="N1551" t="str">
            <v>853-26</v>
          </cell>
          <cell r="O1551" t="str">
            <v>REB,RETAINER</v>
          </cell>
          <cell r="P1551">
            <v>141</v>
          </cell>
        </row>
        <row r="1552">
          <cell r="B1552" t="str">
            <v>1046-02</v>
          </cell>
          <cell r="C1552" t="str">
            <v>BODY</v>
          </cell>
          <cell r="D1552">
            <v>111.5</v>
          </cell>
          <cell r="N1552" t="str">
            <v>1046-02</v>
          </cell>
          <cell r="O1552" t="str">
            <v>BODY</v>
          </cell>
          <cell r="P1552">
            <v>223</v>
          </cell>
        </row>
        <row r="1553">
          <cell r="B1553" t="str">
            <v>1931-07</v>
          </cell>
          <cell r="C1553" t="str">
            <v>RS RETAINER</v>
          </cell>
          <cell r="D1553">
            <v>111</v>
          </cell>
          <cell r="N1553" t="str">
            <v>1931-07</v>
          </cell>
          <cell r="O1553" t="str">
            <v>RS RETAINER</v>
          </cell>
          <cell r="P1553">
            <v>222</v>
          </cell>
        </row>
        <row r="1554">
          <cell r="B1554" t="str">
            <v>567-14</v>
          </cell>
          <cell r="C1554" t="str">
            <v>BODY</v>
          </cell>
          <cell r="D1554">
            <v>100</v>
          </cell>
          <cell r="N1554" t="str">
            <v>567-14</v>
          </cell>
          <cell r="O1554" t="str">
            <v>BODY</v>
          </cell>
          <cell r="P1554">
            <v>200</v>
          </cell>
        </row>
        <row r="1555">
          <cell r="B1555" t="str">
            <v>749-14</v>
          </cell>
          <cell r="C1555" t="str">
            <v>REB,RETAINER</v>
          </cell>
          <cell r="D1555">
            <v>105</v>
          </cell>
          <cell r="N1555" t="str">
            <v>749-14</v>
          </cell>
          <cell r="O1555" t="str">
            <v>REB,RETAINER</v>
          </cell>
          <cell r="P1555">
            <v>210</v>
          </cell>
        </row>
        <row r="1556">
          <cell r="B1556" t="str">
            <v>787-07</v>
          </cell>
          <cell r="C1556" t="str">
            <v>BODY</v>
          </cell>
          <cell r="D1556">
            <v>106.5</v>
          </cell>
          <cell r="N1556" t="str">
            <v>787-07</v>
          </cell>
          <cell r="O1556" t="str">
            <v>BODY</v>
          </cell>
          <cell r="P1556">
            <v>213</v>
          </cell>
        </row>
        <row r="1557">
          <cell r="B1557" t="str">
            <v>797-02</v>
          </cell>
          <cell r="C1557" t="str">
            <v>BODY</v>
          </cell>
          <cell r="D1557">
            <v>108.5</v>
          </cell>
          <cell r="N1557" t="str">
            <v>797-02</v>
          </cell>
          <cell r="O1557" t="str">
            <v>BODY</v>
          </cell>
          <cell r="P1557">
            <v>217</v>
          </cell>
        </row>
        <row r="1558">
          <cell r="B1558" t="str">
            <v>852-12</v>
          </cell>
          <cell r="C1558" t="str">
            <v>BODY</v>
          </cell>
          <cell r="D1558">
            <v>111.5</v>
          </cell>
          <cell r="N1558" t="str">
            <v>852-12</v>
          </cell>
          <cell r="O1558" t="str">
            <v>BODY</v>
          </cell>
          <cell r="P1558">
            <v>223</v>
          </cell>
        </row>
        <row r="1559">
          <cell r="B1559" t="str">
            <v>1387-01</v>
          </cell>
          <cell r="C1559" t="str">
            <v>TILT CAM</v>
          </cell>
          <cell r="D1559">
            <v>134.4</v>
          </cell>
          <cell r="N1559" t="str">
            <v>1387-01</v>
          </cell>
          <cell r="O1559" t="str">
            <v>TILT CAM</v>
          </cell>
          <cell r="P1559">
            <v>224</v>
          </cell>
        </row>
        <row r="1560">
          <cell r="B1560" t="str">
            <v>1673-06</v>
          </cell>
          <cell r="C1560" t="str">
            <v>RS RETAINER</v>
          </cell>
          <cell r="D1560">
            <v>112</v>
          </cell>
          <cell r="N1560" t="str">
            <v>1673-06</v>
          </cell>
          <cell r="O1560" t="str">
            <v>RS RETAINER</v>
          </cell>
          <cell r="P1560">
            <v>224</v>
          </cell>
        </row>
        <row r="1561">
          <cell r="B1561" t="str">
            <v>648-01</v>
          </cell>
          <cell r="C1561" t="str">
            <v>BODY</v>
          </cell>
          <cell r="D1561">
            <v>112</v>
          </cell>
          <cell r="N1561" t="str">
            <v>648-01</v>
          </cell>
          <cell r="O1561" t="str">
            <v>BODY</v>
          </cell>
          <cell r="P1561">
            <v>224</v>
          </cell>
        </row>
        <row r="1562">
          <cell r="B1562" t="str">
            <v>648-01</v>
          </cell>
          <cell r="C1562" t="str">
            <v>BODY</v>
          </cell>
          <cell r="D1562">
            <v>112</v>
          </cell>
          <cell r="N1562" t="str">
            <v>648-01</v>
          </cell>
          <cell r="O1562" t="str">
            <v>BODY</v>
          </cell>
          <cell r="P1562">
            <v>224</v>
          </cell>
        </row>
        <row r="1563">
          <cell r="B1563" t="str">
            <v>661-08</v>
          </cell>
          <cell r="C1563" t="str">
            <v>BODY</v>
          </cell>
          <cell r="D1563">
            <v>97.5</v>
          </cell>
          <cell r="N1563" t="str">
            <v>661-08</v>
          </cell>
          <cell r="O1563" t="str">
            <v>BODY</v>
          </cell>
          <cell r="P1563">
            <v>195</v>
          </cell>
        </row>
        <row r="1564">
          <cell r="B1564" t="str">
            <v>661-08</v>
          </cell>
          <cell r="C1564" t="str">
            <v>BODY</v>
          </cell>
          <cell r="D1564">
            <v>97.5</v>
          </cell>
          <cell r="N1564" t="str">
            <v>661-08</v>
          </cell>
          <cell r="O1564" t="str">
            <v>BODY</v>
          </cell>
          <cell r="P1564">
            <v>195</v>
          </cell>
        </row>
        <row r="1565">
          <cell r="B1565" t="str">
            <v>749-13</v>
          </cell>
          <cell r="C1565" t="str">
            <v>REB,RETAINER</v>
          </cell>
          <cell r="D1565">
            <v>45.5</v>
          </cell>
          <cell r="N1565" t="str">
            <v>749-13</v>
          </cell>
          <cell r="O1565" t="str">
            <v>REB,RETAINER</v>
          </cell>
          <cell r="P1565">
            <v>91</v>
          </cell>
        </row>
        <row r="1566">
          <cell r="B1566" t="str">
            <v>797-07</v>
          </cell>
          <cell r="C1566" t="str">
            <v>BODY</v>
          </cell>
          <cell r="D1566">
            <v>112</v>
          </cell>
          <cell r="N1566" t="str">
            <v>797-07</v>
          </cell>
          <cell r="O1566" t="str">
            <v>BODY</v>
          </cell>
          <cell r="P1566">
            <v>224</v>
          </cell>
        </row>
        <row r="1567">
          <cell r="B1567" t="str">
            <v>797-07</v>
          </cell>
          <cell r="C1567" t="str">
            <v>BODY</v>
          </cell>
          <cell r="D1567">
            <v>112</v>
          </cell>
          <cell r="N1567" t="str">
            <v>797-07</v>
          </cell>
          <cell r="O1567" t="str">
            <v>BODY</v>
          </cell>
          <cell r="P1567">
            <v>224</v>
          </cell>
        </row>
        <row r="1568">
          <cell r="B1568" t="str">
            <v>853-38</v>
          </cell>
          <cell r="C1568" t="str">
            <v>REB,RETAINER</v>
          </cell>
          <cell r="D1568">
            <v>104</v>
          </cell>
          <cell r="N1568" t="str">
            <v>853-38</v>
          </cell>
          <cell r="O1568" t="str">
            <v>REB,RETAINER</v>
          </cell>
          <cell r="P1568">
            <v>208</v>
          </cell>
        </row>
        <row r="1569">
          <cell r="B1569" t="str">
            <v>853-38</v>
          </cell>
          <cell r="C1569" t="str">
            <v>REB,RETAINER</v>
          </cell>
          <cell r="D1569">
            <v>104</v>
          </cell>
          <cell r="N1569" t="str">
            <v>853-38</v>
          </cell>
          <cell r="O1569" t="str">
            <v>REB,RETAINER</v>
          </cell>
          <cell r="P1569">
            <v>208</v>
          </cell>
        </row>
        <row r="1570">
          <cell r="B1570" t="str">
            <v>1098-18</v>
          </cell>
          <cell r="C1570" t="str">
            <v>BASE VALVE</v>
          </cell>
          <cell r="D1570">
            <v>112.5</v>
          </cell>
          <cell r="N1570" t="str">
            <v>1098-18</v>
          </cell>
          <cell r="O1570" t="str">
            <v>BASE VALVE</v>
          </cell>
          <cell r="P1570">
            <v>225</v>
          </cell>
        </row>
        <row r="1571">
          <cell r="B1571" t="str">
            <v>1129-07</v>
          </cell>
          <cell r="C1571" t="str">
            <v>BASE VALVE</v>
          </cell>
          <cell r="D1571">
            <v>112.5</v>
          </cell>
          <cell r="N1571" t="str">
            <v>1129-07</v>
          </cell>
          <cell r="O1571" t="str">
            <v>BASE VALVE</v>
          </cell>
          <cell r="P1571">
            <v>225</v>
          </cell>
        </row>
        <row r="1572">
          <cell r="B1572" t="str">
            <v>1176-03</v>
          </cell>
          <cell r="C1572" t="str">
            <v>BASE VALVE</v>
          </cell>
          <cell r="D1572">
            <v>112.5</v>
          </cell>
          <cell r="N1572" t="str">
            <v>1176-03</v>
          </cell>
          <cell r="O1572" t="str">
            <v>BASE VALVE</v>
          </cell>
          <cell r="P1572">
            <v>225</v>
          </cell>
        </row>
        <row r="1573">
          <cell r="B1573" t="str">
            <v>1177-06</v>
          </cell>
          <cell r="C1573" t="str">
            <v>BASE VALVE</v>
          </cell>
          <cell r="D1573">
            <v>112.5</v>
          </cell>
          <cell r="N1573" t="str">
            <v>1177-06</v>
          </cell>
          <cell r="O1573" t="str">
            <v>BASE VALVE</v>
          </cell>
          <cell r="P1573">
            <v>225</v>
          </cell>
        </row>
        <row r="1574">
          <cell r="B1574" t="str">
            <v>1177-08</v>
          </cell>
          <cell r="C1574" t="str">
            <v>BASE VALVE</v>
          </cell>
          <cell r="D1574">
            <v>112.5</v>
          </cell>
          <cell r="N1574" t="str">
            <v>1177-08</v>
          </cell>
          <cell r="O1574" t="str">
            <v>BASE VALVE</v>
          </cell>
          <cell r="P1574">
            <v>225</v>
          </cell>
        </row>
        <row r="1575">
          <cell r="B1575" t="str">
            <v>1446-02</v>
          </cell>
          <cell r="C1575" t="str">
            <v>BODY</v>
          </cell>
          <cell r="D1575">
            <v>111</v>
          </cell>
          <cell r="N1575" t="str">
            <v>1446-02</v>
          </cell>
          <cell r="O1575" t="str">
            <v>BODY</v>
          </cell>
          <cell r="P1575">
            <v>222</v>
          </cell>
        </row>
        <row r="1576">
          <cell r="B1576" t="str">
            <v>2037-00</v>
          </cell>
          <cell r="C1576" t="str">
            <v>CAM</v>
          </cell>
          <cell r="D1576">
            <v>135</v>
          </cell>
          <cell r="N1576" t="str">
            <v>2037-00</v>
          </cell>
          <cell r="O1576" t="str">
            <v>CAM</v>
          </cell>
          <cell r="P1576">
            <v>225</v>
          </cell>
        </row>
        <row r="1577">
          <cell r="B1577" t="str">
            <v>371-00</v>
          </cell>
          <cell r="C1577" t="str">
            <v>RACK STOPPER</v>
          </cell>
          <cell r="D1577">
            <v>135</v>
          </cell>
          <cell r="N1577" t="str">
            <v>371-00</v>
          </cell>
          <cell r="O1577" t="str">
            <v>RACK STOPPER</v>
          </cell>
          <cell r="P1577">
            <v>225</v>
          </cell>
        </row>
        <row r="1578">
          <cell r="B1578" t="str">
            <v>382-03</v>
          </cell>
          <cell r="C1578" t="str">
            <v>RACK STOPPER</v>
          </cell>
          <cell r="D1578">
            <v>135</v>
          </cell>
          <cell r="N1578" t="str">
            <v>382-03</v>
          </cell>
          <cell r="O1578" t="str">
            <v>RACK STOPPER</v>
          </cell>
          <cell r="P1578">
            <v>225</v>
          </cell>
        </row>
        <row r="1579">
          <cell r="B1579" t="str">
            <v>516-01</v>
          </cell>
          <cell r="C1579" t="str">
            <v>SUB VALVE BODY</v>
          </cell>
          <cell r="D1579">
            <v>112.5</v>
          </cell>
          <cell r="N1579" t="str">
            <v>516-01</v>
          </cell>
          <cell r="O1579" t="str">
            <v>SUB VALVE BODY</v>
          </cell>
          <cell r="P1579">
            <v>225</v>
          </cell>
        </row>
        <row r="1580">
          <cell r="B1580" t="str">
            <v>595-00</v>
          </cell>
          <cell r="C1580" t="str">
            <v>GUIDE BUSH</v>
          </cell>
          <cell r="D1580">
            <v>112.5</v>
          </cell>
          <cell r="N1580" t="str">
            <v>595-00</v>
          </cell>
          <cell r="O1580" t="str">
            <v>GUIDE BUSH</v>
          </cell>
          <cell r="P1580">
            <v>225</v>
          </cell>
        </row>
        <row r="1581">
          <cell r="B1581" t="str">
            <v>661-14</v>
          </cell>
          <cell r="C1581" t="str">
            <v>BODY</v>
          </cell>
          <cell r="D1581">
            <v>103.5</v>
          </cell>
          <cell r="N1581" t="str">
            <v>661-14</v>
          </cell>
          <cell r="O1581" t="str">
            <v>BODY</v>
          </cell>
          <cell r="P1581">
            <v>207</v>
          </cell>
        </row>
        <row r="1582">
          <cell r="B1582" t="str">
            <v>852-12</v>
          </cell>
          <cell r="C1582" t="str">
            <v>BODY</v>
          </cell>
          <cell r="D1582">
            <v>111.5</v>
          </cell>
          <cell r="N1582" t="str">
            <v>852-12</v>
          </cell>
          <cell r="O1582" t="str">
            <v>BODY</v>
          </cell>
          <cell r="P1582">
            <v>223</v>
          </cell>
        </row>
        <row r="1583">
          <cell r="B1583" t="str">
            <v>861-22</v>
          </cell>
          <cell r="C1583" t="str">
            <v>BODY</v>
          </cell>
          <cell r="D1583">
            <v>112.5</v>
          </cell>
          <cell r="N1583" t="str">
            <v>861-22</v>
          </cell>
          <cell r="O1583" t="str">
            <v>BODY</v>
          </cell>
          <cell r="P1583">
            <v>225</v>
          </cell>
        </row>
        <row r="1584">
          <cell r="B1584" t="str">
            <v>979-01</v>
          </cell>
          <cell r="C1584" t="str">
            <v>PISTON</v>
          </cell>
          <cell r="D1584">
            <v>112.5</v>
          </cell>
          <cell r="N1584" t="str">
            <v>979-01</v>
          </cell>
          <cell r="O1584" t="str">
            <v>PISTON</v>
          </cell>
          <cell r="P1584">
            <v>225</v>
          </cell>
        </row>
        <row r="1585">
          <cell r="B1585" t="str">
            <v>1046-02</v>
          </cell>
          <cell r="C1585" t="str">
            <v>BODY</v>
          </cell>
          <cell r="D1585">
            <v>111.5</v>
          </cell>
          <cell r="N1585" t="str">
            <v>1046-02</v>
          </cell>
          <cell r="O1585" t="str">
            <v>BODY</v>
          </cell>
          <cell r="P1585">
            <v>223</v>
          </cell>
        </row>
        <row r="1586">
          <cell r="B1586" t="str">
            <v>1922-08</v>
          </cell>
          <cell r="C1586" t="str">
            <v>RS RETAINER</v>
          </cell>
          <cell r="D1586">
            <v>108</v>
          </cell>
          <cell r="N1586" t="str">
            <v>1922-08</v>
          </cell>
          <cell r="O1586" t="str">
            <v>RS RETAINER</v>
          </cell>
          <cell r="P1586">
            <v>216</v>
          </cell>
        </row>
        <row r="1587">
          <cell r="B1587" t="str">
            <v>429-01</v>
          </cell>
          <cell r="C1587" t="str">
            <v>PISTON</v>
          </cell>
          <cell r="D1587">
            <v>59</v>
          </cell>
          <cell r="N1587" t="str">
            <v>429-01</v>
          </cell>
          <cell r="O1587" t="str">
            <v>PISTON</v>
          </cell>
          <cell r="P1587">
            <v>118</v>
          </cell>
        </row>
        <row r="1588">
          <cell r="B1588" t="str">
            <v>661-15</v>
          </cell>
          <cell r="C1588" t="str">
            <v>BODY</v>
          </cell>
          <cell r="D1588">
            <v>110.5</v>
          </cell>
          <cell r="N1588" t="str">
            <v>661-15</v>
          </cell>
          <cell r="O1588" t="str">
            <v>BODY</v>
          </cell>
          <cell r="P1588">
            <v>221</v>
          </cell>
        </row>
        <row r="1589">
          <cell r="B1589" t="str">
            <v>853-23</v>
          </cell>
          <cell r="C1589" t="str">
            <v>REB,RETAINER</v>
          </cell>
          <cell r="D1589">
            <v>71</v>
          </cell>
          <cell r="N1589" t="str">
            <v>853-23</v>
          </cell>
          <cell r="O1589" t="str">
            <v>REB,RETAINER</v>
          </cell>
          <cell r="P1589">
            <v>142</v>
          </cell>
        </row>
        <row r="1590">
          <cell r="B1590" t="str">
            <v>981-03</v>
          </cell>
          <cell r="C1590" t="str">
            <v>PISTON</v>
          </cell>
          <cell r="D1590">
            <v>113</v>
          </cell>
          <cell r="N1590" t="str">
            <v>981-03</v>
          </cell>
          <cell r="O1590" t="str">
            <v>PISTON</v>
          </cell>
          <cell r="P1590">
            <v>226</v>
          </cell>
        </row>
        <row r="1591">
          <cell r="B1591" t="str">
            <v>1065-01</v>
          </cell>
          <cell r="C1591" t="str">
            <v>COVER HOUSING</v>
          </cell>
          <cell r="D1591">
            <v>136.19999999999999</v>
          </cell>
          <cell r="N1591" t="str">
            <v>1065-01</v>
          </cell>
          <cell r="O1591" t="str">
            <v>COVER HOUSING</v>
          </cell>
          <cell r="P1591">
            <v>227</v>
          </cell>
        </row>
        <row r="1592">
          <cell r="B1592" t="str">
            <v>1290-02</v>
          </cell>
          <cell r="C1592" t="str">
            <v>PILOT CASE</v>
          </cell>
          <cell r="D1592">
            <v>91</v>
          </cell>
          <cell r="N1592" t="str">
            <v>1290-02</v>
          </cell>
          <cell r="O1592" t="str">
            <v>PILOT CASE</v>
          </cell>
          <cell r="P1592">
            <v>182</v>
          </cell>
        </row>
        <row r="1593">
          <cell r="B1593" t="str">
            <v>1290-02</v>
          </cell>
          <cell r="C1593" t="str">
            <v>PILOT CASE</v>
          </cell>
          <cell r="D1593">
            <v>91</v>
          </cell>
          <cell r="N1593" t="str">
            <v>1290-02</v>
          </cell>
          <cell r="O1593" t="str">
            <v>PILOT CASE</v>
          </cell>
          <cell r="P1593">
            <v>182</v>
          </cell>
        </row>
        <row r="1594">
          <cell r="B1594" t="str">
            <v>1708-00</v>
          </cell>
          <cell r="C1594" t="str">
            <v>CAM</v>
          </cell>
          <cell r="D1594">
            <v>136.19999999999999</v>
          </cell>
          <cell r="N1594" t="str">
            <v>1708-00</v>
          </cell>
          <cell r="O1594" t="str">
            <v>CAM</v>
          </cell>
          <cell r="P1594">
            <v>227</v>
          </cell>
        </row>
        <row r="1595">
          <cell r="B1595" t="str">
            <v>1922-04</v>
          </cell>
          <cell r="C1595" t="str">
            <v>RS RETAINER</v>
          </cell>
          <cell r="D1595">
            <v>108.5</v>
          </cell>
          <cell r="N1595" t="str">
            <v>1922-04</v>
          </cell>
          <cell r="O1595" t="str">
            <v>RS RETAINER</v>
          </cell>
          <cell r="P1595">
            <v>217</v>
          </cell>
        </row>
        <row r="1596">
          <cell r="B1596" t="str">
            <v>1922-04</v>
          </cell>
          <cell r="C1596" t="str">
            <v>RS RETAINER</v>
          </cell>
          <cell r="D1596">
            <v>108.5</v>
          </cell>
          <cell r="N1596" t="str">
            <v>1922-04</v>
          </cell>
          <cell r="O1596" t="str">
            <v>RS RETAINER</v>
          </cell>
          <cell r="P1596">
            <v>217</v>
          </cell>
        </row>
        <row r="1597">
          <cell r="B1597" t="str">
            <v>1922-08</v>
          </cell>
          <cell r="C1597" t="str">
            <v>RS RETAINER</v>
          </cell>
          <cell r="D1597">
            <v>108</v>
          </cell>
          <cell r="N1597" t="str">
            <v>1922-08</v>
          </cell>
          <cell r="O1597" t="str">
            <v>RS RETAINER</v>
          </cell>
          <cell r="P1597">
            <v>216</v>
          </cell>
        </row>
        <row r="1598">
          <cell r="B1598" t="str">
            <v>1922-08</v>
          </cell>
          <cell r="C1598" t="str">
            <v>RS RETAINER</v>
          </cell>
          <cell r="D1598">
            <v>108</v>
          </cell>
          <cell r="N1598" t="str">
            <v>1922-08</v>
          </cell>
          <cell r="O1598" t="str">
            <v>RS RETAINER</v>
          </cell>
          <cell r="P1598">
            <v>216</v>
          </cell>
        </row>
        <row r="1599">
          <cell r="B1599" t="str">
            <v>661-05</v>
          </cell>
          <cell r="C1599" t="str">
            <v>BODY</v>
          </cell>
          <cell r="D1599">
            <v>93.5</v>
          </cell>
          <cell r="N1599" t="str">
            <v>661-05</v>
          </cell>
          <cell r="O1599" t="str">
            <v>BODY</v>
          </cell>
          <cell r="P1599">
            <v>187</v>
          </cell>
        </row>
        <row r="1600">
          <cell r="B1600" t="str">
            <v>661-05</v>
          </cell>
          <cell r="C1600" t="str">
            <v>BODY</v>
          </cell>
          <cell r="D1600">
            <v>93.5</v>
          </cell>
          <cell r="N1600" t="str">
            <v>661-05</v>
          </cell>
          <cell r="O1600" t="str">
            <v>BODY</v>
          </cell>
          <cell r="P1600">
            <v>187</v>
          </cell>
        </row>
        <row r="1601">
          <cell r="B1601" t="str">
            <v>661-15</v>
          </cell>
          <cell r="C1601" t="str">
            <v>BODY</v>
          </cell>
          <cell r="D1601">
            <v>110.5</v>
          </cell>
          <cell r="N1601" t="str">
            <v>661-15</v>
          </cell>
          <cell r="O1601" t="str">
            <v>BODY</v>
          </cell>
          <cell r="P1601">
            <v>221</v>
          </cell>
        </row>
        <row r="1602">
          <cell r="B1602" t="str">
            <v>727-02</v>
          </cell>
          <cell r="C1602" t="str">
            <v>BODY</v>
          </cell>
          <cell r="D1602">
            <v>113.5</v>
          </cell>
          <cell r="N1602" t="str">
            <v>727-02</v>
          </cell>
          <cell r="O1602" t="str">
            <v>BODY</v>
          </cell>
          <cell r="P1602">
            <v>227</v>
          </cell>
        </row>
        <row r="1603">
          <cell r="B1603" t="str">
            <v>727-02</v>
          </cell>
          <cell r="C1603" t="str">
            <v>BODY</v>
          </cell>
          <cell r="D1603">
            <v>113.5</v>
          </cell>
          <cell r="N1603" t="str">
            <v>727-02</v>
          </cell>
          <cell r="O1603" t="str">
            <v>BODY</v>
          </cell>
          <cell r="P1603">
            <v>227</v>
          </cell>
        </row>
        <row r="1604">
          <cell r="B1604" t="str">
            <v>786-13</v>
          </cell>
          <cell r="C1604" t="str">
            <v>BODY</v>
          </cell>
          <cell r="D1604">
            <v>107.5</v>
          </cell>
          <cell r="N1604" t="str">
            <v>786-13</v>
          </cell>
          <cell r="O1604" t="str">
            <v>BODY</v>
          </cell>
          <cell r="P1604">
            <v>215</v>
          </cell>
        </row>
        <row r="1605">
          <cell r="B1605" t="str">
            <v>786-17</v>
          </cell>
          <cell r="C1605" t="str">
            <v>BODY</v>
          </cell>
          <cell r="D1605">
            <v>104.5</v>
          </cell>
          <cell r="N1605" t="str">
            <v>786-17</v>
          </cell>
          <cell r="O1605" t="str">
            <v>BODY</v>
          </cell>
          <cell r="P1605">
            <v>209</v>
          </cell>
        </row>
        <row r="1606">
          <cell r="B1606" t="str">
            <v>861-03</v>
          </cell>
          <cell r="C1606" t="str">
            <v>BODY</v>
          </cell>
          <cell r="D1606">
            <v>113.5</v>
          </cell>
          <cell r="N1606" t="str">
            <v>861-03</v>
          </cell>
          <cell r="O1606" t="str">
            <v>BODY</v>
          </cell>
          <cell r="P1606">
            <v>227</v>
          </cell>
        </row>
        <row r="1607">
          <cell r="B1607" t="str">
            <v>993-00</v>
          </cell>
          <cell r="C1607" t="str">
            <v>SEAT</v>
          </cell>
          <cell r="D1607">
            <v>136.19999999999999</v>
          </cell>
          <cell r="N1607" t="str">
            <v>993-00</v>
          </cell>
          <cell r="O1607" t="str">
            <v>SEAT</v>
          </cell>
          <cell r="P1607">
            <v>227</v>
          </cell>
        </row>
        <row r="1608">
          <cell r="B1608" t="str">
            <v>1065-00</v>
          </cell>
          <cell r="C1608" t="str">
            <v>COVER HOUSING</v>
          </cell>
          <cell r="D1608">
            <v>136.79999999999998</v>
          </cell>
          <cell r="N1608" t="str">
            <v>1065-00</v>
          </cell>
          <cell r="O1608" t="str">
            <v>COVER HOUSING</v>
          </cell>
          <cell r="P1608">
            <v>228</v>
          </cell>
        </row>
        <row r="1609">
          <cell r="B1609" t="str">
            <v>2843-01</v>
          </cell>
          <cell r="C1609" t="str">
            <v>RS RETAINER</v>
          </cell>
          <cell r="D1609">
            <v>114</v>
          </cell>
          <cell r="N1609" t="str">
            <v>2843-01</v>
          </cell>
          <cell r="O1609" t="str">
            <v>RS RETAINER</v>
          </cell>
          <cell r="P1609">
            <v>228</v>
          </cell>
        </row>
        <row r="1610">
          <cell r="B1610" t="str">
            <v>516-02</v>
          </cell>
          <cell r="C1610" t="str">
            <v>SUB VALVE BODY</v>
          </cell>
          <cell r="D1610">
            <v>114</v>
          </cell>
          <cell r="N1610" t="str">
            <v>516-02</v>
          </cell>
          <cell r="O1610" t="str">
            <v>SUB VALVE BODY</v>
          </cell>
          <cell r="P1610">
            <v>228</v>
          </cell>
        </row>
        <row r="1611">
          <cell r="B1611" t="str">
            <v>584-02</v>
          </cell>
          <cell r="C1611" t="str">
            <v>BODY</v>
          </cell>
          <cell r="D1611">
            <v>111</v>
          </cell>
          <cell r="N1611" t="str">
            <v>584-02</v>
          </cell>
          <cell r="O1611" t="str">
            <v>BODY</v>
          </cell>
          <cell r="P1611">
            <v>222</v>
          </cell>
        </row>
        <row r="1612">
          <cell r="B1612" t="str">
            <v>661-13</v>
          </cell>
          <cell r="C1612" t="str">
            <v>BODY</v>
          </cell>
          <cell r="D1612">
            <v>88</v>
          </cell>
          <cell r="N1612" t="str">
            <v>661-13</v>
          </cell>
          <cell r="O1612" t="str">
            <v>BODY</v>
          </cell>
          <cell r="P1612">
            <v>176</v>
          </cell>
        </row>
        <row r="1613">
          <cell r="B1613" t="str">
            <v>786-14</v>
          </cell>
          <cell r="C1613" t="str">
            <v>BODY</v>
          </cell>
          <cell r="D1613">
            <v>104</v>
          </cell>
          <cell r="N1613" t="str">
            <v>786-14</v>
          </cell>
          <cell r="O1613" t="str">
            <v>BODY</v>
          </cell>
          <cell r="P1613">
            <v>208</v>
          </cell>
        </row>
        <row r="1614">
          <cell r="B1614" t="str">
            <v>786-17</v>
          </cell>
          <cell r="C1614" t="str">
            <v>BODY</v>
          </cell>
          <cell r="D1614">
            <v>104.5</v>
          </cell>
          <cell r="N1614" t="str">
            <v>786-17</v>
          </cell>
          <cell r="O1614" t="str">
            <v>BODY</v>
          </cell>
          <cell r="P1614">
            <v>209</v>
          </cell>
        </row>
        <row r="1615">
          <cell r="B1615" t="str">
            <v>1467-00</v>
          </cell>
          <cell r="C1615" t="str">
            <v>CAM</v>
          </cell>
          <cell r="D1615">
            <v>114.5</v>
          </cell>
          <cell r="N1615" t="str">
            <v>1467-00</v>
          </cell>
          <cell r="O1615" t="str">
            <v>CAM</v>
          </cell>
          <cell r="P1615">
            <v>229</v>
          </cell>
        </row>
        <row r="1616">
          <cell r="B1616" t="str">
            <v>1615-01</v>
          </cell>
          <cell r="C1616" t="str">
            <v>BODY</v>
          </cell>
          <cell r="D1616">
            <v>114.5</v>
          </cell>
          <cell r="N1616" t="str">
            <v>1615-01</v>
          </cell>
          <cell r="O1616" t="str">
            <v>BODY</v>
          </cell>
          <cell r="P1616">
            <v>229</v>
          </cell>
        </row>
        <row r="1617">
          <cell r="B1617" t="str">
            <v>1615-01</v>
          </cell>
          <cell r="C1617" t="str">
            <v>BODY</v>
          </cell>
          <cell r="D1617">
            <v>114.5</v>
          </cell>
          <cell r="N1617" t="str">
            <v>1615-01</v>
          </cell>
          <cell r="O1617" t="str">
            <v>BODY</v>
          </cell>
          <cell r="P1617">
            <v>229</v>
          </cell>
        </row>
        <row r="1618">
          <cell r="B1618" t="str">
            <v>1922-02</v>
          </cell>
          <cell r="C1618" t="str">
            <v>RS RETAINER</v>
          </cell>
          <cell r="D1618">
            <v>108.5</v>
          </cell>
          <cell r="N1618" t="str">
            <v>1922-02</v>
          </cell>
          <cell r="O1618" t="str">
            <v>RS RETAINER</v>
          </cell>
          <cell r="P1618">
            <v>217</v>
          </cell>
        </row>
        <row r="1619">
          <cell r="B1619" t="str">
            <v>1931-05</v>
          </cell>
          <cell r="C1619" t="str">
            <v>RS RETAINER</v>
          </cell>
          <cell r="D1619">
            <v>110</v>
          </cell>
          <cell r="N1619" t="str">
            <v>1931-05</v>
          </cell>
          <cell r="O1619" t="str">
            <v>RS RETAINER</v>
          </cell>
          <cell r="P1619">
            <v>220</v>
          </cell>
        </row>
        <row r="1620">
          <cell r="B1620" t="str">
            <v>592-03</v>
          </cell>
          <cell r="C1620" t="str">
            <v>PISTON</v>
          </cell>
          <cell r="D1620">
            <v>114.5</v>
          </cell>
          <cell r="N1620" t="str">
            <v>592-03</v>
          </cell>
          <cell r="O1620" t="str">
            <v>PISTON</v>
          </cell>
          <cell r="P1620">
            <v>229</v>
          </cell>
        </row>
        <row r="1621">
          <cell r="B1621" t="str">
            <v>786-21</v>
          </cell>
          <cell r="C1621" t="str">
            <v>BODY</v>
          </cell>
          <cell r="D1621">
            <v>114.5</v>
          </cell>
          <cell r="N1621" t="str">
            <v>786-21</v>
          </cell>
          <cell r="O1621" t="str">
            <v>BODY</v>
          </cell>
          <cell r="P1621">
            <v>229</v>
          </cell>
        </row>
        <row r="1622">
          <cell r="B1622" t="str">
            <v>797-08</v>
          </cell>
          <cell r="C1622" t="str">
            <v>BODY</v>
          </cell>
          <cell r="D1622">
            <v>114.5</v>
          </cell>
          <cell r="N1622" t="str">
            <v>797-08</v>
          </cell>
          <cell r="O1622" t="str">
            <v>BODY</v>
          </cell>
          <cell r="P1622">
            <v>229</v>
          </cell>
        </row>
        <row r="1623">
          <cell r="B1623" t="str">
            <v>797-08</v>
          </cell>
          <cell r="C1623" t="str">
            <v>BODY</v>
          </cell>
          <cell r="D1623">
            <v>114.5</v>
          </cell>
          <cell r="N1623" t="str">
            <v>797-08</v>
          </cell>
          <cell r="O1623" t="str">
            <v>BODY</v>
          </cell>
          <cell r="P1623">
            <v>229</v>
          </cell>
        </row>
        <row r="1624">
          <cell r="B1624" t="str">
            <v>853-25</v>
          </cell>
          <cell r="C1624" t="str">
            <v>REB,RETAINER</v>
          </cell>
          <cell r="D1624">
            <v>70</v>
          </cell>
          <cell r="N1624" t="str">
            <v>853-25</v>
          </cell>
          <cell r="O1624" t="str">
            <v>REB,RETAINER</v>
          </cell>
          <cell r="P1624">
            <v>140</v>
          </cell>
        </row>
        <row r="1625">
          <cell r="B1625" t="str">
            <v>853-51</v>
          </cell>
          <cell r="C1625" t="str">
            <v>REB,RETAINER</v>
          </cell>
          <cell r="D1625">
            <v>114.5</v>
          </cell>
          <cell r="N1625" t="str">
            <v>853-51</v>
          </cell>
          <cell r="O1625" t="str">
            <v>REB,RETAINER</v>
          </cell>
          <cell r="P1625">
            <v>229</v>
          </cell>
        </row>
        <row r="1626">
          <cell r="B1626" t="str">
            <v>853-53</v>
          </cell>
          <cell r="C1626" t="str">
            <v>REB,RETAINER</v>
          </cell>
          <cell r="D1626">
            <v>114.5</v>
          </cell>
          <cell r="N1626" t="str">
            <v>853-53</v>
          </cell>
          <cell r="O1626" t="str">
            <v>REB,RETAINER</v>
          </cell>
          <cell r="P1626">
            <v>229</v>
          </cell>
        </row>
        <row r="1627">
          <cell r="B1627" t="str">
            <v>044-07</v>
          </cell>
          <cell r="C1627" t="str">
            <v>ROD GUIDE ASS'Y</v>
          </cell>
          <cell r="D1627">
            <v>96.5</v>
          </cell>
          <cell r="N1627" t="str">
            <v>044-07</v>
          </cell>
          <cell r="O1627" t="str">
            <v>ROD GUIDE ASS'Y</v>
          </cell>
          <cell r="P1627">
            <v>193</v>
          </cell>
        </row>
        <row r="1628">
          <cell r="B1628" t="str">
            <v>1176-03</v>
          </cell>
          <cell r="C1628" t="str">
            <v>BASE VALVE</v>
          </cell>
          <cell r="D1628">
            <v>112.5</v>
          </cell>
          <cell r="N1628" t="str">
            <v>1176-03</v>
          </cell>
          <cell r="O1628" t="str">
            <v>BASE VALVE</v>
          </cell>
          <cell r="P1628">
            <v>225</v>
          </cell>
        </row>
        <row r="1629">
          <cell r="B1629" t="str">
            <v>1177-06</v>
          </cell>
          <cell r="C1629" t="str">
            <v>BASE VALVE</v>
          </cell>
          <cell r="D1629">
            <v>112.5</v>
          </cell>
          <cell r="N1629" t="str">
            <v>1177-06</v>
          </cell>
          <cell r="O1629" t="str">
            <v>BASE VALVE</v>
          </cell>
          <cell r="P1629">
            <v>225</v>
          </cell>
        </row>
        <row r="1630">
          <cell r="B1630" t="str">
            <v>1291-00</v>
          </cell>
          <cell r="C1630" t="str">
            <v>PILOT CASE</v>
          </cell>
          <cell r="D1630">
            <v>115</v>
          </cell>
          <cell r="N1630" t="str">
            <v>1291-00</v>
          </cell>
          <cell r="O1630" t="str">
            <v>PILOT CASE</v>
          </cell>
          <cell r="P1630">
            <v>230</v>
          </cell>
        </row>
        <row r="1631">
          <cell r="B1631" t="str">
            <v>1387-01</v>
          </cell>
          <cell r="C1631" t="str">
            <v>TILT CAM</v>
          </cell>
          <cell r="D1631">
            <v>134.4</v>
          </cell>
          <cell r="N1631" t="str">
            <v>1387-01</v>
          </cell>
          <cell r="O1631" t="str">
            <v>TILT CAM</v>
          </cell>
          <cell r="P1631">
            <v>224</v>
          </cell>
        </row>
        <row r="1632">
          <cell r="B1632" t="str">
            <v>1387-01</v>
          </cell>
          <cell r="C1632" t="str">
            <v>TILT CAM</v>
          </cell>
          <cell r="D1632">
            <v>134.4</v>
          </cell>
          <cell r="N1632" t="str">
            <v>1387-01</v>
          </cell>
          <cell r="O1632" t="str">
            <v>TILT CAM</v>
          </cell>
          <cell r="P1632">
            <v>224</v>
          </cell>
        </row>
        <row r="1633">
          <cell r="B1633" t="str">
            <v>1387-01</v>
          </cell>
          <cell r="C1633" t="str">
            <v>TILT CAM</v>
          </cell>
          <cell r="D1633">
            <v>134.4</v>
          </cell>
          <cell r="N1633" t="str">
            <v>1387-01</v>
          </cell>
          <cell r="O1633" t="str">
            <v>TILT CAM</v>
          </cell>
          <cell r="P1633">
            <v>224</v>
          </cell>
        </row>
        <row r="1634">
          <cell r="B1634" t="str">
            <v>1430-01</v>
          </cell>
          <cell r="C1634" t="str">
            <v>BODY</v>
          </cell>
          <cell r="D1634">
            <v>109.5</v>
          </cell>
          <cell r="N1634" t="str">
            <v>1430-01</v>
          </cell>
          <cell r="O1634" t="str">
            <v>BODY</v>
          </cell>
          <cell r="P1634">
            <v>219</v>
          </cell>
        </row>
        <row r="1635">
          <cell r="B1635" t="str">
            <v>1922-02</v>
          </cell>
          <cell r="C1635" t="str">
            <v>RS RETAINER</v>
          </cell>
          <cell r="D1635">
            <v>108.5</v>
          </cell>
          <cell r="N1635" t="str">
            <v>1922-02</v>
          </cell>
          <cell r="O1635" t="str">
            <v>RS RETAINER</v>
          </cell>
          <cell r="P1635">
            <v>217</v>
          </cell>
        </row>
        <row r="1636">
          <cell r="B1636" t="str">
            <v>1922-02</v>
          </cell>
          <cell r="C1636" t="str">
            <v>RS RETAINER</v>
          </cell>
          <cell r="D1636">
            <v>108.5</v>
          </cell>
          <cell r="N1636" t="str">
            <v>1922-02</v>
          </cell>
          <cell r="O1636" t="str">
            <v>RS RETAINER</v>
          </cell>
          <cell r="P1636">
            <v>217</v>
          </cell>
        </row>
        <row r="1637">
          <cell r="B1637" t="str">
            <v>1922-02</v>
          </cell>
          <cell r="C1637" t="str">
            <v>RS RETAINER</v>
          </cell>
          <cell r="D1637">
            <v>108.5</v>
          </cell>
          <cell r="N1637" t="str">
            <v>1922-02</v>
          </cell>
          <cell r="O1637" t="str">
            <v>RS RETAINER</v>
          </cell>
          <cell r="P1637">
            <v>217</v>
          </cell>
        </row>
        <row r="1638">
          <cell r="B1638" t="str">
            <v>1931-05</v>
          </cell>
          <cell r="C1638" t="str">
            <v>RS RETAINER</v>
          </cell>
          <cell r="D1638">
            <v>110</v>
          </cell>
          <cell r="N1638" t="str">
            <v>1931-05</v>
          </cell>
          <cell r="O1638" t="str">
            <v>RS RETAINER</v>
          </cell>
          <cell r="P1638">
            <v>220</v>
          </cell>
        </row>
        <row r="1639">
          <cell r="B1639" t="str">
            <v>1931-05</v>
          </cell>
          <cell r="C1639" t="str">
            <v>RS RETAINER</v>
          </cell>
          <cell r="D1639">
            <v>110</v>
          </cell>
          <cell r="N1639" t="str">
            <v>1931-05</v>
          </cell>
          <cell r="O1639" t="str">
            <v>RS RETAINER</v>
          </cell>
          <cell r="P1639">
            <v>220</v>
          </cell>
        </row>
        <row r="1640">
          <cell r="B1640" t="str">
            <v>1931-05</v>
          </cell>
          <cell r="C1640" t="str">
            <v>RS RETAINER</v>
          </cell>
          <cell r="D1640">
            <v>110</v>
          </cell>
          <cell r="N1640" t="str">
            <v>1931-05</v>
          </cell>
          <cell r="O1640" t="str">
            <v>RS RETAINER</v>
          </cell>
          <cell r="P1640">
            <v>220</v>
          </cell>
        </row>
        <row r="1641">
          <cell r="B1641" t="str">
            <v>661-06</v>
          </cell>
          <cell r="C1641" t="str">
            <v>BODY</v>
          </cell>
          <cell r="D1641">
            <v>82.5</v>
          </cell>
          <cell r="N1641" t="str">
            <v>661-06</v>
          </cell>
          <cell r="O1641" t="str">
            <v>BODY</v>
          </cell>
          <cell r="P1641">
            <v>165</v>
          </cell>
        </row>
        <row r="1642">
          <cell r="B1642" t="str">
            <v>661-07</v>
          </cell>
          <cell r="C1642" t="str">
            <v>BODY</v>
          </cell>
          <cell r="D1642">
            <v>115</v>
          </cell>
          <cell r="N1642" t="str">
            <v>661-07</v>
          </cell>
          <cell r="O1642" t="str">
            <v>BODY</v>
          </cell>
          <cell r="P1642">
            <v>230</v>
          </cell>
        </row>
        <row r="1643">
          <cell r="B1643" t="str">
            <v>661-21</v>
          </cell>
          <cell r="C1643" t="str">
            <v>BODY</v>
          </cell>
          <cell r="D1643">
            <v>109.5</v>
          </cell>
          <cell r="N1643" t="str">
            <v>661-21</v>
          </cell>
          <cell r="O1643" t="str">
            <v>BODY</v>
          </cell>
          <cell r="P1643">
            <v>219</v>
          </cell>
        </row>
        <row r="1644">
          <cell r="B1644" t="str">
            <v>661-21</v>
          </cell>
          <cell r="C1644" t="str">
            <v>BODY</v>
          </cell>
          <cell r="D1644">
            <v>109.5</v>
          </cell>
          <cell r="N1644" t="str">
            <v>661-21</v>
          </cell>
          <cell r="O1644" t="str">
            <v>BODY</v>
          </cell>
          <cell r="P1644">
            <v>219</v>
          </cell>
        </row>
        <row r="1645">
          <cell r="B1645" t="str">
            <v>661-21</v>
          </cell>
          <cell r="C1645" t="str">
            <v>BODY</v>
          </cell>
          <cell r="D1645">
            <v>109.5</v>
          </cell>
          <cell r="N1645" t="str">
            <v>661-21</v>
          </cell>
          <cell r="O1645" t="str">
            <v>BODY</v>
          </cell>
          <cell r="P1645">
            <v>219</v>
          </cell>
        </row>
        <row r="1646">
          <cell r="B1646" t="str">
            <v>785-01</v>
          </cell>
          <cell r="C1646" t="str">
            <v>BODY</v>
          </cell>
          <cell r="D1646">
            <v>85.5</v>
          </cell>
          <cell r="N1646" t="str">
            <v>785-01</v>
          </cell>
          <cell r="O1646" t="str">
            <v>BODY</v>
          </cell>
          <cell r="P1646">
            <v>171</v>
          </cell>
        </row>
        <row r="1647">
          <cell r="B1647" t="str">
            <v>785-01</v>
          </cell>
          <cell r="C1647" t="str">
            <v>BODY</v>
          </cell>
          <cell r="D1647">
            <v>85.5</v>
          </cell>
          <cell r="N1647" t="str">
            <v>785-01</v>
          </cell>
          <cell r="O1647" t="str">
            <v>BODY</v>
          </cell>
          <cell r="P1647">
            <v>171</v>
          </cell>
        </row>
        <row r="1648">
          <cell r="B1648" t="str">
            <v>797-09</v>
          </cell>
          <cell r="C1648" t="str">
            <v>BODY</v>
          </cell>
          <cell r="D1648">
            <v>115</v>
          </cell>
          <cell r="N1648" t="str">
            <v>797-09</v>
          </cell>
          <cell r="O1648" t="str">
            <v>BODY</v>
          </cell>
          <cell r="P1648">
            <v>230</v>
          </cell>
        </row>
        <row r="1649">
          <cell r="B1649" t="str">
            <v>853-17</v>
          </cell>
          <cell r="C1649" t="str">
            <v>REB,RETAINER</v>
          </cell>
          <cell r="D1649">
            <v>94.5</v>
          </cell>
          <cell r="N1649" t="str">
            <v>853-17</v>
          </cell>
          <cell r="O1649" t="str">
            <v>REB,RETAINER</v>
          </cell>
          <cell r="P1649">
            <v>189</v>
          </cell>
        </row>
        <row r="1650">
          <cell r="B1650" t="str">
            <v>853-27</v>
          </cell>
          <cell r="C1650" t="str">
            <v>REB,RETAINER</v>
          </cell>
          <cell r="D1650">
            <v>69</v>
          </cell>
          <cell r="N1650" t="str">
            <v>853-27</v>
          </cell>
          <cell r="O1650" t="str">
            <v>REB,RETAINER</v>
          </cell>
          <cell r="P1650">
            <v>138</v>
          </cell>
        </row>
        <row r="1651">
          <cell r="B1651" t="str">
            <v>853-28</v>
          </cell>
          <cell r="C1651" t="str">
            <v>REB,RETAINER</v>
          </cell>
          <cell r="D1651">
            <v>69.5</v>
          </cell>
          <cell r="N1651" t="str">
            <v>853-28</v>
          </cell>
          <cell r="O1651" t="str">
            <v>REB,RETAINER</v>
          </cell>
          <cell r="P1651">
            <v>139</v>
          </cell>
        </row>
        <row r="1652">
          <cell r="B1652" t="str">
            <v>853-28</v>
          </cell>
          <cell r="C1652" t="str">
            <v>REB,RETAINER</v>
          </cell>
          <cell r="D1652">
            <v>69.5</v>
          </cell>
          <cell r="N1652" t="str">
            <v>853-28</v>
          </cell>
          <cell r="O1652" t="str">
            <v>REB,RETAINER</v>
          </cell>
          <cell r="P1652">
            <v>139</v>
          </cell>
        </row>
        <row r="1653">
          <cell r="B1653" t="str">
            <v>853-54</v>
          </cell>
          <cell r="C1653" t="str">
            <v>REB,RETAINER</v>
          </cell>
          <cell r="D1653">
            <v>102</v>
          </cell>
          <cell r="N1653" t="str">
            <v>853-54</v>
          </cell>
          <cell r="O1653" t="str">
            <v>REB,RETAINER</v>
          </cell>
          <cell r="P1653">
            <v>204</v>
          </cell>
        </row>
        <row r="1654">
          <cell r="B1654" t="str">
            <v>1069-01</v>
          </cell>
          <cell r="C1654" t="str">
            <v>PISTON</v>
          </cell>
          <cell r="D1654">
            <v>99</v>
          </cell>
          <cell r="N1654" t="str">
            <v>1069-01</v>
          </cell>
          <cell r="O1654" t="str">
            <v>PISTON</v>
          </cell>
          <cell r="P1654">
            <v>198</v>
          </cell>
        </row>
        <row r="1655">
          <cell r="B1655" t="str">
            <v>1387-01</v>
          </cell>
          <cell r="C1655" t="str">
            <v>TILT CAM</v>
          </cell>
          <cell r="D1655">
            <v>134.4</v>
          </cell>
          <cell r="N1655" t="str">
            <v>1387-01</v>
          </cell>
          <cell r="O1655" t="str">
            <v>TILT CAM</v>
          </cell>
          <cell r="P1655">
            <v>224</v>
          </cell>
        </row>
        <row r="1656">
          <cell r="B1656" t="str">
            <v>1387-01</v>
          </cell>
          <cell r="C1656" t="str">
            <v>TILT CAM</v>
          </cell>
          <cell r="D1656">
            <v>134.4</v>
          </cell>
          <cell r="N1656" t="str">
            <v>1387-01</v>
          </cell>
          <cell r="O1656" t="str">
            <v>TILT CAM</v>
          </cell>
          <cell r="P1656">
            <v>224</v>
          </cell>
        </row>
        <row r="1657">
          <cell r="B1657" t="str">
            <v>1446-01</v>
          </cell>
          <cell r="C1657" t="str">
            <v>BODY</v>
          </cell>
          <cell r="D1657">
            <v>100</v>
          </cell>
          <cell r="N1657" t="str">
            <v>1446-01</v>
          </cell>
          <cell r="O1657" t="str">
            <v>BODY</v>
          </cell>
          <cell r="P1657">
            <v>200</v>
          </cell>
        </row>
        <row r="1658">
          <cell r="B1658" t="str">
            <v>1446-02</v>
          </cell>
          <cell r="C1658" t="str">
            <v>BODY</v>
          </cell>
          <cell r="D1658">
            <v>111</v>
          </cell>
          <cell r="N1658" t="str">
            <v>1446-02</v>
          </cell>
          <cell r="O1658" t="str">
            <v>BODY</v>
          </cell>
          <cell r="P1658">
            <v>222</v>
          </cell>
        </row>
        <row r="1659">
          <cell r="B1659" t="str">
            <v>1559-00</v>
          </cell>
          <cell r="C1659" t="str">
            <v>CAM</v>
          </cell>
          <cell r="D1659">
            <v>138.6</v>
          </cell>
          <cell r="N1659" t="str">
            <v>1559-00</v>
          </cell>
          <cell r="O1659" t="str">
            <v>CAM</v>
          </cell>
          <cell r="P1659">
            <v>231</v>
          </cell>
        </row>
        <row r="1660">
          <cell r="B1660" t="str">
            <v>749-17</v>
          </cell>
          <cell r="C1660" t="str">
            <v>REB,RETAINER</v>
          </cell>
          <cell r="D1660">
            <v>94</v>
          </cell>
          <cell r="N1660" t="str">
            <v>749-17</v>
          </cell>
          <cell r="O1660" t="str">
            <v>REB,RETAINER</v>
          </cell>
          <cell r="P1660">
            <v>188</v>
          </cell>
        </row>
        <row r="1661">
          <cell r="B1661" t="str">
            <v>797-12</v>
          </cell>
          <cell r="C1661" t="str">
            <v>BODY</v>
          </cell>
          <cell r="D1661">
            <v>115.5</v>
          </cell>
          <cell r="N1661" t="str">
            <v>797-12</v>
          </cell>
          <cell r="O1661" t="str">
            <v>BODY</v>
          </cell>
          <cell r="P1661">
            <v>231</v>
          </cell>
        </row>
        <row r="1662">
          <cell r="B1662" t="str">
            <v>853-30</v>
          </cell>
          <cell r="C1662" t="str">
            <v>REB,RETAINER</v>
          </cell>
          <cell r="D1662">
            <v>78</v>
          </cell>
          <cell r="N1662" t="str">
            <v>853-30</v>
          </cell>
          <cell r="O1662" t="str">
            <v>REB,RETAINER</v>
          </cell>
          <cell r="P1662">
            <v>156</v>
          </cell>
        </row>
        <row r="1663">
          <cell r="B1663" t="str">
            <v>853-43</v>
          </cell>
          <cell r="C1663" t="str">
            <v>REB,RETAINER</v>
          </cell>
          <cell r="D1663">
            <v>102</v>
          </cell>
          <cell r="N1663" t="str">
            <v>853-43</v>
          </cell>
          <cell r="O1663" t="str">
            <v>REB,RETAINER</v>
          </cell>
          <cell r="P1663">
            <v>204</v>
          </cell>
        </row>
        <row r="1664">
          <cell r="B1664" t="str">
            <v>1931-02</v>
          </cell>
          <cell r="C1664" t="str">
            <v>RS RETAINER</v>
          </cell>
          <cell r="D1664">
            <v>109</v>
          </cell>
          <cell r="N1664" t="str">
            <v>1931-02</v>
          </cell>
          <cell r="O1664" t="str">
            <v>RS RETAINER</v>
          </cell>
          <cell r="P1664">
            <v>218</v>
          </cell>
        </row>
        <row r="1665">
          <cell r="B1665" t="str">
            <v>1931-05</v>
          </cell>
          <cell r="C1665" t="str">
            <v>RS RETAINER</v>
          </cell>
          <cell r="D1665">
            <v>110</v>
          </cell>
          <cell r="N1665" t="str">
            <v>1931-05</v>
          </cell>
          <cell r="O1665" t="str">
            <v>RS RETAINER</v>
          </cell>
          <cell r="P1665">
            <v>220</v>
          </cell>
        </row>
        <row r="1666">
          <cell r="B1666" t="str">
            <v>1931-07</v>
          </cell>
          <cell r="C1666" t="str">
            <v>RS RETAINER</v>
          </cell>
          <cell r="D1666">
            <v>111</v>
          </cell>
          <cell r="N1666" t="str">
            <v>1931-07</v>
          </cell>
          <cell r="O1666" t="str">
            <v>RS RETAINER</v>
          </cell>
          <cell r="P1666">
            <v>222</v>
          </cell>
        </row>
        <row r="1667">
          <cell r="B1667" t="str">
            <v>787-16</v>
          </cell>
          <cell r="C1667" t="str">
            <v>BODY</v>
          </cell>
          <cell r="D1667">
            <v>116</v>
          </cell>
          <cell r="N1667" t="str">
            <v>787-16</v>
          </cell>
          <cell r="O1667" t="str">
            <v>BODY</v>
          </cell>
          <cell r="P1667">
            <v>232</v>
          </cell>
        </row>
        <row r="1668">
          <cell r="B1668" t="str">
            <v>797-01</v>
          </cell>
          <cell r="C1668" t="str">
            <v>BODY</v>
          </cell>
          <cell r="D1668">
            <v>99</v>
          </cell>
          <cell r="N1668" t="str">
            <v>797-01</v>
          </cell>
          <cell r="O1668" t="str">
            <v>BODY</v>
          </cell>
          <cell r="P1668">
            <v>198</v>
          </cell>
        </row>
        <row r="1669">
          <cell r="B1669" t="str">
            <v>1387-01</v>
          </cell>
          <cell r="C1669" t="str">
            <v>TILT CAM</v>
          </cell>
          <cell r="D1669">
            <v>134.4</v>
          </cell>
          <cell r="N1669" t="str">
            <v>1387-01</v>
          </cell>
          <cell r="O1669" t="str">
            <v>TILT CAM</v>
          </cell>
          <cell r="P1669">
            <v>224</v>
          </cell>
        </row>
        <row r="1670">
          <cell r="B1670" t="str">
            <v>239-02</v>
          </cell>
          <cell r="C1670" t="str">
            <v>ROD GUIDE ASS'Y</v>
          </cell>
          <cell r="D1670">
            <v>93</v>
          </cell>
          <cell r="N1670" t="str">
            <v>239-02</v>
          </cell>
          <cell r="O1670" t="str">
            <v>ROD GUIDE ASS'Y</v>
          </cell>
          <cell r="P1670">
            <v>186</v>
          </cell>
        </row>
        <row r="1671">
          <cell r="B1671" t="str">
            <v>239-02</v>
          </cell>
          <cell r="C1671" t="str">
            <v>ROD GUIDE ASS'Y</v>
          </cell>
          <cell r="D1671">
            <v>93</v>
          </cell>
          <cell r="N1671" t="str">
            <v>239-02</v>
          </cell>
          <cell r="O1671" t="str">
            <v>ROD GUIDE ASS'Y</v>
          </cell>
          <cell r="P1671">
            <v>186</v>
          </cell>
        </row>
        <row r="1672">
          <cell r="B1672" t="str">
            <v>661-14</v>
          </cell>
          <cell r="C1672" t="str">
            <v>BODY</v>
          </cell>
          <cell r="D1672">
            <v>103.5</v>
          </cell>
          <cell r="N1672" t="str">
            <v>661-14</v>
          </cell>
          <cell r="O1672" t="str">
            <v>BODY</v>
          </cell>
          <cell r="P1672">
            <v>207</v>
          </cell>
        </row>
        <row r="1673">
          <cell r="B1673" t="str">
            <v>661-15</v>
          </cell>
          <cell r="C1673" t="str">
            <v>BODY</v>
          </cell>
          <cell r="D1673">
            <v>110.5</v>
          </cell>
          <cell r="N1673" t="str">
            <v>661-15</v>
          </cell>
          <cell r="O1673" t="str">
            <v>BODY</v>
          </cell>
          <cell r="P1673">
            <v>221</v>
          </cell>
        </row>
        <row r="1674">
          <cell r="B1674" t="str">
            <v>671-01</v>
          </cell>
          <cell r="C1674" t="str">
            <v>PISTON</v>
          </cell>
          <cell r="D1674">
            <v>84</v>
          </cell>
          <cell r="N1674" t="str">
            <v>671-01</v>
          </cell>
          <cell r="O1674" t="str">
            <v>PISTON</v>
          </cell>
          <cell r="P1674">
            <v>168</v>
          </cell>
        </row>
        <row r="1675">
          <cell r="B1675" t="str">
            <v>671-02</v>
          </cell>
          <cell r="C1675" t="str">
            <v>PISTON</v>
          </cell>
          <cell r="D1675">
            <v>99.5</v>
          </cell>
          <cell r="N1675" t="str">
            <v>671-02</v>
          </cell>
          <cell r="O1675" t="str">
            <v>PISTON</v>
          </cell>
          <cell r="P1675">
            <v>199</v>
          </cell>
        </row>
        <row r="1676">
          <cell r="B1676" t="str">
            <v>727-01</v>
          </cell>
          <cell r="C1676" t="str">
            <v>BODY</v>
          </cell>
          <cell r="D1676">
            <v>103</v>
          </cell>
          <cell r="N1676" t="str">
            <v>727-01</v>
          </cell>
          <cell r="O1676" t="str">
            <v>BODY</v>
          </cell>
          <cell r="P1676">
            <v>206</v>
          </cell>
        </row>
        <row r="1677">
          <cell r="B1677" t="str">
            <v>853-42</v>
          </cell>
          <cell r="C1677" t="str">
            <v>REB,RETAINER</v>
          </cell>
          <cell r="D1677">
            <v>95.5</v>
          </cell>
          <cell r="N1677" t="str">
            <v>853-42</v>
          </cell>
          <cell r="O1677" t="str">
            <v>REB,RETAINER</v>
          </cell>
          <cell r="P1677">
            <v>191</v>
          </cell>
        </row>
        <row r="1678">
          <cell r="B1678" t="str">
            <v>1176-03</v>
          </cell>
          <cell r="C1678" t="str">
            <v>BASE VALVE</v>
          </cell>
          <cell r="D1678">
            <v>112.5</v>
          </cell>
          <cell r="N1678" t="str">
            <v>1176-03</v>
          </cell>
          <cell r="O1678" t="str">
            <v>BASE VALVE</v>
          </cell>
          <cell r="P1678">
            <v>225</v>
          </cell>
        </row>
        <row r="1679">
          <cell r="B1679" t="str">
            <v>1387-01</v>
          </cell>
          <cell r="C1679" t="str">
            <v>TILT CAM</v>
          </cell>
          <cell r="D1679">
            <v>134.4</v>
          </cell>
          <cell r="N1679" t="str">
            <v>1387-01</v>
          </cell>
          <cell r="O1679" t="str">
            <v>TILT CAM</v>
          </cell>
          <cell r="P1679">
            <v>224</v>
          </cell>
        </row>
        <row r="1680">
          <cell r="B1680" t="str">
            <v>1387-01</v>
          </cell>
          <cell r="C1680" t="str">
            <v>TILT CAM</v>
          </cell>
          <cell r="D1680">
            <v>134.4</v>
          </cell>
          <cell r="N1680" t="str">
            <v>1387-01</v>
          </cell>
          <cell r="O1680" t="str">
            <v>TILT CAM</v>
          </cell>
          <cell r="P1680">
            <v>224</v>
          </cell>
        </row>
        <row r="1681">
          <cell r="B1681" t="str">
            <v>1387-01</v>
          </cell>
          <cell r="C1681" t="str">
            <v>TILT CAM</v>
          </cell>
          <cell r="D1681">
            <v>134.4</v>
          </cell>
          <cell r="N1681" t="str">
            <v>1387-01</v>
          </cell>
          <cell r="O1681" t="str">
            <v>TILT CAM</v>
          </cell>
          <cell r="P1681">
            <v>224</v>
          </cell>
        </row>
        <row r="1682">
          <cell r="B1682" t="str">
            <v>2006-14</v>
          </cell>
          <cell r="C1682" t="str">
            <v>BODY</v>
          </cell>
          <cell r="D1682">
            <v>117</v>
          </cell>
          <cell r="N1682" t="str">
            <v>2006-14</v>
          </cell>
          <cell r="O1682" t="str">
            <v>BODY</v>
          </cell>
          <cell r="P1682">
            <v>234</v>
          </cell>
        </row>
        <row r="1683">
          <cell r="B1683" t="str">
            <v>2006-62</v>
          </cell>
          <cell r="C1683" t="str">
            <v>BODY</v>
          </cell>
          <cell r="D1683">
            <v>117</v>
          </cell>
          <cell r="N1683" t="str">
            <v>2006-62</v>
          </cell>
          <cell r="O1683" t="str">
            <v>BODY</v>
          </cell>
          <cell r="P1683">
            <v>234</v>
          </cell>
        </row>
        <row r="1684">
          <cell r="B1684" t="str">
            <v>205-03</v>
          </cell>
          <cell r="C1684" t="str">
            <v>BODY</v>
          </cell>
          <cell r="D1684">
            <v>117</v>
          </cell>
          <cell r="N1684" t="str">
            <v>205-03</v>
          </cell>
          <cell r="O1684" t="str">
            <v>BODY</v>
          </cell>
          <cell r="P1684">
            <v>234</v>
          </cell>
        </row>
        <row r="1685">
          <cell r="B1685" t="str">
            <v>2412-02</v>
          </cell>
          <cell r="C1685" t="str">
            <v>BODY</v>
          </cell>
          <cell r="D1685">
            <v>117</v>
          </cell>
          <cell r="N1685" t="str">
            <v>2412-02</v>
          </cell>
          <cell r="O1685" t="str">
            <v>BODY</v>
          </cell>
          <cell r="P1685">
            <v>234</v>
          </cell>
        </row>
        <row r="1686">
          <cell r="B1686" t="str">
            <v>2852-15</v>
          </cell>
          <cell r="C1686" t="str">
            <v>BODY</v>
          </cell>
          <cell r="D1686">
            <v>117</v>
          </cell>
          <cell r="N1686" t="str">
            <v>2852-15</v>
          </cell>
          <cell r="O1686" t="str">
            <v>BODY</v>
          </cell>
          <cell r="P1686">
            <v>234</v>
          </cell>
        </row>
        <row r="1687">
          <cell r="B1687" t="str">
            <v>464-26</v>
          </cell>
          <cell r="C1687" t="str">
            <v>PISTON</v>
          </cell>
          <cell r="D1687">
            <v>117</v>
          </cell>
          <cell r="N1687" t="str">
            <v>464-26</v>
          </cell>
          <cell r="O1687" t="str">
            <v>PISTON</v>
          </cell>
          <cell r="P1687">
            <v>234</v>
          </cell>
        </row>
        <row r="1688">
          <cell r="B1688" t="str">
            <v>588-27</v>
          </cell>
          <cell r="C1688" t="str">
            <v>PISTON</v>
          </cell>
          <cell r="D1688">
            <v>117</v>
          </cell>
          <cell r="N1688" t="str">
            <v>588-27</v>
          </cell>
          <cell r="O1688" t="str">
            <v>PISTON</v>
          </cell>
          <cell r="P1688">
            <v>234</v>
          </cell>
        </row>
        <row r="1689">
          <cell r="B1689" t="str">
            <v>661-15</v>
          </cell>
          <cell r="C1689" t="str">
            <v>BODY</v>
          </cell>
          <cell r="D1689">
            <v>110.5</v>
          </cell>
          <cell r="N1689" t="str">
            <v>661-15</v>
          </cell>
          <cell r="O1689" t="str">
            <v>BODY</v>
          </cell>
          <cell r="P1689">
            <v>221</v>
          </cell>
        </row>
        <row r="1690">
          <cell r="B1690" t="str">
            <v>661-28</v>
          </cell>
          <cell r="C1690" t="str">
            <v>BODY</v>
          </cell>
          <cell r="D1690">
            <v>107.5</v>
          </cell>
          <cell r="N1690" t="str">
            <v>661-28</v>
          </cell>
          <cell r="O1690" t="str">
            <v>BODY</v>
          </cell>
          <cell r="P1690">
            <v>215</v>
          </cell>
        </row>
        <row r="1691">
          <cell r="B1691" t="str">
            <v>727-10</v>
          </cell>
          <cell r="C1691" t="str">
            <v>BODY</v>
          </cell>
          <cell r="D1691">
            <v>117</v>
          </cell>
          <cell r="N1691" t="str">
            <v>727-10</v>
          </cell>
          <cell r="O1691" t="str">
            <v>BODY</v>
          </cell>
          <cell r="P1691">
            <v>234</v>
          </cell>
        </row>
        <row r="1692">
          <cell r="B1692" t="str">
            <v>749-14</v>
          </cell>
          <cell r="C1692" t="str">
            <v>REB,RETAINER</v>
          </cell>
          <cell r="D1692">
            <v>105</v>
          </cell>
          <cell r="N1692" t="str">
            <v>749-14</v>
          </cell>
          <cell r="O1692" t="str">
            <v>REB,RETAINER</v>
          </cell>
          <cell r="P1692">
            <v>210</v>
          </cell>
        </row>
        <row r="1693">
          <cell r="B1693" t="str">
            <v>786-20</v>
          </cell>
          <cell r="C1693" t="str">
            <v>BODY</v>
          </cell>
          <cell r="D1693">
            <v>110.5</v>
          </cell>
          <cell r="N1693" t="str">
            <v>786-20</v>
          </cell>
          <cell r="O1693" t="str">
            <v>BODY</v>
          </cell>
          <cell r="P1693">
            <v>221</v>
          </cell>
        </row>
        <row r="1694">
          <cell r="B1694" t="str">
            <v>1551-01</v>
          </cell>
          <cell r="C1694" t="str">
            <v>BODY</v>
          </cell>
          <cell r="D1694">
            <v>117.5</v>
          </cell>
          <cell r="N1694" t="str">
            <v>1551-01</v>
          </cell>
          <cell r="O1694" t="str">
            <v>BODY</v>
          </cell>
          <cell r="P1694">
            <v>235</v>
          </cell>
        </row>
        <row r="1695">
          <cell r="B1695" t="str">
            <v>1590-02</v>
          </cell>
          <cell r="C1695" t="str">
            <v>BODY</v>
          </cell>
          <cell r="D1695">
            <v>117.5</v>
          </cell>
          <cell r="N1695" t="str">
            <v>1590-02</v>
          </cell>
          <cell r="O1695" t="str">
            <v>BODY</v>
          </cell>
          <cell r="P1695">
            <v>235</v>
          </cell>
        </row>
        <row r="1696">
          <cell r="B1696" t="str">
            <v>1590-04</v>
          </cell>
          <cell r="C1696" t="str">
            <v>BODY</v>
          </cell>
          <cell r="D1696">
            <v>117.5</v>
          </cell>
          <cell r="N1696" t="str">
            <v>1590-04</v>
          </cell>
          <cell r="O1696" t="str">
            <v>BODY</v>
          </cell>
          <cell r="P1696">
            <v>235</v>
          </cell>
        </row>
        <row r="1697">
          <cell r="B1697" t="str">
            <v>2412-03</v>
          </cell>
          <cell r="C1697" t="str">
            <v>BODY</v>
          </cell>
          <cell r="D1697">
            <v>117.5</v>
          </cell>
          <cell r="N1697" t="str">
            <v>2412-03</v>
          </cell>
          <cell r="O1697" t="str">
            <v>BODY</v>
          </cell>
          <cell r="P1697">
            <v>235</v>
          </cell>
        </row>
        <row r="1698">
          <cell r="B1698" t="str">
            <v>2412-03</v>
          </cell>
          <cell r="C1698" t="str">
            <v>BODY</v>
          </cell>
          <cell r="D1698">
            <v>117.5</v>
          </cell>
          <cell r="N1698" t="str">
            <v>2412-03</v>
          </cell>
          <cell r="O1698" t="str">
            <v>BODY</v>
          </cell>
          <cell r="P1698">
            <v>235</v>
          </cell>
        </row>
        <row r="1699">
          <cell r="B1699" t="str">
            <v>470-00</v>
          </cell>
          <cell r="C1699" t="str">
            <v>REB,RETAINER</v>
          </cell>
          <cell r="D1699">
            <v>84.5</v>
          </cell>
          <cell r="N1699" t="str">
            <v>470-00</v>
          </cell>
          <cell r="O1699" t="str">
            <v>REB,RETAINER</v>
          </cell>
          <cell r="P1699">
            <v>169</v>
          </cell>
        </row>
        <row r="1700">
          <cell r="B1700" t="str">
            <v>588-22</v>
          </cell>
          <cell r="C1700" t="str">
            <v>PISTON</v>
          </cell>
          <cell r="D1700">
            <v>117.5</v>
          </cell>
          <cell r="N1700" t="str">
            <v>588-22</v>
          </cell>
          <cell r="O1700" t="str">
            <v>PISTON</v>
          </cell>
          <cell r="P1700">
            <v>235</v>
          </cell>
        </row>
        <row r="1701">
          <cell r="B1701" t="str">
            <v>588-26</v>
          </cell>
          <cell r="C1701" t="str">
            <v>PISTON</v>
          </cell>
          <cell r="D1701">
            <v>117.5</v>
          </cell>
          <cell r="N1701" t="str">
            <v>588-26</v>
          </cell>
          <cell r="O1701" t="str">
            <v>PISTON</v>
          </cell>
          <cell r="P1701">
            <v>235</v>
          </cell>
        </row>
        <row r="1702">
          <cell r="B1702" t="str">
            <v>727-03</v>
          </cell>
          <cell r="C1702" t="str">
            <v>BODY</v>
          </cell>
          <cell r="D1702">
            <v>107</v>
          </cell>
          <cell r="N1702" t="str">
            <v>727-03</v>
          </cell>
          <cell r="O1702" t="str">
            <v>BODY</v>
          </cell>
          <cell r="P1702">
            <v>214</v>
          </cell>
        </row>
        <row r="1703">
          <cell r="B1703" t="str">
            <v>852-12</v>
          </cell>
          <cell r="C1703" t="str">
            <v>BODY</v>
          </cell>
          <cell r="D1703">
            <v>111.5</v>
          </cell>
          <cell r="N1703" t="str">
            <v>852-12</v>
          </cell>
          <cell r="O1703" t="str">
            <v>BODY</v>
          </cell>
          <cell r="P1703">
            <v>223</v>
          </cell>
        </row>
        <row r="1704">
          <cell r="B1704" t="str">
            <v>1046-02</v>
          </cell>
          <cell r="C1704" t="str">
            <v>BODY</v>
          </cell>
          <cell r="D1704">
            <v>111.5</v>
          </cell>
          <cell r="N1704" t="str">
            <v>1046-02</v>
          </cell>
          <cell r="O1704" t="str">
            <v>BODY</v>
          </cell>
          <cell r="P1704">
            <v>223</v>
          </cell>
        </row>
        <row r="1705">
          <cell r="B1705" t="str">
            <v>1079-02</v>
          </cell>
          <cell r="C1705" t="str">
            <v>BODY</v>
          </cell>
          <cell r="D1705">
            <v>118</v>
          </cell>
          <cell r="N1705" t="str">
            <v>1079-02</v>
          </cell>
          <cell r="O1705" t="str">
            <v>BODY</v>
          </cell>
          <cell r="P1705">
            <v>236</v>
          </cell>
        </row>
        <row r="1706">
          <cell r="B1706" t="str">
            <v>1114-00</v>
          </cell>
          <cell r="C1706" t="str">
            <v>GUIDE CAM</v>
          </cell>
          <cell r="D1706">
            <v>118</v>
          </cell>
          <cell r="N1706" t="str">
            <v>1114-00</v>
          </cell>
          <cell r="O1706" t="str">
            <v>GUIDE CAM</v>
          </cell>
          <cell r="P1706">
            <v>236</v>
          </cell>
        </row>
        <row r="1707">
          <cell r="B1707" t="str">
            <v>1467-00</v>
          </cell>
          <cell r="C1707" t="str">
            <v>CAM</v>
          </cell>
          <cell r="D1707">
            <v>114.5</v>
          </cell>
          <cell r="N1707" t="str">
            <v>1467-00</v>
          </cell>
          <cell r="O1707" t="str">
            <v>CAM</v>
          </cell>
          <cell r="P1707">
            <v>229</v>
          </cell>
        </row>
        <row r="1708">
          <cell r="B1708" t="str">
            <v>1481-05</v>
          </cell>
          <cell r="C1708" t="str">
            <v>RS RETAINER</v>
          </cell>
          <cell r="D1708">
            <v>118</v>
          </cell>
          <cell r="N1708" t="str">
            <v>1481-05</v>
          </cell>
          <cell r="O1708" t="str">
            <v>RS RETAINER</v>
          </cell>
          <cell r="P1708">
            <v>236</v>
          </cell>
        </row>
        <row r="1709">
          <cell r="B1709" t="str">
            <v>1646-02</v>
          </cell>
          <cell r="C1709" t="str">
            <v>BODY</v>
          </cell>
          <cell r="D1709">
            <v>118</v>
          </cell>
          <cell r="N1709" t="str">
            <v>1646-02</v>
          </cell>
          <cell r="O1709" t="str">
            <v>BODY</v>
          </cell>
          <cell r="P1709">
            <v>236</v>
          </cell>
        </row>
        <row r="1710">
          <cell r="B1710" t="str">
            <v>1646-02</v>
          </cell>
          <cell r="C1710" t="str">
            <v>BODY</v>
          </cell>
          <cell r="D1710">
            <v>118</v>
          </cell>
          <cell r="N1710" t="str">
            <v>1646-02</v>
          </cell>
          <cell r="O1710" t="str">
            <v>BODY</v>
          </cell>
          <cell r="P1710">
            <v>236</v>
          </cell>
        </row>
        <row r="1711">
          <cell r="B1711" t="str">
            <v>1790-13</v>
          </cell>
          <cell r="C1711" t="str">
            <v>BODY</v>
          </cell>
          <cell r="D1711">
            <v>109.5</v>
          </cell>
          <cell r="N1711" t="str">
            <v>1790-13</v>
          </cell>
          <cell r="O1711" t="str">
            <v>BODY</v>
          </cell>
          <cell r="P1711">
            <v>219</v>
          </cell>
        </row>
        <row r="1712">
          <cell r="B1712" t="str">
            <v>673-08</v>
          </cell>
          <cell r="C1712" t="str">
            <v>PISTON</v>
          </cell>
          <cell r="D1712">
            <v>118</v>
          </cell>
          <cell r="N1712" t="str">
            <v>673-08</v>
          </cell>
          <cell r="O1712" t="str">
            <v>PISTON</v>
          </cell>
          <cell r="P1712">
            <v>236</v>
          </cell>
        </row>
        <row r="1713">
          <cell r="B1713" t="str">
            <v>786-14</v>
          </cell>
          <cell r="C1713" t="str">
            <v>BODY</v>
          </cell>
          <cell r="D1713">
            <v>104</v>
          </cell>
          <cell r="N1713" t="str">
            <v>786-14</v>
          </cell>
          <cell r="O1713" t="str">
            <v>BODY</v>
          </cell>
          <cell r="P1713">
            <v>208</v>
          </cell>
        </row>
        <row r="1714">
          <cell r="B1714" t="str">
            <v>1001-00</v>
          </cell>
          <cell r="C1714" t="str">
            <v>PISTON</v>
          </cell>
          <cell r="D1714">
            <v>118.5</v>
          </cell>
          <cell r="N1714" t="str">
            <v>1001-00</v>
          </cell>
          <cell r="O1714" t="str">
            <v>PISTON</v>
          </cell>
          <cell r="P1714">
            <v>237</v>
          </cell>
        </row>
        <row r="1715">
          <cell r="B1715" t="str">
            <v>1673-15</v>
          </cell>
          <cell r="C1715" t="str">
            <v>RS RETAINER</v>
          </cell>
          <cell r="D1715">
            <v>118.5</v>
          </cell>
          <cell r="N1715" t="str">
            <v>1673-15</v>
          </cell>
          <cell r="O1715" t="str">
            <v>RS RETAINER</v>
          </cell>
          <cell r="P1715">
            <v>237</v>
          </cell>
        </row>
        <row r="1716">
          <cell r="B1716" t="str">
            <v>661-22</v>
          </cell>
          <cell r="C1716" t="str">
            <v>BODY</v>
          </cell>
          <cell r="D1716">
            <v>118.5</v>
          </cell>
          <cell r="N1716" t="str">
            <v>661-22</v>
          </cell>
          <cell r="O1716" t="str">
            <v>BODY</v>
          </cell>
          <cell r="P1716">
            <v>237</v>
          </cell>
        </row>
        <row r="1717">
          <cell r="B1717" t="str">
            <v>852-15</v>
          </cell>
          <cell r="C1717" t="str">
            <v>BODY</v>
          </cell>
          <cell r="D1717">
            <v>107.5</v>
          </cell>
          <cell r="N1717" t="str">
            <v>852-15</v>
          </cell>
          <cell r="O1717" t="str">
            <v>BODY</v>
          </cell>
          <cell r="P1717">
            <v>215</v>
          </cell>
        </row>
        <row r="1718">
          <cell r="B1718" t="str">
            <v>1079-03</v>
          </cell>
          <cell r="C1718" t="str">
            <v>BODY</v>
          </cell>
          <cell r="D1718">
            <v>111</v>
          </cell>
          <cell r="N1718" t="str">
            <v>1079-03</v>
          </cell>
          <cell r="O1718" t="str">
            <v>BODY</v>
          </cell>
          <cell r="P1718">
            <v>222</v>
          </cell>
        </row>
        <row r="1719">
          <cell r="B1719" t="str">
            <v>1079-05</v>
          </cell>
          <cell r="C1719" t="str">
            <v>BODY</v>
          </cell>
          <cell r="D1719">
            <v>103</v>
          </cell>
          <cell r="N1719" t="str">
            <v>1079-05</v>
          </cell>
          <cell r="O1719" t="str">
            <v>BODY</v>
          </cell>
          <cell r="P1719">
            <v>206</v>
          </cell>
        </row>
        <row r="1720">
          <cell r="B1720" t="str">
            <v>1430-01</v>
          </cell>
          <cell r="C1720" t="str">
            <v>BODY</v>
          </cell>
          <cell r="D1720">
            <v>109.5</v>
          </cell>
          <cell r="N1720" t="str">
            <v>1430-01</v>
          </cell>
          <cell r="O1720" t="str">
            <v>BODY</v>
          </cell>
          <cell r="P1720">
            <v>219</v>
          </cell>
        </row>
        <row r="1721">
          <cell r="B1721" t="str">
            <v>1590-01</v>
          </cell>
          <cell r="C1721" t="str">
            <v>BODY</v>
          </cell>
          <cell r="D1721">
            <v>119</v>
          </cell>
          <cell r="N1721" t="str">
            <v>1590-01</v>
          </cell>
          <cell r="O1721" t="str">
            <v>BODY</v>
          </cell>
          <cell r="P1721">
            <v>238</v>
          </cell>
        </row>
        <row r="1722">
          <cell r="B1722" t="str">
            <v>1590-02</v>
          </cell>
          <cell r="C1722" t="str">
            <v>BODY</v>
          </cell>
          <cell r="D1722">
            <v>117.5</v>
          </cell>
          <cell r="N1722" t="str">
            <v>1590-02</v>
          </cell>
          <cell r="O1722" t="str">
            <v>BODY</v>
          </cell>
          <cell r="P1722">
            <v>235</v>
          </cell>
        </row>
        <row r="1723">
          <cell r="B1723" t="str">
            <v>1590-04</v>
          </cell>
          <cell r="C1723" t="str">
            <v>BODY</v>
          </cell>
          <cell r="D1723">
            <v>117.5</v>
          </cell>
          <cell r="N1723" t="str">
            <v>1590-04</v>
          </cell>
          <cell r="O1723" t="str">
            <v>BODY</v>
          </cell>
          <cell r="P1723">
            <v>235</v>
          </cell>
        </row>
        <row r="1724">
          <cell r="B1724" t="str">
            <v>1790-11</v>
          </cell>
          <cell r="C1724" t="str">
            <v>BODY</v>
          </cell>
          <cell r="D1724">
            <v>119</v>
          </cell>
          <cell r="N1724" t="str">
            <v>1790-11</v>
          </cell>
          <cell r="O1724" t="str">
            <v>BODY</v>
          </cell>
          <cell r="P1724">
            <v>238</v>
          </cell>
        </row>
        <row r="1725">
          <cell r="B1725" t="str">
            <v>226-03</v>
          </cell>
          <cell r="C1725" t="str">
            <v>ROD GUIDE ASS'Y</v>
          </cell>
          <cell r="D1725">
            <v>119</v>
          </cell>
          <cell r="N1725" t="str">
            <v>226-03</v>
          </cell>
          <cell r="O1725" t="str">
            <v>ROD GUIDE ASS'Y</v>
          </cell>
          <cell r="P1725">
            <v>238</v>
          </cell>
        </row>
        <row r="1726">
          <cell r="B1726" t="str">
            <v>592-04</v>
          </cell>
          <cell r="C1726" t="str">
            <v>PISTON</v>
          </cell>
          <cell r="D1726">
            <v>119</v>
          </cell>
          <cell r="N1726" t="str">
            <v>592-04</v>
          </cell>
          <cell r="O1726" t="str">
            <v>PISTON</v>
          </cell>
          <cell r="P1726">
            <v>238</v>
          </cell>
        </row>
        <row r="1727">
          <cell r="B1727" t="str">
            <v>592-05</v>
          </cell>
          <cell r="C1727" t="str">
            <v>PISTON</v>
          </cell>
          <cell r="D1727">
            <v>119</v>
          </cell>
          <cell r="N1727" t="str">
            <v>592-05</v>
          </cell>
          <cell r="O1727" t="str">
            <v>PISTON</v>
          </cell>
          <cell r="P1727">
            <v>238</v>
          </cell>
        </row>
        <row r="1728">
          <cell r="B1728" t="str">
            <v>749-15</v>
          </cell>
          <cell r="C1728" t="str">
            <v>REB,RETAINER</v>
          </cell>
          <cell r="D1728">
            <v>65.5</v>
          </cell>
          <cell r="N1728" t="str">
            <v>749-15</v>
          </cell>
          <cell r="O1728" t="str">
            <v>REB,RETAINER</v>
          </cell>
          <cell r="P1728">
            <v>131</v>
          </cell>
        </row>
        <row r="1729">
          <cell r="B1729" t="str">
            <v>786-18</v>
          </cell>
          <cell r="C1729" t="str">
            <v>BODY</v>
          </cell>
          <cell r="D1729">
            <v>110.5</v>
          </cell>
          <cell r="N1729" t="str">
            <v>786-18</v>
          </cell>
          <cell r="O1729" t="str">
            <v>BODY</v>
          </cell>
          <cell r="P1729">
            <v>221</v>
          </cell>
        </row>
        <row r="1730">
          <cell r="B1730" t="str">
            <v>787-09</v>
          </cell>
          <cell r="C1730" t="str">
            <v>BODY</v>
          </cell>
          <cell r="D1730">
            <v>119</v>
          </cell>
          <cell r="N1730" t="str">
            <v>787-09</v>
          </cell>
          <cell r="O1730" t="str">
            <v>BODY</v>
          </cell>
          <cell r="P1730">
            <v>238</v>
          </cell>
        </row>
        <row r="1731">
          <cell r="B1731" t="str">
            <v>853-55</v>
          </cell>
          <cell r="C1731" t="str">
            <v>REB,RETAINER</v>
          </cell>
          <cell r="D1731">
            <v>101.5</v>
          </cell>
          <cell r="N1731" t="str">
            <v>853-55</v>
          </cell>
          <cell r="O1731" t="str">
            <v>REB,RETAINER</v>
          </cell>
          <cell r="P1731">
            <v>203</v>
          </cell>
        </row>
        <row r="1732">
          <cell r="B1732" t="str">
            <v>861-16</v>
          </cell>
          <cell r="C1732" t="str">
            <v>BODY</v>
          </cell>
          <cell r="D1732">
            <v>119</v>
          </cell>
          <cell r="N1732" t="str">
            <v>861-16</v>
          </cell>
          <cell r="O1732" t="str">
            <v>BODY</v>
          </cell>
          <cell r="P1732">
            <v>238</v>
          </cell>
        </row>
        <row r="1733">
          <cell r="B1733" t="str">
            <v>861-20</v>
          </cell>
          <cell r="C1733" t="str">
            <v>BODY</v>
          </cell>
          <cell r="D1733">
            <v>98</v>
          </cell>
          <cell r="N1733" t="str">
            <v>861-20</v>
          </cell>
          <cell r="O1733" t="str">
            <v>BODY</v>
          </cell>
          <cell r="P1733">
            <v>196</v>
          </cell>
        </row>
        <row r="1734">
          <cell r="B1734" t="str">
            <v>1615-01</v>
          </cell>
          <cell r="C1734" t="str">
            <v>BODY</v>
          </cell>
          <cell r="D1734">
            <v>114.5</v>
          </cell>
          <cell r="N1734" t="str">
            <v>1615-01</v>
          </cell>
          <cell r="O1734" t="str">
            <v>BODY</v>
          </cell>
          <cell r="P1734">
            <v>229</v>
          </cell>
        </row>
        <row r="1735">
          <cell r="B1735" t="str">
            <v>1646-01</v>
          </cell>
          <cell r="C1735" t="str">
            <v>BODY</v>
          </cell>
          <cell r="D1735">
            <v>119.5</v>
          </cell>
          <cell r="N1735" t="str">
            <v>1646-01</v>
          </cell>
          <cell r="O1735" t="str">
            <v>BODY</v>
          </cell>
          <cell r="P1735">
            <v>239</v>
          </cell>
        </row>
        <row r="1736">
          <cell r="B1736" t="str">
            <v>1646-01</v>
          </cell>
          <cell r="C1736" t="str">
            <v>BODY</v>
          </cell>
          <cell r="D1736">
            <v>119.5</v>
          </cell>
          <cell r="N1736" t="str">
            <v>1646-01</v>
          </cell>
          <cell r="O1736" t="str">
            <v>BODY</v>
          </cell>
          <cell r="P1736">
            <v>239</v>
          </cell>
        </row>
        <row r="1737">
          <cell r="B1737" t="str">
            <v>226-03</v>
          </cell>
          <cell r="C1737" t="str">
            <v>ROD GUIDE ASS'Y</v>
          </cell>
          <cell r="D1737">
            <v>119</v>
          </cell>
          <cell r="N1737" t="str">
            <v>226-03</v>
          </cell>
          <cell r="O1737" t="str">
            <v>ROD GUIDE ASS'Y</v>
          </cell>
          <cell r="P1737">
            <v>238</v>
          </cell>
        </row>
        <row r="1738">
          <cell r="B1738" t="str">
            <v>2671-06</v>
          </cell>
          <cell r="C1738" t="str">
            <v>PISTON</v>
          </cell>
          <cell r="D1738">
            <v>110</v>
          </cell>
          <cell r="N1738" t="str">
            <v>2671-06</v>
          </cell>
          <cell r="O1738" t="str">
            <v>PISTON</v>
          </cell>
          <cell r="P1738">
            <v>220</v>
          </cell>
        </row>
        <row r="1739">
          <cell r="B1739" t="str">
            <v>2671-06</v>
          </cell>
          <cell r="C1739" t="str">
            <v>PISTON</v>
          </cell>
          <cell r="D1739">
            <v>110</v>
          </cell>
          <cell r="N1739" t="str">
            <v>2671-06</v>
          </cell>
          <cell r="O1739" t="str">
            <v>PISTON</v>
          </cell>
          <cell r="P1739">
            <v>220</v>
          </cell>
        </row>
        <row r="1740">
          <cell r="B1740" t="str">
            <v>727-02</v>
          </cell>
          <cell r="C1740" t="str">
            <v>BODY</v>
          </cell>
          <cell r="D1740">
            <v>113.5</v>
          </cell>
          <cell r="N1740" t="str">
            <v>727-02</v>
          </cell>
          <cell r="O1740" t="str">
            <v>BODY</v>
          </cell>
          <cell r="P1740">
            <v>227</v>
          </cell>
        </row>
        <row r="1741">
          <cell r="B1741" t="str">
            <v>727-02</v>
          </cell>
          <cell r="C1741" t="str">
            <v>BODY</v>
          </cell>
          <cell r="D1741">
            <v>113.5</v>
          </cell>
          <cell r="N1741" t="str">
            <v>727-02</v>
          </cell>
          <cell r="O1741" t="str">
            <v>BODY</v>
          </cell>
          <cell r="P1741">
            <v>227</v>
          </cell>
        </row>
        <row r="1742">
          <cell r="B1742" t="str">
            <v>797-07</v>
          </cell>
          <cell r="C1742" t="str">
            <v>BODY</v>
          </cell>
          <cell r="D1742">
            <v>112</v>
          </cell>
          <cell r="N1742" t="str">
            <v>797-07</v>
          </cell>
          <cell r="O1742" t="str">
            <v>BODY</v>
          </cell>
          <cell r="P1742">
            <v>224</v>
          </cell>
        </row>
        <row r="1743">
          <cell r="B1743" t="str">
            <v>1290-00</v>
          </cell>
          <cell r="C1743" t="str">
            <v>PILOT CASE</v>
          </cell>
          <cell r="D1743">
            <v>120</v>
          </cell>
          <cell r="N1743" t="str">
            <v>1290-00</v>
          </cell>
          <cell r="O1743" t="str">
            <v>PILOT CASE</v>
          </cell>
          <cell r="P1743">
            <v>240</v>
          </cell>
        </row>
        <row r="1744">
          <cell r="B1744" t="str">
            <v>1412-02</v>
          </cell>
          <cell r="C1744" t="str">
            <v>BODY</v>
          </cell>
          <cell r="D1744">
            <v>120</v>
          </cell>
          <cell r="N1744" t="str">
            <v>1412-02</v>
          </cell>
          <cell r="O1744" t="str">
            <v>BODY</v>
          </cell>
          <cell r="P1744">
            <v>240</v>
          </cell>
        </row>
        <row r="1745">
          <cell r="B1745" t="str">
            <v>1412-02</v>
          </cell>
          <cell r="C1745" t="str">
            <v>BODY</v>
          </cell>
          <cell r="D1745">
            <v>120</v>
          </cell>
          <cell r="N1745" t="str">
            <v>1412-02</v>
          </cell>
          <cell r="O1745" t="str">
            <v>BODY</v>
          </cell>
          <cell r="P1745">
            <v>240</v>
          </cell>
        </row>
        <row r="1746">
          <cell r="B1746" t="str">
            <v>1446-00</v>
          </cell>
          <cell r="C1746" t="str">
            <v>BODY</v>
          </cell>
          <cell r="D1746">
            <v>120</v>
          </cell>
          <cell r="N1746" t="str">
            <v>1446-00</v>
          </cell>
          <cell r="O1746" t="str">
            <v>BODY</v>
          </cell>
          <cell r="P1746">
            <v>240</v>
          </cell>
        </row>
        <row r="1747">
          <cell r="B1747" t="str">
            <v>1467-00</v>
          </cell>
          <cell r="C1747" t="str">
            <v>CAM</v>
          </cell>
          <cell r="D1747">
            <v>114.5</v>
          </cell>
          <cell r="N1747" t="str">
            <v>1467-00</v>
          </cell>
          <cell r="O1747" t="str">
            <v>CAM</v>
          </cell>
          <cell r="P1747">
            <v>229</v>
          </cell>
        </row>
        <row r="1748">
          <cell r="B1748" t="str">
            <v>1646-01</v>
          </cell>
          <cell r="C1748" t="str">
            <v>BODY</v>
          </cell>
          <cell r="D1748">
            <v>119.5</v>
          </cell>
          <cell r="N1748" t="str">
            <v>1646-01</v>
          </cell>
          <cell r="O1748" t="str">
            <v>BODY</v>
          </cell>
          <cell r="P1748">
            <v>239</v>
          </cell>
        </row>
        <row r="1749">
          <cell r="B1749" t="str">
            <v>1791-06</v>
          </cell>
          <cell r="C1749" t="str">
            <v>BODY</v>
          </cell>
          <cell r="D1749">
            <v>120</v>
          </cell>
          <cell r="N1749" t="str">
            <v>1791-06</v>
          </cell>
          <cell r="O1749" t="str">
            <v>BODY</v>
          </cell>
          <cell r="P1749">
            <v>240</v>
          </cell>
        </row>
        <row r="1750">
          <cell r="B1750" t="str">
            <v>2852-21</v>
          </cell>
          <cell r="C1750" t="str">
            <v>BODY</v>
          </cell>
          <cell r="D1750">
            <v>120</v>
          </cell>
          <cell r="N1750" t="str">
            <v>2852-21</v>
          </cell>
          <cell r="O1750" t="str">
            <v>BODY</v>
          </cell>
          <cell r="P1750">
            <v>240</v>
          </cell>
        </row>
        <row r="1751">
          <cell r="B1751" t="str">
            <v>2852-21</v>
          </cell>
          <cell r="C1751" t="str">
            <v>BODY</v>
          </cell>
          <cell r="D1751">
            <v>120</v>
          </cell>
          <cell r="N1751" t="str">
            <v>2852-21</v>
          </cell>
          <cell r="O1751" t="str">
            <v>BODY</v>
          </cell>
          <cell r="P1751">
            <v>240</v>
          </cell>
        </row>
        <row r="1752">
          <cell r="B1752" t="str">
            <v>673-01</v>
          </cell>
          <cell r="C1752" t="str">
            <v>PISTON</v>
          </cell>
          <cell r="D1752">
            <v>120</v>
          </cell>
          <cell r="N1752" t="str">
            <v>673-01</v>
          </cell>
          <cell r="O1752" t="str">
            <v>PISTON</v>
          </cell>
          <cell r="P1752">
            <v>240</v>
          </cell>
        </row>
        <row r="1753">
          <cell r="B1753" t="str">
            <v>749-03</v>
          </cell>
          <cell r="C1753" t="str">
            <v>REB,RETAINER</v>
          </cell>
          <cell r="D1753">
            <v>64.5</v>
          </cell>
          <cell r="N1753" t="str">
            <v>749-03</v>
          </cell>
          <cell r="O1753" t="str">
            <v>REB,RETAINER</v>
          </cell>
          <cell r="P1753">
            <v>129</v>
          </cell>
        </row>
        <row r="1754">
          <cell r="B1754" t="str">
            <v>786-02</v>
          </cell>
          <cell r="C1754" t="str">
            <v>BODY</v>
          </cell>
          <cell r="D1754">
            <v>84</v>
          </cell>
          <cell r="N1754" t="str">
            <v>786-02</v>
          </cell>
          <cell r="O1754" t="str">
            <v>BODY</v>
          </cell>
          <cell r="P1754">
            <v>168</v>
          </cell>
        </row>
        <row r="1755">
          <cell r="B1755" t="str">
            <v>1167-01</v>
          </cell>
          <cell r="C1755" t="str">
            <v>VALVE CHECK</v>
          </cell>
          <cell r="D1755">
            <v>144.6</v>
          </cell>
          <cell r="N1755" t="str">
            <v>1167-01</v>
          </cell>
          <cell r="O1755" t="str">
            <v>VALVE CHECK</v>
          </cell>
          <cell r="P1755">
            <v>241</v>
          </cell>
        </row>
        <row r="1756">
          <cell r="B1756" t="str">
            <v>1590-05</v>
          </cell>
          <cell r="C1756" t="str">
            <v>BODY</v>
          </cell>
          <cell r="D1756">
            <v>120.5</v>
          </cell>
          <cell r="N1756" t="str">
            <v>1590-05</v>
          </cell>
          <cell r="O1756" t="str">
            <v>BODY</v>
          </cell>
          <cell r="P1756">
            <v>241</v>
          </cell>
        </row>
        <row r="1757">
          <cell r="B1757" t="str">
            <v>239-00</v>
          </cell>
          <cell r="C1757" t="str">
            <v>ROD GUIDE ASS'Y</v>
          </cell>
          <cell r="D1757">
            <v>120.5</v>
          </cell>
          <cell r="N1757" t="str">
            <v>239-00</v>
          </cell>
          <cell r="O1757" t="str">
            <v>ROD GUIDE ASS'Y</v>
          </cell>
          <cell r="P1757">
            <v>241</v>
          </cell>
        </row>
        <row r="1758">
          <cell r="B1758" t="str">
            <v>464-21</v>
          </cell>
          <cell r="C1758" t="str">
            <v>PISTON</v>
          </cell>
          <cell r="D1758">
            <v>120.5</v>
          </cell>
          <cell r="N1758" t="str">
            <v>464-21</v>
          </cell>
          <cell r="O1758" t="str">
            <v>PISTON</v>
          </cell>
          <cell r="P1758">
            <v>241</v>
          </cell>
        </row>
        <row r="1759">
          <cell r="B1759" t="str">
            <v>661-16</v>
          </cell>
          <cell r="C1759" t="str">
            <v>BODY</v>
          </cell>
          <cell r="D1759">
            <v>120.5</v>
          </cell>
          <cell r="N1759" t="str">
            <v>661-16</v>
          </cell>
          <cell r="O1759" t="str">
            <v>BODY</v>
          </cell>
          <cell r="P1759">
            <v>241</v>
          </cell>
        </row>
        <row r="1760">
          <cell r="B1760" t="str">
            <v>786-13</v>
          </cell>
          <cell r="C1760" t="str">
            <v>BODY</v>
          </cell>
          <cell r="D1760">
            <v>107.5</v>
          </cell>
          <cell r="N1760" t="str">
            <v>786-13</v>
          </cell>
          <cell r="O1760" t="str">
            <v>BODY</v>
          </cell>
          <cell r="P1760">
            <v>215</v>
          </cell>
        </row>
        <row r="1761">
          <cell r="B1761" t="str">
            <v>017-01</v>
          </cell>
          <cell r="C1761" t="str">
            <v>PISTON</v>
          </cell>
          <cell r="D1761">
            <v>121</v>
          </cell>
          <cell r="N1761" t="str">
            <v>017-01</v>
          </cell>
          <cell r="O1761" t="str">
            <v>PISTON</v>
          </cell>
          <cell r="P1761">
            <v>242</v>
          </cell>
        </row>
        <row r="1762">
          <cell r="B1762" t="str">
            <v>1446-02</v>
          </cell>
          <cell r="C1762" t="str">
            <v>BODY</v>
          </cell>
          <cell r="D1762">
            <v>111</v>
          </cell>
          <cell r="N1762" t="str">
            <v>1446-02</v>
          </cell>
          <cell r="O1762" t="str">
            <v>BODY</v>
          </cell>
          <cell r="P1762">
            <v>222</v>
          </cell>
        </row>
        <row r="1763">
          <cell r="B1763" t="str">
            <v>1590-04</v>
          </cell>
          <cell r="C1763" t="str">
            <v>BODY</v>
          </cell>
          <cell r="D1763">
            <v>117.5</v>
          </cell>
          <cell r="N1763" t="str">
            <v>1590-04</v>
          </cell>
          <cell r="O1763" t="str">
            <v>BODY</v>
          </cell>
          <cell r="P1763">
            <v>235</v>
          </cell>
        </row>
        <row r="1764">
          <cell r="B1764" t="str">
            <v>1590-08</v>
          </cell>
          <cell r="C1764" t="str">
            <v>BODY</v>
          </cell>
          <cell r="D1764">
            <v>121</v>
          </cell>
          <cell r="N1764" t="str">
            <v>1590-08</v>
          </cell>
          <cell r="O1764" t="str">
            <v>BODY</v>
          </cell>
          <cell r="P1764">
            <v>242</v>
          </cell>
        </row>
        <row r="1765">
          <cell r="B1765" t="str">
            <v>1959-00</v>
          </cell>
          <cell r="C1765" t="str">
            <v>TILT CAM</v>
          </cell>
          <cell r="D1765">
            <v>145.19999999999999</v>
          </cell>
          <cell r="N1765" t="str">
            <v>1959-00</v>
          </cell>
          <cell r="O1765" t="str">
            <v>TILT CAM</v>
          </cell>
          <cell r="P1765">
            <v>242</v>
          </cell>
        </row>
        <row r="1766">
          <cell r="B1766" t="str">
            <v>2412-03</v>
          </cell>
          <cell r="C1766" t="str">
            <v>BODY</v>
          </cell>
          <cell r="D1766">
            <v>117.5</v>
          </cell>
          <cell r="N1766" t="str">
            <v>2412-03</v>
          </cell>
          <cell r="O1766" t="str">
            <v>BODY</v>
          </cell>
          <cell r="P1766">
            <v>235</v>
          </cell>
        </row>
        <row r="1767">
          <cell r="B1767" t="str">
            <v>464-51</v>
          </cell>
          <cell r="C1767" t="str">
            <v>PISTON</v>
          </cell>
          <cell r="D1767">
            <v>121</v>
          </cell>
          <cell r="N1767" t="str">
            <v>464-51</v>
          </cell>
          <cell r="O1767" t="str">
            <v>PISTON</v>
          </cell>
          <cell r="P1767">
            <v>242</v>
          </cell>
        </row>
        <row r="1768">
          <cell r="B1768" t="str">
            <v>673-05</v>
          </cell>
          <cell r="C1768" t="str">
            <v>PISTON</v>
          </cell>
          <cell r="D1768">
            <v>121</v>
          </cell>
          <cell r="N1768" t="str">
            <v>673-05</v>
          </cell>
          <cell r="O1768" t="str">
            <v>PISTON</v>
          </cell>
          <cell r="P1768">
            <v>242</v>
          </cell>
        </row>
        <row r="1769">
          <cell r="B1769" t="str">
            <v>674-05</v>
          </cell>
          <cell r="C1769" t="str">
            <v>REB,RETAINER</v>
          </cell>
          <cell r="D1769">
            <v>121</v>
          </cell>
          <cell r="N1769" t="str">
            <v>674-05</v>
          </cell>
          <cell r="O1769" t="str">
            <v>REB,RETAINER</v>
          </cell>
          <cell r="P1769">
            <v>242</v>
          </cell>
        </row>
        <row r="1770">
          <cell r="B1770" t="str">
            <v>749-18</v>
          </cell>
          <cell r="C1770" t="str">
            <v>REB,RETAINER</v>
          </cell>
          <cell r="D1770">
            <v>121</v>
          </cell>
          <cell r="N1770" t="str">
            <v>749-18</v>
          </cell>
          <cell r="O1770" t="str">
            <v>REB,RETAINER</v>
          </cell>
          <cell r="P1770">
            <v>242</v>
          </cell>
        </row>
        <row r="1771">
          <cell r="B1771" t="str">
            <v>797-02</v>
          </cell>
          <cell r="C1771" t="str">
            <v>BODY</v>
          </cell>
          <cell r="D1771">
            <v>108.5</v>
          </cell>
          <cell r="N1771" t="str">
            <v>797-02</v>
          </cell>
          <cell r="O1771" t="str">
            <v>BODY</v>
          </cell>
          <cell r="P1771">
            <v>217</v>
          </cell>
        </row>
        <row r="1772">
          <cell r="B1772" t="str">
            <v>1369-01</v>
          </cell>
          <cell r="C1772" t="str">
            <v>BODY</v>
          </cell>
          <cell r="D1772">
            <v>121.5</v>
          </cell>
          <cell r="N1772" t="str">
            <v>1369-01</v>
          </cell>
          <cell r="O1772" t="str">
            <v>BODY</v>
          </cell>
          <cell r="P1772">
            <v>243</v>
          </cell>
        </row>
        <row r="1773">
          <cell r="B1773" t="str">
            <v>1442-00</v>
          </cell>
          <cell r="C1773" t="str">
            <v>TILT CAM</v>
          </cell>
          <cell r="D1773">
            <v>145.79999999999998</v>
          </cell>
          <cell r="N1773" t="str">
            <v>1442-00</v>
          </cell>
          <cell r="O1773" t="str">
            <v>TILT CAM</v>
          </cell>
          <cell r="P1773">
            <v>243</v>
          </cell>
        </row>
        <row r="1774">
          <cell r="B1774" t="str">
            <v>1791-01</v>
          </cell>
          <cell r="C1774" t="str">
            <v>BODY</v>
          </cell>
          <cell r="D1774">
            <v>109.5</v>
          </cell>
          <cell r="N1774" t="str">
            <v>1791-01</v>
          </cell>
          <cell r="O1774" t="str">
            <v>BODY</v>
          </cell>
          <cell r="P1774">
            <v>219</v>
          </cell>
        </row>
        <row r="1775">
          <cell r="B1775" t="str">
            <v>567-19</v>
          </cell>
          <cell r="C1775" t="str">
            <v>BODY</v>
          </cell>
          <cell r="D1775">
            <v>121.5</v>
          </cell>
          <cell r="N1775" t="str">
            <v>567-19</v>
          </cell>
          <cell r="O1775" t="str">
            <v>BODY</v>
          </cell>
          <cell r="P1775">
            <v>243</v>
          </cell>
        </row>
        <row r="1776">
          <cell r="B1776" t="str">
            <v>567-19</v>
          </cell>
          <cell r="C1776" t="str">
            <v>BODY</v>
          </cell>
          <cell r="D1776">
            <v>121.5</v>
          </cell>
          <cell r="N1776" t="str">
            <v>567-19</v>
          </cell>
          <cell r="O1776" t="str">
            <v>BODY</v>
          </cell>
          <cell r="P1776">
            <v>243</v>
          </cell>
        </row>
        <row r="1777">
          <cell r="B1777" t="str">
            <v>759-01</v>
          </cell>
          <cell r="C1777" t="str">
            <v>BODY</v>
          </cell>
          <cell r="D1777">
            <v>121.5</v>
          </cell>
          <cell r="N1777" t="str">
            <v>759-01</v>
          </cell>
          <cell r="O1777" t="str">
            <v>BODY</v>
          </cell>
          <cell r="P1777">
            <v>243</v>
          </cell>
        </row>
        <row r="1778">
          <cell r="B1778" t="str">
            <v>785-08</v>
          </cell>
          <cell r="C1778" t="str">
            <v>BODY</v>
          </cell>
          <cell r="D1778">
            <v>121.5</v>
          </cell>
          <cell r="N1778" t="str">
            <v>785-08</v>
          </cell>
          <cell r="O1778" t="str">
            <v>BODY</v>
          </cell>
          <cell r="P1778">
            <v>243</v>
          </cell>
        </row>
        <row r="1779">
          <cell r="B1779" t="str">
            <v>853-37</v>
          </cell>
          <cell r="C1779" t="str">
            <v>REB,RETAINER</v>
          </cell>
          <cell r="D1779">
            <v>92.5</v>
          </cell>
          <cell r="N1779" t="str">
            <v>853-37</v>
          </cell>
          <cell r="O1779" t="str">
            <v>REB,RETAINER</v>
          </cell>
          <cell r="P1779">
            <v>185</v>
          </cell>
        </row>
        <row r="1780">
          <cell r="B1780" t="str">
            <v>861-22</v>
          </cell>
          <cell r="C1780" t="str">
            <v>BODY</v>
          </cell>
          <cell r="D1780">
            <v>112.5</v>
          </cell>
          <cell r="N1780" t="str">
            <v>861-22</v>
          </cell>
          <cell r="O1780" t="str">
            <v>BODY</v>
          </cell>
          <cell r="P1780">
            <v>225</v>
          </cell>
        </row>
        <row r="1781">
          <cell r="B1781" t="str">
            <v>1590-03</v>
          </cell>
          <cell r="C1781" t="str">
            <v>BODY</v>
          </cell>
          <cell r="D1781">
            <v>122</v>
          </cell>
          <cell r="N1781" t="str">
            <v>1590-03</v>
          </cell>
          <cell r="O1781" t="str">
            <v>BODY</v>
          </cell>
          <cell r="P1781">
            <v>244</v>
          </cell>
        </row>
        <row r="1782">
          <cell r="B1782" t="str">
            <v>1646-02</v>
          </cell>
          <cell r="C1782" t="str">
            <v>BODY</v>
          </cell>
          <cell r="D1782">
            <v>118</v>
          </cell>
          <cell r="N1782" t="str">
            <v>1646-02</v>
          </cell>
          <cell r="O1782" t="str">
            <v>BODY</v>
          </cell>
          <cell r="P1782">
            <v>236</v>
          </cell>
        </row>
        <row r="1783">
          <cell r="B1783" t="str">
            <v>1697-00</v>
          </cell>
          <cell r="C1783" t="str">
            <v>NUT ADJUSTER(LH)</v>
          </cell>
          <cell r="D1783">
            <v>146.4</v>
          </cell>
          <cell r="N1783" t="str">
            <v>1697-00</v>
          </cell>
          <cell r="O1783" t="str">
            <v>NUT ADJUSTER(LH)</v>
          </cell>
          <cell r="P1783">
            <v>244</v>
          </cell>
        </row>
        <row r="1784">
          <cell r="B1784" t="str">
            <v>1698-00</v>
          </cell>
          <cell r="C1784" t="str">
            <v>NUT ADJUSTER(RH)</v>
          </cell>
          <cell r="D1784">
            <v>146.4</v>
          </cell>
          <cell r="N1784" t="str">
            <v>1698-00</v>
          </cell>
          <cell r="O1784" t="str">
            <v>NUT ADJUSTER(RH)</v>
          </cell>
          <cell r="P1784">
            <v>244</v>
          </cell>
        </row>
        <row r="1785">
          <cell r="B1785" t="str">
            <v>2412-03</v>
          </cell>
          <cell r="C1785" t="str">
            <v>BODY</v>
          </cell>
          <cell r="D1785">
            <v>117.5</v>
          </cell>
          <cell r="N1785" t="str">
            <v>2412-03</v>
          </cell>
          <cell r="O1785" t="str">
            <v>BODY</v>
          </cell>
          <cell r="P1785">
            <v>235</v>
          </cell>
        </row>
        <row r="1786">
          <cell r="B1786" t="str">
            <v>673-06</v>
          </cell>
          <cell r="C1786" t="str">
            <v>PISTON</v>
          </cell>
          <cell r="D1786">
            <v>122</v>
          </cell>
          <cell r="N1786" t="str">
            <v>673-06</v>
          </cell>
          <cell r="O1786" t="str">
            <v>PISTON</v>
          </cell>
          <cell r="P1786">
            <v>244</v>
          </cell>
        </row>
        <row r="1787">
          <cell r="B1787" t="str">
            <v>786-20</v>
          </cell>
          <cell r="C1787" t="str">
            <v>BODY</v>
          </cell>
          <cell r="D1787">
            <v>110.5</v>
          </cell>
          <cell r="N1787" t="str">
            <v>786-20</v>
          </cell>
          <cell r="O1787" t="str">
            <v>BODY</v>
          </cell>
          <cell r="P1787">
            <v>221</v>
          </cell>
        </row>
        <row r="1788">
          <cell r="B1788" t="str">
            <v>786-22</v>
          </cell>
          <cell r="C1788" t="str">
            <v>BODY</v>
          </cell>
          <cell r="D1788">
            <v>122</v>
          </cell>
          <cell r="N1788" t="str">
            <v>786-22</v>
          </cell>
          <cell r="O1788" t="str">
            <v>BODY</v>
          </cell>
          <cell r="P1788">
            <v>244</v>
          </cell>
        </row>
        <row r="1789">
          <cell r="B1789" t="str">
            <v>852-04</v>
          </cell>
          <cell r="C1789" t="str">
            <v>BODY</v>
          </cell>
          <cell r="D1789">
            <v>96</v>
          </cell>
          <cell r="N1789" t="str">
            <v>852-04</v>
          </cell>
          <cell r="O1789" t="str">
            <v>BODY</v>
          </cell>
          <cell r="P1789">
            <v>192</v>
          </cell>
        </row>
        <row r="1790">
          <cell r="B1790" t="str">
            <v>982-01</v>
          </cell>
          <cell r="C1790" t="str">
            <v>BODY</v>
          </cell>
          <cell r="D1790">
            <v>122</v>
          </cell>
          <cell r="N1790" t="str">
            <v>982-01</v>
          </cell>
          <cell r="O1790" t="str">
            <v>BODY</v>
          </cell>
          <cell r="P1790">
            <v>244</v>
          </cell>
        </row>
        <row r="1791">
          <cell r="B1791" t="str">
            <v>1094-02</v>
          </cell>
          <cell r="C1791" t="str">
            <v>BASE VALVE</v>
          </cell>
          <cell r="D1791">
            <v>122.5</v>
          </cell>
          <cell r="N1791" t="str">
            <v>1094-02</v>
          </cell>
          <cell r="O1791" t="str">
            <v>BASE VALVE</v>
          </cell>
          <cell r="P1791">
            <v>245</v>
          </cell>
        </row>
        <row r="1792">
          <cell r="B1792" t="str">
            <v>1094-05</v>
          </cell>
          <cell r="C1792" t="str">
            <v>BASE VALVE</v>
          </cell>
          <cell r="D1792">
            <v>122.5</v>
          </cell>
          <cell r="N1792" t="str">
            <v>1094-05</v>
          </cell>
          <cell r="O1792" t="str">
            <v>BASE VALVE</v>
          </cell>
          <cell r="P1792">
            <v>245</v>
          </cell>
        </row>
        <row r="1793">
          <cell r="B1793" t="str">
            <v>1412-03</v>
          </cell>
          <cell r="C1793" t="str">
            <v>BODY</v>
          </cell>
          <cell r="D1793">
            <v>122.5</v>
          </cell>
          <cell r="N1793" t="str">
            <v>1412-03</v>
          </cell>
          <cell r="O1793" t="str">
            <v>BODY</v>
          </cell>
          <cell r="P1793">
            <v>245</v>
          </cell>
        </row>
        <row r="1794">
          <cell r="B1794" t="str">
            <v>1467-00</v>
          </cell>
          <cell r="C1794" t="str">
            <v>CAM</v>
          </cell>
          <cell r="D1794">
            <v>114.5</v>
          </cell>
          <cell r="N1794" t="str">
            <v>1467-00</v>
          </cell>
          <cell r="O1794" t="str">
            <v>CAM</v>
          </cell>
          <cell r="P1794">
            <v>229</v>
          </cell>
        </row>
        <row r="1795">
          <cell r="B1795" t="str">
            <v>2852-08</v>
          </cell>
          <cell r="C1795" t="str">
            <v>BODY</v>
          </cell>
          <cell r="D1795">
            <v>122.5</v>
          </cell>
          <cell r="N1795" t="str">
            <v>2852-08</v>
          </cell>
          <cell r="O1795" t="str">
            <v>BODY</v>
          </cell>
          <cell r="P1795">
            <v>245</v>
          </cell>
        </row>
        <row r="1796">
          <cell r="B1796" t="str">
            <v>661-15</v>
          </cell>
          <cell r="C1796" t="str">
            <v>BODY</v>
          </cell>
          <cell r="D1796">
            <v>110.5</v>
          </cell>
          <cell r="N1796" t="str">
            <v>661-15</v>
          </cell>
          <cell r="O1796" t="str">
            <v>BODY</v>
          </cell>
          <cell r="P1796">
            <v>221</v>
          </cell>
        </row>
        <row r="1797">
          <cell r="B1797" t="str">
            <v>661-28</v>
          </cell>
          <cell r="C1797" t="str">
            <v>BODY</v>
          </cell>
          <cell r="D1797">
            <v>107.5</v>
          </cell>
          <cell r="N1797" t="str">
            <v>661-28</v>
          </cell>
          <cell r="O1797" t="str">
            <v>BODY</v>
          </cell>
          <cell r="P1797">
            <v>215</v>
          </cell>
        </row>
        <row r="1798">
          <cell r="B1798" t="str">
            <v>853-53</v>
          </cell>
          <cell r="C1798" t="str">
            <v>REB,RETAINER</v>
          </cell>
          <cell r="D1798">
            <v>114.5</v>
          </cell>
          <cell r="N1798" t="str">
            <v>853-53</v>
          </cell>
          <cell r="O1798" t="str">
            <v>REB,RETAINER</v>
          </cell>
          <cell r="P1798">
            <v>229</v>
          </cell>
        </row>
        <row r="1799">
          <cell r="B1799" t="str">
            <v>861-07</v>
          </cell>
          <cell r="C1799" t="str">
            <v>BODY</v>
          </cell>
          <cell r="D1799">
            <v>84</v>
          </cell>
          <cell r="N1799" t="str">
            <v>861-07</v>
          </cell>
          <cell r="O1799" t="str">
            <v>BODY</v>
          </cell>
          <cell r="P1799">
            <v>168</v>
          </cell>
        </row>
        <row r="1800">
          <cell r="B1800" t="str">
            <v>878-02</v>
          </cell>
          <cell r="C1800" t="str">
            <v>BODY</v>
          </cell>
          <cell r="D1800">
            <v>122.5</v>
          </cell>
          <cell r="N1800" t="str">
            <v>878-02</v>
          </cell>
          <cell r="O1800" t="str">
            <v>BODY</v>
          </cell>
          <cell r="P1800">
            <v>245</v>
          </cell>
        </row>
        <row r="1801">
          <cell r="B1801" t="str">
            <v>1387-03</v>
          </cell>
          <cell r="C1801" t="str">
            <v>TILT CAM</v>
          </cell>
          <cell r="D1801">
            <v>147.6</v>
          </cell>
          <cell r="N1801" t="str">
            <v>1387-03</v>
          </cell>
          <cell r="O1801" t="str">
            <v>TILT CAM</v>
          </cell>
          <cell r="P1801">
            <v>246</v>
          </cell>
        </row>
        <row r="1802">
          <cell r="B1802" t="str">
            <v>1389-00</v>
          </cell>
          <cell r="C1802" t="str">
            <v>CAM</v>
          </cell>
          <cell r="D1802">
            <v>147.6</v>
          </cell>
          <cell r="N1802" t="str">
            <v>1389-00</v>
          </cell>
          <cell r="O1802" t="str">
            <v>CAM</v>
          </cell>
          <cell r="P1802">
            <v>246</v>
          </cell>
        </row>
        <row r="1803">
          <cell r="B1803" t="str">
            <v>1467-00</v>
          </cell>
          <cell r="C1803" t="str">
            <v>CAM</v>
          </cell>
          <cell r="D1803">
            <v>114.5</v>
          </cell>
          <cell r="N1803" t="str">
            <v>1467-00</v>
          </cell>
          <cell r="O1803" t="str">
            <v>CAM</v>
          </cell>
          <cell r="P1803">
            <v>229</v>
          </cell>
        </row>
        <row r="1804">
          <cell r="B1804" t="str">
            <v>1590-09</v>
          </cell>
          <cell r="C1804" t="str">
            <v>BODY</v>
          </cell>
          <cell r="D1804">
            <v>123</v>
          </cell>
          <cell r="N1804" t="str">
            <v>1590-09</v>
          </cell>
          <cell r="O1804" t="str">
            <v>BODY</v>
          </cell>
          <cell r="P1804">
            <v>246</v>
          </cell>
        </row>
        <row r="1805">
          <cell r="B1805" t="str">
            <v>1590-09</v>
          </cell>
          <cell r="C1805" t="str">
            <v>BODY</v>
          </cell>
          <cell r="D1805">
            <v>123</v>
          </cell>
          <cell r="N1805" t="str">
            <v>1590-09</v>
          </cell>
          <cell r="O1805" t="str">
            <v>BODY</v>
          </cell>
          <cell r="P1805">
            <v>246</v>
          </cell>
        </row>
        <row r="1806">
          <cell r="B1806" t="str">
            <v>1800-01</v>
          </cell>
          <cell r="C1806" t="str">
            <v>BODY</v>
          </cell>
          <cell r="D1806">
            <v>123</v>
          </cell>
          <cell r="N1806" t="str">
            <v>1800-01</v>
          </cell>
          <cell r="O1806" t="str">
            <v>BODY</v>
          </cell>
          <cell r="P1806">
            <v>246</v>
          </cell>
        </row>
        <row r="1807">
          <cell r="B1807" t="str">
            <v>464-13</v>
          </cell>
          <cell r="C1807" t="str">
            <v>PISTON</v>
          </cell>
          <cell r="D1807">
            <v>123</v>
          </cell>
          <cell r="N1807" t="str">
            <v>464-13</v>
          </cell>
          <cell r="O1807" t="str">
            <v>PISTON</v>
          </cell>
          <cell r="P1807">
            <v>246</v>
          </cell>
        </row>
        <row r="1808">
          <cell r="B1808" t="str">
            <v>483-05</v>
          </cell>
          <cell r="C1808" t="str">
            <v>RACK STOPPER</v>
          </cell>
          <cell r="D1808">
            <v>147.6</v>
          </cell>
          <cell r="N1808" t="str">
            <v>483-05</v>
          </cell>
          <cell r="O1808" t="str">
            <v>RACK STOPPER</v>
          </cell>
          <cell r="P1808">
            <v>246</v>
          </cell>
        </row>
        <row r="1809">
          <cell r="B1809" t="str">
            <v>588-09</v>
          </cell>
          <cell r="C1809" t="str">
            <v>PISTON</v>
          </cell>
          <cell r="D1809">
            <v>103</v>
          </cell>
          <cell r="N1809" t="str">
            <v>588-09</v>
          </cell>
          <cell r="O1809" t="str">
            <v>PISTON</v>
          </cell>
          <cell r="P1809">
            <v>206</v>
          </cell>
        </row>
        <row r="1810">
          <cell r="B1810" t="str">
            <v>588-10</v>
          </cell>
          <cell r="C1810" t="str">
            <v>PISTON</v>
          </cell>
          <cell r="D1810">
            <v>111</v>
          </cell>
          <cell r="N1810" t="str">
            <v>588-10</v>
          </cell>
          <cell r="O1810" t="str">
            <v>PISTON</v>
          </cell>
          <cell r="P1810">
            <v>222</v>
          </cell>
        </row>
        <row r="1811">
          <cell r="B1811" t="str">
            <v>785-08</v>
          </cell>
          <cell r="C1811" t="str">
            <v>BODY</v>
          </cell>
          <cell r="D1811">
            <v>121.5</v>
          </cell>
          <cell r="N1811" t="str">
            <v>785-08</v>
          </cell>
          <cell r="O1811" t="str">
            <v>BODY</v>
          </cell>
          <cell r="P1811">
            <v>243</v>
          </cell>
        </row>
        <row r="1812">
          <cell r="B1812" t="str">
            <v>852-18</v>
          </cell>
          <cell r="C1812" t="str">
            <v>BODY</v>
          </cell>
          <cell r="D1812">
            <v>123</v>
          </cell>
          <cell r="N1812" t="str">
            <v>852-18</v>
          </cell>
          <cell r="O1812" t="str">
            <v>BODY</v>
          </cell>
          <cell r="P1812">
            <v>246</v>
          </cell>
        </row>
        <row r="1813">
          <cell r="B1813" t="str">
            <v>852-21</v>
          </cell>
          <cell r="C1813" t="str">
            <v>BODY</v>
          </cell>
          <cell r="D1813">
            <v>123</v>
          </cell>
          <cell r="N1813" t="str">
            <v>852-21</v>
          </cell>
          <cell r="O1813" t="str">
            <v>BODY</v>
          </cell>
          <cell r="P1813">
            <v>246</v>
          </cell>
        </row>
        <row r="1814">
          <cell r="B1814" t="str">
            <v>882-02</v>
          </cell>
          <cell r="C1814" t="str">
            <v>HEAD</v>
          </cell>
          <cell r="D1814">
            <v>147.6</v>
          </cell>
          <cell r="N1814" t="str">
            <v>882-02</v>
          </cell>
          <cell r="O1814" t="str">
            <v>HEAD</v>
          </cell>
          <cell r="P1814">
            <v>246</v>
          </cell>
        </row>
        <row r="1815">
          <cell r="B1815" t="str">
            <v>1590-03</v>
          </cell>
          <cell r="C1815" t="str">
            <v>BODY</v>
          </cell>
          <cell r="D1815">
            <v>122</v>
          </cell>
          <cell r="N1815" t="str">
            <v>1590-03</v>
          </cell>
          <cell r="O1815" t="str">
            <v>BODY</v>
          </cell>
          <cell r="P1815">
            <v>244</v>
          </cell>
        </row>
        <row r="1816">
          <cell r="B1816" t="str">
            <v>1634-09</v>
          </cell>
          <cell r="C1816" t="str">
            <v>RS RETAINER</v>
          </cell>
          <cell r="D1816">
            <v>123.5</v>
          </cell>
          <cell r="N1816" t="str">
            <v>1634-09</v>
          </cell>
          <cell r="O1816" t="str">
            <v>RS RETAINER</v>
          </cell>
          <cell r="P1816">
            <v>247</v>
          </cell>
        </row>
        <row r="1817">
          <cell r="B1817" t="str">
            <v>2852-14</v>
          </cell>
          <cell r="C1817" t="str">
            <v>BODY</v>
          </cell>
          <cell r="D1817">
            <v>123.5</v>
          </cell>
          <cell r="N1817" t="str">
            <v>2852-14</v>
          </cell>
          <cell r="O1817" t="str">
            <v>BODY</v>
          </cell>
          <cell r="P1817">
            <v>247</v>
          </cell>
        </row>
        <row r="1818">
          <cell r="B1818" t="str">
            <v>2852-17</v>
          </cell>
          <cell r="C1818" t="str">
            <v>BODY</v>
          </cell>
          <cell r="D1818">
            <v>123.5</v>
          </cell>
          <cell r="N1818" t="str">
            <v>2852-17</v>
          </cell>
          <cell r="O1818" t="str">
            <v>BODY</v>
          </cell>
          <cell r="P1818">
            <v>247</v>
          </cell>
        </row>
        <row r="1819">
          <cell r="B1819" t="str">
            <v>2852-25</v>
          </cell>
          <cell r="C1819" t="str">
            <v>BODY</v>
          </cell>
          <cell r="D1819">
            <v>123.5</v>
          </cell>
          <cell r="N1819" t="str">
            <v>2852-25</v>
          </cell>
          <cell r="O1819" t="str">
            <v>BODY</v>
          </cell>
          <cell r="P1819">
            <v>247</v>
          </cell>
        </row>
        <row r="1820">
          <cell r="B1820" t="str">
            <v>588-30</v>
          </cell>
          <cell r="C1820" t="str">
            <v>PISTON</v>
          </cell>
          <cell r="D1820">
            <v>123.5</v>
          </cell>
          <cell r="N1820" t="str">
            <v>588-30</v>
          </cell>
          <cell r="O1820" t="str">
            <v>PISTON</v>
          </cell>
          <cell r="P1820">
            <v>247</v>
          </cell>
        </row>
        <row r="1821">
          <cell r="B1821" t="str">
            <v>592-03</v>
          </cell>
          <cell r="C1821" t="str">
            <v>PISTON</v>
          </cell>
          <cell r="D1821">
            <v>114.5</v>
          </cell>
          <cell r="N1821" t="str">
            <v>592-03</v>
          </cell>
          <cell r="O1821" t="str">
            <v>PISTON</v>
          </cell>
          <cell r="P1821">
            <v>229</v>
          </cell>
        </row>
        <row r="1822">
          <cell r="B1822" t="str">
            <v>592-03</v>
          </cell>
          <cell r="C1822" t="str">
            <v>PISTON</v>
          </cell>
          <cell r="D1822">
            <v>114.5</v>
          </cell>
          <cell r="N1822" t="str">
            <v>592-03</v>
          </cell>
          <cell r="O1822" t="str">
            <v>PISTON</v>
          </cell>
          <cell r="P1822">
            <v>229</v>
          </cell>
        </row>
        <row r="1823">
          <cell r="B1823" t="str">
            <v>661-23</v>
          </cell>
          <cell r="C1823" t="str">
            <v>BODY</v>
          </cell>
          <cell r="D1823">
            <v>123.5</v>
          </cell>
          <cell r="N1823" t="str">
            <v>661-23</v>
          </cell>
          <cell r="O1823" t="str">
            <v>BODY</v>
          </cell>
          <cell r="P1823">
            <v>247</v>
          </cell>
        </row>
        <row r="1824">
          <cell r="B1824" t="str">
            <v>673-06</v>
          </cell>
          <cell r="C1824" t="str">
            <v>PISTON</v>
          </cell>
          <cell r="D1824">
            <v>122</v>
          </cell>
          <cell r="N1824" t="str">
            <v>673-06</v>
          </cell>
          <cell r="O1824" t="str">
            <v>PISTON</v>
          </cell>
          <cell r="P1824">
            <v>244</v>
          </cell>
        </row>
        <row r="1825">
          <cell r="B1825" t="str">
            <v>749-20</v>
          </cell>
          <cell r="C1825" t="str">
            <v>REB,RETAINER</v>
          </cell>
          <cell r="D1825">
            <v>123.5</v>
          </cell>
          <cell r="N1825" t="str">
            <v>749-20</v>
          </cell>
          <cell r="O1825" t="str">
            <v>REB,RETAINER</v>
          </cell>
          <cell r="P1825">
            <v>247</v>
          </cell>
        </row>
        <row r="1826">
          <cell r="B1826" t="str">
            <v>853-17</v>
          </cell>
          <cell r="C1826" t="str">
            <v>REB,RETAINER</v>
          </cell>
          <cell r="D1826">
            <v>94.5</v>
          </cell>
          <cell r="N1826" t="str">
            <v>853-17</v>
          </cell>
          <cell r="O1826" t="str">
            <v>REB,RETAINER</v>
          </cell>
          <cell r="P1826">
            <v>189</v>
          </cell>
        </row>
        <row r="1827">
          <cell r="B1827" t="str">
            <v>853-25</v>
          </cell>
          <cell r="C1827" t="str">
            <v>REB,RETAINER</v>
          </cell>
          <cell r="D1827">
            <v>70</v>
          </cell>
          <cell r="N1827" t="str">
            <v>853-25</v>
          </cell>
          <cell r="O1827" t="str">
            <v>REB,RETAINER</v>
          </cell>
          <cell r="P1827">
            <v>140</v>
          </cell>
        </row>
        <row r="1828">
          <cell r="B1828" t="str">
            <v>853-44</v>
          </cell>
          <cell r="C1828" t="str">
            <v>REB,RETAINER</v>
          </cell>
          <cell r="D1828">
            <v>97</v>
          </cell>
          <cell r="N1828" t="str">
            <v>853-44</v>
          </cell>
          <cell r="O1828" t="str">
            <v>REB,RETAINER</v>
          </cell>
          <cell r="P1828">
            <v>194</v>
          </cell>
        </row>
        <row r="1829">
          <cell r="B1829" t="str">
            <v>8A1305D</v>
          </cell>
          <cell r="C1829" t="str">
            <v>DU-BUSH</v>
          </cell>
          <cell r="D1829">
            <v>148.19999999999999</v>
          </cell>
          <cell r="N1829" t="str">
            <v>8A1305D</v>
          </cell>
          <cell r="O1829" t="str">
            <v>DU-BUSH</v>
          </cell>
          <cell r="P1829">
            <v>247</v>
          </cell>
        </row>
        <row r="1830">
          <cell r="B1830" t="str">
            <v>982-01</v>
          </cell>
          <cell r="C1830" t="str">
            <v>BODY</v>
          </cell>
          <cell r="D1830">
            <v>122</v>
          </cell>
          <cell r="N1830" t="str">
            <v>982-01</v>
          </cell>
          <cell r="O1830" t="str">
            <v>BODY</v>
          </cell>
          <cell r="P1830">
            <v>244</v>
          </cell>
        </row>
        <row r="1831">
          <cell r="B1831" t="str">
            <v>1387-03</v>
          </cell>
          <cell r="C1831" t="str">
            <v>TILT CAM</v>
          </cell>
          <cell r="D1831">
            <v>147.6</v>
          </cell>
          <cell r="N1831" t="str">
            <v>1387-03</v>
          </cell>
          <cell r="O1831" t="str">
            <v>TILT CAM</v>
          </cell>
          <cell r="P1831">
            <v>246</v>
          </cell>
        </row>
        <row r="1832">
          <cell r="B1832" t="str">
            <v>1590-08</v>
          </cell>
          <cell r="C1832" t="str">
            <v>BODY</v>
          </cell>
          <cell r="D1832">
            <v>121</v>
          </cell>
          <cell r="N1832" t="str">
            <v>1590-08</v>
          </cell>
          <cell r="O1832" t="str">
            <v>BODY</v>
          </cell>
          <cell r="P1832">
            <v>242</v>
          </cell>
        </row>
        <row r="1833">
          <cell r="B1833" t="str">
            <v>661-07</v>
          </cell>
          <cell r="C1833" t="str">
            <v>BODY</v>
          </cell>
          <cell r="D1833">
            <v>115</v>
          </cell>
          <cell r="N1833" t="str">
            <v>661-07</v>
          </cell>
          <cell r="O1833" t="str">
            <v>BODY</v>
          </cell>
          <cell r="P1833">
            <v>230</v>
          </cell>
        </row>
        <row r="1834">
          <cell r="B1834" t="str">
            <v>661-07</v>
          </cell>
          <cell r="C1834" t="str">
            <v>BODY</v>
          </cell>
          <cell r="D1834">
            <v>115</v>
          </cell>
          <cell r="N1834" t="str">
            <v>661-07</v>
          </cell>
          <cell r="O1834" t="str">
            <v>BODY</v>
          </cell>
          <cell r="P1834">
            <v>230</v>
          </cell>
        </row>
        <row r="1835">
          <cell r="B1835" t="str">
            <v>661-15</v>
          </cell>
          <cell r="C1835" t="str">
            <v>BODY</v>
          </cell>
          <cell r="D1835">
            <v>110.5</v>
          </cell>
          <cell r="N1835" t="str">
            <v>661-15</v>
          </cell>
          <cell r="O1835" t="str">
            <v>BODY</v>
          </cell>
          <cell r="P1835">
            <v>221</v>
          </cell>
        </row>
        <row r="1836">
          <cell r="B1836" t="str">
            <v>661-29</v>
          </cell>
          <cell r="C1836" t="str">
            <v>BODY</v>
          </cell>
          <cell r="D1836">
            <v>124</v>
          </cell>
          <cell r="N1836" t="str">
            <v>661-29</v>
          </cell>
          <cell r="O1836" t="str">
            <v>BODY</v>
          </cell>
          <cell r="P1836">
            <v>248</v>
          </cell>
        </row>
        <row r="1837">
          <cell r="B1837" t="str">
            <v>723-00</v>
          </cell>
          <cell r="C1837" t="str">
            <v>BASE VALVE</v>
          </cell>
          <cell r="D1837">
            <v>124</v>
          </cell>
          <cell r="N1837" t="str">
            <v>723-00</v>
          </cell>
          <cell r="O1837" t="str">
            <v>BASE VALVE</v>
          </cell>
          <cell r="P1837">
            <v>248</v>
          </cell>
        </row>
        <row r="1838">
          <cell r="B1838" t="str">
            <v>749-13</v>
          </cell>
          <cell r="C1838" t="str">
            <v>REB,RETAINER</v>
          </cell>
          <cell r="D1838">
            <v>45.5</v>
          </cell>
          <cell r="N1838" t="str">
            <v>749-13</v>
          </cell>
          <cell r="O1838" t="str">
            <v>REB,RETAINER</v>
          </cell>
          <cell r="P1838">
            <v>91</v>
          </cell>
        </row>
        <row r="1839">
          <cell r="B1839" t="str">
            <v>786-08</v>
          </cell>
          <cell r="C1839" t="str">
            <v>BODY</v>
          </cell>
          <cell r="D1839">
            <v>85</v>
          </cell>
          <cell r="N1839" t="str">
            <v>786-08</v>
          </cell>
          <cell r="O1839" t="str">
            <v>BODY</v>
          </cell>
          <cell r="P1839">
            <v>170</v>
          </cell>
        </row>
        <row r="1840">
          <cell r="B1840" t="str">
            <v>786-08</v>
          </cell>
          <cell r="C1840" t="str">
            <v>BODY</v>
          </cell>
          <cell r="D1840">
            <v>85</v>
          </cell>
          <cell r="N1840" t="str">
            <v>786-08</v>
          </cell>
          <cell r="O1840" t="str">
            <v>BODY</v>
          </cell>
          <cell r="P1840">
            <v>170</v>
          </cell>
        </row>
        <row r="1841">
          <cell r="B1841" t="str">
            <v>786-09</v>
          </cell>
          <cell r="C1841" t="str">
            <v>BODY</v>
          </cell>
          <cell r="D1841">
            <v>88</v>
          </cell>
          <cell r="N1841" t="str">
            <v>786-09</v>
          </cell>
          <cell r="O1841" t="str">
            <v>BODY</v>
          </cell>
          <cell r="P1841">
            <v>176</v>
          </cell>
        </row>
        <row r="1842">
          <cell r="B1842" t="str">
            <v>853-18</v>
          </cell>
          <cell r="C1842" t="str">
            <v>REB,RETAINER</v>
          </cell>
          <cell r="D1842">
            <v>66</v>
          </cell>
          <cell r="N1842" t="str">
            <v>853-18</v>
          </cell>
          <cell r="O1842" t="str">
            <v>REB,RETAINER</v>
          </cell>
          <cell r="P1842">
            <v>132</v>
          </cell>
        </row>
        <row r="1843">
          <cell r="B1843" t="str">
            <v>878-02</v>
          </cell>
          <cell r="C1843" t="str">
            <v>BODY</v>
          </cell>
          <cell r="D1843">
            <v>122.5</v>
          </cell>
          <cell r="N1843" t="str">
            <v>878-02</v>
          </cell>
          <cell r="O1843" t="str">
            <v>BODY</v>
          </cell>
          <cell r="P1843">
            <v>245</v>
          </cell>
        </row>
        <row r="1844">
          <cell r="B1844" t="str">
            <v>878-05</v>
          </cell>
          <cell r="C1844" t="str">
            <v>BODY</v>
          </cell>
          <cell r="D1844">
            <v>124</v>
          </cell>
          <cell r="N1844" t="str">
            <v>878-05</v>
          </cell>
          <cell r="O1844" t="str">
            <v>BODY</v>
          </cell>
          <cell r="P1844">
            <v>248</v>
          </cell>
        </row>
        <row r="1845">
          <cell r="B1845" t="str">
            <v>981-05</v>
          </cell>
          <cell r="C1845" t="str">
            <v>PISTON</v>
          </cell>
          <cell r="D1845">
            <v>124</v>
          </cell>
          <cell r="N1845" t="str">
            <v>981-05</v>
          </cell>
          <cell r="O1845" t="str">
            <v>PISTON</v>
          </cell>
          <cell r="P1845">
            <v>248</v>
          </cell>
        </row>
        <row r="1846">
          <cell r="B1846" t="str">
            <v>1412-05</v>
          </cell>
          <cell r="C1846" t="str">
            <v>BODY</v>
          </cell>
          <cell r="D1846">
            <v>124.5</v>
          </cell>
          <cell r="N1846" t="str">
            <v>1412-05</v>
          </cell>
          <cell r="O1846" t="str">
            <v>BODY</v>
          </cell>
          <cell r="P1846">
            <v>249</v>
          </cell>
        </row>
        <row r="1847">
          <cell r="B1847" t="str">
            <v>1673-07</v>
          </cell>
          <cell r="C1847" t="str">
            <v>RS RETAINER</v>
          </cell>
          <cell r="D1847">
            <v>124.5</v>
          </cell>
          <cell r="N1847" t="str">
            <v>1673-07</v>
          </cell>
          <cell r="O1847" t="str">
            <v>RS RETAINER</v>
          </cell>
          <cell r="P1847">
            <v>249</v>
          </cell>
        </row>
        <row r="1848">
          <cell r="B1848" t="str">
            <v>1852-02</v>
          </cell>
          <cell r="C1848" t="str">
            <v>RS RETAINER</v>
          </cell>
          <cell r="D1848">
            <v>124.5</v>
          </cell>
          <cell r="N1848" t="str">
            <v>1852-02</v>
          </cell>
          <cell r="O1848" t="str">
            <v>RS RETAINER</v>
          </cell>
          <cell r="P1848">
            <v>249</v>
          </cell>
        </row>
        <row r="1849">
          <cell r="B1849" t="str">
            <v>2852-25</v>
          </cell>
          <cell r="C1849" t="str">
            <v>BODY</v>
          </cell>
          <cell r="D1849">
            <v>123.5</v>
          </cell>
          <cell r="N1849" t="str">
            <v>2852-25</v>
          </cell>
          <cell r="O1849" t="str">
            <v>BODY</v>
          </cell>
          <cell r="P1849">
            <v>247</v>
          </cell>
        </row>
        <row r="1850">
          <cell r="B1850" t="str">
            <v>2852-25</v>
          </cell>
          <cell r="C1850" t="str">
            <v>BODY</v>
          </cell>
          <cell r="D1850">
            <v>123.5</v>
          </cell>
          <cell r="N1850" t="str">
            <v>2852-25</v>
          </cell>
          <cell r="O1850" t="str">
            <v>BODY</v>
          </cell>
          <cell r="P1850">
            <v>247</v>
          </cell>
        </row>
        <row r="1851">
          <cell r="B1851" t="str">
            <v>588-05</v>
          </cell>
          <cell r="C1851" t="str">
            <v>PISTON</v>
          </cell>
          <cell r="D1851">
            <v>110.5</v>
          </cell>
          <cell r="N1851" t="str">
            <v>588-05</v>
          </cell>
          <cell r="O1851" t="str">
            <v>PISTON</v>
          </cell>
          <cell r="P1851">
            <v>221</v>
          </cell>
        </row>
        <row r="1852">
          <cell r="B1852" t="str">
            <v>588-21</v>
          </cell>
          <cell r="C1852" t="str">
            <v>PISTON</v>
          </cell>
          <cell r="D1852">
            <v>124.5</v>
          </cell>
          <cell r="N1852" t="str">
            <v>588-21</v>
          </cell>
          <cell r="O1852" t="str">
            <v>PISTON</v>
          </cell>
          <cell r="P1852">
            <v>249</v>
          </cell>
        </row>
        <row r="1853">
          <cell r="B1853" t="str">
            <v>1094-01</v>
          </cell>
          <cell r="C1853" t="str">
            <v>BASE VALVE</v>
          </cell>
          <cell r="D1853">
            <v>125</v>
          </cell>
          <cell r="N1853" t="str">
            <v>1094-01</v>
          </cell>
          <cell r="O1853" t="str">
            <v>BASE VALVE</v>
          </cell>
          <cell r="P1853">
            <v>250</v>
          </cell>
        </row>
        <row r="1854">
          <cell r="B1854" t="str">
            <v>1094-03</v>
          </cell>
          <cell r="C1854" t="str">
            <v>BASE VALVE</v>
          </cell>
          <cell r="D1854">
            <v>125</v>
          </cell>
          <cell r="N1854" t="str">
            <v>1094-03</v>
          </cell>
          <cell r="O1854" t="str">
            <v>BASE VALVE</v>
          </cell>
          <cell r="P1854">
            <v>250</v>
          </cell>
        </row>
        <row r="1855">
          <cell r="B1855" t="str">
            <v>1094-04</v>
          </cell>
          <cell r="C1855" t="str">
            <v>BASE VALVE</v>
          </cell>
          <cell r="D1855">
            <v>125</v>
          </cell>
          <cell r="N1855" t="str">
            <v>1094-04</v>
          </cell>
          <cell r="O1855" t="str">
            <v>BASE VALVE</v>
          </cell>
          <cell r="P1855">
            <v>250</v>
          </cell>
        </row>
        <row r="1856">
          <cell r="B1856" t="str">
            <v>1094-06</v>
          </cell>
          <cell r="C1856" t="str">
            <v>BASE VALVE</v>
          </cell>
          <cell r="D1856">
            <v>125</v>
          </cell>
          <cell r="N1856" t="str">
            <v>1094-06</v>
          </cell>
          <cell r="O1856" t="str">
            <v>BASE VALVE</v>
          </cell>
          <cell r="P1856">
            <v>250</v>
          </cell>
        </row>
        <row r="1857">
          <cell r="B1857" t="str">
            <v>1094-07</v>
          </cell>
          <cell r="C1857" t="str">
            <v>BASE VALVE</v>
          </cell>
          <cell r="D1857">
            <v>125</v>
          </cell>
          <cell r="N1857" t="str">
            <v>1094-07</v>
          </cell>
          <cell r="O1857" t="str">
            <v>BASE VALVE</v>
          </cell>
          <cell r="P1857">
            <v>250</v>
          </cell>
        </row>
        <row r="1858">
          <cell r="B1858" t="str">
            <v>1430-05</v>
          </cell>
          <cell r="C1858" t="str">
            <v>BODY</v>
          </cell>
          <cell r="D1858">
            <v>125</v>
          </cell>
          <cell r="N1858" t="str">
            <v>1430-05</v>
          </cell>
          <cell r="O1858" t="str">
            <v>BODY</v>
          </cell>
          <cell r="P1858">
            <v>250</v>
          </cell>
        </row>
        <row r="1859">
          <cell r="B1859" t="str">
            <v>1852-03</v>
          </cell>
          <cell r="C1859" t="str">
            <v>RS RETAINER</v>
          </cell>
          <cell r="D1859">
            <v>125</v>
          </cell>
          <cell r="N1859" t="str">
            <v>1852-03</v>
          </cell>
          <cell r="O1859" t="str">
            <v>RS RETAINER</v>
          </cell>
          <cell r="P1859">
            <v>250</v>
          </cell>
        </row>
        <row r="1860">
          <cell r="B1860" t="str">
            <v>1920-00</v>
          </cell>
          <cell r="C1860" t="str">
            <v>BODY</v>
          </cell>
          <cell r="D1860">
            <v>125</v>
          </cell>
          <cell r="N1860" t="str">
            <v>1920-00</v>
          </cell>
          <cell r="O1860" t="str">
            <v>BODY</v>
          </cell>
          <cell r="P1860">
            <v>250</v>
          </cell>
        </row>
        <row r="1861">
          <cell r="B1861" t="str">
            <v>2412-03</v>
          </cell>
          <cell r="C1861" t="str">
            <v>BODY</v>
          </cell>
          <cell r="D1861">
            <v>117.5</v>
          </cell>
          <cell r="N1861" t="str">
            <v>2412-03</v>
          </cell>
          <cell r="O1861" t="str">
            <v>BODY</v>
          </cell>
          <cell r="P1861">
            <v>235</v>
          </cell>
        </row>
        <row r="1862">
          <cell r="B1862" t="str">
            <v>464-15</v>
          </cell>
          <cell r="C1862" t="str">
            <v>PISTON</v>
          </cell>
          <cell r="D1862">
            <v>125</v>
          </cell>
          <cell r="N1862" t="str">
            <v>464-15</v>
          </cell>
          <cell r="O1862" t="str">
            <v>PISTON</v>
          </cell>
          <cell r="P1862">
            <v>250</v>
          </cell>
        </row>
        <row r="1863">
          <cell r="B1863" t="str">
            <v>470-02</v>
          </cell>
          <cell r="C1863" t="str">
            <v>REB,RETAINER</v>
          </cell>
          <cell r="D1863">
            <v>106.5</v>
          </cell>
          <cell r="N1863" t="str">
            <v>470-02</v>
          </cell>
          <cell r="O1863" t="str">
            <v>REB,RETAINER</v>
          </cell>
          <cell r="P1863">
            <v>213</v>
          </cell>
        </row>
        <row r="1864">
          <cell r="B1864" t="str">
            <v>661-16</v>
          </cell>
          <cell r="C1864" t="str">
            <v>BODY</v>
          </cell>
          <cell r="D1864">
            <v>120.5</v>
          </cell>
          <cell r="N1864" t="str">
            <v>661-16</v>
          </cell>
          <cell r="O1864" t="str">
            <v>BODY</v>
          </cell>
          <cell r="P1864">
            <v>241</v>
          </cell>
        </row>
        <row r="1865">
          <cell r="B1865" t="str">
            <v>661-16</v>
          </cell>
          <cell r="C1865" t="str">
            <v>BODY</v>
          </cell>
          <cell r="D1865">
            <v>120.5</v>
          </cell>
          <cell r="N1865" t="str">
            <v>661-16</v>
          </cell>
          <cell r="O1865" t="str">
            <v>BODY</v>
          </cell>
          <cell r="P1865">
            <v>241</v>
          </cell>
        </row>
        <row r="1866">
          <cell r="B1866" t="str">
            <v>668-02</v>
          </cell>
          <cell r="C1866" t="str">
            <v>CON-ROD</v>
          </cell>
          <cell r="D1866">
            <v>125</v>
          </cell>
          <cell r="N1866" t="str">
            <v>668-02</v>
          </cell>
          <cell r="O1866" t="str">
            <v>CON-ROD</v>
          </cell>
          <cell r="P1866">
            <v>250</v>
          </cell>
        </row>
        <row r="1867">
          <cell r="B1867" t="str">
            <v>727-05</v>
          </cell>
          <cell r="C1867" t="str">
            <v>BODY</v>
          </cell>
          <cell r="D1867">
            <v>97.5</v>
          </cell>
          <cell r="N1867" t="str">
            <v>727-05</v>
          </cell>
          <cell r="O1867" t="str">
            <v>BODY</v>
          </cell>
          <cell r="P1867">
            <v>195</v>
          </cell>
        </row>
        <row r="1868">
          <cell r="B1868" t="str">
            <v>787-07</v>
          </cell>
          <cell r="C1868" t="str">
            <v>BODY</v>
          </cell>
          <cell r="D1868">
            <v>106.5</v>
          </cell>
          <cell r="N1868" t="str">
            <v>787-07</v>
          </cell>
          <cell r="O1868" t="str">
            <v>BODY</v>
          </cell>
          <cell r="P1868">
            <v>213</v>
          </cell>
        </row>
        <row r="1869">
          <cell r="B1869" t="str">
            <v>797-13</v>
          </cell>
          <cell r="C1869" t="str">
            <v>BODY</v>
          </cell>
          <cell r="D1869">
            <v>125</v>
          </cell>
          <cell r="N1869" t="str">
            <v>797-13</v>
          </cell>
          <cell r="O1869" t="str">
            <v>BODY</v>
          </cell>
          <cell r="P1869">
            <v>250</v>
          </cell>
        </row>
        <row r="1870">
          <cell r="B1870" t="str">
            <v>853-18</v>
          </cell>
          <cell r="C1870" t="str">
            <v>REB,RETAINER</v>
          </cell>
          <cell r="D1870">
            <v>66</v>
          </cell>
          <cell r="N1870" t="str">
            <v>853-18</v>
          </cell>
          <cell r="O1870" t="str">
            <v>REB,RETAINER</v>
          </cell>
          <cell r="P1870">
            <v>132</v>
          </cell>
        </row>
        <row r="1871">
          <cell r="B1871" t="str">
            <v>853-18</v>
          </cell>
          <cell r="C1871" t="str">
            <v>REB,RETAINER</v>
          </cell>
          <cell r="D1871">
            <v>66</v>
          </cell>
          <cell r="N1871" t="str">
            <v>853-18</v>
          </cell>
          <cell r="O1871" t="str">
            <v>REB,RETAINER</v>
          </cell>
          <cell r="P1871">
            <v>132</v>
          </cell>
        </row>
        <row r="1872">
          <cell r="B1872" t="str">
            <v>853-27</v>
          </cell>
          <cell r="C1872" t="str">
            <v>REB,RETAINER</v>
          </cell>
          <cell r="D1872">
            <v>69</v>
          </cell>
          <cell r="N1872" t="str">
            <v>853-27</v>
          </cell>
          <cell r="O1872" t="str">
            <v>REB,RETAINER</v>
          </cell>
          <cell r="P1872">
            <v>138</v>
          </cell>
        </row>
        <row r="1873">
          <cell r="B1873" t="str">
            <v>853-27</v>
          </cell>
          <cell r="C1873" t="str">
            <v>REB,RETAINER</v>
          </cell>
          <cell r="D1873">
            <v>69</v>
          </cell>
          <cell r="N1873" t="str">
            <v>853-27</v>
          </cell>
          <cell r="O1873" t="str">
            <v>REB,RETAINER</v>
          </cell>
          <cell r="P1873">
            <v>138</v>
          </cell>
        </row>
        <row r="1874">
          <cell r="B1874" t="str">
            <v>853-36</v>
          </cell>
          <cell r="C1874" t="str">
            <v>REB,RETAINER</v>
          </cell>
          <cell r="D1874">
            <v>97</v>
          </cell>
          <cell r="N1874" t="str">
            <v>853-36</v>
          </cell>
          <cell r="O1874" t="str">
            <v>REB,RETAINER</v>
          </cell>
          <cell r="P1874">
            <v>194</v>
          </cell>
        </row>
        <row r="1875">
          <cell r="B1875" t="str">
            <v>853-43</v>
          </cell>
          <cell r="C1875" t="str">
            <v>REB,RETAINER</v>
          </cell>
          <cell r="D1875">
            <v>102</v>
          </cell>
          <cell r="N1875" t="str">
            <v>853-43</v>
          </cell>
          <cell r="O1875" t="str">
            <v>REB,RETAINER</v>
          </cell>
          <cell r="P1875">
            <v>204</v>
          </cell>
        </row>
        <row r="1876">
          <cell r="B1876" t="str">
            <v>853-43</v>
          </cell>
          <cell r="C1876" t="str">
            <v>REB,RETAINER</v>
          </cell>
          <cell r="D1876">
            <v>102</v>
          </cell>
          <cell r="N1876" t="str">
            <v>853-43</v>
          </cell>
          <cell r="O1876" t="str">
            <v>REB,RETAINER</v>
          </cell>
          <cell r="P1876">
            <v>204</v>
          </cell>
        </row>
        <row r="1877">
          <cell r="B1877" t="str">
            <v>853-55</v>
          </cell>
          <cell r="C1877" t="str">
            <v>REB,RETAINER</v>
          </cell>
          <cell r="D1877">
            <v>101.5</v>
          </cell>
          <cell r="N1877" t="str">
            <v>853-55</v>
          </cell>
          <cell r="O1877" t="str">
            <v>REB,RETAINER</v>
          </cell>
          <cell r="P1877">
            <v>203</v>
          </cell>
        </row>
        <row r="1878">
          <cell r="B1878" t="str">
            <v>1079-07</v>
          </cell>
          <cell r="C1878" t="str">
            <v>BODY</v>
          </cell>
          <cell r="D1878">
            <v>125.5</v>
          </cell>
          <cell r="N1878" t="str">
            <v>1079-07</v>
          </cell>
          <cell r="O1878" t="str">
            <v>BODY</v>
          </cell>
          <cell r="P1878">
            <v>251</v>
          </cell>
        </row>
        <row r="1879">
          <cell r="B1879" t="str">
            <v>1590-02</v>
          </cell>
          <cell r="C1879" t="str">
            <v>BODY</v>
          </cell>
          <cell r="D1879">
            <v>117.5</v>
          </cell>
          <cell r="N1879" t="str">
            <v>1590-02</v>
          </cell>
          <cell r="O1879" t="str">
            <v>BODY</v>
          </cell>
          <cell r="P1879">
            <v>235</v>
          </cell>
        </row>
        <row r="1880">
          <cell r="B1880" t="str">
            <v>1590-21</v>
          </cell>
          <cell r="C1880" t="str">
            <v>BODY</v>
          </cell>
          <cell r="D1880">
            <v>125.5</v>
          </cell>
          <cell r="N1880" t="str">
            <v>1590-21</v>
          </cell>
          <cell r="O1880" t="str">
            <v>BODY</v>
          </cell>
          <cell r="P1880">
            <v>251</v>
          </cell>
        </row>
        <row r="1881">
          <cell r="B1881" t="str">
            <v>464-52</v>
          </cell>
          <cell r="C1881" t="str">
            <v>PISTON</v>
          </cell>
          <cell r="D1881">
            <v>125.5</v>
          </cell>
          <cell r="N1881" t="str">
            <v>464-52</v>
          </cell>
          <cell r="O1881" t="str">
            <v>PISTON</v>
          </cell>
          <cell r="P1881">
            <v>251</v>
          </cell>
        </row>
        <row r="1882">
          <cell r="B1882" t="str">
            <v>588-31</v>
          </cell>
          <cell r="C1882" t="str">
            <v>PISTON</v>
          </cell>
          <cell r="D1882">
            <v>125.5</v>
          </cell>
          <cell r="N1882" t="str">
            <v>588-31</v>
          </cell>
          <cell r="O1882" t="str">
            <v>PISTON</v>
          </cell>
          <cell r="P1882">
            <v>251</v>
          </cell>
        </row>
        <row r="1883">
          <cell r="B1883" t="str">
            <v>727-03</v>
          </cell>
          <cell r="C1883" t="str">
            <v>BODY</v>
          </cell>
          <cell r="D1883">
            <v>107</v>
          </cell>
          <cell r="N1883" t="str">
            <v>727-03</v>
          </cell>
          <cell r="O1883" t="str">
            <v>BODY</v>
          </cell>
          <cell r="P1883">
            <v>214</v>
          </cell>
        </row>
        <row r="1884">
          <cell r="B1884" t="str">
            <v>727-03</v>
          </cell>
          <cell r="C1884" t="str">
            <v>BODY</v>
          </cell>
          <cell r="D1884">
            <v>107</v>
          </cell>
          <cell r="N1884" t="str">
            <v>727-03</v>
          </cell>
          <cell r="O1884" t="str">
            <v>BODY</v>
          </cell>
          <cell r="P1884">
            <v>214</v>
          </cell>
        </row>
        <row r="1885">
          <cell r="B1885" t="str">
            <v>786-16</v>
          </cell>
          <cell r="C1885" t="str">
            <v>BODY</v>
          </cell>
          <cell r="D1885">
            <v>110.5</v>
          </cell>
          <cell r="N1885" t="str">
            <v>786-16</v>
          </cell>
          <cell r="O1885" t="str">
            <v>BODY</v>
          </cell>
          <cell r="P1885">
            <v>221</v>
          </cell>
        </row>
        <row r="1886">
          <cell r="B1886" t="str">
            <v>787-07</v>
          </cell>
          <cell r="C1886" t="str">
            <v>BODY</v>
          </cell>
          <cell r="D1886">
            <v>106.5</v>
          </cell>
          <cell r="N1886" t="str">
            <v>787-07</v>
          </cell>
          <cell r="O1886" t="str">
            <v>BODY</v>
          </cell>
          <cell r="P1886">
            <v>213</v>
          </cell>
        </row>
        <row r="1887">
          <cell r="B1887" t="str">
            <v>787-07</v>
          </cell>
          <cell r="C1887" t="str">
            <v>BODY</v>
          </cell>
          <cell r="D1887">
            <v>106.5</v>
          </cell>
          <cell r="N1887" t="str">
            <v>787-07</v>
          </cell>
          <cell r="O1887" t="str">
            <v>BODY</v>
          </cell>
          <cell r="P1887">
            <v>213</v>
          </cell>
        </row>
        <row r="1888">
          <cell r="B1888" t="str">
            <v>797-03</v>
          </cell>
          <cell r="C1888" t="str">
            <v>BODY</v>
          </cell>
          <cell r="D1888">
            <v>125.5</v>
          </cell>
          <cell r="N1888" t="str">
            <v>797-03</v>
          </cell>
          <cell r="O1888" t="str">
            <v>BODY</v>
          </cell>
          <cell r="P1888">
            <v>251</v>
          </cell>
        </row>
        <row r="1889">
          <cell r="B1889" t="str">
            <v>797-04</v>
          </cell>
          <cell r="C1889" t="str">
            <v>BODY</v>
          </cell>
          <cell r="D1889">
            <v>125.5</v>
          </cell>
          <cell r="N1889" t="str">
            <v>797-04</v>
          </cell>
          <cell r="O1889" t="str">
            <v>BODY</v>
          </cell>
          <cell r="P1889">
            <v>251</v>
          </cell>
        </row>
        <row r="1890">
          <cell r="B1890" t="str">
            <v>797-16</v>
          </cell>
          <cell r="C1890" t="str">
            <v>BODY</v>
          </cell>
          <cell r="D1890">
            <v>125.5</v>
          </cell>
          <cell r="N1890" t="str">
            <v>797-16</v>
          </cell>
          <cell r="O1890" t="str">
            <v>BODY</v>
          </cell>
          <cell r="P1890">
            <v>251</v>
          </cell>
        </row>
        <row r="1891">
          <cell r="B1891" t="str">
            <v>852-21</v>
          </cell>
          <cell r="C1891" t="str">
            <v>BODY</v>
          </cell>
          <cell r="D1891">
            <v>123</v>
          </cell>
          <cell r="N1891" t="str">
            <v>852-21</v>
          </cell>
          <cell r="O1891" t="str">
            <v>BODY</v>
          </cell>
          <cell r="P1891">
            <v>246</v>
          </cell>
        </row>
        <row r="1892">
          <cell r="B1892" t="str">
            <v>852-22</v>
          </cell>
          <cell r="C1892" t="str">
            <v>BODY</v>
          </cell>
          <cell r="D1892">
            <v>125.5</v>
          </cell>
          <cell r="N1892" t="str">
            <v>852-22</v>
          </cell>
          <cell r="O1892" t="str">
            <v>BODY</v>
          </cell>
          <cell r="P1892">
            <v>251</v>
          </cell>
        </row>
        <row r="1893">
          <cell r="B1893" t="str">
            <v>979-02</v>
          </cell>
          <cell r="C1893" t="str">
            <v>PISTON</v>
          </cell>
          <cell r="D1893">
            <v>125.5</v>
          </cell>
          <cell r="N1893" t="str">
            <v>979-02</v>
          </cell>
          <cell r="O1893" t="str">
            <v>PISTON</v>
          </cell>
          <cell r="P1893">
            <v>251</v>
          </cell>
        </row>
        <row r="1894">
          <cell r="B1894" t="str">
            <v>1046-02</v>
          </cell>
          <cell r="C1894" t="str">
            <v>BODY</v>
          </cell>
          <cell r="D1894">
            <v>111.5</v>
          </cell>
          <cell r="N1894" t="str">
            <v>1046-02</v>
          </cell>
          <cell r="O1894" t="str">
            <v>BODY</v>
          </cell>
          <cell r="P1894">
            <v>223</v>
          </cell>
        </row>
        <row r="1895">
          <cell r="B1895" t="str">
            <v>1069-02</v>
          </cell>
          <cell r="C1895" t="str">
            <v>PISTON</v>
          </cell>
          <cell r="D1895">
            <v>126</v>
          </cell>
          <cell r="N1895" t="str">
            <v>1069-02</v>
          </cell>
          <cell r="O1895" t="str">
            <v>PISTON</v>
          </cell>
          <cell r="P1895">
            <v>252</v>
          </cell>
        </row>
        <row r="1896">
          <cell r="B1896" t="str">
            <v>1442-00</v>
          </cell>
          <cell r="C1896" t="str">
            <v>TILT CAM</v>
          </cell>
          <cell r="D1896">
            <v>145.79999999999998</v>
          </cell>
          <cell r="N1896" t="str">
            <v>1442-00</v>
          </cell>
          <cell r="O1896" t="str">
            <v>TILT CAM</v>
          </cell>
          <cell r="P1896">
            <v>243</v>
          </cell>
        </row>
        <row r="1897">
          <cell r="B1897" t="str">
            <v>2852-22</v>
          </cell>
          <cell r="C1897" t="str">
            <v>BODY</v>
          </cell>
          <cell r="D1897">
            <v>126</v>
          </cell>
          <cell r="N1897" t="str">
            <v>2852-22</v>
          </cell>
          <cell r="O1897" t="str">
            <v>BODY</v>
          </cell>
          <cell r="P1897">
            <v>252</v>
          </cell>
        </row>
        <row r="1898">
          <cell r="B1898" t="str">
            <v>588-21</v>
          </cell>
          <cell r="C1898" t="str">
            <v>PISTON</v>
          </cell>
          <cell r="D1898">
            <v>124.5</v>
          </cell>
          <cell r="N1898" t="str">
            <v>588-21</v>
          </cell>
          <cell r="O1898" t="str">
            <v>PISTON</v>
          </cell>
          <cell r="P1898">
            <v>249</v>
          </cell>
        </row>
        <row r="1899">
          <cell r="B1899" t="str">
            <v>661-31</v>
          </cell>
          <cell r="C1899" t="str">
            <v>BODY</v>
          </cell>
          <cell r="D1899">
            <v>126</v>
          </cell>
          <cell r="N1899" t="str">
            <v>661-31</v>
          </cell>
          <cell r="O1899" t="str">
            <v>BODY</v>
          </cell>
          <cell r="P1899">
            <v>252</v>
          </cell>
        </row>
        <row r="1900">
          <cell r="B1900" t="str">
            <v>749-20</v>
          </cell>
          <cell r="C1900" t="str">
            <v>REB,RETAINER</v>
          </cell>
          <cell r="D1900">
            <v>123.5</v>
          </cell>
          <cell r="N1900" t="str">
            <v>749-20</v>
          </cell>
          <cell r="O1900" t="str">
            <v>REB,RETAINER</v>
          </cell>
          <cell r="P1900">
            <v>247</v>
          </cell>
        </row>
        <row r="1901">
          <cell r="B1901" t="str">
            <v>797-13</v>
          </cell>
          <cell r="C1901" t="str">
            <v>BODY</v>
          </cell>
          <cell r="D1901">
            <v>125</v>
          </cell>
          <cell r="N1901" t="str">
            <v>797-13</v>
          </cell>
          <cell r="O1901" t="str">
            <v>BODY</v>
          </cell>
          <cell r="P1901">
            <v>250</v>
          </cell>
        </row>
        <row r="1902">
          <cell r="B1902" t="str">
            <v>852-08</v>
          </cell>
          <cell r="C1902" t="str">
            <v>BODY</v>
          </cell>
          <cell r="D1902">
            <v>126</v>
          </cell>
          <cell r="N1902" t="str">
            <v>852-08</v>
          </cell>
          <cell r="O1902" t="str">
            <v>BODY</v>
          </cell>
          <cell r="P1902">
            <v>252</v>
          </cell>
        </row>
        <row r="1903">
          <cell r="B1903" t="str">
            <v>852-14</v>
          </cell>
          <cell r="C1903" t="str">
            <v>BODY</v>
          </cell>
          <cell r="D1903">
            <v>126</v>
          </cell>
          <cell r="N1903" t="str">
            <v>852-14</v>
          </cell>
          <cell r="O1903" t="str">
            <v>BODY</v>
          </cell>
          <cell r="P1903">
            <v>252</v>
          </cell>
        </row>
        <row r="1904">
          <cell r="B1904" t="str">
            <v>852-18</v>
          </cell>
          <cell r="C1904" t="str">
            <v>BODY</v>
          </cell>
          <cell r="D1904">
            <v>123</v>
          </cell>
          <cell r="N1904" t="str">
            <v>852-18</v>
          </cell>
          <cell r="O1904" t="str">
            <v>BODY</v>
          </cell>
          <cell r="P1904">
            <v>246</v>
          </cell>
        </row>
        <row r="1905">
          <cell r="B1905" t="str">
            <v>861-07</v>
          </cell>
          <cell r="C1905" t="str">
            <v>BODY</v>
          </cell>
          <cell r="D1905">
            <v>84</v>
          </cell>
          <cell r="N1905" t="str">
            <v>861-07</v>
          </cell>
          <cell r="O1905" t="str">
            <v>BODY</v>
          </cell>
          <cell r="P1905">
            <v>168</v>
          </cell>
        </row>
        <row r="1906">
          <cell r="B1906" t="str">
            <v>882-03</v>
          </cell>
          <cell r="C1906" t="str">
            <v>HEAD</v>
          </cell>
          <cell r="D1906">
            <v>151.19999999999999</v>
          </cell>
          <cell r="N1906" t="str">
            <v>882-03</v>
          </cell>
          <cell r="O1906" t="str">
            <v>HEAD</v>
          </cell>
          <cell r="P1906">
            <v>252</v>
          </cell>
        </row>
        <row r="1907">
          <cell r="B1907" t="str">
            <v>1369-01</v>
          </cell>
          <cell r="C1907" t="str">
            <v>BODY</v>
          </cell>
          <cell r="D1907">
            <v>121.5</v>
          </cell>
          <cell r="N1907" t="str">
            <v>1369-01</v>
          </cell>
          <cell r="O1907" t="str">
            <v>BODY</v>
          </cell>
          <cell r="P1907">
            <v>243</v>
          </cell>
        </row>
        <row r="1908">
          <cell r="B1908" t="str">
            <v>1673-12</v>
          </cell>
          <cell r="C1908" t="str">
            <v>RS RETAINER</v>
          </cell>
          <cell r="D1908">
            <v>126.5</v>
          </cell>
          <cell r="N1908" t="str">
            <v>1673-12</v>
          </cell>
          <cell r="O1908" t="str">
            <v>RS RETAINER</v>
          </cell>
          <cell r="P1908">
            <v>253</v>
          </cell>
        </row>
        <row r="1909">
          <cell r="B1909" t="str">
            <v>441-02</v>
          </cell>
          <cell r="C1909" t="str">
            <v>RACK STOPPER</v>
          </cell>
          <cell r="D1909">
            <v>126.5</v>
          </cell>
          <cell r="N1909" t="str">
            <v>441-02</v>
          </cell>
          <cell r="O1909" t="str">
            <v>RACK STOPPER</v>
          </cell>
          <cell r="P1909">
            <v>253</v>
          </cell>
        </row>
        <row r="1910">
          <cell r="B1910" t="str">
            <v>661-22</v>
          </cell>
          <cell r="C1910" t="str">
            <v>BODY</v>
          </cell>
          <cell r="D1910">
            <v>118.5</v>
          </cell>
          <cell r="N1910" t="str">
            <v>661-22</v>
          </cell>
          <cell r="O1910" t="str">
            <v>BODY</v>
          </cell>
          <cell r="P1910">
            <v>237</v>
          </cell>
        </row>
        <row r="1911">
          <cell r="B1911" t="str">
            <v>1069-03</v>
          </cell>
          <cell r="C1911" t="str">
            <v>PISTON</v>
          </cell>
          <cell r="D1911">
            <v>93.5</v>
          </cell>
          <cell r="N1911" t="str">
            <v>1069-03</v>
          </cell>
          <cell r="O1911" t="str">
            <v>PISTON</v>
          </cell>
          <cell r="P1911">
            <v>187</v>
          </cell>
        </row>
        <row r="1912">
          <cell r="B1912" t="str">
            <v>1430-04</v>
          </cell>
          <cell r="C1912" t="str">
            <v>BODY</v>
          </cell>
          <cell r="D1912">
            <v>127</v>
          </cell>
          <cell r="N1912" t="str">
            <v>1430-04</v>
          </cell>
          <cell r="O1912" t="str">
            <v>BODY</v>
          </cell>
          <cell r="P1912">
            <v>254</v>
          </cell>
        </row>
        <row r="1913">
          <cell r="B1913" t="str">
            <v>749-17</v>
          </cell>
          <cell r="C1913" t="str">
            <v>REB,RETAINER</v>
          </cell>
          <cell r="D1913">
            <v>94</v>
          </cell>
          <cell r="N1913" t="str">
            <v>749-17</v>
          </cell>
          <cell r="O1913" t="str">
            <v>REB,RETAINER</v>
          </cell>
          <cell r="P1913">
            <v>188</v>
          </cell>
        </row>
        <row r="1914">
          <cell r="B1914" t="str">
            <v>1079-08</v>
          </cell>
          <cell r="C1914" t="str">
            <v>BODY</v>
          </cell>
          <cell r="D1914">
            <v>127.5</v>
          </cell>
          <cell r="N1914" t="str">
            <v>1079-08</v>
          </cell>
          <cell r="O1914" t="str">
            <v>BODY</v>
          </cell>
          <cell r="P1914">
            <v>255</v>
          </cell>
        </row>
        <row r="1915">
          <cell r="B1915" t="str">
            <v>1369-01</v>
          </cell>
          <cell r="C1915" t="str">
            <v>BODY</v>
          </cell>
          <cell r="D1915">
            <v>121.5</v>
          </cell>
          <cell r="N1915" t="str">
            <v>1369-01</v>
          </cell>
          <cell r="O1915" t="str">
            <v>BODY</v>
          </cell>
          <cell r="P1915">
            <v>243</v>
          </cell>
        </row>
        <row r="1916">
          <cell r="B1916" t="str">
            <v>1585-01</v>
          </cell>
          <cell r="C1916" t="str">
            <v>BODY</v>
          </cell>
          <cell r="D1916">
            <v>127.5</v>
          </cell>
          <cell r="N1916" t="str">
            <v>1585-01</v>
          </cell>
          <cell r="O1916" t="str">
            <v>BODY</v>
          </cell>
          <cell r="P1916">
            <v>255</v>
          </cell>
        </row>
        <row r="1917">
          <cell r="B1917" t="str">
            <v>1590-03</v>
          </cell>
          <cell r="C1917" t="str">
            <v>BODY</v>
          </cell>
          <cell r="D1917">
            <v>122</v>
          </cell>
          <cell r="N1917" t="str">
            <v>1590-03</v>
          </cell>
          <cell r="O1917" t="str">
            <v>BODY</v>
          </cell>
          <cell r="P1917">
            <v>244</v>
          </cell>
        </row>
        <row r="1918">
          <cell r="B1918" t="str">
            <v>1779-11</v>
          </cell>
          <cell r="C1918" t="str">
            <v>RS RETAINER</v>
          </cell>
          <cell r="D1918">
            <v>87</v>
          </cell>
          <cell r="N1918" t="str">
            <v>1779-11</v>
          </cell>
          <cell r="O1918" t="str">
            <v>RS RETAINER</v>
          </cell>
          <cell r="P1918">
            <v>174</v>
          </cell>
        </row>
        <row r="1919">
          <cell r="B1919" t="str">
            <v>2010-00</v>
          </cell>
          <cell r="C1919" t="str">
            <v>MOVABLE GEAR</v>
          </cell>
          <cell r="D1919">
            <v>153</v>
          </cell>
          <cell r="N1919" t="str">
            <v>2010-00</v>
          </cell>
          <cell r="O1919" t="str">
            <v>MOVABLE GEAR</v>
          </cell>
          <cell r="P1919">
            <v>255</v>
          </cell>
        </row>
        <row r="1920">
          <cell r="B1920" t="str">
            <v>382-01</v>
          </cell>
          <cell r="C1920" t="str">
            <v>RACK STOPPER</v>
          </cell>
          <cell r="D1920">
            <v>153</v>
          </cell>
          <cell r="N1920" t="str">
            <v>382-01</v>
          </cell>
          <cell r="O1920" t="str">
            <v>RACK STOPPER</v>
          </cell>
          <cell r="P1920">
            <v>255</v>
          </cell>
        </row>
        <row r="1921">
          <cell r="B1921" t="str">
            <v>508-05</v>
          </cell>
          <cell r="C1921" t="str">
            <v>BODY</v>
          </cell>
          <cell r="D1921">
            <v>127.5</v>
          </cell>
          <cell r="N1921" t="str">
            <v>508-05</v>
          </cell>
          <cell r="O1921" t="str">
            <v>BODY</v>
          </cell>
          <cell r="P1921">
            <v>255</v>
          </cell>
        </row>
        <row r="1922">
          <cell r="B1922" t="str">
            <v>567-16</v>
          </cell>
          <cell r="C1922" t="str">
            <v>BODY</v>
          </cell>
          <cell r="D1922">
            <v>127.5</v>
          </cell>
          <cell r="N1922" t="str">
            <v>567-16</v>
          </cell>
          <cell r="O1922" t="str">
            <v>BODY</v>
          </cell>
          <cell r="P1922">
            <v>255</v>
          </cell>
        </row>
        <row r="1923">
          <cell r="B1923" t="str">
            <v>588-27</v>
          </cell>
          <cell r="C1923" t="str">
            <v>PISTON</v>
          </cell>
          <cell r="D1923">
            <v>117</v>
          </cell>
          <cell r="N1923" t="str">
            <v>588-27</v>
          </cell>
          <cell r="O1923" t="str">
            <v>PISTON</v>
          </cell>
          <cell r="P1923">
            <v>234</v>
          </cell>
        </row>
        <row r="1924">
          <cell r="B1924" t="str">
            <v>797-04</v>
          </cell>
          <cell r="C1924" t="str">
            <v>BODY</v>
          </cell>
          <cell r="D1924">
            <v>125.5</v>
          </cell>
          <cell r="N1924" t="str">
            <v>797-04</v>
          </cell>
          <cell r="O1924" t="str">
            <v>BODY</v>
          </cell>
          <cell r="P1924">
            <v>251</v>
          </cell>
        </row>
        <row r="1925">
          <cell r="B1925" t="str">
            <v>797-16</v>
          </cell>
          <cell r="C1925" t="str">
            <v>BODY</v>
          </cell>
          <cell r="D1925">
            <v>125.5</v>
          </cell>
          <cell r="N1925" t="str">
            <v>797-16</v>
          </cell>
          <cell r="O1925" t="str">
            <v>BODY</v>
          </cell>
          <cell r="P1925">
            <v>251</v>
          </cell>
        </row>
        <row r="1926">
          <cell r="B1926" t="str">
            <v>868-01</v>
          </cell>
          <cell r="C1926" t="str">
            <v>CON-ROD</v>
          </cell>
          <cell r="D1926">
            <v>127.5</v>
          </cell>
          <cell r="N1926" t="str">
            <v>868-01</v>
          </cell>
          <cell r="O1926" t="str">
            <v>CON-ROD</v>
          </cell>
          <cell r="P1926">
            <v>255</v>
          </cell>
        </row>
        <row r="1927">
          <cell r="B1927" t="str">
            <v>868-02</v>
          </cell>
          <cell r="C1927" t="str">
            <v>CON-ROD</v>
          </cell>
          <cell r="D1927">
            <v>127.5</v>
          </cell>
          <cell r="N1927" t="str">
            <v>868-02</v>
          </cell>
          <cell r="O1927" t="str">
            <v>CON-ROD</v>
          </cell>
          <cell r="P1927">
            <v>255</v>
          </cell>
        </row>
        <row r="1928">
          <cell r="B1928" t="str">
            <v>1063-01</v>
          </cell>
          <cell r="C1928" t="str">
            <v>BODY</v>
          </cell>
          <cell r="D1928">
            <v>128</v>
          </cell>
          <cell r="N1928" t="str">
            <v>1063-01</v>
          </cell>
          <cell r="O1928" t="str">
            <v>BODY</v>
          </cell>
          <cell r="P1928">
            <v>256</v>
          </cell>
        </row>
        <row r="1929">
          <cell r="B1929" t="str">
            <v>1311-01</v>
          </cell>
          <cell r="C1929" t="str">
            <v>BODY</v>
          </cell>
          <cell r="D1929">
            <v>128</v>
          </cell>
          <cell r="N1929" t="str">
            <v>1311-01</v>
          </cell>
          <cell r="O1929" t="str">
            <v>BODY</v>
          </cell>
          <cell r="P1929">
            <v>256</v>
          </cell>
        </row>
        <row r="1930">
          <cell r="B1930" t="str">
            <v>1387-03</v>
          </cell>
          <cell r="C1930" t="str">
            <v>TILT CAM</v>
          </cell>
          <cell r="D1930">
            <v>147.6</v>
          </cell>
          <cell r="N1930" t="str">
            <v>1387-03</v>
          </cell>
          <cell r="O1930" t="str">
            <v>TILT CAM</v>
          </cell>
          <cell r="P1930">
            <v>246</v>
          </cell>
        </row>
        <row r="1931">
          <cell r="B1931" t="str">
            <v>1430-02</v>
          </cell>
          <cell r="C1931" t="str">
            <v>BODY</v>
          </cell>
          <cell r="D1931">
            <v>128</v>
          </cell>
          <cell r="N1931" t="str">
            <v>1430-02</v>
          </cell>
          <cell r="O1931" t="str">
            <v>BODY</v>
          </cell>
          <cell r="P1931">
            <v>256</v>
          </cell>
        </row>
        <row r="1932">
          <cell r="B1932" t="str">
            <v>1430-03</v>
          </cell>
          <cell r="C1932" t="str">
            <v>BODY</v>
          </cell>
          <cell r="D1932">
            <v>128</v>
          </cell>
          <cell r="N1932" t="str">
            <v>1430-03</v>
          </cell>
          <cell r="O1932" t="str">
            <v>BODY</v>
          </cell>
          <cell r="P1932">
            <v>256</v>
          </cell>
        </row>
        <row r="1933">
          <cell r="B1933" t="str">
            <v>2852-06</v>
          </cell>
          <cell r="C1933" t="str">
            <v>BODY</v>
          </cell>
          <cell r="D1933">
            <v>92.5</v>
          </cell>
          <cell r="N1933" t="str">
            <v>2852-06</v>
          </cell>
          <cell r="O1933" t="str">
            <v>BODY</v>
          </cell>
          <cell r="P1933">
            <v>185</v>
          </cell>
        </row>
        <row r="1934">
          <cell r="B1934" t="str">
            <v>464-16</v>
          </cell>
          <cell r="C1934" t="str">
            <v>PISTON</v>
          </cell>
          <cell r="D1934">
            <v>128</v>
          </cell>
          <cell r="N1934" t="str">
            <v>464-16</v>
          </cell>
          <cell r="O1934" t="str">
            <v>PISTON</v>
          </cell>
          <cell r="P1934">
            <v>256</v>
          </cell>
        </row>
        <row r="1935">
          <cell r="B1935" t="str">
            <v>661-22</v>
          </cell>
          <cell r="C1935" t="str">
            <v>BODY</v>
          </cell>
          <cell r="D1935">
            <v>118.5</v>
          </cell>
          <cell r="N1935" t="str">
            <v>661-22</v>
          </cell>
          <cell r="O1935" t="str">
            <v>BODY</v>
          </cell>
          <cell r="P1935">
            <v>237</v>
          </cell>
        </row>
        <row r="1936">
          <cell r="B1936" t="str">
            <v>1412-03</v>
          </cell>
          <cell r="C1936" t="str">
            <v>BODY</v>
          </cell>
          <cell r="D1936">
            <v>122.5</v>
          </cell>
          <cell r="N1936" t="str">
            <v>1412-03</v>
          </cell>
          <cell r="O1936" t="str">
            <v>BODY</v>
          </cell>
          <cell r="P1936">
            <v>245</v>
          </cell>
        </row>
        <row r="1937">
          <cell r="B1937" t="str">
            <v>1665-03</v>
          </cell>
          <cell r="C1937" t="str">
            <v>BODY</v>
          </cell>
          <cell r="D1937">
            <v>128.5</v>
          </cell>
          <cell r="N1937" t="str">
            <v>1665-03</v>
          </cell>
          <cell r="O1937" t="str">
            <v>BODY</v>
          </cell>
          <cell r="P1937">
            <v>257</v>
          </cell>
        </row>
        <row r="1938">
          <cell r="B1938" t="str">
            <v>567-16</v>
          </cell>
          <cell r="C1938" t="str">
            <v>BODY</v>
          </cell>
          <cell r="D1938">
            <v>127.5</v>
          </cell>
          <cell r="N1938" t="str">
            <v>567-16</v>
          </cell>
          <cell r="O1938" t="str">
            <v>BODY</v>
          </cell>
          <cell r="P1938">
            <v>255</v>
          </cell>
        </row>
        <row r="1939">
          <cell r="B1939" t="str">
            <v>592-05</v>
          </cell>
          <cell r="C1939" t="str">
            <v>PISTON</v>
          </cell>
          <cell r="D1939">
            <v>119</v>
          </cell>
          <cell r="N1939" t="str">
            <v>592-05</v>
          </cell>
          <cell r="O1939" t="str">
            <v>PISTON</v>
          </cell>
          <cell r="P1939">
            <v>238</v>
          </cell>
        </row>
        <row r="1940">
          <cell r="B1940" t="str">
            <v>592-05</v>
          </cell>
          <cell r="C1940" t="str">
            <v>PISTON</v>
          </cell>
          <cell r="D1940">
            <v>119</v>
          </cell>
          <cell r="N1940" t="str">
            <v>592-05</v>
          </cell>
          <cell r="O1940" t="str">
            <v>PISTON</v>
          </cell>
          <cell r="P1940">
            <v>238</v>
          </cell>
        </row>
        <row r="1941">
          <cell r="B1941" t="str">
            <v>603-00</v>
          </cell>
          <cell r="C1941" t="str">
            <v>COLLAR</v>
          </cell>
          <cell r="D1941">
            <v>154.19999999999999</v>
          </cell>
          <cell r="N1941" t="str">
            <v>603-00</v>
          </cell>
          <cell r="O1941" t="str">
            <v>COLLAR</v>
          </cell>
          <cell r="P1941">
            <v>257</v>
          </cell>
        </row>
        <row r="1942">
          <cell r="B1942" t="str">
            <v>852-06</v>
          </cell>
          <cell r="C1942" t="str">
            <v>BODY</v>
          </cell>
          <cell r="D1942">
            <v>95.5</v>
          </cell>
          <cell r="N1942" t="str">
            <v>852-06</v>
          </cell>
          <cell r="O1942" t="str">
            <v>BODY</v>
          </cell>
          <cell r="P1942">
            <v>191</v>
          </cell>
        </row>
        <row r="1943">
          <cell r="B1943" t="str">
            <v>852-07</v>
          </cell>
          <cell r="C1943" t="str">
            <v>BODY</v>
          </cell>
          <cell r="D1943">
            <v>92</v>
          </cell>
          <cell r="N1943" t="str">
            <v>852-07</v>
          </cell>
          <cell r="O1943" t="str">
            <v>BODY</v>
          </cell>
          <cell r="P1943">
            <v>184</v>
          </cell>
        </row>
        <row r="1944">
          <cell r="B1944" t="str">
            <v>853-17</v>
          </cell>
          <cell r="C1944" t="str">
            <v>REB,RETAINER</v>
          </cell>
          <cell r="D1944">
            <v>94.5</v>
          </cell>
          <cell r="N1944" t="str">
            <v>853-17</v>
          </cell>
          <cell r="O1944" t="str">
            <v>REB,RETAINER</v>
          </cell>
          <cell r="P1944">
            <v>189</v>
          </cell>
        </row>
        <row r="1945">
          <cell r="B1945" t="str">
            <v>963-01</v>
          </cell>
          <cell r="C1945" t="str">
            <v>BODY</v>
          </cell>
          <cell r="D1945">
            <v>128.5</v>
          </cell>
          <cell r="N1945" t="str">
            <v>963-01</v>
          </cell>
          <cell r="O1945" t="str">
            <v>BODY</v>
          </cell>
          <cell r="P1945">
            <v>257</v>
          </cell>
        </row>
        <row r="1946">
          <cell r="B1946" t="str">
            <v>1430-04</v>
          </cell>
          <cell r="C1946" t="str">
            <v>BODY</v>
          </cell>
          <cell r="D1946">
            <v>127</v>
          </cell>
          <cell r="N1946" t="str">
            <v>1430-04</v>
          </cell>
          <cell r="O1946" t="str">
            <v>BODY</v>
          </cell>
          <cell r="P1946">
            <v>254</v>
          </cell>
        </row>
        <row r="1947">
          <cell r="B1947" t="str">
            <v>1590-02</v>
          </cell>
          <cell r="C1947" t="str">
            <v>BODY</v>
          </cell>
          <cell r="D1947">
            <v>117.5</v>
          </cell>
          <cell r="N1947" t="str">
            <v>1590-02</v>
          </cell>
          <cell r="O1947" t="str">
            <v>BODY</v>
          </cell>
          <cell r="P1947">
            <v>235</v>
          </cell>
        </row>
        <row r="1948">
          <cell r="B1948" t="str">
            <v>1590-03</v>
          </cell>
          <cell r="C1948" t="str">
            <v>BODY</v>
          </cell>
          <cell r="D1948">
            <v>122</v>
          </cell>
          <cell r="N1948" t="str">
            <v>1590-03</v>
          </cell>
          <cell r="O1948" t="str">
            <v>BODY</v>
          </cell>
          <cell r="P1948">
            <v>244</v>
          </cell>
        </row>
        <row r="1949">
          <cell r="B1949" t="str">
            <v>1590-04</v>
          </cell>
          <cell r="C1949" t="str">
            <v>BODY</v>
          </cell>
          <cell r="D1949">
            <v>117.5</v>
          </cell>
          <cell r="N1949" t="str">
            <v>1590-04</v>
          </cell>
          <cell r="O1949" t="str">
            <v>BODY</v>
          </cell>
          <cell r="P1949">
            <v>235</v>
          </cell>
        </row>
        <row r="1950">
          <cell r="B1950" t="str">
            <v>1590-08</v>
          </cell>
          <cell r="C1950" t="str">
            <v>BODY</v>
          </cell>
          <cell r="D1950">
            <v>121</v>
          </cell>
          <cell r="N1950" t="str">
            <v>1590-08</v>
          </cell>
          <cell r="O1950" t="str">
            <v>BODY</v>
          </cell>
          <cell r="P1950">
            <v>242</v>
          </cell>
        </row>
        <row r="1951">
          <cell r="B1951" t="str">
            <v>1665-01</v>
          </cell>
          <cell r="C1951" t="str">
            <v>BODY</v>
          </cell>
          <cell r="D1951">
            <v>129</v>
          </cell>
          <cell r="N1951" t="str">
            <v>1665-01</v>
          </cell>
          <cell r="O1951" t="str">
            <v>BODY</v>
          </cell>
          <cell r="P1951">
            <v>258</v>
          </cell>
        </row>
        <row r="1952">
          <cell r="B1952" t="str">
            <v>1665-04</v>
          </cell>
          <cell r="C1952" t="str">
            <v>BODY</v>
          </cell>
          <cell r="D1952">
            <v>129</v>
          </cell>
          <cell r="N1952" t="str">
            <v>1665-04</v>
          </cell>
          <cell r="O1952" t="str">
            <v>BODY</v>
          </cell>
          <cell r="P1952">
            <v>258</v>
          </cell>
        </row>
        <row r="1953">
          <cell r="B1953" t="str">
            <v>546-02</v>
          </cell>
          <cell r="C1953" t="str">
            <v>BODY</v>
          </cell>
          <cell r="D1953">
            <v>129</v>
          </cell>
          <cell r="N1953" t="str">
            <v>546-02</v>
          </cell>
          <cell r="O1953" t="str">
            <v>BODY</v>
          </cell>
          <cell r="P1953">
            <v>258</v>
          </cell>
        </row>
        <row r="1954">
          <cell r="B1954" t="str">
            <v>588-25</v>
          </cell>
          <cell r="C1954" t="str">
            <v>PISTON</v>
          </cell>
          <cell r="D1954">
            <v>129</v>
          </cell>
          <cell r="N1954" t="str">
            <v>588-25</v>
          </cell>
          <cell r="O1954" t="str">
            <v>PISTON</v>
          </cell>
          <cell r="P1954">
            <v>258</v>
          </cell>
        </row>
        <row r="1955">
          <cell r="B1955" t="str">
            <v>588-34</v>
          </cell>
          <cell r="C1955" t="str">
            <v>PISTON</v>
          </cell>
          <cell r="D1955">
            <v>129</v>
          </cell>
          <cell r="N1955" t="str">
            <v>588-34</v>
          </cell>
          <cell r="O1955" t="str">
            <v>PISTON</v>
          </cell>
          <cell r="P1955">
            <v>258</v>
          </cell>
        </row>
        <row r="1956">
          <cell r="B1956" t="str">
            <v>592-04</v>
          </cell>
          <cell r="C1956" t="str">
            <v>PISTON</v>
          </cell>
          <cell r="D1956">
            <v>119</v>
          </cell>
          <cell r="N1956" t="str">
            <v>592-04</v>
          </cell>
          <cell r="O1956" t="str">
            <v>PISTON</v>
          </cell>
          <cell r="P1956">
            <v>238</v>
          </cell>
        </row>
        <row r="1957">
          <cell r="B1957" t="str">
            <v>592-04</v>
          </cell>
          <cell r="C1957" t="str">
            <v>PISTON</v>
          </cell>
          <cell r="D1957">
            <v>119</v>
          </cell>
          <cell r="N1957" t="str">
            <v>592-04</v>
          </cell>
          <cell r="O1957" t="str">
            <v>PISTON</v>
          </cell>
          <cell r="P1957">
            <v>238</v>
          </cell>
        </row>
        <row r="1958">
          <cell r="B1958" t="str">
            <v>785-04</v>
          </cell>
          <cell r="C1958" t="str">
            <v>BODY</v>
          </cell>
          <cell r="D1958">
            <v>129</v>
          </cell>
          <cell r="N1958" t="str">
            <v>785-04</v>
          </cell>
          <cell r="O1958" t="str">
            <v>BODY</v>
          </cell>
          <cell r="P1958">
            <v>258</v>
          </cell>
        </row>
        <row r="1959">
          <cell r="B1959" t="str">
            <v>1004-00</v>
          </cell>
          <cell r="C1959" t="str">
            <v>BODY</v>
          </cell>
          <cell r="D1959">
            <v>129.5</v>
          </cell>
          <cell r="N1959" t="str">
            <v>1004-00</v>
          </cell>
          <cell r="O1959" t="str">
            <v>BODY</v>
          </cell>
          <cell r="P1959">
            <v>259</v>
          </cell>
        </row>
        <row r="1960">
          <cell r="B1960" t="str">
            <v>1412-02</v>
          </cell>
          <cell r="C1960" t="str">
            <v>BODY</v>
          </cell>
          <cell r="D1960">
            <v>120</v>
          </cell>
          <cell r="N1960" t="str">
            <v>1412-02</v>
          </cell>
          <cell r="O1960" t="str">
            <v>BODY</v>
          </cell>
          <cell r="P1960">
            <v>240</v>
          </cell>
        </row>
        <row r="1961">
          <cell r="B1961" t="str">
            <v>1590-02</v>
          </cell>
          <cell r="C1961" t="str">
            <v>BODY</v>
          </cell>
          <cell r="D1961">
            <v>117.5</v>
          </cell>
          <cell r="N1961" t="str">
            <v>1590-02</v>
          </cell>
          <cell r="O1961" t="str">
            <v>BODY</v>
          </cell>
          <cell r="P1961">
            <v>235</v>
          </cell>
        </row>
        <row r="1962">
          <cell r="B1962" t="str">
            <v>1665-01</v>
          </cell>
          <cell r="C1962" t="str">
            <v>BODY</v>
          </cell>
          <cell r="D1962">
            <v>129</v>
          </cell>
          <cell r="N1962" t="str">
            <v>1665-01</v>
          </cell>
          <cell r="O1962" t="str">
            <v>BODY</v>
          </cell>
          <cell r="P1962">
            <v>258</v>
          </cell>
        </row>
        <row r="1963">
          <cell r="B1963" t="str">
            <v>1919-00</v>
          </cell>
          <cell r="C1963" t="str">
            <v>BODY</v>
          </cell>
          <cell r="D1963">
            <v>129.5</v>
          </cell>
          <cell r="N1963" t="str">
            <v>1919-00</v>
          </cell>
          <cell r="O1963" t="str">
            <v>BODY</v>
          </cell>
          <cell r="P1963">
            <v>259</v>
          </cell>
        </row>
        <row r="1964">
          <cell r="B1964" t="str">
            <v>588-21</v>
          </cell>
          <cell r="C1964" t="str">
            <v>PISTON</v>
          </cell>
          <cell r="D1964">
            <v>124.5</v>
          </cell>
          <cell r="N1964" t="str">
            <v>588-21</v>
          </cell>
          <cell r="O1964" t="str">
            <v>PISTON</v>
          </cell>
          <cell r="P1964">
            <v>249</v>
          </cell>
        </row>
        <row r="1965">
          <cell r="B1965" t="str">
            <v>714-01</v>
          </cell>
          <cell r="C1965" t="str">
            <v>PISTON</v>
          </cell>
          <cell r="D1965">
            <v>129.5</v>
          </cell>
          <cell r="N1965" t="str">
            <v>714-01</v>
          </cell>
          <cell r="O1965" t="str">
            <v>PISTON</v>
          </cell>
          <cell r="P1965">
            <v>259</v>
          </cell>
        </row>
        <row r="1966">
          <cell r="B1966" t="str">
            <v>727-03</v>
          </cell>
          <cell r="C1966" t="str">
            <v>BODY</v>
          </cell>
          <cell r="D1966">
            <v>107</v>
          </cell>
          <cell r="N1966" t="str">
            <v>727-03</v>
          </cell>
          <cell r="O1966" t="str">
            <v>BODY</v>
          </cell>
          <cell r="P1966">
            <v>214</v>
          </cell>
        </row>
        <row r="1967">
          <cell r="B1967" t="str">
            <v>797-07</v>
          </cell>
          <cell r="C1967" t="str">
            <v>BODY</v>
          </cell>
          <cell r="D1967">
            <v>112</v>
          </cell>
          <cell r="N1967" t="str">
            <v>797-07</v>
          </cell>
          <cell r="O1967" t="str">
            <v>BODY</v>
          </cell>
          <cell r="P1967">
            <v>224</v>
          </cell>
        </row>
        <row r="1968">
          <cell r="B1968" t="str">
            <v>800-01</v>
          </cell>
          <cell r="C1968" t="str">
            <v>PISTON</v>
          </cell>
          <cell r="D1968">
            <v>129.5</v>
          </cell>
          <cell r="N1968" t="str">
            <v>800-01</v>
          </cell>
          <cell r="O1968" t="str">
            <v>PISTON</v>
          </cell>
          <cell r="P1968">
            <v>259</v>
          </cell>
        </row>
        <row r="1969">
          <cell r="B1969" t="str">
            <v>800-02</v>
          </cell>
          <cell r="C1969" t="str">
            <v>PISTON</v>
          </cell>
          <cell r="D1969">
            <v>129.5</v>
          </cell>
          <cell r="N1969" t="str">
            <v>800-02</v>
          </cell>
          <cell r="O1969" t="str">
            <v>PISTON</v>
          </cell>
          <cell r="P1969">
            <v>259</v>
          </cell>
        </row>
        <row r="1970">
          <cell r="B1970" t="str">
            <v>861-04</v>
          </cell>
          <cell r="C1970" t="str">
            <v>BODY</v>
          </cell>
          <cell r="D1970">
            <v>129.5</v>
          </cell>
          <cell r="N1970" t="str">
            <v>861-04</v>
          </cell>
          <cell r="O1970" t="str">
            <v>BODY</v>
          </cell>
          <cell r="P1970">
            <v>259</v>
          </cell>
        </row>
        <row r="1971">
          <cell r="B1971" t="str">
            <v>861-04</v>
          </cell>
          <cell r="C1971" t="str">
            <v>BODY</v>
          </cell>
          <cell r="D1971">
            <v>129.5</v>
          </cell>
          <cell r="N1971" t="str">
            <v>861-04</v>
          </cell>
          <cell r="O1971" t="str">
            <v>BODY</v>
          </cell>
          <cell r="P1971">
            <v>259</v>
          </cell>
        </row>
        <row r="1972">
          <cell r="B1972" t="str">
            <v>1338-00</v>
          </cell>
          <cell r="C1972" t="str">
            <v>ROD GUIDE</v>
          </cell>
          <cell r="D1972">
            <v>130</v>
          </cell>
          <cell r="N1972" t="str">
            <v>1338-00</v>
          </cell>
          <cell r="O1972" t="str">
            <v>ROD GUIDE</v>
          </cell>
          <cell r="P1972">
            <v>260</v>
          </cell>
        </row>
        <row r="1973">
          <cell r="B1973" t="str">
            <v>1339-00</v>
          </cell>
          <cell r="C1973" t="str">
            <v>ROD GUIDE</v>
          </cell>
          <cell r="D1973">
            <v>130</v>
          </cell>
          <cell r="N1973" t="str">
            <v>1339-00</v>
          </cell>
          <cell r="O1973" t="str">
            <v>ROD GUIDE</v>
          </cell>
          <cell r="P1973">
            <v>260</v>
          </cell>
        </row>
        <row r="1974">
          <cell r="B1974" t="str">
            <v>1634-37</v>
          </cell>
          <cell r="C1974" t="str">
            <v>RS RETAINER</v>
          </cell>
          <cell r="D1974">
            <v>130</v>
          </cell>
          <cell r="N1974" t="str">
            <v>1634-37</v>
          </cell>
          <cell r="O1974" t="str">
            <v>RS RETAINER</v>
          </cell>
          <cell r="P1974">
            <v>260</v>
          </cell>
        </row>
        <row r="1975">
          <cell r="B1975" t="str">
            <v>1673-02</v>
          </cell>
          <cell r="C1975" t="str">
            <v>RS RETAINER</v>
          </cell>
          <cell r="D1975">
            <v>82.5</v>
          </cell>
          <cell r="N1975" t="str">
            <v>1673-02</v>
          </cell>
          <cell r="O1975" t="str">
            <v>RS RETAINER</v>
          </cell>
          <cell r="P1975">
            <v>165</v>
          </cell>
        </row>
        <row r="1976">
          <cell r="B1976" t="str">
            <v>1832-14</v>
          </cell>
          <cell r="C1976" t="str">
            <v>BODY RETAINER</v>
          </cell>
          <cell r="D1976">
            <v>130</v>
          </cell>
          <cell r="N1976" t="str">
            <v>1832-14</v>
          </cell>
          <cell r="O1976" t="str">
            <v>BODY RETAINER</v>
          </cell>
          <cell r="P1976">
            <v>260</v>
          </cell>
        </row>
        <row r="1977">
          <cell r="B1977" t="str">
            <v>2412-13</v>
          </cell>
          <cell r="C1977" t="str">
            <v>BODY</v>
          </cell>
          <cell r="D1977">
            <v>130</v>
          </cell>
          <cell r="N1977" t="str">
            <v>2412-13</v>
          </cell>
          <cell r="O1977" t="str">
            <v>BODY</v>
          </cell>
          <cell r="P1977">
            <v>260</v>
          </cell>
        </row>
        <row r="1978">
          <cell r="B1978" t="str">
            <v>470-01</v>
          </cell>
          <cell r="C1978" t="str">
            <v>REB,RETAINER</v>
          </cell>
          <cell r="D1978">
            <v>111</v>
          </cell>
          <cell r="N1978" t="str">
            <v>470-01</v>
          </cell>
          <cell r="O1978" t="str">
            <v>REB,RETAINER</v>
          </cell>
          <cell r="P1978">
            <v>222</v>
          </cell>
        </row>
        <row r="1979">
          <cell r="B1979" t="str">
            <v>588-22</v>
          </cell>
          <cell r="C1979" t="str">
            <v>PISTON</v>
          </cell>
          <cell r="D1979">
            <v>117.5</v>
          </cell>
          <cell r="N1979" t="str">
            <v>588-22</v>
          </cell>
          <cell r="O1979" t="str">
            <v>PISTON</v>
          </cell>
          <cell r="P1979">
            <v>235</v>
          </cell>
        </row>
        <row r="1980">
          <cell r="B1980" t="str">
            <v>588-28</v>
          </cell>
          <cell r="C1980" t="str">
            <v>PISTON</v>
          </cell>
          <cell r="D1980">
            <v>130</v>
          </cell>
          <cell r="N1980" t="str">
            <v>588-28</v>
          </cell>
          <cell r="O1980" t="str">
            <v>PISTON</v>
          </cell>
          <cell r="P1980">
            <v>260</v>
          </cell>
        </row>
        <row r="1981">
          <cell r="B1981" t="str">
            <v>588-30</v>
          </cell>
          <cell r="C1981" t="str">
            <v>PISTON</v>
          </cell>
          <cell r="D1981">
            <v>123.5</v>
          </cell>
          <cell r="N1981" t="str">
            <v>588-30</v>
          </cell>
          <cell r="O1981" t="str">
            <v>PISTON</v>
          </cell>
          <cell r="P1981">
            <v>247</v>
          </cell>
        </row>
        <row r="1982">
          <cell r="B1982" t="str">
            <v>727-09</v>
          </cell>
          <cell r="C1982" t="str">
            <v>BODY</v>
          </cell>
          <cell r="D1982">
            <v>130</v>
          </cell>
          <cell r="N1982" t="str">
            <v>727-09</v>
          </cell>
          <cell r="O1982" t="str">
            <v>BODY</v>
          </cell>
          <cell r="P1982">
            <v>260</v>
          </cell>
        </row>
        <row r="1983">
          <cell r="B1983" t="str">
            <v>787-16</v>
          </cell>
          <cell r="C1983" t="str">
            <v>BODY</v>
          </cell>
          <cell r="D1983">
            <v>116</v>
          </cell>
          <cell r="N1983" t="str">
            <v>787-16</v>
          </cell>
          <cell r="O1983" t="str">
            <v>BODY</v>
          </cell>
          <cell r="P1983">
            <v>232</v>
          </cell>
        </row>
        <row r="1984">
          <cell r="B1984" t="str">
            <v>848-01</v>
          </cell>
          <cell r="C1984" t="str">
            <v>PISTON</v>
          </cell>
          <cell r="D1984">
            <v>130</v>
          </cell>
          <cell r="N1984" t="str">
            <v>848-01</v>
          </cell>
          <cell r="O1984" t="str">
            <v>PISTON</v>
          </cell>
          <cell r="P1984">
            <v>260</v>
          </cell>
        </row>
        <row r="1985">
          <cell r="B1985" t="str">
            <v>943-00</v>
          </cell>
          <cell r="C1985" t="str">
            <v>SPACER</v>
          </cell>
          <cell r="D1985">
            <v>156</v>
          </cell>
          <cell r="N1985" t="str">
            <v>943-00</v>
          </cell>
          <cell r="O1985" t="str">
            <v>SPACER</v>
          </cell>
          <cell r="P1985">
            <v>260</v>
          </cell>
        </row>
        <row r="1986">
          <cell r="B1986" t="str">
            <v>1430-03</v>
          </cell>
          <cell r="C1986" t="str">
            <v>BODY</v>
          </cell>
          <cell r="D1986">
            <v>128</v>
          </cell>
          <cell r="N1986" t="str">
            <v>1430-03</v>
          </cell>
          <cell r="O1986" t="str">
            <v>BODY</v>
          </cell>
          <cell r="P1986">
            <v>256</v>
          </cell>
        </row>
        <row r="1987">
          <cell r="B1987" t="str">
            <v>1559-00</v>
          </cell>
          <cell r="C1987" t="str">
            <v>CAM</v>
          </cell>
          <cell r="D1987">
            <v>138.6</v>
          </cell>
          <cell r="N1987" t="str">
            <v>1559-00</v>
          </cell>
          <cell r="O1987" t="str">
            <v>CAM</v>
          </cell>
          <cell r="P1987">
            <v>231</v>
          </cell>
        </row>
        <row r="1988">
          <cell r="B1988" t="str">
            <v>1559-00</v>
          </cell>
          <cell r="C1988" t="str">
            <v>CAM</v>
          </cell>
          <cell r="D1988">
            <v>138.6</v>
          </cell>
          <cell r="N1988" t="str">
            <v>1559-00</v>
          </cell>
          <cell r="O1988" t="str">
            <v>CAM</v>
          </cell>
          <cell r="P1988">
            <v>231</v>
          </cell>
        </row>
        <row r="1989">
          <cell r="B1989" t="str">
            <v>1829-01</v>
          </cell>
          <cell r="C1989" t="str">
            <v>BODY</v>
          </cell>
          <cell r="D1989">
            <v>130.5</v>
          </cell>
          <cell r="N1989" t="str">
            <v>1829-01</v>
          </cell>
          <cell r="O1989" t="str">
            <v>BODY</v>
          </cell>
          <cell r="P1989">
            <v>261</v>
          </cell>
        </row>
        <row r="1990">
          <cell r="B1990" t="str">
            <v>1919-00</v>
          </cell>
          <cell r="C1990" t="str">
            <v>BODY</v>
          </cell>
          <cell r="D1990">
            <v>129.5</v>
          </cell>
          <cell r="N1990" t="str">
            <v>1919-00</v>
          </cell>
          <cell r="O1990" t="str">
            <v>BODY</v>
          </cell>
          <cell r="P1990">
            <v>259</v>
          </cell>
        </row>
        <row r="1991">
          <cell r="B1991" t="str">
            <v>464-23</v>
          </cell>
          <cell r="C1991" t="str">
            <v>PISTON</v>
          </cell>
          <cell r="D1991">
            <v>130.5</v>
          </cell>
          <cell r="N1991" t="str">
            <v>464-23</v>
          </cell>
          <cell r="O1991" t="str">
            <v>PISTON</v>
          </cell>
          <cell r="P1991">
            <v>261</v>
          </cell>
        </row>
        <row r="1992">
          <cell r="B1992" t="str">
            <v>655-01</v>
          </cell>
          <cell r="C1992" t="str">
            <v>RACK STOPPER</v>
          </cell>
          <cell r="D1992">
            <v>156.6</v>
          </cell>
          <cell r="N1992" t="str">
            <v>655-01</v>
          </cell>
          <cell r="O1992" t="str">
            <v>RACK STOPPER</v>
          </cell>
          <cell r="P1992">
            <v>261</v>
          </cell>
        </row>
        <row r="1993">
          <cell r="B1993" t="str">
            <v>673-05</v>
          </cell>
          <cell r="C1993" t="str">
            <v>PISTON</v>
          </cell>
          <cell r="D1993">
            <v>121</v>
          </cell>
          <cell r="N1993" t="str">
            <v>673-05</v>
          </cell>
          <cell r="O1993" t="str">
            <v>PISTON</v>
          </cell>
          <cell r="P1993">
            <v>242</v>
          </cell>
        </row>
        <row r="1994">
          <cell r="B1994" t="str">
            <v>673-05</v>
          </cell>
          <cell r="C1994" t="str">
            <v>PISTON</v>
          </cell>
          <cell r="D1994">
            <v>121</v>
          </cell>
          <cell r="N1994" t="str">
            <v>673-05</v>
          </cell>
          <cell r="O1994" t="str">
            <v>PISTON</v>
          </cell>
          <cell r="P1994">
            <v>242</v>
          </cell>
        </row>
        <row r="1995">
          <cell r="B1995" t="str">
            <v>673-13</v>
          </cell>
          <cell r="C1995" t="str">
            <v>PISTON</v>
          </cell>
          <cell r="D1995">
            <v>130.5</v>
          </cell>
          <cell r="N1995" t="str">
            <v>673-13</v>
          </cell>
          <cell r="O1995" t="str">
            <v>PISTON</v>
          </cell>
          <cell r="P1995">
            <v>261</v>
          </cell>
        </row>
        <row r="1996">
          <cell r="B1996" t="str">
            <v>990-00</v>
          </cell>
          <cell r="C1996" t="str">
            <v>RACK STOPPER</v>
          </cell>
          <cell r="D1996">
            <v>130.5</v>
          </cell>
          <cell r="N1996" t="str">
            <v>990-00</v>
          </cell>
          <cell r="O1996" t="str">
            <v>RACK STOPPER</v>
          </cell>
          <cell r="P1996">
            <v>261</v>
          </cell>
        </row>
        <row r="1997">
          <cell r="B1997" t="str">
            <v>1471-01</v>
          </cell>
          <cell r="C1997" t="str">
            <v>SUB BODY</v>
          </cell>
          <cell r="D1997">
            <v>131</v>
          </cell>
          <cell r="N1997" t="str">
            <v>1471-01</v>
          </cell>
          <cell r="O1997" t="str">
            <v>SUB BODY</v>
          </cell>
          <cell r="P1997">
            <v>262</v>
          </cell>
        </row>
        <row r="1998">
          <cell r="B1998" t="str">
            <v>1471-02</v>
          </cell>
          <cell r="C1998" t="str">
            <v>SUB BODY</v>
          </cell>
          <cell r="D1998">
            <v>131</v>
          </cell>
          <cell r="N1998" t="str">
            <v>1471-02</v>
          </cell>
          <cell r="O1998" t="str">
            <v>SUB BODY</v>
          </cell>
          <cell r="P1998">
            <v>262</v>
          </cell>
        </row>
        <row r="1999">
          <cell r="B1999" t="str">
            <v>1590-01</v>
          </cell>
          <cell r="C1999" t="str">
            <v>BODY</v>
          </cell>
          <cell r="D1999">
            <v>119</v>
          </cell>
          <cell r="N1999" t="str">
            <v>1590-01</v>
          </cell>
          <cell r="O1999" t="str">
            <v>BODY</v>
          </cell>
          <cell r="P1999">
            <v>238</v>
          </cell>
        </row>
        <row r="2000">
          <cell r="B2000" t="str">
            <v>1590-04</v>
          </cell>
          <cell r="C2000" t="str">
            <v>BODY</v>
          </cell>
          <cell r="D2000">
            <v>117.5</v>
          </cell>
          <cell r="N2000" t="str">
            <v>1590-04</v>
          </cell>
          <cell r="O2000" t="str">
            <v>BODY</v>
          </cell>
          <cell r="P2000">
            <v>235</v>
          </cell>
        </row>
        <row r="2001">
          <cell r="B2001" t="str">
            <v>1590-04</v>
          </cell>
          <cell r="C2001" t="str">
            <v>BODY</v>
          </cell>
          <cell r="D2001">
            <v>117.5</v>
          </cell>
          <cell r="N2001" t="str">
            <v>1590-04</v>
          </cell>
          <cell r="O2001" t="str">
            <v>BODY</v>
          </cell>
          <cell r="P2001">
            <v>235</v>
          </cell>
        </row>
        <row r="2002">
          <cell r="B2002" t="str">
            <v>1665-02</v>
          </cell>
          <cell r="C2002" t="str">
            <v>BODY</v>
          </cell>
          <cell r="D2002">
            <v>131</v>
          </cell>
          <cell r="N2002" t="str">
            <v>1665-02</v>
          </cell>
          <cell r="O2002" t="str">
            <v>BODY</v>
          </cell>
          <cell r="P2002">
            <v>262</v>
          </cell>
        </row>
        <row r="2003">
          <cell r="B2003" t="str">
            <v>1665-02</v>
          </cell>
          <cell r="C2003" t="str">
            <v>BODY</v>
          </cell>
          <cell r="D2003">
            <v>131</v>
          </cell>
          <cell r="N2003" t="str">
            <v>1665-02</v>
          </cell>
          <cell r="O2003" t="str">
            <v>BODY</v>
          </cell>
          <cell r="P2003">
            <v>262</v>
          </cell>
        </row>
        <row r="2004">
          <cell r="B2004" t="str">
            <v>2412-03</v>
          </cell>
          <cell r="C2004" t="str">
            <v>BODY</v>
          </cell>
          <cell r="D2004">
            <v>117.5</v>
          </cell>
          <cell r="N2004" t="str">
            <v>2412-03</v>
          </cell>
          <cell r="O2004" t="str">
            <v>BODY</v>
          </cell>
          <cell r="P2004">
            <v>235</v>
          </cell>
        </row>
        <row r="2005">
          <cell r="B2005" t="str">
            <v>441-03</v>
          </cell>
          <cell r="C2005" t="str">
            <v>RACK STOPPER</v>
          </cell>
          <cell r="D2005">
            <v>131</v>
          </cell>
          <cell r="N2005" t="str">
            <v>441-03</v>
          </cell>
          <cell r="O2005" t="str">
            <v>RACK STOPPER</v>
          </cell>
          <cell r="P2005">
            <v>262</v>
          </cell>
        </row>
        <row r="2006">
          <cell r="B2006" t="str">
            <v>584-03</v>
          </cell>
          <cell r="C2006" t="str">
            <v>BODY</v>
          </cell>
          <cell r="D2006">
            <v>131</v>
          </cell>
          <cell r="N2006" t="str">
            <v>584-03</v>
          </cell>
          <cell r="O2006" t="str">
            <v>BODY</v>
          </cell>
          <cell r="P2006">
            <v>262</v>
          </cell>
        </row>
        <row r="2007">
          <cell r="B2007" t="str">
            <v>588-25</v>
          </cell>
          <cell r="C2007" t="str">
            <v>PISTON</v>
          </cell>
          <cell r="D2007">
            <v>129</v>
          </cell>
          <cell r="N2007" t="str">
            <v>588-25</v>
          </cell>
          <cell r="O2007" t="str">
            <v>PISTON</v>
          </cell>
          <cell r="P2007">
            <v>258</v>
          </cell>
        </row>
        <row r="2008">
          <cell r="B2008" t="str">
            <v>588-25</v>
          </cell>
          <cell r="C2008" t="str">
            <v>PISTON</v>
          </cell>
          <cell r="D2008">
            <v>129</v>
          </cell>
          <cell r="N2008" t="str">
            <v>588-25</v>
          </cell>
          <cell r="O2008" t="str">
            <v>PISTON</v>
          </cell>
          <cell r="P2008">
            <v>258</v>
          </cell>
        </row>
        <row r="2009">
          <cell r="B2009" t="str">
            <v>735-01</v>
          </cell>
          <cell r="C2009" t="str">
            <v>BODY</v>
          </cell>
          <cell r="D2009">
            <v>103</v>
          </cell>
          <cell r="N2009" t="str">
            <v>735-01</v>
          </cell>
          <cell r="O2009" t="str">
            <v>BODY</v>
          </cell>
          <cell r="P2009">
            <v>206</v>
          </cell>
        </row>
        <row r="2010">
          <cell r="B2010" t="str">
            <v>785-09</v>
          </cell>
          <cell r="C2010" t="str">
            <v>BODY</v>
          </cell>
          <cell r="D2010">
            <v>131</v>
          </cell>
          <cell r="N2010" t="str">
            <v>785-09</v>
          </cell>
          <cell r="O2010" t="str">
            <v>BODY</v>
          </cell>
          <cell r="P2010">
            <v>262</v>
          </cell>
        </row>
        <row r="2011">
          <cell r="B2011" t="str">
            <v>852-14</v>
          </cell>
          <cell r="C2011" t="str">
            <v>BODY</v>
          </cell>
          <cell r="D2011">
            <v>126</v>
          </cell>
          <cell r="N2011" t="str">
            <v>852-14</v>
          </cell>
          <cell r="O2011" t="str">
            <v>BODY</v>
          </cell>
          <cell r="P2011">
            <v>252</v>
          </cell>
        </row>
        <row r="2012">
          <cell r="B2012" t="str">
            <v>853-55</v>
          </cell>
          <cell r="C2012" t="str">
            <v>REB,RETAINER</v>
          </cell>
          <cell r="D2012">
            <v>101.5</v>
          </cell>
          <cell r="N2012" t="str">
            <v>853-55</v>
          </cell>
          <cell r="O2012" t="str">
            <v>REB,RETAINER</v>
          </cell>
          <cell r="P2012">
            <v>203</v>
          </cell>
        </row>
        <row r="2013">
          <cell r="B2013" t="str">
            <v>1287-04</v>
          </cell>
          <cell r="C2013" t="str">
            <v>BODY</v>
          </cell>
          <cell r="D2013">
            <v>131.5</v>
          </cell>
          <cell r="N2013" t="str">
            <v>1287-04</v>
          </cell>
          <cell r="O2013" t="str">
            <v>BODY</v>
          </cell>
          <cell r="P2013">
            <v>263</v>
          </cell>
        </row>
        <row r="2014">
          <cell r="B2014" t="str">
            <v>1590-05</v>
          </cell>
          <cell r="C2014" t="str">
            <v>BODY</v>
          </cell>
          <cell r="D2014">
            <v>120.5</v>
          </cell>
          <cell r="N2014" t="str">
            <v>1590-05</v>
          </cell>
          <cell r="O2014" t="str">
            <v>BODY</v>
          </cell>
          <cell r="P2014">
            <v>241</v>
          </cell>
        </row>
        <row r="2015">
          <cell r="B2015" t="str">
            <v>1831-13</v>
          </cell>
          <cell r="C2015" t="str">
            <v>BODY RETAINER</v>
          </cell>
          <cell r="D2015">
            <v>90</v>
          </cell>
          <cell r="N2015" t="str">
            <v>1831-13</v>
          </cell>
          <cell r="O2015" t="str">
            <v>BODY RETAINER</v>
          </cell>
          <cell r="P2015">
            <v>180</v>
          </cell>
        </row>
        <row r="2016">
          <cell r="B2016" t="str">
            <v>2067-02</v>
          </cell>
          <cell r="C2016" t="str">
            <v>RS RETAINER</v>
          </cell>
          <cell r="D2016">
            <v>131.5</v>
          </cell>
          <cell r="N2016" t="str">
            <v>2067-02</v>
          </cell>
          <cell r="O2016" t="str">
            <v>RS RETAINER</v>
          </cell>
          <cell r="P2016">
            <v>263</v>
          </cell>
        </row>
        <row r="2017">
          <cell r="B2017" t="str">
            <v>2852-21</v>
          </cell>
          <cell r="C2017" t="str">
            <v>BODY</v>
          </cell>
          <cell r="D2017">
            <v>120</v>
          </cell>
          <cell r="N2017" t="str">
            <v>2852-21</v>
          </cell>
          <cell r="O2017" t="str">
            <v>BODY</v>
          </cell>
          <cell r="P2017">
            <v>240</v>
          </cell>
        </row>
        <row r="2018">
          <cell r="B2018" t="str">
            <v>852-22</v>
          </cell>
          <cell r="C2018" t="str">
            <v>BODY</v>
          </cell>
          <cell r="D2018">
            <v>125.5</v>
          </cell>
          <cell r="N2018" t="str">
            <v>852-22</v>
          </cell>
          <cell r="O2018" t="str">
            <v>BODY</v>
          </cell>
          <cell r="P2018">
            <v>251</v>
          </cell>
        </row>
        <row r="2019">
          <cell r="B2019" t="str">
            <v>1287-03</v>
          </cell>
          <cell r="C2019" t="str">
            <v>BODY</v>
          </cell>
          <cell r="D2019">
            <v>132</v>
          </cell>
          <cell r="N2019" t="str">
            <v>1287-03</v>
          </cell>
          <cell r="O2019" t="str">
            <v>BODY</v>
          </cell>
          <cell r="P2019">
            <v>264</v>
          </cell>
        </row>
        <row r="2020">
          <cell r="B2020" t="str">
            <v>1832-14</v>
          </cell>
          <cell r="C2020" t="str">
            <v>BODY RETAINER</v>
          </cell>
          <cell r="D2020">
            <v>130</v>
          </cell>
          <cell r="N2020" t="str">
            <v>1832-14</v>
          </cell>
          <cell r="O2020" t="str">
            <v>BODY RETAINER</v>
          </cell>
          <cell r="P2020">
            <v>260</v>
          </cell>
        </row>
        <row r="2021">
          <cell r="B2021" t="str">
            <v>588-43</v>
          </cell>
          <cell r="C2021" t="str">
            <v>PISTON</v>
          </cell>
          <cell r="D2021">
            <v>132</v>
          </cell>
          <cell r="N2021" t="str">
            <v>588-43</v>
          </cell>
          <cell r="O2021" t="str">
            <v>PISTON</v>
          </cell>
          <cell r="P2021">
            <v>264</v>
          </cell>
        </row>
        <row r="2022">
          <cell r="B2022" t="str">
            <v>592-03</v>
          </cell>
          <cell r="C2022" t="str">
            <v>PISTON</v>
          </cell>
          <cell r="D2022">
            <v>114.5</v>
          </cell>
          <cell r="N2022" t="str">
            <v>592-03</v>
          </cell>
          <cell r="O2022" t="str">
            <v>PISTON</v>
          </cell>
          <cell r="P2022">
            <v>229</v>
          </cell>
        </row>
        <row r="2023">
          <cell r="B2023" t="str">
            <v>661-23</v>
          </cell>
          <cell r="C2023" t="str">
            <v>BODY</v>
          </cell>
          <cell r="D2023">
            <v>123.5</v>
          </cell>
          <cell r="N2023" t="str">
            <v>661-23</v>
          </cell>
          <cell r="O2023" t="str">
            <v>BODY</v>
          </cell>
          <cell r="P2023">
            <v>247</v>
          </cell>
        </row>
        <row r="2024">
          <cell r="B2024" t="str">
            <v>852-06</v>
          </cell>
          <cell r="C2024" t="str">
            <v>BODY</v>
          </cell>
          <cell r="D2024">
            <v>95.5</v>
          </cell>
          <cell r="N2024" t="str">
            <v>852-06</v>
          </cell>
          <cell r="O2024" t="str">
            <v>BODY</v>
          </cell>
          <cell r="P2024">
            <v>191</v>
          </cell>
        </row>
        <row r="2025">
          <cell r="B2025" t="str">
            <v>852-07</v>
          </cell>
          <cell r="C2025" t="str">
            <v>BODY</v>
          </cell>
          <cell r="D2025">
            <v>92</v>
          </cell>
          <cell r="N2025" t="str">
            <v>852-07</v>
          </cell>
          <cell r="O2025" t="str">
            <v>BODY</v>
          </cell>
          <cell r="P2025">
            <v>184</v>
          </cell>
        </row>
        <row r="2026">
          <cell r="B2026" t="str">
            <v>852-09</v>
          </cell>
          <cell r="C2026" t="str">
            <v>BODY</v>
          </cell>
          <cell r="D2026">
            <v>93</v>
          </cell>
          <cell r="N2026" t="str">
            <v>852-09</v>
          </cell>
          <cell r="O2026" t="str">
            <v>BODY</v>
          </cell>
          <cell r="P2026">
            <v>186</v>
          </cell>
        </row>
        <row r="2027">
          <cell r="B2027" t="str">
            <v>852-14</v>
          </cell>
          <cell r="C2027" t="str">
            <v>BODY</v>
          </cell>
          <cell r="D2027">
            <v>126</v>
          </cell>
          <cell r="N2027" t="str">
            <v>852-14</v>
          </cell>
          <cell r="O2027" t="str">
            <v>BODY</v>
          </cell>
          <cell r="P2027">
            <v>252</v>
          </cell>
        </row>
        <row r="2028">
          <cell r="B2028" t="str">
            <v>852-21</v>
          </cell>
          <cell r="C2028" t="str">
            <v>BODY</v>
          </cell>
          <cell r="D2028">
            <v>123</v>
          </cell>
          <cell r="N2028" t="str">
            <v>852-21</v>
          </cell>
          <cell r="O2028" t="str">
            <v>BODY</v>
          </cell>
          <cell r="P2028">
            <v>246</v>
          </cell>
        </row>
        <row r="2029">
          <cell r="B2029" t="str">
            <v>852-25</v>
          </cell>
          <cell r="C2029" t="str">
            <v>BODY</v>
          </cell>
          <cell r="D2029">
            <v>93</v>
          </cell>
          <cell r="N2029" t="str">
            <v>852-25</v>
          </cell>
          <cell r="O2029" t="str">
            <v>BODY</v>
          </cell>
          <cell r="P2029">
            <v>186</v>
          </cell>
        </row>
        <row r="2030">
          <cell r="B2030" t="str">
            <v>853-19</v>
          </cell>
          <cell r="C2030" t="str">
            <v>REB,RETAINER</v>
          </cell>
          <cell r="D2030">
            <v>67.5</v>
          </cell>
          <cell r="N2030" t="str">
            <v>853-19</v>
          </cell>
          <cell r="O2030" t="str">
            <v>REB,RETAINER</v>
          </cell>
          <cell r="P2030">
            <v>135</v>
          </cell>
        </row>
        <row r="2031">
          <cell r="B2031" t="str">
            <v>1590-03</v>
          </cell>
          <cell r="C2031" t="str">
            <v>BODY</v>
          </cell>
          <cell r="D2031">
            <v>122</v>
          </cell>
          <cell r="N2031" t="str">
            <v>1590-03</v>
          </cell>
          <cell r="O2031" t="str">
            <v>BODY</v>
          </cell>
          <cell r="P2031">
            <v>244</v>
          </cell>
        </row>
        <row r="2032">
          <cell r="B2032" t="str">
            <v>464-15</v>
          </cell>
          <cell r="C2032" t="str">
            <v>PISTON</v>
          </cell>
          <cell r="D2032">
            <v>125</v>
          </cell>
          <cell r="N2032" t="str">
            <v>464-15</v>
          </cell>
          <cell r="O2032" t="str">
            <v>PISTON</v>
          </cell>
          <cell r="P2032">
            <v>250</v>
          </cell>
        </row>
        <row r="2033">
          <cell r="B2033" t="str">
            <v>588-32</v>
          </cell>
          <cell r="C2033" t="str">
            <v>PISTON</v>
          </cell>
          <cell r="D2033">
            <v>132.5</v>
          </cell>
          <cell r="N2033" t="str">
            <v>588-32</v>
          </cell>
          <cell r="O2033" t="str">
            <v>PISTON</v>
          </cell>
          <cell r="P2033">
            <v>265</v>
          </cell>
        </row>
        <row r="2034">
          <cell r="B2034" t="str">
            <v>786-12</v>
          </cell>
          <cell r="C2034" t="str">
            <v>BODY</v>
          </cell>
          <cell r="D2034">
            <v>87</v>
          </cell>
          <cell r="N2034" t="str">
            <v>786-12</v>
          </cell>
          <cell r="O2034" t="str">
            <v>BODY</v>
          </cell>
          <cell r="P2034">
            <v>174</v>
          </cell>
        </row>
        <row r="2035">
          <cell r="B2035" t="str">
            <v>786-18</v>
          </cell>
          <cell r="C2035" t="str">
            <v>BODY</v>
          </cell>
          <cell r="D2035">
            <v>110.5</v>
          </cell>
          <cell r="N2035" t="str">
            <v>786-18</v>
          </cell>
          <cell r="O2035" t="str">
            <v>BODY</v>
          </cell>
          <cell r="P2035">
            <v>221</v>
          </cell>
        </row>
        <row r="2036">
          <cell r="B2036" t="str">
            <v>787-16</v>
          </cell>
          <cell r="C2036" t="str">
            <v>BODY</v>
          </cell>
          <cell r="D2036">
            <v>116</v>
          </cell>
          <cell r="N2036" t="str">
            <v>787-16</v>
          </cell>
          <cell r="O2036" t="str">
            <v>BODY</v>
          </cell>
          <cell r="P2036">
            <v>232</v>
          </cell>
        </row>
        <row r="2037">
          <cell r="B2037" t="str">
            <v>797-11</v>
          </cell>
          <cell r="C2037" t="str">
            <v>BODY</v>
          </cell>
          <cell r="D2037">
            <v>132.5</v>
          </cell>
          <cell r="N2037" t="str">
            <v>797-11</v>
          </cell>
          <cell r="O2037" t="str">
            <v>BODY</v>
          </cell>
          <cell r="P2037">
            <v>265</v>
          </cell>
        </row>
        <row r="2038">
          <cell r="B2038" t="str">
            <v>1339-00</v>
          </cell>
          <cell r="C2038" t="str">
            <v>ROD GUIDE</v>
          </cell>
          <cell r="D2038">
            <v>130</v>
          </cell>
          <cell r="N2038" t="str">
            <v>1339-00</v>
          </cell>
          <cell r="O2038" t="str">
            <v>ROD GUIDE</v>
          </cell>
          <cell r="P2038">
            <v>260</v>
          </cell>
        </row>
        <row r="2039">
          <cell r="B2039" t="str">
            <v>1590-09</v>
          </cell>
          <cell r="C2039" t="str">
            <v>BODY</v>
          </cell>
          <cell r="D2039">
            <v>123</v>
          </cell>
          <cell r="N2039" t="str">
            <v>1590-09</v>
          </cell>
          <cell r="O2039" t="str">
            <v>BODY</v>
          </cell>
          <cell r="P2039">
            <v>246</v>
          </cell>
        </row>
        <row r="2040">
          <cell r="B2040" t="str">
            <v>1590-14</v>
          </cell>
          <cell r="C2040" t="str">
            <v>BODY</v>
          </cell>
          <cell r="D2040">
            <v>133</v>
          </cell>
          <cell r="N2040" t="str">
            <v>1590-14</v>
          </cell>
          <cell r="O2040" t="str">
            <v>BODY</v>
          </cell>
          <cell r="P2040">
            <v>266</v>
          </cell>
        </row>
        <row r="2041">
          <cell r="B2041" t="str">
            <v>1590-15</v>
          </cell>
          <cell r="C2041" t="str">
            <v>BODY</v>
          </cell>
          <cell r="D2041">
            <v>133</v>
          </cell>
          <cell r="N2041" t="str">
            <v>1590-15</v>
          </cell>
          <cell r="O2041" t="str">
            <v>BODY</v>
          </cell>
          <cell r="P2041">
            <v>266</v>
          </cell>
        </row>
        <row r="2042">
          <cell r="B2042" t="str">
            <v>2852-08</v>
          </cell>
          <cell r="C2042" t="str">
            <v>BODY</v>
          </cell>
          <cell r="D2042">
            <v>122.5</v>
          </cell>
          <cell r="N2042" t="str">
            <v>2852-08</v>
          </cell>
          <cell r="O2042" t="str">
            <v>BODY</v>
          </cell>
          <cell r="P2042">
            <v>245</v>
          </cell>
        </row>
        <row r="2043">
          <cell r="B2043" t="str">
            <v>661-16</v>
          </cell>
          <cell r="C2043" t="str">
            <v>BODY</v>
          </cell>
          <cell r="D2043">
            <v>120.5</v>
          </cell>
          <cell r="N2043" t="str">
            <v>661-16</v>
          </cell>
          <cell r="O2043" t="str">
            <v>BODY</v>
          </cell>
          <cell r="P2043">
            <v>241</v>
          </cell>
        </row>
        <row r="2044">
          <cell r="B2044" t="str">
            <v>673-01</v>
          </cell>
          <cell r="C2044" t="str">
            <v>PISTON</v>
          </cell>
          <cell r="D2044">
            <v>120</v>
          </cell>
          <cell r="N2044" t="str">
            <v>673-01</v>
          </cell>
          <cell r="O2044" t="str">
            <v>PISTON</v>
          </cell>
          <cell r="P2044">
            <v>240</v>
          </cell>
        </row>
        <row r="2045">
          <cell r="B2045" t="str">
            <v>673-01</v>
          </cell>
          <cell r="C2045" t="str">
            <v>PISTON</v>
          </cell>
          <cell r="D2045">
            <v>120</v>
          </cell>
          <cell r="N2045" t="str">
            <v>673-01</v>
          </cell>
          <cell r="O2045" t="str">
            <v>PISTON</v>
          </cell>
          <cell r="P2045">
            <v>240</v>
          </cell>
        </row>
        <row r="2046">
          <cell r="B2046" t="str">
            <v>673-08</v>
          </cell>
          <cell r="C2046" t="str">
            <v>PISTON</v>
          </cell>
          <cell r="D2046">
            <v>118</v>
          </cell>
          <cell r="N2046" t="str">
            <v>673-08</v>
          </cell>
          <cell r="O2046" t="str">
            <v>PISTON</v>
          </cell>
          <cell r="P2046">
            <v>236</v>
          </cell>
        </row>
        <row r="2047">
          <cell r="B2047" t="str">
            <v>673-08</v>
          </cell>
          <cell r="C2047" t="str">
            <v>PISTON</v>
          </cell>
          <cell r="D2047">
            <v>118</v>
          </cell>
          <cell r="N2047" t="str">
            <v>673-08</v>
          </cell>
          <cell r="O2047" t="str">
            <v>PISTON</v>
          </cell>
          <cell r="P2047">
            <v>236</v>
          </cell>
        </row>
        <row r="2048">
          <cell r="B2048" t="str">
            <v>673-13</v>
          </cell>
          <cell r="C2048" t="str">
            <v>PISTON</v>
          </cell>
          <cell r="D2048">
            <v>130.5</v>
          </cell>
          <cell r="N2048" t="str">
            <v>673-13</v>
          </cell>
          <cell r="O2048" t="str">
            <v>PISTON</v>
          </cell>
          <cell r="P2048">
            <v>261</v>
          </cell>
        </row>
        <row r="2049">
          <cell r="B2049" t="str">
            <v>727-09</v>
          </cell>
          <cell r="C2049" t="str">
            <v>BODY</v>
          </cell>
          <cell r="D2049">
            <v>130</v>
          </cell>
          <cell r="N2049" t="str">
            <v>727-09</v>
          </cell>
          <cell r="O2049" t="str">
            <v>BODY</v>
          </cell>
          <cell r="P2049">
            <v>260</v>
          </cell>
        </row>
        <row r="2050">
          <cell r="B2050" t="str">
            <v>960-01</v>
          </cell>
          <cell r="C2050" t="str">
            <v>CON-ROD</v>
          </cell>
          <cell r="D2050">
            <v>133</v>
          </cell>
          <cell r="N2050" t="str">
            <v>960-01</v>
          </cell>
          <cell r="O2050" t="str">
            <v>CON-ROD</v>
          </cell>
          <cell r="P2050">
            <v>266</v>
          </cell>
        </row>
        <row r="2051">
          <cell r="B2051" t="str">
            <v>1069-02</v>
          </cell>
          <cell r="C2051" t="str">
            <v>PISTON</v>
          </cell>
          <cell r="D2051">
            <v>126</v>
          </cell>
          <cell r="N2051" t="str">
            <v>1069-02</v>
          </cell>
          <cell r="O2051" t="str">
            <v>PISTON</v>
          </cell>
          <cell r="P2051">
            <v>252</v>
          </cell>
        </row>
        <row r="2052">
          <cell r="B2052" t="str">
            <v>1116-00</v>
          </cell>
          <cell r="C2052" t="str">
            <v>ROD GUIDE</v>
          </cell>
          <cell r="D2052">
            <v>133.5</v>
          </cell>
          <cell r="N2052" t="str">
            <v>1116-00</v>
          </cell>
          <cell r="O2052" t="str">
            <v>ROD GUIDE</v>
          </cell>
          <cell r="P2052">
            <v>267</v>
          </cell>
        </row>
        <row r="2053">
          <cell r="B2053" t="str">
            <v>588-32</v>
          </cell>
          <cell r="C2053" t="str">
            <v>PISTON</v>
          </cell>
          <cell r="D2053">
            <v>132.5</v>
          </cell>
          <cell r="N2053" t="str">
            <v>588-32</v>
          </cell>
          <cell r="O2053" t="str">
            <v>PISTON</v>
          </cell>
          <cell r="P2053">
            <v>265</v>
          </cell>
        </row>
        <row r="2054">
          <cell r="B2054" t="str">
            <v>661-29</v>
          </cell>
          <cell r="C2054" t="str">
            <v>BODY</v>
          </cell>
          <cell r="D2054">
            <v>124</v>
          </cell>
          <cell r="N2054" t="str">
            <v>661-29</v>
          </cell>
          <cell r="O2054" t="str">
            <v>BODY</v>
          </cell>
          <cell r="P2054">
            <v>248</v>
          </cell>
        </row>
        <row r="2055">
          <cell r="B2055" t="str">
            <v>673-02</v>
          </cell>
          <cell r="C2055" t="str">
            <v>PISTON</v>
          </cell>
          <cell r="D2055">
            <v>133.5</v>
          </cell>
          <cell r="N2055" t="str">
            <v>673-02</v>
          </cell>
          <cell r="O2055" t="str">
            <v>PISTON</v>
          </cell>
          <cell r="P2055">
            <v>267</v>
          </cell>
        </row>
        <row r="2056">
          <cell r="B2056" t="str">
            <v>673-02</v>
          </cell>
          <cell r="C2056" t="str">
            <v>PISTON</v>
          </cell>
          <cell r="D2056">
            <v>133.5</v>
          </cell>
          <cell r="N2056" t="str">
            <v>673-02</v>
          </cell>
          <cell r="O2056" t="str">
            <v>PISTON</v>
          </cell>
          <cell r="P2056">
            <v>267</v>
          </cell>
        </row>
        <row r="2057">
          <cell r="B2057" t="str">
            <v>673-05</v>
          </cell>
          <cell r="C2057" t="str">
            <v>PISTON</v>
          </cell>
          <cell r="D2057">
            <v>121</v>
          </cell>
          <cell r="N2057" t="str">
            <v>673-05</v>
          </cell>
          <cell r="O2057" t="str">
            <v>PISTON</v>
          </cell>
          <cell r="P2057">
            <v>242</v>
          </cell>
        </row>
        <row r="2058">
          <cell r="B2058" t="str">
            <v>673-05</v>
          </cell>
          <cell r="C2058" t="str">
            <v>PISTON</v>
          </cell>
          <cell r="D2058">
            <v>121</v>
          </cell>
          <cell r="N2058" t="str">
            <v>673-05</v>
          </cell>
          <cell r="O2058" t="str">
            <v>PISTON</v>
          </cell>
          <cell r="P2058">
            <v>242</v>
          </cell>
        </row>
        <row r="2059">
          <cell r="B2059" t="str">
            <v>673-06</v>
          </cell>
          <cell r="C2059" t="str">
            <v>PISTON</v>
          </cell>
          <cell r="D2059">
            <v>122</v>
          </cell>
          <cell r="N2059" t="str">
            <v>673-06</v>
          </cell>
          <cell r="O2059" t="str">
            <v>PISTON</v>
          </cell>
          <cell r="P2059">
            <v>244</v>
          </cell>
        </row>
        <row r="2060">
          <cell r="B2060" t="str">
            <v>673-06</v>
          </cell>
          <cell r="C2060" t="str">
            <v>PISTON</v>
          </cell>
          <cell r="D2060">
            <v>122</v>
          </cell>
          <cell r="N2060" t="str">
            <v>673-06</v>
          </cell>
          <cell r="O2060" t="str">
            <v>PISTON</v>
          </cell>
          <cell r="P2060">
            <v>244</v>
          </cell>
        </row>
        <row r="2061">
          <cell r="B2061" t="str">
            <v>797-04</v>
          </cell>
          <cell r="C2061" t="str">
            <v>BODY</v>
          </cell>
          <cell r="D2061">
            <v>125.5</v>
          </cell>
          <cell r="N2061" t="str">
            <v>797-04</v>
          </cell>
          <cell r="O2061" t="str">
            <v>BODY</v>
          </cell>
          <cell r="P2061">
            <v>251</v>
          </cell>
        </row>
        <row r="2062">
          <cell r="B2062" t="str">
            <v>797-16</v>
          </cell>
          <cell r="C2062" t="str">
            <v>BODY</v>
          </cell>
          <cell r="D2062">
            <v>125.5</v>
          </cell>
          <cell r="N2062" t="str">
            <v>797-16</v>
          </cell>
          <cell r="O2062" t="str">
            <v>BODY</v>
          </cell>
          <cell r="P2062">
            <v>251</v>
          </cell>
        </row>
        <row r="2063">
          <cell r="B2063" t="str">
            <v>465-04</v>
          </cell>
          <cell r="C2063" t="str">
            <v>BODY</v>
          </cell>
          <cell r="D2063">
            <v>95.5</v>
          </cell>
          <cell r="N2063" t="str">
            <v>465-04</v>
          </cell>
          <cell r="O2063" t="str">
            <v>BODY</v>
          </cell>
          <cell r="P2063">
            <v>191</v>
          </cell>
        </row>
        <row r="2064">
          <cell r="B2064" t="str">
            <v>465-04</v>
          </cell>
          <cell r="C2064" t="str">
            <v>BODY</v>
          </cell>
          <cell r="D2064">
            <v>95.5</v>
          </cell>
          <cell r="N2064" t="str">
            <v>465-04</v>
          </cell>
          <cell r="O2064" t="str">
            <v>BODY</v>
          </cell>
          <cell r="P2064">
            <v>191</v>
          </cell>
        </row>
        <row r="2065">
          <cell r="B2065" t="str">
            <v>494-53</v>
          </cell>
          <cell r="C2065" t="str">
            <v>REB,RETAINER</v>
          </cell>
          <cell r="D2065">
            <v>134</v>
          </cell>
          <cell r="N2065" t="str">
            <v>494-53</v>
          </cell>
          <cell r="O2065" t="str">
            <v>REB,RETAINER</v>
          </cell>
          <cell r="P2065">
            <v>268</v>
          </cell>
        </row>
        <row r="2066">
          <cell r="B2066" t="str">
            <v>588-05</v>
          </cell>
          <cell r="C2066" t="str">
            <v>PISTON</v>
          </cell>
          <cell r="D2066">
            <v>110.5</v>
          </cell>
          <cell r="N2066" t="str">
            <v>588-05</v>
          </cell>
          <cell r="O2066" t="str">
            <v>PISTON</v>
          </cell>
          <cell r="P2066">
            <v>221</v>
          </cell>
        </row>
        <row r="2067">
          <cell r="B2067" t="str">
            <v>588-05</v>
          </cell>
          <cell r="C2067" t="str">
            <v>PISTON</v>
          </cell>
          <cell r="D2067">
            <v>110.5</v>
          </cell>
          <cell r="N2067" t="str">
            <v>588-05</v>
          </cell>
          <cell r="O2067" t="str">
            <v>PISTON</v>
          </cell>
          <cell r="P2067">
            <v>221</v>
          </cell>
        </row>
        <row r="2068">
          <cell r="B2068" t="str">
            <v>588-41</v>
          </cell>
          <cell r="C2068" t="str">
            <v>PISTON</v>
          </cell>
          <cell r="D2068">
            <v>134</v>
          </cell>
          <cell r="N2068" t="str">
            <v>588-41</v>
          </cell>
          <cell r="O2068" t="str">
            <v>PISTON</v>
          </cell>
          <cell r="P2068">
            <v>268</v>
          </cell>
        </row>
        <row r="2069">
          <cell r="B2069" t="str">
            <v>673-02</v>
          </cell>
          <cell r="C2069" t="str">
            <v>PISTON</v>
          </cell>
          <cell r="D2069">
            <v>133.5</v>
          </cell>
          <cell r="N2069" t="str">
            <v>673-02</v>
          </cell>
          <cell r="O2069" t="str">
            <v>PISTON</v>
          </cell>
          <cell r="P2069">
            <v>267</v>
          </cell>
        </row>
        <row r="2070">
          <cell r="B2070" t="str">
            <v>797-15</v>
          </cell>
          <cell r="C2070" t="str">
            <v>BODY</v>
          </cell>
          <cell r="D2070">
            <v>100</v>
          </cell>
          <cell r="N2070" t="str">
            <v>797-15</v>
          </cell>
          <cell r="O2070" t="str">
            <v>BODY</v>
          </cell>
          <cell r="P2070">
            <v>200</v>
          </cell>
        </row>
        <row r="2071">
          <cell r="B2071" t="str">
            <v>1063-01</v>
          </cell>
          <cell r="C2071" t="str">
            <v>BODY</v>
          </cell>
          <cell r="D2071">
            <v>128</v>
          </cell>
          <cell r="N2071" t="str">
            <v>1063-01</v>
          </cell>
          <cell r="O2071" t="str">
            <v>BODY</v>
          </cell>
          <cell r="P2071">
            <v>256</v>
          </cell>
        </row>
        <row r="2072">
          <cell r="B2072" t="str">
            <v>1823-01</v>
          </cell>
          <cell r="C2072" t="str">
            <v>BODY</v>
          </cell>
          <cell r="D2072">
            <v>134.5</v>
          </cell>
          <cell r="N2072" t="str">
            <v>1823-01</v>
          </cell>
          <cell r="O2072" t="str">
            <v>BODY</v>
          </cell>
          <cell r="P2072">
            <v>269</v>
          </cell>
        </row>
        <row r="2073">
          <cell r="B2073" t="str">
            <v>1832-18</v>
          </cell>
          <cell r="C2073" t="str">
            <v>BODY RETAINER</v>
          </cell>
          <cell r="D2073">
            <v>134.5</v>
          </cell>
          <cell r="N2073" t="str">
            <v>1832-18</v>
          </cell>
          <cell r="O2073" t="str">
            <v>BODY RETAINER</v>
          </cell>
          <cell r="P2073">
            <v>269</v>
          </cell>
        </row>
        <row r="2074">
          <cell r="B2074" t="str">
            <v>2852-09</v>
          </cell>
          <cell r="C2074" t="str">
            <v>BODY</v>
          </cell>
          <cell r="D2074">
            <v>92.5</v>
          </cell>
          <cell r="N2074" t="str">
            <v>2852-09</v>
          </cell>
          <cell r="O2074" t="str">
            <v>BODY</v>
          </cell>
          <cell r="P2074">
            <v>185</v>
          </cell>
        </row>
        <row r="2075">
          <cell r="B2075" t="str">
            <v>588-26</v>
          </cell>
          <cell r="C2075" t="str">
            <v>PISTON</v>
          </cell>
          <cell r="D2075">
            <v>117.5</v>
          </cell>
          <cell r="N2075" t="str">
            <v>588-26</v>
          </cell>
          <cell r="O2075" t="str">
            <v>PISTON</v>
          </cell>
          <cell r="P2075">
            <v>235</v>
          </cell>
        </row>
        <row r="2076">
          <cell r="B2076" t="str">
            <v>661-17</v>
          </cell>
          <cell r="C2076" t="str">
            <v>BODY</v>
          </cell>
          <cell r="D2076">
            <v>134.5</v>
          </cell>
          <cell r="N2076" t="str">
            <v>661-17</v>
          </cell>
          <cell r="O2076" t="str">
            <v>BODY</v>
          </cell>
          <cell r="P2076">
            <v>269</v>
          </cell>
        </row>
        <row r="2077">
          <cell r="B2077" t="str">
            <v>785-02</v>
          </cell>
          <cell r="C2077" t="str">
            <v>BODY</v>
          </cell>
          <cell r="D2077">
            <v>87.5</v>
          </cell>
          <cell r="N2077" t="str">
            <v>785-02</v>
          </cell>
          <cell r="O2077" t="str">
            <v>BODY</v>
          </cell>
          <cell r="P2077">
            <v>175</v>
          </cell>
        </row>
        <row r="2078">
          <cell r="B2078" t="str">
            <v>786-18</v>
          </cell>
          <cell r="C2078" t="str">
            <v>BODY</v>
          </cell>
          <cell r="D2078">
            <v>110.5</v>
          </cell>
          <cell r="N2078" t="str">
            <v>786-18</v>
          </cell>
          <cell r="O2078" t="str">
            <v>BODY</v>
          </cell>
          <cell r="P2078">
            <v>221</v>
          </cell>
        </row>
        <row r="2079">
          <cell r="B2079" t="str">
            <v>786-18</v>
          </cell>
          <cell r="C2079" t="str">
            <v>BODY</v>
          </cell>
          <cell r="D2079">
            <v>110.5</v>
          </cell>
          <cell r="N2079" t="str">
            <v>786-18</v>
          </cell>
          <cell r="O2079" t="str">
            <v>BODY</v>
          </cell>
          <cell r="P2079">
            <v>221</v>
          </cell>
        </row>
        <row r="2080">
          <cell r="B2080" t="str">
            <v>957-00</v>
          </cell>
          <cell r="C2080" t="str">
            <v>LOCK BODY ASS'Y</v>
          </cell>
          <cell r="D2080">
            <v>134.5</v>
          </cell>
          <cell r="N2080" t="str">
            <v>957-00</v>
          </cell>
          <cell r="O2080" t="str">
            <v>LOCK BODY ASS'Y</v>
          </cell>
          <cell r="P2080">
            <v>269</v>
          </cell>
        </row>
        <row r="2081">
          <cell r="B2081" t="str">
            <v>957-00</v>
          </cell>
          <cell r="C2081" t="str">
            <v>LOCK BODY ASS'Y</v>
          </cell>
          <cell r="D2081">
            <v>134.5</v>
          </cell>
          <cell r="N2081" t="str">
            <v>957-00</v>
          </cell>
          <cell r="O2081" t="str">
            <v>LOCK BODY ASS'Y</v>
          </cell>
          <cell r="P2081">
            <v>269</v>
          </cell>
        </row>
        <row r="2082">
          <cell r="B2082" t="str">
            <v>1156-00</v>
          </cell>
          <cell r="C2082" t="str">
            <v>VALVE PLATE</v>
          </cell>
          <cell r="D2082">
            <v>162</v>
          </cell>
          <cell r="N2082" t="str">
            <v>1156-00</v>
          </cell>
          <cell r="O2082" t="str">
            <v>VALVE PLATE</v>
          </cell>
          <cell r="P2082">
            <v>270</v>
          </cell>
        </row>
        <row r="2083">
          <cell r="B2083" t="str">
            <v>1581-01</v>
          </cell>
          <cell r="C2083" t="str">
            <v>BODY</v>
          </cell>
          <cell r="D2083">
            <v>135</v>
          </cell>
          <cell r="N2083" t="str">
            <v>1581-01</v>
          </cell>
          <cell r="O2083" t="str">
            <v>BODY</v>
          </cell>
          <cell r="P2083">
            <v>270</v>
          </cell>
        </row>
        <row r="2084">
          <cell r="B2084" t="str">
            <v>1920-00</v>
          </cell>
          <cell r="C2084" t="str">
            <v>BODY</v>
          </cell>
          <cell r="D2084">
            <v>125</v>
          </cell>
          <cell r="N2084" t="str">
            <v>1920-00</v>
          </cell>
          <cell r="O2084" t="str">
            <v>BODY</v>
          </cell>
          <cell r="P2084">
            <v>250</v>
          </cell>
        </row>
        <row r="2085">
          <cell r="B2085" t="str">
            <v>2076-16</v>
          </cell>
          <cell r="C2085" t="str">
            <v>BODY RETAINER</v>
          </cell>
          <cell r="D2085">
            <v>135</v>
          </cell>
          <cell r="N2085" t="str">
            <v>2076-16</v>
          </cell>
          <cell r="O2085" t="str">
            <v>BODY RETAINER</v>
          </cell>
          <cell r="P2085">
            <v>270</v>
          </cell>
        </row>
        <row r="2086">
          <cell r="B2086" t="str">
            <v>2077-18</v>
          </cell>
          <cell r="C2086" t="str">
            <v>BODY RETAINER</v>
          </cell>
          <cell r="D2086">
            <v>135</v>
          </cell>
          <cell r="N2086" t="str">
            <v>2077-18</v>
          </cell>
          <cell r="O2086" t="str">
            <v>BODY RETAINER</v>
          </cell>
          <cell r="P2086">
            <v>270</v>
          </cell>
        </row>
        <row r="2087">
          <cell r="B2087" t="str">
            <v>2077-19</v>
          </cell>
          <cell r="C2087" t="str">
            <v>BODY RETAINER</v>
          </cell>
          <cell r="D2087">
            <v>83.5</v>
          </cell>
          <cell r="N2087" t="str">
            <v>2077-19</v>
          </cell>
          <cell r="O2087" t="str">
            <v>BODY RETAINER</v>
          </cell>
          <cell r="P2087">
            <v>167</v>
          </cell>
        </row>
        <row r="2088">
          <cell r="B2088" t="str">
            <v>588-12</v>
          </cell>
          <cell r="C2088" t="str">
            <v>PISTON</v>
          </cell>
          <cell r="D2088">
            <v>135</v>
          </cell>
          <cell r="N2088" t="str">
            <v>588-12</v>
          </cell>
          <cell r="O2088" t="str">
            <v>PISTON</v>
          </cell>
          <cell r="P2088">
            <v>270</v>
          </cell>
        </row>
        <row r="2089">
          <cell r="B2089" t="str">
            <v>661-17</v>
          </cell>
          <cell r="C2089" t="str">
            <v>BODY</v>
          </cell>
          <cell r="D2089">
            <v>134.5</v>
          </cell>
          <cell r="N2089" t="str">
            <v>661-17</v>
          </cell>
          <cell r="O2089" t="str">
            <v>BODY</v>
          </cell>
          <cell r="P2089">
            <v>269</v>
          </cell>
        </row>
        <row r="2090">
          <cell r="B2090" t="str">
            <v>661-17</v>
          </cell>
          <cell r="C2090" t="str">
            <v>BODY</v>
          </cell>
          <cell r="D2090">
            <v>134.5</v>
          </cell>
          <cell r="N2090" t="str">
            <v>661-17</v>
          </cell>
          <cell r="O2090" t="str">
            <v>BODY</v>
          </cell>
          <cell r="P2090">
            <v>269</v>
          </cell>
        </row>
        <row r="2091">
          <cell r="B2091" t="str">
            <v>787-16</v>
          </cell>
          <cell r="C2091" t="str">
            <v>BODY</v>
          </cell>
          <cell r="D2091">
            <v>116</v>
          </cell>
          <cell r="N2091" t="str">
            <v>787-16</v>
          </cell>
          <cell r="O2091" t="str">
            <v>BODY</v>
          </cell>
          <cell r="P2091">
            <v>232</v>
          </cell>
        </row>
        <row r="2092">
          <cell r="B2092" t="str">
            <v>797-06</v>
          </cell>
          <cell r="C2092" t="str">
            <v>BODY</v>
          </cell>
          <cell r="D2092">
            <v>135</v>
          </cell>
          <cell r="N2092" t="str">
            <v>797-06</v>
          </cell>
          <cell r="O2092" t="str">
            <v>BODY</v>
          </cell>
          <cell r="P2092">
            <v>270</v>
          </cell>
        </row>
        <row r="2093">
          <cell r="B2093" t="str">
            <v>921-00</v>
          </cell>
          <cell r="C2093" t="str">
            <v>BUSH</v>
          </cell>
          <cell r="D2093">
            <v>162</v>
          </cell>
          <cell r="N2093" t="str">
            <v>921-00</v>
          </cell>
          <cell r="O2093" t="str">
            <v>BUSH</v>
          </cell>
          <cell r="P2093">
            <v>270</v>
          </cell>
        </row>
        <row r="2094">
          <cell r="B2094" t="str">
            <v>921-00</v>
          </cell>
          <cell r="C2094" t="str">
            <v>BUSH</v>
          </cell>
          <cell r="D2094">
            <v>162</v>
          </cell>
          <cell r="N2094" t="str">
            <v>921-00</v>
          </cell>
          <cell r="O2094" t="str">
            <v>BUSH</v>
          </cell>
          <cell r="P2094">
            <v>270</v>
          </cell>
        </row>
        <row r="2095">
          <cell r="B2095" t="str">
            <v>921-00</v>
          </cell>
          <cell r="C2095" t="str">
            <v>BUSH</v>
          </cell>
          <cell r="D2095">
            <v>162</v>
          </cell>
          <cell r="N2095" t="str">
            <v>921-00</v>
          </cell>
          <cell r="O2095" t="str">
            <v>BUSH</v>
          </cell>
          <cell r="P2095">
            <v>270</v>
          </cell>
        </row>
        <row r="2096">
          <cell r="B2096" t="str">
            <v>1069-01</v>
          </cell>
          <cell r="C2096" t="str">
            <v>PISTON</v>
          </cell>
          <cell r="D2096">
            <v>99</v>
          </cell>
          <cell r="N2096" t="str">
            <v>1069-01</v>
          </cell>
          <cell r="O2096" t="str">
            <v>PISTON</v>
          </cell>
          <cell r="P2096">
            <v>198</v>
          </cell>
        </row>
        <row r="2097">
          <cell r="B2097" t="str">
            <v>1069-02</v>
          </cell>
          <cell r="C2097" t="str">
            <v>PISTON</v>
          </cell>
          <cell r="D2097">
            <v>126</v>
          </cell>
          <cell r="N2097" t="str">
            <v>1069-02</v>
          </cell>
          <cell r="O2097" t="str">
            <v>PISTON</v>
          </cell>
          <cell r="P2097">
            <v>252</v>
          </cell>
        </row>
        <row r="2098">
          <cell r="B2098" t="str">
            <v>1069-02</v>
          </cell>
          <cell r="C2098" t="str">
            <v>PISTON</v>
          </cell>
          <cell r="D2098">
            <v>126</v>
          </cell>
          <cell r="N2098" t="str">
            <v>1069-02</v>
          </cell>
          <cell r="O2098" t="str">
            <v>PISTON</v>
          </cell>
          <cell r="P2098">
            <v>252</v>
          </cell>
        </row>
        <row r="2099">
          <cell r="B2099" t="str">
            <v>1209-01</v>
          </cell>
          <cell r="C2099" t="str">
            <v>PISTON</v>
          </cell>
          <cell r="D2099">
            <v>135.5</v>
          </cell>
          <cell r="N2099" t="str">
            <v>1209-01</v>
          </cell>
          <cell r="O2099" t="str">
            <v>PISTON</v>
          </cell>
          <cell r="P2099">
            <v>271</v>
          </cell>
        </row>
        <row r="2100">
          <cell r="B2100" t="str">
            <v>1387-00</v>
          </cell>
          <cell r="C2100" t="str">
            <v>TILT CAM</v>
          </cell>
          <cell r="D2100">
            <v>162.6</v>
          </cell>
          <cell r="N2100" t="str">
            <v>1387-00</v>
          </cell>
          <cell r="O2100" t="str">
            <v>TILT CAM</v>
          </cell>
          <cell r="P2100">
            <v>271</v>
          </cell>
        </row>
        <row r="2101">
          <cell r="B2101" t="str">
            <v>1590-21</v>
          </cell>
          <cell r="C2101" t="str">
            <v>BODY</v>
          </cell>
          <cell r="D2101">
            <v>125.5</v>
          </cell>
          <cell r="N2101" t="str">
            <v>1590-21</v>
          </cell>
          <cell r="O2101" t="str">
            <v>BODY</v>
          </cell>
          <cell r="P2101">
            <v>251</v>
          </cell>
        </row>
        <row r="2102">
          <cell r="B2102" t="str">
            <v>1919-00</v>
          </cell>
          <cell r="C2102" t="str">
            <v>BODY</v>
          </cell>
          <cell r="D2102">
            <v>129.5</v>
          </cell>
          <cell r="N2102" t="str">
            <v>1919-00</v>
          </cell>
          <cell r="O2102" t="str">
            <v>BODY</v>
          </cell>
          <cell r="P2102">
            <v>259</v>
          </cell>
        </row>
        <row r="2103">
          <cell r="B2103" t="str">
            <v>1920-00</v>
          </cell>
          <cell r="C2103" t="str">
            <v>BODY</v>
          </cell>
          <cell r="D2103">
            <v>125</v>
          </cell>
          <cell r="N2103" t="str">
            <v>1920-00</v>
          </cell>
          <cell r="O2103" t="str">
            <v>BODY</v>
          </cell>
          <cell r="P2103">
            <v>250</v>
          </cell>
        </row>
        <row r="2104">
          <cell r="B2104" t="str">
            <v>1920-00</v>
          </cell>
          <cell r="C2104" t="str">
            <v>BODY</v>
          </cell>
          <cell r="D2104">
            <v>125</v>
          </cell>
          <cell r="N2104" t="str">
            <v>1920-00</v>
          </cell>
          <cell r="O2104" t="str">
            <v>BODY</v>
          </cell>
          <cell r="P2104">
            <v>250</v>
          </cell>
        </row>
        <row r="2105">
          <cell r="B2105" t="str">
            <v>567-21</v>
          </cell>
          <cell r="C2105" t="str">
            <v>BODY</v>
          </cell>
          <cell r="D2105">
            <v>135.5</v>
          </cell>
          <cell r="N2105" t="str">
            <v>567-21</v>
          </cell>
          <cell r="O2105" t="str">
            <v>BODY</v>
          </cell>
          <cell r="P2105">
            <v>271</v>
          </cell>
        </row>
        <row r="2106">
          <cell r="B2106" t="str">
            <v>588-31</v>
          </cell>
          <cell r="C2106" t="str">
            <v>PISTON</v>
          </cell>
          <cell r="D2106">
            <v>125.5</v>
          </cell>
          <cell r="N2106" t="str">
            <v>588-31</v>
          </cell>
          <cell r="O2106" t="str">
            <v>PISTON</v>
          </cell>
          <cell r="P2106">
            <v>251</v>
          </cell>
        </row>
        <row r="2107">
          <cell r="B2107" t="str">
            <v>588-41</v>
          </cell>
          <cell r="C2107" t="str">
            <v>PISTON</v>
          </cell>
          <cell r="D2107">
            <v>134</v>
          </cell>
          <cell r="N2107" t="str">
            <v>588-41</v>
          </cell>
          <cell r="O2107" t="str">
            <v>PISTON</v>
          </cell>
          <cell r="P2107">
            <v>268</v>
          </cell>
        </row>
        <row r="2108">
          <cell r="B2108" t="str">
            <v>598-06</v>
          </cell>
          <cell r="C2108" t="str">
            <v>PISTON</v>
          </cell>
          <cell r="D2108">
            <v>135.5</v>
          </cell>
          <cell r="N2108" t="str">
            <v>598-06</v>
          </cell>
          <cell r="O2108" t="str">
            <v>PISTON</v>
          </cell>
          <cell r="P2108">
            <v>271</v>
          </cell>
        </row>
        <row r="2109">
          <cell r="B2109" t="str">
            <v>661-27</v>
          </cell>
          <cell r="C2109" t="str">
            <v>BODY</v>
          </cell>
          <cell r="D2109">
            <v>135.5</v>
          </cell>
          <cell r="N2109" t="str">
            <v>661-27</v>
          </cell>
          <cell r="O2109" t="str">
            <v>BODY</v>
          </cell>
          <cell r="P2109">
            <v>271</v>
          </cell>
        </row>
        <row r="2110">
          <cell r="B2110" t="str">
            <v>661-29</v>
          </cell>
          <cell r="C2110" t="str">
            <v>BODY</v>
          </cell>
          <cell r="D2110">
            <v>124</v>
          </cell>
          <cell r="N2110" t="str">
            <v>661-29</v>
          </cell>
          <cell r="O2110" t="str">
            <v>BODY</v>
          </cell>
          <cell r="P2110">
            <v>248</v>
          </cell>
        </row>
        <row r="2111">
          <cell r="B2111" t="str">
            <v>727-11</v>
          </cell>
          <cell r="C2111" t="str">
            <v>BODY</v>
          </cell>
          <cell r="D2111">
            <v>135.5</v>
          </cell>
          <cell r="N2111" t="str">
            <v>727-11</v>
          </cell>
          <cell r="O2111" t="str">
            <v>BODY</v>
          </cell>
          <cell r="P2111">
            <v>271</v>
          </cell>
        </row>
        <row r="2112">
          <cell r="B2112" t="str">
            <v>768-01</v>
          </cell>
          <cell r="C2112" t="str">
            <v>CON-ROD</v>
          </cell>
          <cell r="D2112">
            <v>135.5</v>
          </cell>
          <cell r="N2112" t="str">
            <v>768-01</v>
          </cell>
          <cell r="O2112" t="str">
            <v>CON-ROD</v>
          </cell>
          <cell r="P2112">
            <v>271</v>
          </cell>
        </row>
        <row r="2113">
          <cell r="B2113" t="str">
            <v>787-11</v>
          </cell>
          <cell r="C2113" t="str">
            <v>BODY</v>
          </cell>
          <cell r="D2113">
            <v>135.5</v>
          </cell>
          <cell r="N2113" t="str">
            <v>787-11</v>
          </cell>
          <cell r="O2113" t="str">
            <v>BODY</v>
          </cell>
          <cell r="P2113">
            <v>271</v>
          </cell>
        </row>
        <row r="2114">
          <cell r="B2114" t="str">
            <v>852-18</v>
          </cell>
          <cell r="C2114" t="str">
            <v>BODY</v>
          </cell>
          <cell r="D2114">
            <v>123</v>
          </cell>
          <cell r="N2114" t="str">
            <v>852-18</v>
          </cell>
          <cell r="O2114" t="str">
            <v>BODY</v>
          </cell>
          <cell r="P2114">
            <v>246</v>
          </cell>
        </row>
        <row r="2115">
          <cell r="B2115" t="str">
            <v>852-21</v>
          </cell>
          <cell r="C2115" t="str">
            <v>BODY</v>
          </cell>
          <cell r="D2115">
            <v>123</v>
          </cell>
          <cell r="N2115" t="str">
            <v>852-21</v>
          </cell>
          <cell r="O2115" t="str">
            <v>BODY</v>
          </cell>
          <cell r="P2115">
            <v>246</v>
          </cell>
        </row>
        <row r="2116">
          <cell r="B2116" t="str">
            <v>1065-02</v>
          </cell>
          <cell r="C2116" t="str">
            <v>COVER HOUSING</v>
          </cell>
          <cell r="D2116">
            <v>163.13399999999999</v>
          </cell>
          <cell r="N2116" t="str">
            <v>1065-02</v>
          </cell>
          <cell r="O2116" t="str">
            <v>COVER HOUSING</v>
          </cell>
          <cell r="P2116">
            <v>271.89</v>
          </cell>
        </row>
        <row r="2117">
          <cell r="B2117" t="str">
            <v>1069-03</v>
          </cell>
          <cell r="C2117" t="str">
            <v>PISTON</v>
          </cell>
          <cell r="D2117">
            <v>93.5</v>
          </cell>
          <cell r="N2117" t="str">
            <v>1069-03</v>
          </cell>
          <cell r="O2117" t="str">
            <v>PISTON</v>
          </cell>
          <cell r="P2117">
            <v>187</v>
          </cell>
        </row>
        <row r="2118">
          <cell r="B2118" t="str">
            <v>1069-03</v>
          </cell>
          <cell r="C2118" t="str">
            <v>PISTON</v>
          </cell>
          <cell r="D2118">
            <v>93.5</v>
          </cell>
          <cell r="N2118" t="str">
            <v>1069-03</v>
          </cell>
          <cell r="O2118" t="str">
            <v>PISTON</v>
          </cell>
          <cell r="P2118">
            <v>187</v>
          </cell>
        </row>
        <row r="2119">
          <cell r="B2119" t="str">
            <v>1079-05</v>
          </cell>
          <cell r="C2119" t="str">
            <v>BODY</v>
          </cell>
          <cell r="D2119">
            <v>103</v>
          </cell>
          <cell r="N2119" t="str">
            <v>1079-05</v>
          </cell>
          <cell r="O2119" t="str">
            <v>BODY</v>
          </cell>
          <cell r="P2119">
            <v>206</v>
          </cell>
        </row>
        <row r="2120">
          <cell r="B2120" t="str">
            <v>1287-03</v>
          </cell>
          <cell r="C2120" t="str">
            <v>BODY</v>
          </cell>
          <cell r="D2120">
            <v>132</v>
          </cell>
          <cell r="N2120" t="str">
            <v>1287-03</v>
          </cell>
          <cell r="O2120" t="str">
            <v>BODY</v>
          </cell>
          <cell r="P2120">
            <v>264</v>
          </cell>
        </row>
        <row r="2121">
          <cell r="B2121" t="str">
            <v>1412-05</v>
          </cell>
          <cell r="C2121" t="str">
            <v>BODY</v>
          </cell>
          <cell r="D2121">
            <v>124.5</v>
          </cell>
          <cell r="N2121" t="str">
            <v>1412-05</v>
          </cell>
          <cell r="O2121" t="str">
            <v>BODY</v>
          </cell>
          <cell r="P2121">
            <v>249</v>
          </cell>
        </row>
        <row r="2122">
          <cell r="B2122" t="str">
            <v>1412-08</v>
          </cell>
          <cell r="C2122" t="str">
            <v>BODY</v>
          </cell>
          <cell r="D2122">
            <v>136.5</v>
          </cell>
          <cell r="N2122" t="str">
            <v>1412-08</v>
          </cell>
          <cell r="O2122" t="str">
            <v>BODY</v>
          </cell>
          <cell r="P2122">
            <v>273</v>
          </cell>
        </row>
        <row r="2123">
          <cell r="B2123" t="str">
            <v>1412-08</v>
          </cell>
          <cell r="C2123" t="str">
            <v>BODY</v>
          </cell>
          <cell r="D2123">
            <v>136.5</v>
          </cell>
          <cell r="N2123" t="str">
            <v>1412-08</v>
          </cell>
          <cell r="O2123" t="str">
            <v>BODY</v>
          </cell>
          <cell r="P2123">
            <v>273</v>
          </cell>
        </row>
        <row r="2124">
          <cell r="B2124" t="str">
            <v>1412-09</v>
          </cell>
          <cell r="C2124" t="str">
            <v>BODY</v>
          </cell>
          <cell r="D2124">
            <v>136.5</v>
          </cell>
          <cell r="N2124" t="str">
            <v>1412-09</v>
          </cell>
          <cell r="O2124" t="str">
            <v>BODY</v>
          </cell>
          <cell r="P2124">
            <v>273</v>
          </cell>
        </row>
        <row r="2125">
          <cell r="B2125" t="str">
            <v>1430-04</v>
          </cell>
          <cell r="C2125" t="str">
            <v>BODY</v>
          </cell>
          <cell r="D2125">
            <v>127</v>
          </cell>
          <cell r="N2125" t="str">
            <v>1430-04</v>
          </cell>
          <cell r="O2125" t="str">
            <v>BODY</v>
          </cell>
          <cell r="P2125">
            <v>254</v>
          </cell>
        </row>
        <row r="2126">
          <cell r="B2126" t="str">
            <v>2077-18</v>
          </cell>
          <cell r="C2126" t="str">
            <v>BODY RETAINER</v>
          </cell>
          <cell r="D2126">
            <v>135</v>
          </cell>
          <cell r="N2126" t="str">
            <v>2077-18</v>
          </cell>
          <cell r="O2126" t="str">
            <v>BODY RETAINER</v>
          </cell>
          <cell r="P2126">
            <v>270</v>
          </cell>
        </row>
        <row r="2127">
          <cell r="B2127" t="str">
            <v>382-04</v>
          </cell>
          <cell r="C2127" t="str">
            <v>RACK STOPPER</v>
          </cell>
          <cell r="D2127">
            <v>163.79999999999998</v>
          </cell>
          <cell r="N2127" t="str">
            <v>382-04</v>
          </cell>
          <cell r="O2127" t="str">
            <v>RACK STOPPER</v>
          </cell>
          <cell r="P2127">
            <v>273</v>
          </cell>
        </row>
        <row r="2128">
          <cell r="B2128" t="str">
            <v>787-23</v>
          </cell>
          <cell r="C2128" t="str">
            <v>BODY</v>
          </cell>
          <cell r="D2128">
            <v>136.5</v>
          </cell>
          <cell r="N2128" t="str">
            <v>787-23</v>
          </cell>
          <cell r="O2128" t="str">
            <v>BODY</v>
          </cell>
          <cell r="P2128">
            <v>273</v>
          </cell>
        </row>
        <row r="2129">
          <cell r="B2129" t="str">
            <v>797-04</v>
          </cell>
          <cell r="C2129" t="str">
            <v>BODY</v>
          </cell>
          <cell r="D2129">
            <v>125.5</v>
          </cell>
          <cell r="N2129" t="str">
            <v>797-04</v>
          </cell>
          <cell r="O2129" t="str">
            <v>BODY</v>
          </cell>
          <cell r="P2129">
            <v>251</v>
          </cell>
        </row>
        <row r="2130">
          <cell r="B2130" t="str">
            <v>800-02</v>
          </cell>
          <cell r="C2130" t="str">
            <v>PISTON</v>
          </cell>
          <cell r="D2130">
            <v>129.5</v>
          </cell>
          <cell r="N2130" t="str">
            <v>800-02</v>
          </cell>
          <cell r="O2130" t="str">
            <v>PISTON</v>
          </cell>
          <cell r="P2130">
            <v>259</v>
          </cell>
        </row>
        <row r="2131">
          <cell r="B2131" t="str">
            <v>922-00</v>
          </cell>
          <cell r="C2131" t="str">
            <v>ROD GUIDE</v>
          </cell>
          <cell r="D2131">
            <v>136.5</v>
          </cell>
          <cell r="N2131" t="str">
            <v>922-00</v>
          </cell>
          <cell r="O2131" t="str">
            <v>ROD GUIDE</v>
          </cell>
          <cell r="P2131">
            <v>273</v>
          </cell>
        </row>
        <row r="2132">
          <cell r="B2132" t="str">
            <v>1665-02</v>
          </cell>
          <cell r="C2132" t="str">
            <v>BODY</v>
          </cell>
          <cell r="D2132">
            <v>131</v>
          </cell>
          <cell r="N2132" t="str">
            <v>1665-02</v>
          </cell>
          <cell r="O2132" t="str">
            <v>BODY</v>
          </cell>
          <cell r="P2132">
            <v>262</v>
          </cell>
        </row>
        <row r="2133">
          <cell r="B2133" t="str">
            <v>1994-01</v>
          </cell>
          <cell r="C2133" t="str">
            <v>BODY</v>
          </cell>
          <cell r="D2133">
            <v>137</v>
          </cell>
          <cell r="N2133" t="str">
            <v>1994-01</v>
          </cell>
          <cell r="O2133" t="str">
            <v>BODY</v>
          </cell>
          <cell r="P2133">
            <v>274</v>
          </cell>
        </row>
        <row r="2134">
          <cell r="B2134" t="str">
            <v>2852-16</v>
          </cell>
          <cell r="C2134" t="str">
            <v>BODY</v>
          </cell>
          <cell r="D2134">
            <v>137</v>
          </cell>
          <cell r="N2134" t="str">
            <v>2852-16</v>
          </cell>
          <cell r="O2134" t="str">
            <v>BODY</v>
          </cell>
          <cell r="P2134">
            <v>274</v>
          </cell>
        </row>
        <row r="2135">
          <cell r="B2135" t="str">
            <v>2852-16</v>
          </cell>
          <cell r="C2135" t="str">
            <v>BODY</v>
          </cell>
          <cell r="D2135">
            <v>137</v>
          </cell>
          <cell r="N2135" t="str">
            <v>2852-16</v>
          </cell>
          <cell r="O2135" t="str">
            <v>BODY</v>
          </cell>
          <cell r="P2135">
            <v>274</v>
          </cell>
        </row>
        <row r="2136">
          <cell r="B2136" t="str">
            <v>556-01</v>
          </cell>
          <cell r="C2136" t="str">
            <v>PISTON</v>
          </cell>
          <cell r="D2136">
            <v>137</v>
          </cell>
          <cell r="N2136" t="str">
            <v>556-01</v>
          </cell>
          <cell r="O2136" t="str">
            <v>PISTON</v>
          </cell>
          <cell r="P2136">
            <v>274</v>
          </cell>
        </row>
        <row r="2137">
          <cell r="B2137" t="str">
            <v>567-18</v>
          </cell>
          <cell r="C2137" t="str">
            <v>BODY</v>
          </cell>
          <cell r="D2137">
            <v>137</v>
          </cell>
          <cell r="N2137" t="str">
            <v>567-18</v>
          </cell>
          <cell r="O2137" t="str">
            <v>BODY</v>
          </cell>
          <cell r="P2137">
            <v>274</v>
          </cell>
        </row>
        <row r="2138">
          <cell r="B2138" t="str">
            <v>1673-13</v>
          </cell>
          <cell r="C2138" t="str">
            <v>RS RETAINER</v>
          </cell>
          <cell r="D2138">
            <v>137.5</v>
          </cell>
          <cell r="N2138" t="str">
            <v>1673-13</v>
          </cell>
          <cell r="O2138" t="str">
            <v>RS RETAINER</v>
          </cell>
          <cell r="P2138">
            <v>275</v>
          </cell>
        </row>
        <row r="2139">
          <cell r="B2139" t="str">
            <v>661-22</v>
          </cell>
          <cell r="C2139" t="str">
            <v>BODY</v>
          </cell>
          <cell r="D2139">
            <v>118.5</v>
          </cell>
          <cell r="N2139" t="str">
            <v>661-22</v>
          </cell>
          <cell r="O2139" t="str">
            <v>BODY</v>
          </cell>
          <cell r="P2139">
            <v>237</v>
          </cell>
        </row>
        <row r="2140">
          <cell r="B2140" t="str">
            <v>786-05</v>
          </cell>
          <cell r="C2140" t="str">
            <v>BODY</v>
          </cell>
          <cell r="D2140">
            <v>137.5</v>
          </cell>
          <cell r="N2140" t="str">
            <v>786-05</v>
          </cell>
          <cell r="O2140" t="str">
            <v>BODY</v>
          </cell>
          <cell r="P2140">
            <v>275</v>
          </cell>
        </row>
        <row r="2141">
          <cell r="B2141" t="str">
            <v>853-57</v>
          </cell>
          <cell r="C2141" t="str">
            <v>REB,RETAINER</v>
          </cell>
          <cell r="D2141">
            <v>137.5</v>
          </cell>
          <cell r="N2141" t="str">
            <v>853-57</v>
          </cell>
          <cell r="O2141" t="str">
            <v>REB,RETAINER</v>
          </cell>
          <cell r="P2141">
            <v>275</v>
          </cell>
        </row>
        <row r="2142">
          <cell r="B2142" t="str">
            <v>994-01</v>
          </cell>
          <cell r="C2142" t="str">
            <v>RACK STOPPER</v>
          </cell>
          <cell r="D2142">
            <v>137.5</v>
          </cell>
          <cell r="N2142" t="str">
            <v>994-01</v>
          </cell>
          <cell r="O2142" t="str">
            <v>RACK STOPPER</v>
          </cell>
          <cell r="P2142">
            <v>275</v>
          </cell>
        </row>
        <row r="2143">
          <cell r="B2143" t="str">
            <v>1020-00</v>
          </cell>
          <cell r="C2143" t="str">
            <v>ROD GUIDE</v>
          </cell>
          <cell r="D2143">
            <v>138</v>
          </cell>
          <cell r="N2143" t="str">
            <v>1020-00</v>
          </cell>
          <cell r="O2143" t="str">
            <v>ROD GUIDE</v>
          </cell>
          <cell r="P2143">
            <v>276</v>
          </cell>
        </row>
        <row r="2144">
          <cell r="B2144" t="str">
            <v>1681-05</v>
          </cell>
          <cell r="C2144" t="str">
            <v>BODY</v>
          </cell>
          <cell r="D2144">
            <v>138</v>
          </cell>
          <cell r="N2144" t="str">
            <v>1681-05</v>
          </cell>
          <cell r="O2144" t="str">
            <v>BODY</v>
          </cell>
          <cell r="P2144">
            <v>276</v>
          </cell>
        </row>
        <row r="2145">
          <cell r="B2145" t="str">
            <v>2852-05</v>
          </cell>
          <cell r="C2145" t="str">
            <v>BODY</v>
          </cell>
          <cell r="D2145">
            <v>97.5</v>
          </cell>
          <cell r="N2145" t="str">
            <v>2852-05</v>
          </cell>
          <cell r="O2145" t="str">
            <v>BODY</v>
          </cell>
          <cell r="P2145">
            <v>195</v>
          </cell>
        </row>
        <row r="2146">
          <cell r="B2146" t="str">
            <v>331-01</v>
          </cell>
          <cell r="C2146" t="str">
            <v>SUPPORT YOKE ASS'Y</v>
          </cell>
          <cell r="D2146">
            <v>138</v>
          </cell>
          <cell r="N2146" t="str">
            <v>331-01</v>
          </cell>
          <cell r="O2146" t="str">
            <v>SUPPORT YOKE ASS'Y</v>
          </cell>
          <cell r="P2146">
            <v>276</v>
          </cell>
        </row>
        <row r="2147">
          <cell r="B2147" t="str">
            <v>588-30</v>
          </cell>
          <cell r="C2147" t="str">
            <v>PISTON</v>
          </cell>
          <cell r="D2147">
            <v>123.5</v>
          </cell>
          <cell r="N2147" t="str">
            <v>588-30</v>
          </cell>
          <cell r="O2147" t="str">
            <v>PISTON</v>
          </cell>
          <cell r="P2147">
            <v>247</v>
          </cell>
        </row>
        <row r="2148">
          <cell r="B2148" t="str">
            <v>592-05</v>
          </cell>
          <cell r="C2148" t="str">
            <v>PISTON</v>
          </cell>
          <cell r="D2148">
            <v>119</v>
          </cell>
          <cell r="N2148" t="str">
            <v>592-05</v>
          </cell>
          <cell r="O2148" t="str">
            <v>PISTON</v>
          </cell>
          <cell r="P2148">
            <v>238</v>
          </cell>
        </row>
        <row r="2149">
          <cell r="B2149" t="str">
            <v>598-06</v>
          </cell>
          <cell r="C2149" t="str">
            <v>PISTON</v>
          </cell>
          <cell r="D2149">
            <v>135.5</v>
          </cell>
          <cell r="N2149" t="str">
            <v>598-06</v>
          </cell>
          <cell r="O2149" t="str">
            <v>PISTON</v>
          </cell>
          <cell r="P2149">
            <v>271</v>
          </cell>
        </row>
        <row r="2150">
          <cell r="B2150" t="str">
            <v>661-00</v>
          </cell>
          <cell r="C2150" t="str">
            <v>BODY</v>
          </cell>
          <cell r="D2150">
            <v>138</v>
          </cell>
          <cell r="N2150" t="str">
            <v>661-00</v>
          </cell>
          <cell r="O2150" t="str">
            <v>BODY</v>
          </cell>
          <cell r="P2150">
            <v>276</v>
          </cell>
        </row>
        <row r="2151">
          <cell r="B2151" t="str">
            <v>786-18</v>
          </cell>
          <cell r="C2151" t="str">
            <v>BODY</v>
          </cell>
          <cell r="D2151">
            <v>110.5</v>
          </cell>
          <cell r="N2151" t="str">
            <v>786-18</v>
          </cell>
          <cell r="O2151" t="str">
            <v>BODY</v>
          </cell>
          <cell r="P2151">
            <v>221</v>
          </cell>
        </row>
        <row r="2152">
          <cell r="B2152" t="str">
            <v>786-19</v>
          </cell>
          <cell r="C2152" t="str">
            <v>BODY</v>
          </cell>
          <cell r="D2152">
            <v>138</v>
          </cell>
          <cell r="N2152" t="str">
            <v>786-19</v>
          </cell>
          <cell r="O2152" t="str">
            <v>BODY</v>
          </cell>
          <cell r="P2152">
            <v>276</v>
          </cell>
        </row>
        <row r="2153">
          <cell r="B2153" t="str">
            <v>852-03</v>
          </cell>
          <cell r="C2153" t="str">
            <v>BODY</v>
          </cell>
          <cell r="D2153">
            <v>138</v>
          </cell>
          <cell r="N2153" t="str">
            <v>852-03</v>
          </cell>
          <cell r="O2153" t="str">
            <v>BODY</v>
          </cell>
          <cell r="P2153">
            <v>276</v>
          </cell>
        </row>
        <row r="2154">
          <cell r="B2154" t="str">
            <v>1904-01</v>
          </cell>
          <cell r="C2154" t="str">
            <v>BODY</v>
          </cell>
          <cell r="D2154">
            <v>138.5</v>
          </cell>
          <cell r="N2154" t="str">
            <v>1904-01</v>
          </cell>
          <cell r="O2154" t="str">
            <v>BODY</v>
          </cell>
          <cell r="P2154">
            <v>277</v>
          </cell>
        </row>
        <row r="2155">
          <cell r="B2155" t="str">
            <v>2852-03</v>
          </cell>
          <cell r="C2155" t="str">
            <v>BODY</v>
          </cell>
          <cell r="D2155">
            <v>138.5</v>
          </cell>
          <cell r="N2155" t="str">
            <v>2852-03</v>
          </cell>
          <cell r="O2155" t="str">
            <v>BODY</v>
          </cell>
          <cell r="P2155">
            <v>277</v>
          </cell>
        </row>
        <row r="2156">
          <cell r="B2156" t="str">
            <v>331-01</v>
          </cell>
          <cell r="C2156" t="str">
            <v>SUPPORT YOKE ASS'Y</v>
          </cell>
          <cell r="D2156">
            <v>138</v>
          </cell>
          <cell r="N2156" t="str">
            <v>331-01</v>
          </cell>
          <cell r="O2156" t="str">
            <v>SUPPORT YOKE ASS'Y</v>
          </cell>
          <cell r="P2156">
            <v>276</v>
          </cell>
        </row>
        <row r="2157">
          <cell r="B2157" t="str">
            <v>592-04</v>
          </cell>
          <cell r="C2157" t="str">
            <v>PISTON</v>
          </cell>
          <cell r="D2157">
            <v>119</v>
          </cell>
          <cell r="N2157" t="str">
            <v>592-04</v>
          </cell>
          <cell r="O2157" t="str">
            <v>PISTON</v>
          </cell>
          <cell r="P2157">
            <v>238</v>
          </cell>
        </row>
        <row r="2158">
          <cell r="B2158" t="str">
            <v>786-05</v>
          </cell>
          <cell r="C2158" t="str">
            <v>BODY</v>
          </cell>
          <cell r="D2158">
            <v>137.5</v>
          </cell>
          <cell r="N2158" t="str">
            <v>786-05</v>
          </cell>
          <cell r="O2158" t="str">
            <v>BODY</v>
          </cell>
          <cell r="P2158">
            <v>275</v>
          </cell>
        </row>
        <row r="2159">
          <cell r="B2159" t="str">
            <v>852-16</v>
          </cell>
          <cell r="C2159" t="str">
            <v>BODY</v>
          </cell>
          <cell r="D2159">
            <v>138.5</v>
          </cell>
          <cell r="N2159" t="str">
            <v>852-16</v>
          </cell>
          <cell r="O2159" t="str">
            <v>BODY</v>
          </cell>
          <cell r="P2159">
            <v>277</v>
          </cell>
        </row>
        <row r="2160">
          <cell r="B2160" t="str">
            <v>1554-29</v>
          </cell>
          <cell r="C2160" t="str">
            <v>RS RETAINER</v>
          </cell>
          <cell r="D2160">
            <v>139</v>
          </cell>
          <cell r="N2160" t="str">
            <v>1554-29</v>
          </cell>
          <cell r="O2160" t="str">
            <v>RS RETAINER</v>
          </cell>
          <cell r="P2160">
            <v>278</v>
          </cell>
        </row>
        <row r="2161">
          <cell r="B2161" t="str">
            <v>1554-29</v>
          </cell>
          <cell r="C2161" t="str">
            <v>RS RETAINER</v>
          </cell>
          <cell r="D2161">
            <v>139</v>
          </cell>
          <cell r="N2161" t="str">
            <v>1554-29</v>
          </cell>
          <cell r="O2161" t="str">
            <v>RS RETAINER</v>
          </cell>
          <cell r="P2161">
            <v>278</v>
          </cell>
        </row>
        <row r="2162">
          <cell r="B2162" t="str">
            <v>1665-03</v>
          </cell>
          <cell r="C2162" t="str">
            <v>BODY</v>
          </cell>
          <cell r="D2162">
            <v>128.5</v>
          </cell>
          <cell r="N2162" t="str">
            <v>1665-03</v>
          </cell>
          <cell r="O2162" t="str">
            <v>BODY</v>
          </cell>
          <cell r="P2162">
            <v>257</v>
          </cell>
        </row>
        <row r="2163">
          <cell r="B2163" t="str">
            <v>1832-14</v>
          </cell>
          <cell r="C2163" t="str">
            <v>BODY RETAINER</v>
          </cell>
          <cell r="D2163">
            <v>130</v>
          </cell>
          <cell r="N2163" t="str">
            <v>1832-14</v>
          </cell>
          <cell r="O2163" t="str">
            <v>BODY RETAINER</v>
          </cell>
          <cell r="P2163">
            <v>260</v>
          </cell>
        </row>
        <row r="2164">
          <cell r="B2164" t="str">
            <v>1906-00</v>
          </cell>
          <cell r="C2164" t="str">
            <v>LEVER CAM</v>
          </cell>
          <cell r="D2164">
            <v>139</v>
          </cell>
          <cell r="N2164" t="str">
            <v>1906-00</v>
          </cell>
          <cell r="O2164" t="str">
            <v>LEVER CAM</v>
          </cell>
          <cell r="P2164">
            <v>278</v>
          </cell>
        </row>
        <row r="2165">
          <cell r="B2165" t="str">
            <v>722-00</v>
          </cell>
          <cell r="C2165" t="str">
            <v>BASE VALVE</v>
          </cell>
          <cell r="D2165">
            <v>139</v>
          </cell>
          <cell r="N2165" t="str">
            <v>722-00</v>
          </cell>
          <cell r="O2165" t="str">
            <v>BASE VALVE</v>
          </cell>
          <cell r="P2165">
            <v>278</v>
          </cell>
        </row>
        <row r="2166">
          <cell r="B2166" t="str">
            <v>1340-00</v>
          </cell>
          <cell r="C2166" t="str">
            <v>ROD GUIDE</v>
          </cell>
          <cell r="D2166">
            <v>139.5</v>
          </cell>
          <cell r="N2166" t="str">
            <v>1340-00</v>
          </cell>
          <cell r="O2166" t="str">
            <v>ROD GUIDE</v>
          </cell>
          <cell r="P2166">
            <v>279</v>
          </cell>
        </row>
        <row r="2167">
          <cell r="B2167" t="str">
            <v>1383-01</v>
          </cell>
          <cell r="C2167" t="str">
            <v>PISTON</v>
          </cell>
          <cell r="D2167">
            <v>139.5</v>
          </cell>
          <cell r="N2167" t="str">
            <v>1383-01</v>
          </cell>
          <cell r="O2167" t="str">
            <v>PISTON</v>
          </cell>
          <cell r="P2167">
            <v>279</v>
          </cell>
        </row>
        <row r="2168">
          <cell r="B2168" t="str">
            <v>1665-01</v>
          </cell>
          <cell r="C2168" t="str">
            <v>BODY</v>
          </cell>
          <cell r="D2168">
            <v>129</v>
          </cell>
          <cell r="N2168" t="str">
            <v>1665-01</v>
          </cell>
          <cell r="O2168" t="str">
            <v>BODY</v>
          </cell>
          <cell r="P2168">
            <v>258</v>
          </cell>
        </row>
        <row r="2169">
          <cell r="B2169" t="str">
            <v>1665-04</v>
          </cell>
          <cell r="C2169" t="str">
            <v>BODY</v>
          </cell>
          <cell r="D2169">
            <v>129</v>
          </cell>
          <cell r="N2169" t="str">
            <v>1665-04</v>
          </cell>
          <cell r="O2169" t="str">
            <v>BODY</v>
          </cell>
          <cell r="P2169">
            <v>258</v>
          </cell>
        </row>
        <row r="2170">
          <cell r="B2170" t="str">
            <v>1666-07</v>
          </cell>
          <cell r="C2170" t="str">
            <v>BODY</v>
          </cell>
          <cell r="D2170">
            <v>139.5</v>
          </cell>
          <cell r="N2170" t="str">
            <v>1666-07</v>
          </cell>
          <cell r="O2170" t="str">
            <v>BODY</v>
          </cell>
          <cell r="P2170">
            <v>279</v>
          </cell>
        </row>
        <row r="2171">
          <cell r="B2171" t="str">
            <v>1829-01</v>
          </cell>
          <cell r="C2171" t="str">
            <v>BODY</v>
          </cell>
          <cell r="D2171">
            <v>130.5</v>
          </cell>
          <cell r="N2171" t="str">
            <v>1829-01</v>
          </cell>
          <cell r="O2171" t="str">
            <v>BODY</v>
          </cell>
          <cell r="P2171">
            <v>261</v>
          </cell>
        </row>
        <row r="2172">
          <cell r="B2172" t="str">
            <v>1831-16</v>
          </cell>
          <cell r="C2172" t="str">
            <v>BODY RETAINER</v>
          </cell>
          <cell r="D2172">
            <v>139.5</v>
          </cell>
          <cell r="N2172" t="str">
            <v>1831-16</v>
          </cell>
          <cell r="O2172" t="str">
            <v>BODY RETAINER</v>
          </cell>
          <cell r="P2172">
            <v>279</v>
          </cell>
        </row>
        <row r="2173">
          <cell r="B2173" t="str">
            <v>1919-00</v>
          </cell>
          <cell r="C2173" t="str">
            <v>BODY</v>
          </cell>
          <cell r="D2173">
            <v>129.5</v>
          </cell>
          <cell r="N2173" t="str">
            <v>1919-00</v>
          </cell>
          <cell r="O2173" t="str">
            <v>BODY</v>
          </cell>
          <cell r="P2173">
            <v>259</v>
          </cell>
        </row>
        <row r="2174">
          <cell r="B2174" t="str">
            <v>1919-00</v>
          </cell>
          <cell r="C2174" t="str">
            <v>BODY</v>
          </cell>
          <cell r="D2174">
            <v>129.5</v>
          </cell>
          <cell r="N2174" t="str">
            <v>1919-00</v>
          </cell>
          <cell r="O2174" t="str">
            <v>BODY</v>
          </cell>
          <cell r="P2174">
            <v>259</v>
          </cell>
        </row>
        <row r="2175">
          <cell r="B2175" t="str">
            <v>592-02</v>
          </cell>
          <cell r="C2175" t="str">
            <v>PISTON</v>
          </cell>
          <cell r="D2175">
            <v>139.5</v>
          </cell>
          <cell r="N2175" t="str">
            <v>592-02</v>
          </cell>
          <cell r="O2175" t="str">
            <v>PISTON</v>
          </cell>
          <cell r="P2175">
            <v>279</v>
          </cell>
        </row>
        <row r="2176">
          <cell r="B2176" t="str">
            <v>592-02</v>
          </cell>
          <cell r="C2176" t="str">
            <v>PISTON</v>
          </cell>
          <cell r="D2176">
            <v>139.5</v>
          </cell>
          <cell r="N2176" t="str">
            <v>592-02</v>
          </cell>
          <cell r="O2176" t="str">
            <v>PISTON</v>
          </cell>
          <cell r="P2176">
            <v>279</v>
          </cell>
        </row>
        <row r="2177">
          <cell r="B2177" t="str">
            <v>592-02</v>
          </cell>
          <cell r="C2177" t="str">
            <v>PISTON</v>
          </cell>
          <cell r="D2177">
            <v>139.5</v>
          </cell>
          <cell r="N2177" t="str">
            <v>592-02</v>
          </cell>
          <cell r="O2177" t="str">
            <v>PISTON</v>
          </cell>
          <cell r="P2177">
            <v>279</v>
          </cell>
        </row>
        <row r="2178">
          <cell r="B2178" t="str">
            <v>673-14</v>
          </cell>
          <cell r="C2178" t="str">
            <v>PISTON</v>
          </cell>
          <cell r="D2178">
            <v>139.5</v>
          </cell>
          <cell r="N2178" t="str">
            <v>673-14</v>
          </cell>
          <cell r="O2178" t="str">
            <v>PISTON</v>
          </cell>
          <cell r="P2178">
            <v>279</v>
          </cell>
        </row>
        <row r="2179">
          <cell r="B2179" t="str">
            <v>797-18</v>
          </cell>
          <cell r="C2179" t="str">
            <v>BODY</v>
          </cell>
          <cell r="D2179">
            <v>139.5</v>
          </cell>
          <cell r="N2179" t="str">
            <v>797-18</v>
          </cell>
          <cell r="O2179" t="str">
            <v>BODY</v>
          </cell>
          <cell r="P2179">
            <v>279</v>
          </cell>
        </row>
        <row r="2180">
          <cell r="B2180" t="str">
            <v>861-01</v>
          </cell>
          <cell r="C2180" t="str">
            <v>BODY</v>
          </cell>
          <cell r="D2180">
            <v>80.5</v>
          </cell>
          <cell r="N2180" t="str">
            <v>861-01</v>
          </cell>
          <cell r="O2180" t="str">
            <v>BODY</v>
          </cell>
          <cell r="P2180">
            <v>161</v>
          </cell>
        </row>
        <row r="2181">
          <cell r="B2181" t="str">
            <v>1532-01</v>
          </cell>
          <cell r="C2181" t="str">
            <v>BASE VALVE BODY</v>
          </cell>
          <cell r="D2181">
            <v>140</v>
          </cell>
          <cell r="N2181" t="str">
            <v>1532-01</v>
          </cell>
          <cell r="O2181" t="str">
            <v>BASE VALVE BODY</v>
          </cell>
          <cell r="P2181">
            <v>280</v>
          </cell>
        </row>
        <row r="2182">
          <cell r="B2182" t="str">
            <v>1666-01</v>
          </cell>
          <cell r="C2182" t="str">
            <v>BODY</v>
          </cell>
          <cell r="D2182">
            <v>140</v>
          </cell>
          <cell r="N2182" t="str">
            <v>1666-01</v>
          </cell>
          <cell r="O2182" t="str">
            <v>BODY</v>
          </cell>
          <cell r="P2182">
            <v>280</v>
          </cell>
        </row>
        <row r="2183">
          <cell r="B2183" t="str">
            <v>1681-02</v>
          </cell>
          <cell r="C2183" t="str">
            <v>BODY</v>
          </cell>
          <cell r="D2183">
            <v>140</v>
          </cell>
          <cell r="N2183" t="str">
            <v>1681-02</v>
          </cell>
          <cell r="O2183" t="str">
            <v>BODY</v>
          </cell>
          <cell r="P2183">
            <v>280</v>
          </cell>
        </row>
        <row r="2184">
          <cell r="B2184" t="str">
            <v>588-32</v>
          </cell>
          <cell r="C2184" t="str">
            <v>PISTON</v>
          </cell>
          <cell r="D2184">
            <v>132.5</v>
          </cell>
          <cell r="N2184" t="str">
            <v>588-32</v>
          </cell>
          <cell r="O2184" t="str">
            <v>PISTON</v>
          </cell>
          <cell r="P2184">
            <v>265</v>
          </cell>
        </row>
        <row r="2185">
          <cell r="B2185" t="str">
            <v>594-00</v>
          </cell>
          <cell r="C2185" t="str">
            <v>CLAMPG PISTON BUSH</v>
          </cell>
          <cell r="D2185">
            <v>140</v>
          </cell>
          <cell r="N2185" t="str">
            <v>594-00</v>
          </cell>
          <cell r="O2185" t="str">
            <v>CLAMPG PISTON BUSH</v>
          </cell>
          <cell r="P2185">
            <v>280</v>
          </cell>
        </row>
        <row r="2186">
          <cell r="B2186" t="str">
            <v>661-03</v>
          </cell>
          <cell r="C2186" t="str">
            <v>BODY</v>
          </cell>
          <cell r="D2186">
            <v>96</v>
          </cell>
          <cell r="N2186" t="str">
            <v>661-03</v>
          </cell>
          <cell r="O2186" t="str">
            <v>BODY</v>
          </cell>
          <cell r="P2186">
            <v>192</v>
          </cell>
        </row>
        <row r="2187">
          <cell r="B2187" t="str">
            <v>671-06</v>
          </cell>
          <cell r="C2187" t="str">
            <v>PISTON</v>
          </cell>
          <cell r="D2187">
            <v>104</v>
          </cell>
          <cell r="N2187" t="str">
            <v>671-06</v>
          </cell>
          <cell r="O2187" t="str">
            <v>PISTON</v>
          </cell>
          <cell r="P2187">
            <v>208</v>
          </cell>
        </row>
        <row r="2188">
          <cell r="B2188" t="str">
            <v>671-06</v>
          </cell>
          <cell r="C2188" t="str">
            <v>PISTON</v>
          </cell>
          <cell r="D2188">
            <v>104</v>
          </cell>
          <cell r="N2188" t="str">
            <v>671-06</v>
          </cell>
          <cell r="O2188" t="str">
            <v>PISTON</v>
          </cell>
          <cell r="P2188">
            <v>208</v>
          </cell>
        </row>
        <row r="2189">
          <cell r="B2189" t="str">
            <v>787-15</v>
          </cell>
          <cell r="C2189" t="str">
            <v>BODY</v>
          </cell>
          <cell r="D2189">
            <v>140</v>
          </cell>
          <cell r="N2189" t="str">
            <v>787-15</v>
          </cell>
          <cell r="O2189" t="str">
            <v>BODY</v>
          </cell>
          <cell r="P2189">
            <v>280</v>
          </cell>
        </row>
        <row r="2190">
          <cell r="B2190" t="str">
            <v>852-13</v>
          </cell>
          <cell r="C2190" t="str">
            <v>BODY</v>
          </cell>
          <cell r="D2190">
            <v>106</v>
          </cell>
          <cell r="N2190" t="str">
            <v>852-13</v>
          </cell>
          <cell r="O2190" t="str">
            <v>BODY</v>
          </cell>
          <cell r="P2190">
            <v>212</v>
          </cell>
        </row>
        <row r="2191">
          <cell r="B2191" t="str">
            <v>852-13</v>
          </cell>
          <cell r="C2191" t="str">
            <v>BODY</v>
          </cell>
          <cell r="D2191">
            <v>106</v>
          </cell>
          <cell r="N2191" t="str">
            <v>852-13</v>
          </cell>
          <cell r="O2191" t="str">
            <v>BODY</v>
          </cell>
          <cell r="P2191">
            <v>212</v>
          </cell>
        </row>
        <row r="2192">
          <cell r="B2192" t="str">
            <v>853-49</v>
          </cell>
          <cell r="C2192" t="str">
            <v>REB,RETAINER</v>
          </cell>
          <cell r="D2192">
            <v>140</v>
          </cell>
          <cell r="N2192" t="str">
            <v>853-49</v>
          </cell>
          <cell r="O2192" t="str">
            <v>REB,RETAINER</v>
          </cell>
          <cell r="P2192">
            <v>280</v>
          </cell>
        </row>
        <row r="2193">
          <cell r="B2193" t="str">
            <v>1275-01</v>
          </cell>
          <cell r="C2193" t="str">
            <v>BODY</v>
          </cell>
          <cell r="D2193">
            <v>140.5</v>
          </cell>
          <cell r="N2193" t="str">
            <v>1275-01</v>
          </cell>
          <cell r="O2193" t="str">
            <v>BODY</v>
          </cell>
          <cell r="P2193">
            <v>281</v>
          </cell>
        </row>
        <row r="2194">
          <cell r="B2194" t="str">
            <v>1554-29</v>
          </cell>
          <cell r="C2194" t="str">
            <v>RS RETAINER</v>
          </cell>
          <cell r="D2194">
            <v>139</v>
          </cell>
          <cell r="N2194" t="str">
            <v>1554-29</v>
          </cell>
          <cell r="O2194" t="str">
            <v>RS RETAINER</v>
          </cell>
          <cell r="P2194">
            <v>278</v>
          </cell>
        </row>
        <row r="2195">
          <cell r="B2195" t="str">
            <v>1634-07</v>
          </cell>
          <cell r="C2195" t="str">
            <v>RS RETAINER</v>
          </cell>
          <cell r="D2195">
            <v>140.5</v>
          </cell>
          <cell r="N2195" t="str">
            <v>1634-07</v>
          </cell>
          <cell r="O2195" t="str">
            <v>RS RETAINER</v>
          </cell>
          <cell r="P2195">
            <v>281</v>
          </cell>
        </row>
        <row r="2196">
          <cell r="B2196" t="str">
            <v>1681-02</v>
          </cell>
          <cell r="C2196" t="str">
            <v>BODY</v>
          </cell>
          <cell r="D2196">
            <v>140</v>
          </cell>
          <cell r="N2196" t="str">
            <v>1681-02</v>
          </cell>
          <cell r="O2196" t="str">
            <v>BODY</v>
          </cell>
          <cell r="P2196">
            <v>280</v>
          </cell>
        </row>
        <row r="2197">
          <cell r="B2197" t="str">
            <v>438-01</v>
          </cell>
          <cell r="C2197" t="str">
            <v>RACK STOPPER</v>
          </cell>
          <cell r="D2197">
            <v>168.6</v>
          </cell>
          <cell r="N2197" t="str">
            <v>438-01</v>
          </cell>
          <cell r="O2197" t="str">
            <v>RACK STOPPER</v>
          </cell>
          <cell r="P2197">
            <v>281</v>
          </cell>
        </row>
        <row r="2198">
          <cell r="B2198" t="str">
            <v>546-04</v>
          </cell>
          <cell r="C2198" t="str">
            <v>BODY</v>
          </cell>
          <cell r="D2198">
            <v>140.5</v>
          </cell>
          <cell r="N2198" t="str">
            <v>546-04</v>
          </cell>
          <cell r="O2198" t="str">
            <v>BODY</v>
          </cell>
          <cell r="P2198">
            <v>281</v>
          </cell>
        </row>
        <row r="2199">
          <cell r="B2199" t="str">
            <v>584-05</v>
          </cell>
          <cell r="C2199" t="str">
            <v>BODY</v>
          </cell>
          <cell r="D2199">
            <v>140.5</v>
          </cell>
          <cell r="N2199" t="str">
            <v>584-05</v>
          </cell>
          <cell r="O2199" t="str">
            <v>BODY</v>
          </cell>
          <cell r="P2199">
            <v>281</v>
          </cell>
        </row>
        <row r="2200">
          <cell r="B2200" t="str">
            <v>786-02</v>
          </cell>
          <cell r="C2200" t="str">
            <v>BODY</v>
          </cell>
          <cell r="D2200">
            <v>84</v>
          </cell>
          <cell r="N2200" t="str">
            <v>786-02</v>
          </cell>
          <cell r="O2200" t="str">
            <v>BODY</v>
          </cell>
          <cell r="P2200">
            <v>168</v>
          </cell>
        </row>
        <row r="2201">
          <cell r="B2201" t="str">
            <v>787-07</v>
          </cell>
          <cell r="C2201" t="str">
            <v>BODY</v>
          </cell>
          <cell r="D2201">
            <v>106.5</v>
          </cell>
          <cell r="N2201" t="str">
            <v>787-07</v>
          </cell>
          <cell r="O2201" t="str">
            <v>BODY</v>
          </cell>
          <cell r="P2201">
            <v>213</v>
          </cell>
        </row>
        <row r="2202">
          <cell r="B2202" t="str">
            <v>852-03</v>
          </cell>
          <cell r="C2202" t="str">
            <v>BODY</v>
          </cell>
          <cell r="D2202">
            <v>138</v>
          </cell>
          <cell r="N2202" t="str">
            <v>852-03</v>
          </cell>
          <cell r="O2202" t="str">
            <v>BODY</v>
          </cell>
          <cell r="P2202">
            <v>276</v>
          </cell>
        </row>
        <row r="2203">
          <cell r="B2203" t="str">
            <v>852-03</v>
          </cell>
          <cell r="C2203" t="str">
            <v>BODY</v>
          </cell>
          <cell r="D2203">
            <v>138</v>
          </cell>
          <cell r="N2203" t="str">
            <v>852-03</v>
          </cell>
          <cell r="O2203" t="str">
            <v>BODY</v>
          </cell>
          <cell r="P2203">
            <v>276</v>
          </cell>
        </row>
        <row r="2204">
          <cell r="B2204" t="str">
            <v>852-16</v>
          </cell>
          <cell r="C2204" t="str">
            <v>BODY</v>
          </cell>
          <cell r="D2204">
            <v>138.5</v>
          </cell>
          <cell r="N2204" t="str">
            <v>852-16</v>
          </cell>
          <cell r="O2204" t="str">
            <v>BODY</v>
          </cell>
          <cell r="P2204">
            <v>277</v>
          </cell>
        </row>
        <row r="2205">
          <cell r="B2205" t="str">
            <v>1069-01</v>
          </cell>
          <cell r="C2205" t="str">
            <v>PISTON</v>
          </cell>
          <cell r="D2205">
            <v>99</v>
          </cell>
          <cell r="N2205" t="str">
            <v>1069-01</v>
          </cell>
          <cell r="O2205" t="str">
            <v>PISTON</v>
          </cell>
          <cell r="P2205">
            <v>198</v>
          </cell>
        </row>
        <row r="2206">
          <cell r="B2206" t="str">
            <v>1430-04</v>
          </cell>
          <cell r="C2206" t="str">
            <v>BODY</v>
          </cell>
          <cell r="D2206">
            <v>127</v>
          </cell>
          <cell r="N2206" t="str">
            <v>1430-04</v>
          </cell>
          <cell r="O2206" t="str">
            <v>BODY</v>
          </cell>
          <cell r="P2206">
            <v>254</v>
          </cell>
        </row>
        <row r="2207">
          <cell r="B2207" t="str">
            <v>1554-29</v>
          </cell>
          <cell r="C2207" t="str">
            <v>RS RETAINER</v>
          </cell>
          <cell r="D2207">
            <v>139</v>
          </cell>
          <cell r="N2207" t="str">
            <v>1554-29</v>
          </cell>
          <cell r="O2207" t="str">
            <v>RS RETAINER</v>
          </cell>
          <cell r="P2207">
            <v>278</v>
          </cell>
        </row>
        <row r="2208">
          <cell r="B2208" t="str">
            <v>1666-01</v>
          </cell>
          <cell r="C2208" t="str">
            <v>BODY</v>
          </cell>
          <cell r="D2208">
            <v>140</v>
          </cell>
          <cell r="N2208" t="str">
            <v>1666-01</v>
          </cell>
          <cell r="O2208" t="str">
            <v>BODY</v>
          </cell>
          <cell r="P2208">
            <v>280</v>
          </cell>
        </row>
        <row r="2209">
          <cell r="B2209" t="str">
            <v>1666-07</v>
          </cell>
          <cell r="C2209" t="str">
            <v>BODY</v>
          </cell>
          <cell r="D2209">
            <v>139.5</v>
          </cell>
          <cell r="N2209" t="str">
            <v>1666-07</v>
          </cell>
          <cell r="O2209" t="str">
            <v>BODY</v>
          </cell>
          <cell r="P2209">
            <v>279</v>
          </cell>
        </row>
        <row r="2210">
          <cell r="B2210" t="str">
            <v>1740-01</v>
          </cell>
          <cell r="C2210" t="str">
            <v>REB,RETAINER</v>
          </cell>
          <cell r="D2210">
            <v>141</v>
          </cell>
          <cell r="N2210" t="str">
            <v>1740-01</v>
          </cell>
          <cell r="O2210" t="str">
            <v>REB,RETAINER</v>
          </cell>
          <cell r="P2210">
            <v>282</v>
          </cell>
        </row>
        <row r="2211">
          <cell r="B2211" t="str">
            <v>1741-01</v>
          </cell>
          <cell r="C2211" t="str">
            <v>REB,RETAINER</v>
          </cell>
          <cell r="D2211">
            <v>141</v>
          </cell>
          <cell r="N2211" t="str">
            <v>1741-01</v>
          </cell>
          <cell r="O2211" t="str">
            <v>REB,RETAINER</v>
          </cell>
          <cell r="P2211">
            <v>282</v>
          </cell>
        </row>
        <row r="2212">
          <cell r="B2212" t="str">
            <v>1807-03</v>
          </cell>
          <cell r="C2212" t="str">
            <v>BODY</v>
          </cell>
          <cell r="D2212">
            <v>141</v>
          </cell>
          <cell r="N2212" t="str">
            <v>1807-03</v>
          </cell>
          <cell r="O2212" t="str">
            <v>BODY</v>
          </cell>
          <cell r="P2212">
            <v>282</v>
          </cell>
        </row>
        <row r="2213">
          <cell r="B2213" t="str">
            <v>1919-00</v>
          </cell>
          <cell r="C2213" t="str">
            <v>BODY</v>
          </cell>
          <cell r="D2213">
            <v>129.5</v>
          </cell>
          <cell r="N2213" t="str">
            <v>1919-00</v>
          </cell>
          <cell r="O2213" t="str">
            <v>BODY</v>
          </cell>
          <cell r="P2213">
            <v>259</v>
          </cell>
        </row>
        <row r="2214">
          <cell r="B2214" t="str">
            <v>425-00</v>
          </cell>
          <cell r="C2214" t="str">
            <v>RACK STOPPER</v>
          </cell>
          <cell r="D2214">
            <v>169.2</v>
          </cell>
          <cell r="N2214" t="str">
            <v>425-00</v>
          </cell>
          <cell r="O2214" t="str">
            <v>RACK STOPPER</v>
          </cell>
          <cell r="P2214">
            <v>282</v>
          </cell>
        </row>
        <row r="2215">
          <cell r="B2215" t="str">
            <v>661-20</v>
          </cell>
          <cell r="C2215" t="str">
            <v>BODY</v>
          </cell>
          <cell r="D2215">
            <v>141</v>
          </cell>
          <cell r="N2215" t="str">
            <v>661-20</v>
          </cell>
          <cell r="O2215" t="str">
            <v>BODY</v>
          </cell>
          <cell r="P2215">
            <v>282</v>
          </cell>
        </row>
        <row r="2216">
          <cell r="B2216" t="str">
            <v>797-03</v>
          </cell>
          <cell r="C2216" t="str">
            <v>BODY</v>
          </cell>
          <cell r="D2216">
            <v>125.5</v>
          </cell>
          <cell r="N2216" t="str">
            <v>797-03</v>
          </cell>
          <cell r="O2216" t="str">
            <v>BODY</v>
          </cell>
          <cell r="P2216">
            <v>251</v>
          </cell>
        </row>
        <row r="2217">
          <cell r="B2217" t="str">
            <v>957-01</v>
          </cell>
          <cell r="C2217" t="str">
            <v>LOCK BODY ASS'Y</v>
          </cell>
          <cell r="D2217">
            <v>141</v>
          </cell>
          <cell r="N2217" t="str">
            <v>957-01</v>
          </cell>
          <cell r="O2217" t="str">
            <v>LOCK BODY ASS'Y</v>
          </cell>
          <cell r="P2217">
            <v>282</v>
          </cell>
        </row>
        <row r="2218">
          <cell r="B2218" t="str">
            <v>1412-09</v>
          </cell>
          <cell r="C2218" t="str">
            <v>BODY</v>
          </cell>
          <cell r="D2218">
            <v>136.5</v>
          </cell>
          <cell r="N2218" t="str">
            <v>1412-09</v>
          </cell>
          <cell r="O2218" t="str">
            <v>BODY</v>
          </cell>
          <cell r="P2218">
            <v>273</v>
          </cell>
        </row>
        <row r="2219">
          <cell r="B2219" t="str">
            <v>1634-51</v>
          </cell>
          <cell r="C2219" t="str">
            <v>RS RETAINER</v>
          </cell>
          <cell r="D2219">
            <v>141.5</v>
          </cell>
          <cell r="N2219" t="str">
            <v>1634-51</v>
          </cell>
          <cell r="O2219" t="str">
            <v>RS RETAINER</v>
          </cell>
          <cell r="P2219">
            <v>283</v>
          </cell>
        </row>
        <row r="2220">
          <cell r="B2220" t="str">
            <v>1665-05</v>
          </cell>
          <cell r="C2220" t="str">
            <v>BODY</v>
          </cell>
          <cell r="D2220">
            <v>141.5</v>
          </cell>
          <cell r="N2220" t="str">
            <v>1665-05</v>
          </cell>
          <cell r="O2220" t="str">
            <v>BODY</v>
          </cell>
          <cell r="P2220">
            <v>283</v>
          </cell>
        </row>
        <row r="2221">
          <cell r="B2221" t="str">
            <v>1919-00</v>
          </cell>
          <cell r="C2221" t="str">
            <v>BODY</v>
          </cell>
          <cell r="D2221">
            <v>129.5</v>
          </cell>
          <cell r="N2221" t="str">
            <v>1919-00</v>
          </cell>
          <cell r="O2221" t="str">
            <v>BODY</v>
          </cell>
          <cell r="P2221">
            <v>259</v>
          </cell>
        </row>
        <row r="2222">
          <cell r="B2222" t="str">
            <v>1919-00</v>
          </cell>
          <cell r="C2222" t="str">
            <v>BODY</v>
          </cell>
          <cell r="D2222">
            <v>129.5</v>
          </cell>
          <cell r="N2222" t="str">
            <v>1919-00</v>
          </cell>
          <cell r="O2222" t="str">
            <v>BODY</v>
          </cell>
          <cell r="P2222">
            <v>259</v>
          </cell>
        </row>
        <row r="2223">
          <cell r="B2223" t="str">
            <v>591-01</v>
          </cell>
          <cell r="C2223" t="str">
            <v>PISTON</v>
          </cell>
          <cell r="D2223">
            <v>141.5</v>
          </cell>
          <cell r="N2223" t="str">
            <v>591-01</v>
          </cell>
          <cell r="O2223" t="str">
            <v>PISTON</v>
          </cell>
          <cell r="P2223">
            <v>283</v>
          </cell>
        </row>
        <row r="2224">
          <cell r="B2224" t="str">
            <v>591-01</v>
          </cell>
          <cell r="C2224" t="str">
            <v>PISTON</v>
          </cell>
          <cell r="D2224">
            <v>141.5</v>
          </cell>
          <cell r="N2224" t="str">
            <v>591-01</v>
          </cell>
          <cell r="O2224" t="str">
            <v>PISTON</v>
          </cell>
          <cell r="P2224">
            <v>283</v>
          </cell>
        </row>
        <row r="2225">
          <cell r="B2225" t="str">
            <v>797-07</v>
          </cell>
          <cell r="C2225" t="str">
            <v>BODY</v>
          </cell>
          <cell r="D2225">
            <v>112</v>
          </cell>
          <cell r="N2225" t="str">
            <v>797-07</v>
          </cell>
          <cell r="O2225" t="str">
            <v>BODY</v>
          </cell>
          <cell r="P2225">
            <v>224</v>
          </cell>
        </row>
        <row r="2226">
          <cell r="B2226" t="str">
            <v>797-20</v>
          </cell>
          <cell r="C2226" t="str">
            <v>BODY</v>
          </cell>
          <cell r="D2226">
            <v>141.5</v>
          </cell>
          <cell r="N2226" t="str">
            <v>797-20</v>
          </cell>
          <cell r="O2226" t="str">
            <v>BODY</v>
          </cell>
          <cell r="P2226">
            <v>283</v>
          </cell>
        </row>
        <row r="2227">
          <cell r="B2227" t="str">
            <v>2412-09</v>
          </cell>
          <cell r="C2227" t="str">
            <v>BODY</v>
          </cell>
          <cell r="D2227">
            <v>142</v>
          </cell>
          <cell r="N2227" t="str">
            <v>2412-09</v>
          </cell>
          <cell r="O2227" t="str">
            <v>BODY</v>
          </cell>
          <cell r="P2227">
            <v>284</v>
          </cell>
        </row>
        <row r="2228">
          <cell r="B2228" t="str">
            <v>2412-18</v>
          </cell>
          <cell r="C2228" t="str">
            <v>BODY</v>
          </cell>
          <cell r="D2228">
            <v>142</v>
          </cell>
          <cell r="N2228" t="str">
            <v>2412-18</v>
          </cell>
          <cell r="O2228" t="str">
            <v>BODY</v>
          </cell>
          <cell r="P2228">
            <v>284</v>
          </cell>
        </row>
        <row r="2229">
          <cell r="B2229" t="str">
            <v>467-02</v>
          </cell>
          <cell r="C2229" t="str">
            <v>BODY</v>
          </cell>
          <cell r="D2229">
            <v>142</v>
          </cell>
          <cell r="N2229" t="str">
            <v>467-02</v>
          </cell>
          <cell r="O2229" t="str">
            <v>BODY</v>
          </cell>
          <cell r="P2229">
            <v>284</v>
          </cell>
        </row>
        <row r="2230">
          <cell r="B2230" t="str">
            <v>724-03</v>
          </cell>
          <cell r="C2230" t="str">
            <v>PISTON</v>
          </cell>
          <cell r="D2230">
            <v>142</v>
          </cell>
          <cell r="N2230" t="str">
            <v>724-03</v>
          </cell>
          <cell r="O2230" t="str">
            <v>PISTON</v>
          </cell>
          <cell r="P2230">
            <v>284</v>
          </cell>
        </row>
        <row r="2231">
          <cell r="B2231" t="str">
            <v>786-20</v>
          </cell>
          <cell r="C2231" t="str">
            <v>BODY</v>
          </cell>
          <cell r="D2231">
            <v>110.5</v>
          </cell>
          <cell r="N2231" t="str">
            <v>786-20</v>
          </cell>
          <cell r="O2231" t="str">
            <v>BODY</v>
          </cell>
          <cell r="P2231">
            <v>221</v>
          </cell>
        </row>
        <row r="2232">
          <cell r="B2232" t="str">
            <v>787-14</v>
          </cell>
          <cell r="C2232" t="str">
            <v>BODY</v>
          </cell>
          <cell r="D2232">
            <v>142</v>
          </cell>
          <cell r="N2232" t="str">
            <v>787-14</v>
          </cell>
          <cell r="O2232" t="str">
            <v>BODY</v>
          </cell>
          <cell r="P2232">
            <v>284</v>
          </cell>
        </row>
        <row r="2233">
          <cell r="B2233" t="str">
            <v>938-00</v>
          </cell>
          <cell r="C2233" t="str">
            <v>RACK STOPPER</v>
          </cell>
          <cell r="D2233">
            <v>142</v>
          </cell>
          <cell r="N2233" t="str">
            <v>938-00</v>
          </cell>
          <cell r="O2233" t="str">
            <v>RACK STOPPER</v>
          </cell>
          <cell r="P2233">
            <v>284</v>
          </cell>
        </row>
        <row r="2234">
          <cell r="B2234" t="str">
            <v>1150-02</v>
          </cell>
          <cell r="C2234" t="str">
            <v>VALVE CHECK BODY</v>
          </cell>
          <cell r="D2234">
            <v>142.5</v>
          </cell>
          <cell r="N2234" t="str">
            <v>1150-02</v>
          </cell>
          <cell r="O2234" t="str">
            <v>VALVE CHECK BODY</v>
          </cell>
          <cell r="P2234">
            <v>285</v>
          </cell>
        </row>
        <row r="2235">
          <cell r="B2235" t="str">
            <v>1610-07</v>
          </cell>
          <cell r="C2235" t="str">
            <v>RS RETAINER</v>
          </cell>
          <cell r="D2235">
            <v>142.5</v>
          </cell>
          <cell r="N2235" t="str">
            <v>1610-07</v>
          </cell>
          <cell r="O2235" t="str">
            <v>RS RETAINER</v>
          </cell>
          <cell r="P2235">
            <v>285</v>
          </cell>
        </row>
        <row r="2236">
          <cell r="B2236" t="str">
            <v>1996-05</v>
          </cell>
          <cell r="C2236" t="str">
            <v>BODY</v>
          </cell>
          <cell r="D2236">
            <v>142.5</v>
          </cell>
          <cell r="N2236" t="str">
            <v>1996-05</v>
          </cell>
          <cell r="O2236" t="str">
            <v>BODY</v>
          </cell>
          <cell r="P2236">
            <v>285</v>
          </cell>
        </row>
        <row r="2237">
          <cell r="B2237" t="str">
            <v>588-32</v>
          </cell>
          <cell r="C2237" t="str">
            <v>PISTON</v>
          </cell>
          <cell r="D2237">
            <v>132.5</v>
          </cell>
          <cell r="N2237" t="str">
            <v>588-32</v>
          </cell>
          <cell r="O2237" t="str">
            <v>PISTON</v>
          </cell>
          <cell r="P2237">
            <v>265</v>
          </cell>
        </row>
        <row r="2238">
          <cell r="B2238" t="str">
            <v>588-34</v>
          </cell>
          <cell r="C2238" t="str">
            <v>PISTON</v>
          </cell>
          <cell r="D2238">
            <v>129</v>
          </cell>
          <cell r="N2238" t="str">
            <v>588-34</v>
          </cell>
          <cell r="O2238" t="str">
            <v>PISTON</v>
          </cell>
          <cell r="P2238">
            <v>258</v>
          </cell>
        </row>
        <row r="2239">
          <cell r="B2239" t="str">
            <v>594-01</v>
          </cell>
          <cell r="C2239" t="str">
            <v>CLAMPG PISTON BUSH</v>
          </cell>
          <cell r="D2239">
            <v>142.5</v>
          </cell>
          <cell r="N2239" t="str">
            <v>594-01</v>
          </cell>
          <cell r="O2239" t="str">
            <v>CLAMPG PISTON BUSH</v>
          </cell>
          <cell r="P2239">
            <v>285</v>
          </cell>
        </row>
        <row r="2240">
          <cell r="B2240" t="str">
            <v>661-20</v>
          </cell>
          <cell r="C2240" t="str">
            <v>BODY</v>
          </cell>
          <cell r="D2240">
            <v>141</v>
          </cell>
          <cell r="N2240" t="str">
            <v>661-20</v>
          </cell>
          <cell r="O2240" t="str">
            <v>BODY</v>
          </cell>
          <cell r="P2240">
            <v>282</v>
          </cell>
        </row>
        <row r="2241">
          <cell r="B2241" t="str">
            <v>661-20</v>
          </cell>
          <cell r="C2241" t="str">
            <v>BODY</v>
          </cell>
          <cell r="D2241">
            <v>141</v>
          </cell>
          <cell r="N2241" t="str">
            <v>661-20</v>
          </cell>
          <cell r="O2241" t="str">
            <v>BODY</v>
          </cell>
          <cell r="P2241">
            <v>282</v>
          </cell>
        </row>
        <row r="2242">
          <cell r="B2242" t="str">
            <v>724-18</v>
          </cell>
          <cell r="C2242" t="str">
            <v>PISTON</v>
          </cell>
          <cell r="D2242">
            <v>142.5</v>
          </cell>
          <cell r="N2242" t="str">
            <v>724-18</v>
          </cell>
          <cell r="O2242" t="str">
            <v>PISTON</v>
          </cell>
          <cell r="P2242">
            <v>285</v>
          </cell>
        </row>
        <row r="2243">
          <cell r="B2243" t="str">
            <v>797-12</v>
          </cell>
          <cell r="C2243" t="str">
            <v>BODY</v>
          </cell>
          <cell r="D2243">
            <v>115.5</v>
          </cell>
          <cell r="N2243" t="str">
            <v>797-12</v>
          </cell>
          <cell r="O2243" t="str">
            <v>BODY</v>
          </cell>
          <cell r="P2243">
            <v>231</v>
          </cell>
        </row>
        <row r="2244">
          <cell r="B2244" t="str">
            <v>1681-02</v>
          </cell>
          <cell r="C2244" t="str">
            <v>BODY</v>
          </cell>
          <cell r="D2244">
            <v>140</v>
          </cell>
          <cell r="N2244" t="str">
            <v>1681-02</v>
          </cell>
          <cell r="O2244" t="str">
            <v>BODY</v>
          </cell>
          <cell r="P2244">
            <v>280</v>
          </cell>
        </row>
        <row r="2245">
          <cell r="B2245" t="str">
            <v>1832-19</v>
          </cell>
          <cell r="C2245" t="str">
            <v>BODY RETAINER</v>
          </cell>
          <cell r="D2245">
            <v>143</v>
          </cell>
          <cell r="N2245" t="str">
            <v>1832-19</v>
          </cell>
          <cell r="O2245" t="str">
            <v>BODY RETAINER</v>
          </cell>
          <cell r="P2245">
            <v>286</v>
          </cell>
        </row>
        <row r="2246">
          <cell r="B2246" t="str">
            <v>1896-01</v>
          </cell>
          <cell r="C2246" t="str">
            <v>BODY</v>
          </cell>
          <cell r="D2246">
            <v>143</v>
          </cell>
          <cell r="N2246" t="str">
            <v>1896-01</v>
          </cell>
          <cell r="O2246" t="str">
            <v>BODY</v>
          </cell>
          <cell r="P2246">
            <v>286</v>
          </cell>
        </row>
        <row r="2247">
          <cell r="B2247" t="str">
            <v>2412-06</v>
          </cell>
          <cell r="C2247" t="str">
            <v>BODY</v>
          </cell>
          <cell r="D2247">
            <v>143</v>
          </cell>
          <cell r="N2247" t="str">
            <v>2412-06</v>
          </cell>
          <cell r="O2247" t="str">
            <v>BODY</v>
          </cell>
          <cell r="P2247">
            <v>286</v>
          </cell>
        </row>
        <row r="2248">
          <cell r="B2248" t="str">
            <v>2412-07</v>
          </cell>
          <cell r="C2248" t="str">
            <v>BODY</v>
          </cell>
          <cell r="D2248">
            <v>143</v>
          </cell>
          <cell r="N2248" t="str">
            <v>2412-07</v>
          </cell>
          <cell r="O2248" t="str">
            <v>BODY</v>
          </cell>
          <cell r="P2248">
            <v>286</v>
          </cell>
        </row>
        <row r="2249">
          <cell r="B2249" t="str">
            <v>2412-09</v>
          </cell>
          <cell r="C2249" t="str">
            <v>BODY</v>
          </cell>
          <cell r="D2249">
            <v>142</v>
          </cell>
          <cell r="N2249" t="str">
            <v>2412-09</v>
          </cell>
          <cell r="O2249" t="str">
            <v>BODY</v>
          </cell>
          <cell r="P2249">
            <v>284</v>
          </cell>
        </row>
        <row r="2250">
          <cell r="B2250" t="str">
            <v>2412-10</v>
          </cell>
          <cell r="C2250" t="str">
            <v>BODY</v>
          </cell>
          <cell r="D2250">
            <v>143</v>
          </cell>
          <cell r="N2250" t="str">
            <v>2412-10</v>
          </cell>
          <cell r="O2250" t="str">
            <v>BODY</v>
          </cell>
          <cell r="P2250">
            <v>286</v>
          </cell>
        </row>
        <row r="2251">
          <cell r="B2251" t="str">
            <v>2412-19</v>
          </cell>
          <cell r="C2251" t="str">
            <v>BODY</v>
          </cell>
          <cell r="D2251">
            <v>143</v>
          </cell>
          <cell r="N2251" t="str">
            <v>2412-19</v>
          </cell>
          <cell r="O2251" t="str">
            <v>BODY</v>
          </cell>
          <cell r="P2251">
            <v>286</v>
          </cell>
        </row>
        <row r="2252">
          <cell r="B2252" t="str">
            <v>661-04</v>
          </cell>
          <cell r="C2252" t="str">
            <v>BODY</v>
          </cell>
          <cell r="D2252">
            <v>91.5</v>
          </cell>
          <cell r="N2252" t="str">
            <v>661-04</v>
          </cell>
          <cell r="O2252" t="str">
            <v>BODY</v>
          </cell>
          <cell r="P2252">
            <v>183</v>
          </cell>
        </row>
        <row r="2253">
          <cell r="B2253" t="str">
            <v>727-10</v>
          </cell>
          <cell r="C2253" t="str">
            <v>BODY</v>
          </cell>
          <cell r="D2253">
            <v>117</v>
          </cell>
          <cell r="N2253" t="str">
            <v>727-10</v>
          </cell>
          <cell r="O2253" t="str">
            <v>BODY</v>
          </cell>
          <cell r="P2253">
            <v>234</v>
          </cell>
        </row>
        <row r="2254">
          <cell r="B2254" t="str">
            <v>786-08</v>
          </cell>
          <cell r="C2254" t="str">
            <v>BODY</v>
          </cell>
          <cell r="D2254">
            <v>85</v>
          </cell>
          <cell r="N2254" t="str">
            <v>786-08</v>
          </cell>
          <cell r="O2254" t="str">
            <v>BODY</v>
          </cell>
          <cell r="P2254">
            <v>170</v>
          </cell>
        </row>
        <row r="2255">
          <cell r="B2255" t="str">
            <v>797-02</v>
          </cell>
          <cell r="C2255" t="str">
            <v>BODY</v>
          </cell>
          <cell r="D2255">
            <v>108.5</v>
          </cell>
          <cell r="N2255" t="str">
            <v>797-02</v>
          </cell>
          <cell r="O2255" t="str">
            <v>BODY</v>
          </cell>
          <cell r="P2255">
            <v>217</v>
          </cell>
        </row>
        <row r="2256">
          <cell r="B2256" t="str">
            <v>797-03</v>
          </cell>
          <cell r="C2256" t="str">
            <v>BODY</v>
          </cell>
          <cell r="D2256">
            <v>125.5</v>
          </cell>
          <cell r="N2256" t="str">
            <v>797-03</v>
          </cell>
          <cell r="O2256" t="str">
            <v>BODY</v>
          </cell>
          <cell r="P2256">
            <v>251</v>
          </cell>
        </row>
        <row r="2257">
          <cell r="B2257" t="str">
            <v>797-19</v>
          </cell>
          <cell r="C2257" t="str">
            <v>BODY</v>
          </cell>
          <cell r="D2257">
            <v>143</v>
          </cell>
          <cell r="N2257" t="str">
            <v>797-19</v>
          </cell>
          <cell r="O2257" t="str">
            <v>BODY</v>
          </cell>
          <cell r="P2257">
            <v>286</v>
          </cell>
        </row>
        <row r="2258">
          <cell r="B2258" t="str">
            <v>840-01</v>
          </cell>
          <cell r="C2258" t="str">
            <v>LOCK BODY ASS'Y(LH)</v>
          </cell>
          <cell r="D2258">
            <v>97</v>
          </cell>
          <cell r="N2258" t="str">
            <v>840-01</v>
          </cell>
          <cell r="O2258" t="str">
            <v>LOCK BODY ASS'Y(LH)</v>
          </cell>
          <cell r="P2258">
            <v>194</v>
          </cell>
        </row>
        <row r="2259">
          <cell r="B2259" t="str">
            <v>840-02</v>
          </cell>
          <cell r="C2259" t="str">
            <v>LOCK BODY ASS'Y(RH)</v>
          </cell>
          <cell r="D2259">
            <v>97</v>
          </cell>
          <cell r="N2259" t="str">
            <v>840-02</v>
          </cell>
          <cell r="O2259" t="str">
            <v>LOCK BODY ASS'Y(RH)</v>
          </cell>
          <cell r="P2259">
            <v>194</v>
          </cell>
        </row>
        <row r="2260">
          <cell r="B2260" t="str">
            <v>1064-00</v>
          </cell>
          <cell r="C2260" t="str">
            <v>HOUSING PISTON</v>
          </cell>
          <cell r="D2260">
            <v>143.5</v>
          </cell>
          <cell r="N2260" t="str">
            <v>1064-00</v>
          </cell>
          <cell r="O2260" t="str">
            <v>HOUSING PISTON</v>
          </cell>
          <cell r="P2260">
            <v>287</v>
          </cell>
        </row>
        <row r="2261">
          <cell r="B2261" t="str">
            <v>1554-29</v>
          </cell>
          <cell r="C2261" t="str">
            <v>RS RETAINER</v>
          </cell>
          <cell r="D2261">
            <v>139</v>
          </cell>
          <cell r="N2261" t="str">
            <v>1554-29</v>
          </cell>
          <cell r="O2261" t="str">
            <v>RS RETAINER</v>
          </cell>
          <cell r="P2261">
            <v>278</v>
          </cell>
        </row>
        <row r="2262">
          <cell r="B2262" t="str">
            <v>1634-39</v>
          </cell>
          <cell r="C2262" t="str">
            <v>RS RETAINER</v>
          </cell>
          <cell r="D2262">
            <v>143.5</v>
          </cell>
          <cell r="N2262" t="str">
            <v>1634-39</v>
          </cell>
          <cell r="O2262" t="str">
            <v>RS RETAINER</v>
          </cell>
          <cell r="P2262">
            <v>287</v>
          </cell>
        </row>
        <row r="2263">
          <cell r="B2263" t="str">
            <v>464-00</v>
          </cell>
          <cell r="C2263" t="str">
            <v>PISTON</v>
          </cell>
          <cell r="D2263">
            <v>143.5</v>
          </cell>
          <cell r="N2263" t="str">
            <v>464-00</v>
          </cell>
          <cell r="O2263" t="str">
            <v>PISTON</v>
          </cell>
          <cell r="P2263">
            <v>287</v>
          </cell>
        </row>
        <row r="2264">
          <cell r="B2264" t="str">
            <v>532-00</v>
          </cell>
          <cell r="C2264" t="str">
            <v>BUSH</v>
          </cell>
          <cell r="D2264">
            <v>172.2</v>
          </cell>
          <cell r="N2264" t="str">
            <v>532-00</v>
          </cell>
          <cell r="O2264" t="str">
            <v>BUSH</v>
          </cell>
          <cell r="P2264">
            <v>287</v>
          </cell>
        </row>
        <row r="2265">
          <cell r="B2265" t="str">
            <v>588-44</v>
          </cell>
          <cell r="C2265" t="str">
            <v>PISTON</v>
          </cell>
          <cell r="D2265">
            <v>143.5</v>
          </cell>
          <cell r="N2265" t="str">
            <v>588-44</v>
          </cell>
          <cell r="O2265" t="str">
            <v>PISTON</v>
          </cell>
          <cell r="P2265">
            <v>287</v>
          </cell>
        </row>
        <row r="2266">
          <cell r="B2266" t="str">
            <v>598-01</v>
          </cell>
          <cell r="C2266" t="str">
            <v>PISTON</v>
          </cell>
          <cell r="D2266">
            <v>143.5</v>
          </cell>
          <cell r="N2266" t="str">
            <v>598-01</v>
          </cell>
          <cell r="O2266" t="str">
            <v>PISTON</v>
          </cell>
          <cell r="P2266">
            <v>287</v>
          </cell>
        </row>
        <row r="2267">
          <cell r="B2267" t="str">
            <v>598-05</v>
          </cell>
          <cell r="C2267" t="str">
            <v>PISTON</v>
          </cell>
          <cell r="D2267">
            <v>143.5</v>
          </cell>
          <cell r="N2267" t="str">
            <v>598-05</v>
          </cell>
          <cell r="O2267" t="str">
            <v>PISTON</v>
          </cell>
          <cell r="P2267">
            <v>287</v>
          </cell>
        </row>
        <row r="2268">
          <cell r="B2268" t="str">
            <v>724-08</v>
          </cell>
          <cell r="C2268" t="str">
            <v>PISTON</v>
          </cell>
          <cell r="D2268">
            <v>143.5</v>
          </cell>
          <cell r="N2268" t="str">
            <v>724-08</v>
          </cell>
          <cell r="O2268" t="str">
            <v>PISTON</v>
          </cell>
          <cell r="P2268">
            <v>287</v>
          </cell>
        </row>
        <row r="2269">
          <cell r="B2269" t="str">
            <v>797-18</v>
          </cell>
          <cell r="C2269" t="str">
            <v>BODY</v>
          </cell>
          <cell r="D2269">
            <v>139.5</v>
          </cell>
          <cell r="N2269" t="str">
            <v>797-18</v>
          </cell>
          <cell r="O2269" t="str">
            <v>BODY</v>
          </cell>
          <cell r="P2269">
            <v>279</v>
          </cell>
        </row>
        <row r="2270">
          <cell r="B2270" t="str">
            <v>797-19</v>
          </cell>
          <cell r="C2270" t="str">
            <v>BODY</v>
          </cell>
          <cell r="D2270">
            <v>143</v>
          </cell>
          <cell r="N2270" t="str">
            <v>797-19</v>
          </cell>
          <cell r="O2270" t="str">
            <v>BODY</v>
          </cell>
          <cell r="P2270">
            <v>286</v>
          </cell>
        </row>
        <row r="2271">
          <cell r="B2271" t="str">
            <v>797-20</v>
          </cell>
          <cell r="C2271" t="str">
            <v>BODY</v>
          </cell>
          <cell r="D2271">
            <v>141.5</v>
          </cell>
          <cell r="N2271" t="str">
            <v>797-20</v>
          </cell>
          <cell r="O2271" t="str">
            <v>BODY</v>
          </cell>
          <cell r="P2271">
            <v>283</v>
          </cell>
        </row>
        <row r="2272">
          <cell r="B2272" t="str">
            <v>852-02</v>
          </cell>
          <cell r="C2272" t="str">
            <v>BODY</v>
          </cell>
          <cell r="D2272">
            <v>143.5</v>
          </cell>
          <cell r="N2272" t="str">
            <v>852-02</v>
          </cell>
          <cell r="O2272" t="str">
            <v>BODY</v>
          </cell>
          <cell r="P2272">
            <v>287</v>
          </cell>
        </row>
        <row r="2273">
          <cell r="B2273" t="str">
            <v>852-11</v>
          </cell>
          <cell r="C2273" t="str">
            <v>BODY</v>
          </cell>
          <cell r="D2273">
            <v>143.5</v>
          </cell>
          <cell r="N2273" t="str">
            <v>852-11</v>
          </cell>
          <cell r="O2273" t="str">
            <v>BODY</v>
          </cell>
          <cell r="P2273">
            <v>287</v>
          </cell>
        </row>
        <row r="2274">
          <cell r="B2274" t="str">
            <v>1896-01</v>
          </cell>
          <cell r="C2274" t="str">
            <v>BODY</v>
          </cell>
          <cell r="D2274">
            <v>143</v>
          </cell>
          <cell r="N2274" t="str">
            <v>1896-01</v>
          </cell>
          <cell r="O2274" t="str">
            <v>BODY</v>
          </cell>
          <cell r="P2274">
            <v>286</v>
          </cell>
        </row>
        <row r="2275">
          <cell r="B2275" t="str">
            <v>2412-06</v>
          </cell>
          <cell r="C2275" t="str">
            <v>BODY</v>
          </cell>
          <cell r="D2275">
            <v>143</v>
          </cell>
          <cell r="N2275" t="str">
            <v>2412-06</v>
          </cell>
          <cell r="O2275" t="str">
            <v>BODY</v>
          </cell>
          <cell r="P2275">
            <v>286</v>
          </cell>
        </row>
        <row r="2276">
          <cell r="B2276" t="str">
            <v>2412-06</v>
          </cell>
          <cell r="C2276" t="str">
            <v>BODY</v>
          </cell>
          <cell r="D2276">
            <v>143</v>
          </cell>
          <cell r="N2276" t="str">
            <v>2412-06</v>
          </cell>
          <cell r="O2276" t="str">
            <v>BODY</v>
          </cell>
          <cell r="P2276">
            <v>286</v>
          </cell>
        </row>
        <row r="2277">
          <cell r="B2277" t="str">
            <v>2412-10</v>
          </cell>
          <cell r="C2277" t="str">
            <v>BODY</v>
          </cell>
          <cell r="D2277">
            <v>143</v>
          </cell>
          <cell r="N2277" t="str">
            <v>2412-10</v>
          </cell>
          <cell r="O2277" t="str">
            <v>BODY</v>
          </cell>
          <cell r="P2277">
            <v>286</v>
          </cell>
        </row>
        <row r="2278">
          <cell r="B2278" t="str">
            <v>2412-19</v>
          </cell>
          <cell r="C2278" t="str">
            <v>BODY</v>
          </cell>
          <cell r="D2278">
            <v>143</v>
          </cell>
          <cell r="N2278" t="str">
            <v>2412-19</v>
          </cell>
          <cell r="O2278" t="str">
            <v>BODY</v>
          </cell>
          <cell r="P2278">
            <v>286</v>
          </cell>
        </row>
        <row r="2279">
          <cell r="B2279" t="str">
            <v>588-05</v>
          </cell>
          <cell r="C2279" t="str">
            <v>PISTON</v>
          </cell>
          <cell r="D2279">
            <v>110.5</v>
          </cell>
          <cell r="N2279" t="str">
            <v>588-05</v>
          </cell>
          <cell r="O2279" t="str">
            <v>PISTON</v>
          </cell>
          <cell r="P2279">
            <v>221</v>
          </cell>
        </row>
        <row r="2280">
          <cell r="B2280" t="str">
            <v>588-56</v>
          </cell>
          <cell r="C2280" t="str">
            <v>PISTON</v>
          </cell>
          <cell r="D2280">
            <v>144</v>
          </cell>
          <cell r="N2280" t="str">
            <v>588-56</v>
          </cell>
          <cell r="O2280" t="str">
            <v>PISTON</v>
          </cell>
          <cell r="P2280">
            <v>288</v>
          </cell>
        </row>
        <row r="2281">
          <cell r="B2281" t="str">
            <v>651-02</v>
          </cell>
          <cell r="C2281" t="str">
            <v>HEAD</v>
          </cell>
          <cell r="D2281">
            <v>172.79999999999998</v>
          </cell>
          <cell r="N2281" t="str">
            <v>651-02</v>
          </cell>
          <cell r="O2281" t="str">
            <v>HEAD</v>
          </cell>
          <cell r="P2281">
            <v>288</v>
          </cell>
        </row>
        <row r="2282">
          <cell r="B2282" t="str">
            <v>661-18</v>
          </cell>
          <cell r="C2282" t="str">
            <v>BODY</v>
          </cell>
          <cell r="D2282">
            <v>144</v>
          </cell>
          <cell r="N2282" t="str">
            <v>661-18</v>
          </cell>
          <cell r="O2282" t="str">
            <v>BODY</v>
          </cell>
          <cell r="P2282">
            <v>288</v>
          </cell>
        </row>
        <row r="2283">
          <cell r="B2283" t="str">
            <v>800-02</v>
          </cell>
          <cell r="C2283" t="str">
            <v>PISTON</v>
          </cell>
          <cell r="D2283">
            <v>129.5</v>
          </cell>
          <cell r="N2283" t="str">
            <v>800-02</v>
          </cell>
          <cell r="O2283" t="str">
            <v>PISTON</v>
          </cell>
          <cell r="P2283">
            <v>259</v>
          </cell>
        </row>
        <row r="2284">
          <cell r="B2284" t="str">
            <v>009-04</v>
          </cell>
          <cell r="C2284" t="str">
            <v>PISTON</v>
          </cell>
          <cell r="D2284">
            <v>59</v>
          </cell>
          <cell r="N2284" t="str">
            <v>009-04</v>
          </cell>
          <cell r="O2284" t="str">
            <v>PISTON</v>
          </cell>
          <cell r="P2284">
            <v>118</v>
          </cell>
        </row>
        <row r="2285">
          <cell r="B2285" t="str">
            <v>1287-03</v>
          </cell>
          <cell r="C2285" t="str">
            <v>BODY</v>
          </cell>
          <cell r="D2285">
            <v>132</v>
          </cell>
          <cell r="N2285" t="str">
            <v>1287-03</v>
          </cell>
          <cell r="O2285" t="str">
            <v>BODY</v>
          </cell>
          <cell r="P2285">
            <v>264</v>
          </cell>
        </row>
        <row r="2286">
          <cell r="B2286" t="str">
            <v>1681-01</v>
          </cell>
          <cell r="C2286" t="str">
            <v>BODY</v>
          </cell>
          <cell r="D2286">
            <v>144.5</v>
          </cell>
          <cell r="N2286" t="str">
            <v>1681-01</v>
          </cell>
          <cell r="O2286" t="str">
            <v>BODY</v>
          </cell>
          <cell r="P2286">
            <v>289</v>
          </cell>
        </row>
        <row r="2287">
          <cell r="B2287" t="str">
            <v>1681-06</v>
          </cell>
          <cell r="C2287" t="str">
            <v>BODY</v>
          </cell>
          <cell r="D2287">
            <v>144.5</v>
          </cell>
          <cell r="N2287" t="str">
            <v>1681-06</v>
          </cell>
          <cell r="O2287" t="str">
            <v>BODY</v>
          </cell>
          <cell r="P2287">
            <v>289</v>
          </cell>
        </row>
        <row r="2288">
          <cell r="B2288" t="str">
            <v>464-03</v>
          </cell>
          <cell r="C2288" t="str">
            <v>PISTON</v>
          </cell>
          <cell r="D2288">
            <v>144.5</v>
          </cell>
          <cell r="N2288" t="str">
            <v>464-03</v>
          </cell>
          <cell r="O2288" t="str">
            <v>PISTON</v>
          </cell>
          <cell r="P2288">
            <v>289</v>
          </cell>
        </row>
        <row r="2289">
          <cell r="B2289" t="str">
            <v>1369-01</v>
          </cell>
          <cell r="C2289" t="str">
            <v>BODY</v>
          </cell>
          <cell r="D2289">
            <v>121.5</v>
          </cell>
          <cell r="N2289" t="str">
            <v>1369-01</v>
          </cell>
          <cell r="O2289" t="str">
            <v>BODY</v>
          </cell>
          <cell r="P2289">
            <v>243</v>
          </cell>
        </row>
        <row r="2290">
          <cell r="B2290" t="str">
            <v>1532-01</v>
          </cell>
          <cell r="C2290" t="str">
            <v>BASE VALVE BODY</v>
          </cell>
          <cell r="D2290">
            <v>140</v>
          </cell>
          <cell r="N2290" t="str">
            <v>1532-01</v>
          </cell>
          <cell r="O2290" t="str">
            <v>BASE VALVE BODY</v>
          </cell>
          <cell r="P2290">
            <v>280</v>
          </cell>
        </row>
        <row r="2291">
          <cell r="B2291" t="str">
            <v>1896-02</v>
          </cell>
          <cell r="C2291" t="str">
            <v>BODY</v>
          </cell>
          <cell r="D2291">
            <v>145</v>
          </cell>
          <cell r="N2291" t="str">
            <v>1896-02</v>
          </cell>
          <cell r="O2291" t="str">
            <v>BODY</v>
          </cell>
          <cell r="P2291">
            <v>290</v>
          </cell>
        </row>
        <row r="2292">
          <cell r="B2292" t="str">
            <v>464-54</v>
          </cell>
          <cell r="C2292" t="str">
            <v>PISTON</v>
          </cell>
          <cell r="D2292">
            <v>145</v>
          </cell>
          <cell r="N2292" t="str">
            <v>464-54</v>
          </cell>
          <cell r="O2292" t="str">
            <v>PISTON</v>
          </cell>
          <cell r="P2292">
            <v>290</v>
          </cell>
        </row>
        <row r="2293">
          <cell r="B2293" t="str">
            <v>588-43</v>
          </cell>
          <cell r="C2293" t="str">
            <v>PISTON</v>
          </cell>
          <cell r="D2293">
            <v>132</v>
          </cell>
          <cell r="N2293" t="str">
            <v>588-43</v>
          </cell>
          <cell r="O2293" t="str">
            <v>PISTON</v>
          </cell>
          <cell r="P2293">
            <v>264</v>
          </cell>
        </row>
        <row r="2294">
          <cell r="B2294" t="str">
            <v>598-05</v>
          </cell>
          <cell r="C2294" t="str">
            <v>PISTON</v>
          </cell>
          <cell r="D2294">
            <v>143.5</v>
          </cell>
          <cell r="N2294" t="str">
            <v>598-05</v>
          </cell>
          <cell r="O2294" t="str">
            <v>PISTON</v>
          </cell>
          <cell r="P2294">
            <v>287</v>
          </cell>
        </row>
        <row r="2295">
          <cell r="B2295" t="str">
            <v>598-22</v>
          </cell>
          <cell r="C2295" t="str">
            <v>PISTON</v>
          </cell>
          <cell r="D2295">
            <v>145</v>
          </cell>
          <cell r="N2295" t="str">
            <v>598-22</v>
          </cell>
          <cell r="O2295" t="str">
            <v>PISTON</v>
          </cell>
          <cell r="P2295">
            <v>290</v>
          </cell>
        </row>
        <row r="2296">
          <cell r="B2296" t="str">
            <v>661-02</v>
          </cell>
          <cell r="C2296" t="str">
            <v>BODY</v>
          </cell>
          <cell r="D2296">
            <v>145</v>
          </cell>
          <cell r="N2296" t="str">
            <v>661-02</v>
          </cell>
          <cell r="O2296" t="str">
            <v>BODY</v>
          </cell>
          <cell r="P2296">
            <v>290</v>
          </cell>
        </row>
        <row r="2297">
          <cell r="B2297" t="str">
            <v>661-17</v>
          </cell>
          <cell r="C2297" t="str">
            <v>BODY</v>
          </cell>
          <cell r="D2297">
            <v>134.5</v>
          </cell>
          <cell r="N2297" t="str">
            <v>661-17</v>
          </cell>
          <cell r="O2297" t="str">
            <v>BODY</v>
          </cell>
          <cell r="P2297">
            <v>269</v>
          </cell>
        </row>
        <row r="2298">
          <cell r="B2298" t="str">
            <v>661-18</v>
          </cell>
          <cell r="C2298" t="str">
            <v>BODY</v>
          </cell>
          <cell r="D2298">
            <v>144</v>
          </cell>
          <cell r="N2298" t="str">
            <v>661-18</v>
          </cell>
          <cell r="O2298" t="str">
            <v>BODY</v>
          </cell>
          <cell r="P2298">
            <v>288</v>
          </cell>
        </row>
        <row r="2299">
          <cell r="B2299" t="str">
            <v>671-08</v>
          </cell>
          <cell r="C2299" t="str">
            <v>PISTON</v>
          </cell>
          <cell r="D2299">
            <v>109.5</v>
          </cell>
          <cell r="N2299" t="str">
            <v>671-08</v>
          </cell>
          <cell r="O2299" t="str">
            <v>PISTON</v>
          </cell>
          <cell r="P2299">
            <v>219</v>
          </cell>
        </row>
        <row r="2300">
          <cell r="B2300" t="str">
            <v>671-08</v>
          </cell>
          <cell r="C2300" t="str">
            <v>PISTON</v>
          </cell>
          <cell r="D2300">
            <v>109.5</v>
          </cell>
          <cell r="N2300" t="str">
            <v>671-08</v>
          </cell>
          <cell r="O2300" t="str">
            <v>PISTON</v>
          </cell>
          <cell r="P2300">
            <v>219</v>
          </cell>
        </row>
        <row r="2301">
          <cell r="B2301" t="str">
            <v>853-56</v>
          </cell>
          <cell r="C2301" t="str">
            <v>REB,RETAINER</v>
          </cell>
          <cell r="D2301">
            <v>145</v>
          </cell>
          <cell r="N2301" t="str">
            <v>853-56</v>
          </cell>
          <cell r="O2301" t="str">
            <v>REB,RETAINER</v>
          </cell>
          <cell r="P2301">
            <v>290</v>
          </cell>
        </row>
        <row r="2302">
          <cell r="B2302" t="str">
            <v>979-03</v>
          </cell>
          <cell r="C2302" t="str">
            <v>PISTON</v>
          </cell>
          <cell r="D2302">
            <v>145</v>
          </cell>
          <cell r="N2302" t="str">
            <v>979-03</v>
          </cell>
          <cell r="O2302" t="str">
            <v>PISTON</v>
          </cell>
          <cell r="P2302">
            <v>290</v>
          </cell>
        </row>
        <row r="2303">
          <cell r="B2303" t="str">
            <v>1160-01</v>
          </cell>
          <cell r="C2303" t="str">
            <v>CON-ROD</v>
          </cell>
          <cell r="D2303">
            <v>145.5</v>
          </cell>
          <cell r="N2303" t="str">
            <v>1160-01</v>
          </cell>
          <cell r="O2303" t="str">
            <v>CON-ROD</v>
          </cell>
          <cell r="P2303">
            <v>291</v>
          </cell>
        </row>
        <row r="2304">
          <cell r="B2304" t="str">
            <v>1634-04</v>
          </cell>
          <cell r="C2304" t="str">
            <v>RS RETAINER</v>
          </cell>
          <cell r="D2304">
            <v>89.5</v>
          </cell>
          <cell r="N2304" t="str">
            <v>1634-04</v>
          </cell>
          <cell r="O2304" t="str">
            <v>RS RETAINER</v>
          </cell>
          <cell r="P2304">
            <v>179</v>
          </cell>
        </row>
        <row r="2305">
          <cell r="B2305" t="str">
            <v>1833-03</v>
          </cell>
          <cell r="C2305" t="str">
            <v>BODY RETAINER</v>
          </cell>
          <cell r="D2305">
            <v>145.5</v>
          </cell>
          <cell r="N2305" t="str">
            <v>1833-03</v>
          </cell>
          <cell r="O2305" t="str">
            <v>BODY RETAINER</v>
          </cell>
          <cell r="P2305">
            <v>291</v>
          </cell>
        </row>
        <row r="2306">
          <cell r="B2306" t="str">
            <v>1896-02</v>
          </cell>
          <cell r="C2306" t="str">
            <v>BODY</v>
          </cell>
          <cell r="D2306">
            <v>145</v>
          </cell>
          <cell r="N2306" t="str">
            <v>1896-02</v>
          </cell>
          <cell r="O2306" t="str">
            <v>BODY</v>
          </cell>
          <cell r="P2306">
            <v>290</v>
          </cell>
        </row>
        <row r="2307">
          <cell r="B2307" t="str">
            <v>1896-02</v>
          </cell>
          <cell r="C2307" t="str">
            <v>BODY</v>
          </cell>
          <cell r="D2307">
            <v>145</v>
          </cell>
          <cell r="N2307" t="str">
            <v>1896-02</v>
          </cell>
          <cell r="O2307" t="str">
            <v>BODY</v>
          </cell>
          <cell r="P2307">
            <v>290</v>
          </cell>
        </row>
        <row r="2308">
          <cell r="B2308" t="str">
            <v>588-56</v>
          </cell>
          <cell r="C2308" t="str">
            <v>PISTON</v>
          </cell>
          <cell r="D2308">
            <v>144</v>
          </cell>
          <cell r="N2308" t="str">
            <v>588-56</v>
          </cell>
          <cell r="O2308" t="str">
            <v>PISTON</v>
          </cell>
          <cell r="P2308">
            <v>288</v>
          </cell>
        </row>
        <row r="2309">
          <cell r="B2309" t="str">
            <v>1163-01</v>
          </cell>
          <cell r="C2309" t="str">
            <v>PISTON</v>
          </cell>
          <cell r="D2309">
            <v>146</v>
          </cell>
          <cell r="N2309" t="str">
            <v>1163-01</v>
          </cell>
          <cell r="O2309" t="str">
            <v>PISTON</v>
          </cell>
          <cell r="P2309">
            <v>292</v>
          </cell>
        </row>
        <row r="2310">
          <cell r="B2310" t="str">
            <v>1554-29</v>
          </cell>
          <cell r="C2310" t="str">
            <v>RS RETAINER</v>
          </cell>
          <cell r="D2310">
            <v>139</v>
          </cell>
          <cell r="N2310" t="str">
            <v>1554-29</v>
          </cell>
          <cell r="O2310" t="str">
            <v>RS RETAINER</v>
          </cell>
          <cell r="P2310">
            <v>278</v>
          </cell>
        </row>
        <row r="2311">
          <cell r="B2311" t="str">
            <v>331-01</v>
          </cell>
          <cell r="C2311" t="str">
            <v>SUPPORT YOKE ASS'Y</v>
          </cell>
          <cell r="D2311">
            <v>138</v>
          </cell>
          <cell r="N2311" t="str">
            <v>331-01</v>
          </cell>
          <cell r="O2311" t="str">
            <v>SUPPORT YOKE ASS'Y</v>
          </cell>
          <cell r="P2311">
            <v>276</v>
          </cell>
        </row>
        <row r="2312">
          <cell r="B2312" t="str">
            <v>584-05</v>
          </cell>
          <cell r="C2312" t="str">
            <v>BODY</v>
          </cell>
          <cell r="D2312">
            <v>140.5</v>
          </cell>
          <cell r="N2312" t="str">
            <v>584-05</v>
          </cell>
          <cell r="O2312" t="str">
            <v>BODY</v>
          </cell>
          <cell r="P2312">
            <v>281</v>
          </cell>
        </row>
        <row r="2313">
          <cell r="B2313" t="str">
            <v>727-04</v>
          </cell>
          <cell r="C2313" t="str">
            <v>BODY</v>
          </cell>
          <cell r="D2313">
            <v>100.5</v>
          </cell>
          <cell r="N2313" t="str">
            <v>727-04</v>
          </cell>
          <cell r="O2313" t="str">
            <v>BODY</v>
          </cell>
          <cell r="P2313">
            <v>201</v>
          </cell>
        </row>
        <row r="2314">
          <cell r="B2314" t="str">
            <v>797-11</v>
          </cell>
          <cell r="C2314" t="str">
            <v>BODY</v>
          </cell>
          <cell r="D2314">
            <v>132.5</v>
          </cell>
          <cell r="N2314" t="str">
            <v>797-11</v>
          </cell>
          <cell r="O2314" t="str">
            <v>BODY</v>
          </cell>
          <cell r="P2314">
            <v>265</v>
          </cell>
        </row>
        <row r="2315">
          <cell r="B2315" t="str">
            <v>852-11</v>
          </cell>
          <cell r="C2315" t="str">
            <v>BODY</v>
          </cell>
          <cell r="D2315">
            <v>143.5</v>
          </cell>
          <cell r="N2315" t="str">
            <v>852-11</v>
          </cell>
          <cell r="O2315" t="str">
            <v>BODY</v>
          </cell>
          <cell r="P2315">
            <v>287</v>
          </cell>
        </row>
        <row r="2316">
          <cell r="B2316" t="str">
            <v>853-58</v>
          </cell>
          <cell r="C2316" t="str">
            <v>REB,RETAINER</v>
          </cell>
          <cell r="D2316">
            <v>146</v>
          </cell>
          <cell r="N2316" t="str">
            <v>853-58</v>
          </cell>
          <cell r="O2316" t="str">
            <v>REB,RETAINER</v>
          </cell>
          <cell r="P2316">
            <v>292</v>
          </cell>
        </row>
        <row r="2317">
          <cell r="B2317" t="str">
            <v>1412-08</v>
          </cell>
          <cell r="C2317" t="str">
            <v>BODY</v>
          </cell>
          <cell r="D2317">
            <v>136.5</v>
          </cell>
          <cell r="N2317" t="str">
            <v>1412-08</v>
          </cell>
          <cell r="O2317" t="str">
            <v>BODY</v>
          </cell>
          <cell r="P2317">
            <v>273</v>
          </cell>
        </row>
        <row r="2318">
          <cell r="B2318" t="str">
            <v>1412-10</v>
          </cell>
          <cell r="C2318" t="str">
            <v>BODY</v>
          </cell>
          <cell r="D2318">
            <v>146.5</v>
          </cell>
          <cell r="N2318" t="str">
            <v>1412-10</v>
          </cell>
          <cell r="O2318" t="str">
            <v>BODY</v>
          </cell>
          <cell r="P2318">
            <v>293</v>
          </cell>
        </row>
        <row r="2319">
          <cell r="B2319" t="str">
            <v>1554-21</v>
          </cell>
          <cell r="C2319" t="str">
            <v>RS RETAINER</v>
          </cell>
          <cell r="D2319">
            <v>146.5</v>
          </cell>
          <cell r="N2319" t="str">
            <v>1554-21</v>
          </cell>
          <cell r="O2319" t="str">
            <v>RS RETAINER</v>
          </cell>
          <cell r="P2319">
            <v>293</v>
          </cell>
        </row>
        <row r="2320">
          <cell r="B2320" t="str">
            <v>1896-01</v>
          </cell>
          <cell r="C2320" t="str">
            <v>BODY</v>
          </cell>
          <cell r="D2320">
            <v>143</v>
          </cell>
          <cell r="N2320" t="str">
            <v>1896-01</v>
          </cell>
          <cell r="O2320" t="str">
            <v>BODY</v>
          </cell>
          <cell r="P2320">
            <v>286</v>
          </cell>
        </row>
        <row r="2321">
          <cell r="B2321" t="str">
            <v>861-05</v>
          </cell>
          <cell r="C2321" t="str">
            <v>BODY</v>
          </cell>
          <cell r="D2321">
            <v>82.5</v>
          </cell>
          <cell r="N2321" t="str">
            <v>861-05</v>
          </cell>
          <cell r="O2321" t="str">
            <v>BODY</v>
          </cell>
          <cell r="P2321">
            <v>165</v>
          </cell>
        </row>
        <row r="2322">
          <cell r="B2322" t="str">
            <v>1613-05</v>
          </cell>
          <cell r="C2322" t="str">
            <v>BODY</v>
          </cell>
          <cell r="D2322">
            <v>147</v>
          </cell>
          <cell r="N2322" t="str">
            <v>1613-05</v>
          </cell>
          <cell r="O2322" t="str">
            <v>BODY</v>
          </cell>
          <cell r="P2322">
            <v>294</v>
          </cell>
        </row>
        <row r="2323">
          <cell r="B2323" t="str">
            <v>1852-04</v>
          </cell>
          <cell r="C2323" t="str">
            <v>RS RETAINER</v>
          </cell>
          <cell r="D2323">
            <v>147</v>
          </cell>
          <cell r="N2323" t="str">
            <v>1852-04</v>
          </cell>
          <cell r="O2323" t="str">
            <v>RS RETAINER</v>
          </cell>
          <cell r="P2323">
            <v>294</v>
          </cell>
        </row>
        <row r="2324">
          <cell r="B2324" t="str">
            <v>2076-18</v>
          </cell>
          <cell r="C2324" t="str">
            <v>BODY RETAINER</v>
          </cell>
          <cell r="D2324">
            <v>147</v>
          </cell>
          <cell r="N2324" t="str">
            <v>2076-18</v>
          </cell>
          <cell r="O2324" t="str">
            <v>BODY RETAINER</v>
          </cell>
          <cell r="P2324">
            <v>294</v>
          </cell>
        </row>
        <row r="2325">
          <cell r="B2325" t="str">
            <v>2077-19</v>
          </cell>
          <cell r="C2325" t="str">
            <v>BODY RETAINER</v>
          </cell>
          <cell r="D2325">
            <v>83.5</v>
          </cell>
          <cell r="N2325" t="str">
            <v>2077-19</v>
          </cell>
          <cell r="O2325" t="str">
            <v>BODY RETAINER</v>
          </cell>
          <cell r="P2325">
            <v>167</v>
          </cell>
        </row>
        <row r="2326">
          <cell r="B2326" t="str">
            <v>598-01</v>
          </cell>
          <cell r="C2326" t="str">
            <v>PISTON</v>
          </cell>
          <cell r="D2326">
            <v>143.5</v>
          </cell>
          <cell r="N2326" t="str">
            <v>598-01</v>
          </cell>
          <cell r="O2326" t="str">
            <v>PISTON</v>
          </cell>
          <cell r="P2326">
            <v>287</v>
          </cell>
        </row>
        <row r="2327">
          <cell r="B2327" t="str">
            <v>661-26</v>
          </cell>
          <cell r="C2327" t="str">
            <v>BODY</v>
          </cell>
          <cell r="D2327">
            <v>147</v>
          </cell>
          <cell r="N2327" t="str">
            <v>661-26</v>
          </cell>
          <cell r="O2327" t="str">
            <v>BODY</v>
          </cell>
          <cell r="P2327">
            <v>294</v>
          </cell>
        </row>
        <row r="2328">
          <cell r="B2328" t="str">
            <v>673-16</v>
          </cell>
          <cell r="C2328" t="str">
            <v>PISTON</v>
          </cell>
          <cell r="D2328">
            <v>147</v>
          </cell>
          <cell r="N2328" t="str">
            <v>673-16</v>
          </cell>
          <cell r="O2328" t="str">
            <v>PISTON</v>
          </cell>
          <cell r="P2328">
            <v>294</v>
          </cell>
        </row>
        <row r="2329">
          <cell r="B2329" t="str">
            <v>787-19</v>
          </cell>
          <cell r="C2329" t="str">
            <v>BODY</v>
          </cell>
          <cell r="D2329">
            <v>147</v>
          </cell>
          <cell r="N2329" t="str">
            <v>787-19</v>
          </cell>
          <cell r="O2329" t="str">
            <v>BODY</v>
          </cell>
          <cell r="P2329">
            <v>294</v>
          </cell>
        </row>
        <row r="2330">
          <cell r="B2330" t="str">
            <v>797-11</v>
          </cell>
          <cell r="C2330" t="str">
            <v>BODY</v>
          </cell>
          <cell r="D2330">
            <v>132.5</v>
          </cell>
          <cell r="N2330" t="str">
            <v>797-11</v>
          </cell>
          <cell r="O2330" t="str">
            <v>BODY</v>
          </cell>
          <cell r="P2330">
            <v>265</v>
          </cell>
        </row>
        <row r="2331">
          <cell r="B2331" t="str">
            <v>797-17</v>
          </cell>
          <cell r="C2331" t="str">
            <v>BODY</v>
          </cell>
          <cell r="D2331">
            <v>147</v>
          </cell>
          <cell r="N2331" t="str">
            <v>797-17</v>
          </cell>
          <cell r="O2331" t="str">
            <v>BODY</v>
          </cell>
          <cell r="P2331">
            <v>294</v>
          </cell>
        </row>
        <row r="2332">
          <cell r="B2332" t="str">
            <v>1069-01</v>
          </cell>
          <cell r="C2332" t="str">
            <v>PISTON</v>
          </cell>
          <cell r="D2332">
            <v>99</v>
          </cell>
          <cell r="N2332" t="str">
            <v>1069-01</v>
          </cell>
          <cell r="O2332" t="str">
            <v>PISTON</v>
          </cell>
          <cell r="P2332">
            <v>198</v>
          </cell>
        </row>
        <row r="2333">
          <cell r="B2333" t="str">
            <v>1069-02</v>
          </cell>
          <cell r="C2333" t="str">
            <v>PISTON</v>
          </cell>
          <cell r="D2333">
            <v>126</v>
          </cell>
          <cell r="N2333" t="str">
            <v>1069-02</v>
          </cell>
          <cell r="O2333" t="str">
            <v>PISTON</v>
          </cell>
          <cell r="P2333">
            <v>252</v>
          </cell>
        </row>
        <row r="2334">
          <cell r="B2334" t="str">
            <v>1212-02</v>
          </cell>
          <cell r="C2334" t="str">
            <v>CON-ROD</v>
          </cell>
          <cell r="D2334">
            <v>147.5</v>
          </cell>
          <cell r="N2334" t="str">
            <v>1212-02</v>
          </cell>
          <cell r="O2334" t="str">
            <v>CON-ROD</v>
          </cell>
          <cell r="P2334">
            <v>295</v>
          </cell>
        </row>
        <row r="2335">
          <cell r="B2335" t="str">
            <v>1479-00</v>
          </cell>
          <cell r="C2335" t="str">
            <v>PISTON</v>
          </cell>
          <cell r="D2335">
            <v>147.5</v>
          </cell>
          <cell r="N2335" t="str">
            <v>1479-00</v>
          </cell>
          <cell r="O2335" t="str">
            <v>PISTON</v>
          </cell>
          <cell r="P2335">
            <v>295</v>
          </cell>
        </row>
        <row r="2336">
          <cell r="B2336" t="str">
            <v>1554-21</v>
          </cell>
          <cell r="C2336" t="str">
            <v>RS RETAINER</v>
          </cell>
          <cell r="D2336">
            <v>146.5</v>
          </cell>
          <cell r="N2336" t="str">
            <v>1554-21</v>
          </cell>
          <cell r="O2336" t="str">
            <v>RS RETAINER</v>
          </cell>
          <cell r="P2336">
            <v>293</v>
          </cell>
        </row>
        <row r="2337">
          <cell r="B2337" t="str">
            <v>1608-00</v>
          </cell>
          <cell r="C2337" t="str">
            <v>PISTON</v>
          </cell>
          <cell r="D2337">
            <v>147.5</v>
          </cell>
          <cell r="N2337" t="str">
            <v>1608-00</v>
          </cell>
          <cell r="O2337" t="str">
            <v>PISTON</v>
          </cell>
          <cell r="P2337">
            <v>295</v>
          </cell>
        </row>
        <row r="2338">
          <cell r="B2338" t="str">
            <v>1634-39</v>
          </cell>
          <cell r="C2338" t="str">
            <v>RS RETAINER</v>
          </cell>
          <cell r="D2338">
            <v>143.5</v>
          </cell>
          <cell r="N2338" t="str">
            <v>1634-39</v>
          </cell>
          <cell r="O2338" t="str">
            <v>RS RETAINER</v>
          </cell>
          <cell r="P2338">
            <v>287</v>
          </cell>
        </row>
        <row r="2339">
          <cell r="B2339" t="str">
            <v>1687-02</v>
          </cell>
          <cell r="C2339" t="str">
            <v>BODY</v>
          </cell>
          <cell r="D2339">
            <v>147.5</v>
          </cell>
          <cell r="N2339" t="str">
            <v>1687-02</v>
          </cell>
          <cell r="O2339" t="str">
            <v>BODY</v>
          </cell>
          <cell r="P2339">
            <v>295</v>
          </cell>
        </row>
        <row r="2340">
          <cell r="B2340" t="str">
            <v>1690-00</v>
          </cell>
          <cell r="C2340" t="str">
            <v>RACK STOPPER</v>
          </cell>
          <cell r="D2340">
            <v>147.5</v>
          </cell>
          <cell r="N2340" t="str">
            <v>1690-00</v>
          </cell>
          <cell r="O2340" t="str">
            <v>RACK STOPPER</v>
          </cell>
          <cell r="P2340">
            <v>295</v>
          </cell>
        </row>
        <row r="2341">
          <cell r="B2341" t="str">
            <v>1843-11</v>
          </cell>
          <cell r="C2341" t="str">
            <v>RS RETAINER</v>
          </cell>
          <cell r="D2341">
            <v>147.5</v>
          </cell>
          <cell r="N2341" t="str">
            <v>1843-11</v>
          </cell>
          <cell r="O2341" t="str">
            <v>RS RETAINER</v>
          </cell>
          <cell r="P2341">
            <v>295</v>
          </cell>
        </row>
        <row r="2342">
          <cell r="B2342" t="str">
            <v>787-16</v>
          </cell>
          <cell r="C2342" t="str">
            <v>BODY</v>
          </cell>
          <cell r="D2342">
            <v>116</v>
          </cell>
          <cell r="N2342" t="str">
            <v>787-16</v>
          </cell>
          <cell r="O2342" t="str">
            <v>BODY</v>
          </cell>
          <cell r="P2342">
            <v>232</v>
          </cell>
        </row>
        <row r="2343">
          <cell r="B2343" t="str">
            <v>853-58</v>
          </cell>
          <cell r="C2343" t="str">
            <v>REB,RETAINER</v>
          </cell>
          <cell r="D2343">
            <v>146</v>
          </cell>
          <cell r="N2343" t="str">
            <v>853-58</v>
          </cell>
          <cell r="O2343" t="str">
            <v>REB,RETAINER</v>
          </cell>
          <cell r="P2343">
            <v>292</v>
          </cell>
        </row>
        <row r="2344">
          <cell r="B2344" t="str">
            <v>1554-01</v>
          </cell>
          <cell r="C2344" t="str">
            <v>RS RETAINER</v>
          </cell>
          <cell r="D2344">
            <v>148</v>
          </cell>
          <cell r="N2344" t="str">
            <v>1554-01</v>
          </cell>
          <cell r="O2344" t="str">
            <v>RS RETAINER</v>
          </cell>
          <cell r="P2344">
            <v>296</v>
          </cell>
        </row>
        <row r="2345">
          <cell r="B2345" t="str">
            <v>1566-01</v>
          </cell>
          <cell r="C2345" t="str">
            <v>BODY</v>
          </cell>
          <cell r="D2345">
            <v>148</v>
          </cell>
          <cell r="N2345" t="str">
            <v>1566-01</v>
          </cell>
          <cell r="O2345" t="str">
            <v>BODY</v>
          </cell>
          <cell r="P2345">
            <v>296</v>
          </cell>
        </row>
        <row r="2346">
          <cell r="B2346" t="str">
            <v>1634-13</v>
          </cell>
          <cell r="C2346" t="str">
            <v>RS RETAINER</v>
          </cell>
          <cell r="D2346">
            <v>148</v>
          </cell>
          <cell r="N2346" t="str">
            <v>1634-13</v>
          </cell>
          <cell r="O2346" t="str">
            <v>RS RETAINER</v>
          </cell>
          <cell r="P2346">
            <v>296</v>
          </cell>
        </row>
        <row r="2347">
          <cell r="B2347" t="str">
            <v>2412-10</v>
          </cell>
          <cell r="C2347" t="str">
            <v>BODY</v>
          </cell>
          <cell r="D2347">
            <v>143</v>
          </cell>
          <cell r="N2347" t="str">
            <v>2412-10</v>
          </cell>
          <cell r="O2347" t="str">
            <v>BODY</v>
          </cell>
          <cell r="P2347">
            <v>286</v>
          </cell>
        </row>
        <row r="2348">
          <cell r="B2348" t="str">
            <v>588-56</v>
          </cell>
          <cell r="C2348" t="str">
            <v>PISTON</v>
          </cell>
          <cell r="D2348">
            <v>144</v>
          </cell>
          <cell r="N2348" t="str">
            <v>588-56</v>
          </cell>
          <cell r="O2348" t="str">
            <v>PISTON</v>
          </cell>
          <cell r="P2348">
            <v>288</v>
          </cell>
        </row>
        <row r="2349">
          <cell r="B2349" t="str">
            <v>673-15</v>
          </cell>
          <cell r="C2349" t="str">
            <v>PISTON</v>
          </cell>
          <cell r="D2349">
            <v>148</v>
          </cell>
          <cell r="N2349" t="str">
            <v>673-15</v>
          </cell>
          <cell r="O2349" t="str">
            <v>PISTON</v>
          </cell>
          <cell r="P2349">
            <v>296</v>
          </cell>
        </row>
        <row r="2350">
          <cell r="B2350" t="str">
            <v>786-18</v>
          </cell>
          <cell r="C2350" t="str">
            <v>BODY</v>
          </cell>
          <cell r="D2350">
            <v>110.5</v>
          </cell>
          <cell r="N2350" t="str">
            <v>786-18</v>
          </cell>
          <cell r="O2350" t="str">
            <v>BODY</v>
          </cell>
          <cell r="P2350">
            <v>221</v>
          </cell>
        </row>
        <row r="2351">
          <cell r="B2351" t="str">
            <v>800-01</v>
          </cell>
          <cell r="C2351" t="str">
            <v>PISTON</v>
          </cell>
          <cell r="D2351">
            <v>129.5</v>
          </cell>
          <cell r="N2351" t="str">
            <v>800-01</v>
          </cell>
          <cell r="O2351" t="str">
            <v>PISTON</v>
          </cell>
          <cell r="P2351">
            <v>259</v>
          </cell>
        </row>
        <row r="2352">
          <cell r="B2352" t="str">
            <v>1069-03</v>
          </cell>
          <cell r="C2352" t="str">
            <v>PISTON</v>
          </cell>
          <cell r="D2352">
            <v>93.5</v>
          </cell>
          <cell r="N2352" t="str">
            <v>1069-03</v>
          </cell>
          <cell r="O2352" t="str">
            <v>PISTON</v>
          </cell>
          <cell r="P2352">
            <v>187</v>
          </cell>
        </row>
        <row r="2353">
          <cell r="B2353" t="str">
            <v>1122-01</v>
          </cell>
          <cell r="C2353" t="str">
            <v>ROD GUIDE</v>
          </cell>
          <cell r="D2353">
            <v>148.5</v>
          </cell>
          <cell r="N2353" t="str">
            <v>1122-01</v>
          </cell>
          <cell r="O2353" t="str">
            <v>ROD GUIDE</v>
          </cell>
          <cell r="P2353">
            <v>297</v>
          </cell>
        </row>
        <row r="2354">
          <cell r="B2354" t="str">
            <v>1430-03</v>
          </cell>
          <cell r="C2354" t="str">
            <v>BODY</v>
          </cell>
          <cell r="D2354">
            <v>128</v>
          </cell>
          <cell r="N2354" t="str">
            <v>1430-03</v>
          </cell>
          <cell r="O2354" t="str">
            <v>BODY</v>
          </cell>
          <cell r="P2354">
            <v>256</v>
          </cell>
        </row>
        <row r="2355">
          <cell r="B2355" t="str">
            <v>1608-00</v>
          </cell>
          <cell r="C2355" t="str">
            <v>PISTON</v>
          </cell>
          <cell r="D2355">
            <v>147.5</v>
          </cell>
          <cell r="N2355" t="str">
            <v>1608-00</v>
          </cell>
          <cell r="O2355" t="str">
            <v>PISTON</v>
          </cell>
          <cell r="P2355">
            <v>295</v>
          </cell>
        </row>
        <row r="2356">
          <cell r="B2356" t="str">
            <v>384-05</v>
          </cell>
          <cell r="C2356" t="str">
            <v>SUPPORT YOKE ASS'Y</v>
          </cell>
          <cell r="D2356">
            <v>148.5</v>
          </cell>
          <cell r="N2356" t="str">
            <v>384-05</v>
          </cell>
          <cell r="O2356" t="str">
            <v>SUPPORT YOKE ASS'Y</v>
          </cell>
          <cell r="P2356">
            <v>297</v>
          </cell>
        </row>
        <row r="2357">
          <cell r="B2357" t="str">
            <v>483-06</v>
          </cell>
          <cell r="C2357" t="str">
            <v>RACK STOPPER</v>
          </cell>
          <cell r="D2357">
            <v>178.2</v>
          </cell>
          <cell r="N2357" t="str">
            <v>483-06</v>
          </cell>
          <cell r="O2357" t="str">
            <v>RACK STOPPER</v>
          </cell>
          <cell r="P2357">
            <v>297</v>
          </cell>
        </row>
        <row r="2358">
          <cell r="B2358" t="str">
            <v>588-48</v>
          </cell>
          <cell r="C2358" t="str">
            <v>PISTON</v>
          </cell>
          <cell r="D2358">
            <v>148.5</v>
          </cell>
          <cell r="N2358" t="str">
            <v>588-48</v>
          </cell>
          <cell r="O2358" t="str">
            <v>PISTON</v>
          </cell>
          <cell r="P2358">
            <v>297</v>
          </cell>
        </row>
        <row r="2359">
          <cell r="B2359" t="str">
            <v>661-04</v>
          </cell>
          <cell r="C2359" t="str">
            <v>BODY</v>
          </cell>
          <cell r="D2359">
            <v>91.5</v>
          </cell>
          <cell r="N2359" t="str">
            <v>661-04</v>
          </cell>
          <cell r="O2359" t="str">
            <v>BODY</v>
          </cell>
          <cell r="P2359">
            <v>183</v>
          </cell>
        </row>
        <row r="2360">
          <cell r="B2360" t="str">
            <v>725-01</v>
          </cell>
          <cell r="C2360" t="str">
            <v>PISTON</v>
          </cell>
          <cell r="D2360">
            <v>148.5</v>
          </cell>
          <cell r="N2360" t="str">
            <v>725-01</v>
          </cell>
          <cell r="O2360" t="str">
            <v>PISTON</v>
          </cell>
          <cell r="P2360">
            <v>297</v>
          </cell>
        </row>
        <row r="2361">
          <cell r="B2361" t="str">
            <v>852-16</v>
          </cell>
          <cell r="C2361" t="str">
            <v>BODY</v>
          </cell>
          <cell r="D2361">
            <v>138.5</v>
          </cell>
          <cell r="N2361" t="str">
            <v>852-16</v>
          </cell>
          <cell r="O2361" t="str">
            <v>BODY</v>
          </cell>
          <cell r="P2361">
            <v>277</v>
          </cell>
        </row>
        <row r="2362">
          <cell r="B2362" t="str">
            <v>909-00</v>
          </cell>
          <cell r="C2362" t="str">
            <v>ROD GUIDE</v>
          </cell>
          <cell r="D2362">
            <v>148.5</v>
          </cell>
          <cell r="N2362" t="str">
            <v>909-00</v>
          </cell>
          <cell r="O2362" t="str">
            <v>ROD GUIDE</v>
          </cell>
          <cell r="P2362">
            <v>297</v>
          </cell>
        </row>
        <row r="2363">
          <cell r="B2363" t="str">
            <v>1566-01</v>
          </cell>
          <cell r="C2363" t="str">
            <v>BODY</v>
          </cell>
          <cell r="D2363">
            <v>148</v>
          </cell>
          <cell r="N2363" t="str">
            <v>1566-01</v>
          </cell>
          <cell r="O2363" t="str">
            <v>BODY</v>
          </cell>
          <cell r="P2363">
            <v>296</v>
          </cell>
        </row>
        <row r="2364">
          <cell r="B2364" t="str">
            <v>1634-09</v>
          </cell>
          <cell r="C2364" t="str">
            <v>RS RETAINER</v>
          </cell>
          <cell r="D2364">
            <v>123.5</v>
          </cell>
          <cell r="N2364" t="str">
            <v>1634-09</v>
          </cell>
          <cell r="O2364" t="str">
            <v>RS RETAINER</v>
          </cell>
          <cell r="P2364">
            <v>247</v>
          </cell>
        </row>
        <row r="2365">
          <cell r="B2365" t="str">
            <v>1754-01</v>
          </cell>
          <cell r="C2365" t="str">
            <v>BODY</v>
          </cell>
          <cell r="D2365">
            <v>149</v>
          </cell>
          <cell r="N2365" t="str">
            <v>1754-01</v>
          </cell>
          <cell r="O2365" t="str">
            <v>BODY</v>
          </cell>
          <cell r="P2365">
            <v>298</v>
          </cell>
        </row>
        <row r="2366">
          <cell r="B2366" t="str">
            <v>1754-02</v>
          </cell>
          <cell r="C2366" t="str">
            <v>BODY</v>
          </cell>
          <cell r="D2366">
            <v>149</v>
          </cell>
          <cell r="N2366" t="str">
            <v>1754-02</v>
          </cell>
          <cell r="O2366" t="str">
            <v>BODY</v>
          </cell>
          <cell r="P2366">
            <v>298</v>
          </cell>
        </row>
        <row r="2367">
          <cell r="B2367" t="str">
            <v>1754-03</v>
          </cell>
          <cell r="C2367" t="str">
            <v>BODY</v>
          </cell>
          <cell r="D2367">
            <v>149</v>
          </cell>
          <cell r="N2367" t="str">
            <v>1754-03</v>
          </cell>
          <cell r="O2367" t="str">
            <v>BODY</v>
          </cell>
          <cell r="P2367">
            <v>298</v>
          </cell>
        </row>
        <row r="2368">
          <cell r="B2368" t="str">
            <v>588-47</v>
          </cell>
          <cell r="C2368" t="str">
            <v>PISTON</v>
          </cell>
          <cell r="D2368">
            <v>149</v>
          </cell>
          <cell r="N2368" t="str">
            <v>588-47</v>
          </cell>
          <cell r="O2368" t="str">
            <v>PISTON</v>
          </cell>
          <cell r="P2368">
            <v>298</v>
          </cell>
        </row>
        <row r="2369">
          <cell r="B2369" t="str">
            <v>616-05</v>
          </cell>
          <cell r="C2369" t="str">
            <v>SUB VALVE BODY</v>
          </cell>
          <cell r="D2369">
            <v>149</v>
          </cell>
          <cell r="N2369" t="str">
            <v>616-05</v>
          </cell>
          <cell r="O2369" t="str">
            <v>SUB VALVE BODY</v>
          </cell>
          <cell r="P2369">
            <v>298</v>
          </cell>
        </row>
        <row r="2370">
          <cell r="B2370" t="str">
            <v>661-12</v>
          </cell>
          <cell r="C2370" t="str">
            <v>BODY</v>
          </cell>
          <cell r="D2370">
            <v>89.5</v>
          </cell>
          <cell r="N2370" t="str">
            <v>661-12</v>
          </cell>
          <cell r="O2370" t="str">
            <v>BODY</v>
          </cell>
          <cell r="P2370">
            <v>179</v>
          </cell>
        </row>
        <row r="2371">
          <cell r="B2371" t="str">
            <v>786-22</v>
          </cell>
          <cell r="C2371" t="str">
            <v>BODY</v>
          </cell>
          <cell r="D2371">
            <v>122</v>
          </cell>
          <cell r="N2371" t="str">
            <v>786-22</v>
          </cell>
          <cell r="O2371" t="str">
            <v>BODY</v>
          </cell>
          <cell r="P2371">
            <v>244</v>
          </cell>
        </row>
        <row r="2372">
          <cell r="B2372" t="str">
            <v>1481-02</v>
          </cell>
          <cell r="C2372" t="str">
            <v>RS RETAINER</v>
          </cell>
          <cell r="D2372">
            <v>149.5</v>
          </cell>
          <cell r="N2372" t="str">
            <v>1481-02</v>
          </cell>
          <cell r="O2372" t="str">
            <v>RS RETAINER</v>
          </cell>
          <cell r="P2372">
            <v>299</v>
          </cell>
        </row>
        <row r="2373">
          <cell r="B2373" t="str">
            <v>1481-02</v>
          </cell>
          <cell r="C2373" t="str">
            <v>RS RETAINER</v>
          </cell>
          <cell r="D2373">
            <v>149.5</v>
          </cell>
          <cell r="N2373" t="str">
            <v>1481-02</v>
          </cell>
          <cell r="O2373" t="str">
            <v>RS RETAINER</v>
          </cell>
          <cell r="P2373">
            <v>299</v>
          </cell>
        </row>
        <row r="2374">
          <cell r="B2374" t="str">
            <v>2026-07</v>
          </cell>
          <cell r="C2374" t="str">
            <v>SOFT VALVE</v>
          </cell>
          <cell r="D2374">
            <v>179.4</v>
          </cell>
          <cell r="N2374" t="str">
            <v>2026-07</v>
          </cell>
          <cell r="O2374" t="str">
            <v>SOFT VALVE</v>
          </cell>
          <cell r="P2374">
            <v>299</v>
          </cell>
        </row>
        <row r="2375">
          <cell r="B2375" t="str">
            <v>2076-05</v>
          </cell>
          <cell r="C2375" t="str">
            <v>BODY RETAINER</v>
          </cell>
          <cell r="D2375">
            <v>92.5</v>
          </cell>
          <cell r="N2375" t="str">
            <v>2076-05</v>
          </cell>
          <cell r="O2375" t="str">
            <v>BODY RETAINER</v>
          </cell>
          <cell r="P2375">
            <v>185</v>
          </cell>
        </row>
        <row r="2376">
          <cell r="B2376" t="str">
            <v>384-05</v>
          </cell>
          <cell r="C2376" t="str">
            <v>SUPPORT YOKE ASS'Y</v>
          </cell>
          <cell r="D2376">
            <v>148.5</v>
          </cell>
          <cell r="N2376" t="str">
            <v>384-05</v>
          </cell>
          <cell r="O2376" t="str">
            <v>SUPPORT YOKE ASS'Y</v>
          </cell>
          <cell r="P2376">
            <v>297</v>
          </cell>
        </row>
        <row r="2377">
          <cell r="B2377" t="str">
            <v>496-00</v>
          </cell>
          <cell r="C2377" t="str">
            <v>ROD GUIDE ASS'Y</v>
          </cell>
          <cell r="D2377">
            <v>149.5</v>
          </cell>
          <cell r="N2377" t="str">
            <v>496-00</v>
          </cell>
          <cell r="O2377" t="str">
            <v>ROD GUIDE ASS'Y</v>
          </cell>
          <cell r="P2377">
            <v>299</v>
          </cell>
        </row>
        <row r="2378">
          <cell r="B2378" t="str">
            <v>598-11</v>
          </cell>
          <cell r="C2378" t="str">
            <v>PISTON</v>
          </cell>
          <cell r="D2378">
            <v>149.5</v>
          </cell>
          <cell r="N2378" t="str">
            <v>598-11</v>
          </cell>
          <cell r="O2378" t="str">
            <v>PISTON</v>
          </cell>
          <cell r="P2378">
            <v>299</v>
          </cell>
        </row>
        <row r="2379">
          <cell r="B2379" t="str">
            <v>598-11</v>
          </cell>
          <cell r="C2379" t="str">
            <v>PISTON</v>
          </cell>
          <cell r="D2379">
            <v>149.5</v>
          </cell>
          <cell r="N2379" t="str">
            <v>598-11</v>
          </cell>
          <cell r="O2379" t="str">
            <v>PISTON</v>
          </cell>
          <cell r="P2379">
            <v>299</v>
          </cell>
        </row>
        <row r="2380">
          <cell r="B2380" t="str">
            <v>671-06</v>
          </cell>
          <cell r="C2380" t="str">
            <v>PISTON</v>
          </cell>
          <cell r="D2380">
            <v>104</v>
          </cell>
          <cell r="N2380" t="str">
            <v>671-06</v>
          </cell>
          <cell r="O2380" t="str">
            <v>PISTON</v>
          </cell>
          <cell r="P2380">
            <v>208</v>
          </cell>
        </row>
        <row r="2381">
          <cell r="B2381" t="str">
            <v>727-05</v>
          </cell>
          <cell r="C2381" t="str">
            <v>BODY</v>
          </cell>
          <cell r="D2381">
            <v>97.5</v>
          </cell>
          <cell r="N2381" t="str">
            <v>727-05</v>
          </cell>
          <cell r="O2381" t="str">
            <v>BODY</v>
          </cell>
          <cell r="P2381">
            <v>195</v>
          </cell>
        </row>
        <row r="2382">
          <cell r="B2382" t="str">
            <v>727-12</v>
          </cell>
          <cell r="C2382" t="str">
            <v>BODY</v>
          </cell>
          <cell r="D2382">
            <v>149.5</v>
          </cell>
          <cell r="N2382" t="str">
            <v>727-12</v>
          </cell>
          <cell r="O2382" t="str">
            <v>BODY</v>
          </cell>
          <cell r="P2382">
            <v>299</v>
          </cell>
        </row>
        <row r="2383">
          <cell r="B2383" t="str">
            <v>786-09</v>
          </cell>
          <cell r="C2383" t="str">
            <v>BODY</v>
          </cell>
          <cell r="D2383">
            <v>88</v>
          </cell>
          <cell r="N2383" t="str">
            <v>786-09</v>
          </cell>
          <cell r="O2383" t="str">
            <v>BODY</v>
          </cell>
          <cell r="P2383">
            <v>176</v>
          </cell>
        </row>
        <row r="2384">
          <cell r="B2384" t="str">
            <v>786-13</v>
          </cell>
          <cell r="C2384" t="str">
            <v>BODY</v>
          </cell>
          <cell r="D2384">
            <v>107.5</v>
          </cell>
          <cell r="N2384" t="str">
            <v>786-13</v>
          </cell>
          <cell r="O2384" t="str">
            <v>BODY</v>
          </cell>
          <cell r="P2384">
            <v>215</v>
          </cell>
        </row>
        <row r="2385">
          <cell r="B2385" t="str">
            <v>787-19</v>
          </cell>
          <cell r="C2385" t="str">
            <v>BODY</v>
          </cell>
          <cell r="D2385">
            <v>147</v>
          </cell>
          <cell r="N2385" t="str">
            <v>787-19</v>
          </cell>
          <cell r="O2385" t="str">
            <v>BODY</v>
          </cell>
          <cell r="P2385">
            <v>294</v>
          </cell>
        </row>
        <row r="2386">
          <cell r="B2386" t="str">
            <v>797-17</v>
          </cell>
          <cell r="C2386" t="str">
            <v>BODY</v>
          </cell>
          <cell r="D2386">
            <v>147</v>
          </cell>
          <cell r="N2386" t="str">
            <v>797-17</v>
          </cell>
          <cell r="O2386" t="str">
            <v>BODY</v>
          </cell>
          <cell r="P2386">
            <v>294</v>
          </cell>
        </row>
        <row r="2387">
          <cell r="B2387" t="str">
            <v>979-04</v>
          </cell>
          <cell r="C2387" t="str">
            <v>PISTON</v>
          </cell>
          <cell r="D2387">
            <v>149.5</v>
          </cell>
          <cell r="N2387" t="str">
            <v>979-04</v>
          </cell>
          <cell r="O2387" t="str">
            <v>PISTON</v>
          </cell>
          <cell r="P2387">
            <v>299</v>
          </cell>
        </row>
        <row r="2388">
          <cell r="B2388" t="str">
            <v>1212-01</v>
          </cell>
          <cell r="C2388" t="str">
            <v>CON-ROD</v>
          </cell>
          <cell r="D2388">
            <v>150</v>
          </cell>
          <cell r="N2388" t="str">
            <v>1212-01</v>
          </cell>
          <cell r="O2388" t="str">
            <v>CON-ROD</v>
          </cell>
          <cell r="P2388">
            <v>300</v>
          </cell>
        </row>
        <row r="2389">
          <cell r="B2389" t="str">
            <v>1287-03</v>
          </cell>
          <cell r="C2389" t="str">
            <v>BODY</v>
          </cell>
          <cell r="D2389">
            <v>132</v>
          </cell>
          <cell r="N2389" t="str">
            <v>1287-03</v>
          </cell>
          <cell r="O2389" t="str">
            <v>BODY</v>
          </cell>
          <cell r="P2389">
            <v>264</v>
          </cell>
        </row>
        <row r="2390">
          <cell r="B2390" t="str">
            <v>1479-00</v>
          </cell>
          <cell r="C2390" t="str">
            <v>PISTON</v>
          </cell>
          <cell r="D2390">
            <v>147.5</v>
          </cell>
          <cell r="N2390" t="str">
            <v>1479-00</v>
          </cell>
          <cell r="O2390" t="str">
            <v>PISTON</v>
          </cell>
          <cell r="P2390">
            <v>295</v>
          </cell>
        </row>
        <row r="2391">
          <cell r="B2391" t="str">
            <v>1554-43</v>
          </cell>
          <cell r="C2391" t="str">
            <v>RS RETAINER</v>
          </cell>
          <cell r="D2391">
            <v>93</v>
          </cell>
          <cell r="N2391" t="str">
            <v>1554-43</v>
          </cell>
          <cell r="O2391" t="str">
            <v>RS RETAINER</v>
          </cell>
          <cell r="P2391">
            <v>186</v>
          </cell>
        </row>
        <row r="2392">
          <cell r="B2392" t="str">
            <v>1791-09</v>
          </cell>
          <cell r="C2392" t="str">
            <v>BODY</v>
          </cell>
          <cell r="D2392">
            <v>150</v>
          </cell>
          <cell r="N2392" t="str">
            <v>1791-09</v>
          </cell>
          <cell r="O2392" t="str">
            <v>BODY</v>
          </cell>
          <cell r="P2392">
            <v>300</v>
          </cell>
        </row>
        <row r="2393">
          <cell r="B2393" t="str">
            <v>2412-09</v>
          </cell>
          <cell r="C2393" t="str">
            <v>BODY</v>
          </cell>
          <cell r="D2393">
            <v>142</v>
          </cell>
          <cell r="N2393" t="str">
            <v>2412-09</v>
          </cell>
          <cell r="O2393" t="str">
            <v>BODY</v>
          </cell>
          <cell r="P2393">
            <v>284</v>
          </cell>
        </row>
        <row r="2394">
          <cell r="B2394" t="str">
            <v>588-07</v>
          </cell>
          <cell r="C2394" t="str">
            <v>PISTON</v>
          </cell>
          <cell r="D2394">
            <v>107</v>
          </cell>
          <cell r="N2394" t="str">
            <v>588-07</v>
          </cell>
          <cell r="O2394" t="str">
            <v>PISTON</v>
          </cell>
          <cell r="P2394">
            <v>214</v>
          </cell>
        </row>
        <row r="2395">
          <cell r="B2395" t="str">
            <v>588-07</v>
          </cell>
          <cell r="C2395" t="str">
            <v>PISTON</v>
          </cell>
          <cell r="D2395">
            <v>107</v>
          </cell>
          <cell r="N2395" t="str">
            <v>588-07</v>
          </cell>
          <cell r="O2395" t="str">
            <v>PISTON</v>
          </cell>
          <cell r="P2395">
            <v>214</v>
          </cell>
        </row>
        <row r="2396">
          <cell r="B2396" t="str">
            <v>588-45</v>
          </cell>
          <cell r="C2396" t="str">
            <v>PISTON</v>
          </cell>
          <cell r="D2396">
            <v>150</v>
          </cell>
          <cell r="N2396" t="str">
            <v>588-45</v>
          </cell>
          <cell r="O2396" t="str">
            <v>PISTON</v>
          </cell>
          <cell r="P2396">
            <v>300</v>
          </cell>
        </row>
        <row r="2397">
          <cell r="B2397" t="str">
            <v>598-25</v>
          </cell>
          <cell r="C2397" t="str">
            <v>PISTON</v>
          </cell>
          <cell r="D2397">
            <v>150</v>
          </cell>
          <cell r="N2397" t="str">
            <v>598-25</v>
          </cell>
          <cell r="O2397" t="str">
            <v>PISTON</v>
          </cell>
          <cell r="P2397">
            <v>300</v>
          </cell>
        </row>
        <row r="2398">
          <cell r="B2398" t="str">
            <v>598-26</v>
          </cell>
          <cell r="C2398" t="str">
            <v>PISTON</v>
          </cell>
          <cell r="D2398">
            <v>150</v>
          </cell>
          <cell r="N2398" t="str">
            <v>598-26</v>
          </cell>
          <cell r="O2398" t="str">
            <v>PISTON</v>
          </cell>
          <cell r="P2398">
            <v>300</v>
          </cell>
        </row>
        <row r="2399">
          <cell r="B2399" t="str">
            <v>598-26</v>
          </cell>
          <cell r="C2399" t="str">
            <v>PISTON</v>
          </cell>
          <cell r="D2399">
            <v>150</v>
          </cell>
          <cell r="N2399" t="str">
            <v>598-26</v>
          </cell>
          <cell r="O2399" t="str">
            <v>PISTON</v>
          </cell>
          <cell r="P2399">
            <v>300</v>
          </cell>
        </row>
        <row r="2400">
          <cell r="B2400" t="str">
            <v>661-29</v>
          </cell>
          <cell r="C2400" t="str">
            <v>BODY</v>
          </cell>
          <cell r="D2400">
            <v>124</v>
          </cell>
          <cell r="N2400" t="str">
            <v>661-29</v>
          </cell>
          <cell r="O2400" t="str">
            <v>BODY</v>
          </cell>
          <cell r="P2400">
            <v>248</v>
          </cell>
        </row>
        <row r="2401">
          <cell r="B2401" t="str">
            <v>785-07</v>
          </cell>
          <cell r="C2401" t="str">
            <v>BODY</v>
          </cell>
          <cell r="D2401">
            <v>150</v>
          </cell>
          <cell r="N2401" t="str">
            <v>785-07</v>
          </cell>
          <cell r="O2401" t="str">
            <v>BODY</v>
          </cell>
          <cell r="P2401">
            <v>300</v>
          </cell>
        </row>
        <row r="2402">
          <cell r="B2402" t="str">
            <v>786-02</v>
          </cell>
          <cell r="C2402" t="str">
            <v>BODY</v>
          </cell>
          <cell r="D2402">
            <v>84</v>
          </cell>
          <cell r="N2402" t="str">
            <v>786-02</v>
          </cell>
          <cell r="O2402" t="str">
            <v>BODY</v>
          </cell>
          <cell r="P2402">
            <v>168</v>
          </cell>
        </row>
        <row r="2403">
          <cell r="B2403" t="str">
            <v>797-15</v>
          </cell>
          <cell r="C2403" t="str">
            <v>BODY</v>
          </cell>
          <cell r="D2403">
            <v>100</v>
          </cell>
          <cell r="N2403" t="str">
            <v>797-15</v>
          </cell>
          <cell r="O2403" t="str">
            <v>BODY</v>
          </cell>
          <cell r="P2403">
            <v>200</v>
          </cell>
        </row>
        <row r="2404">
          <cell r="B2404" t="str">
            <v>1610-09</v>
          </cell>
          <cell r="C2404" t="str">
            <v>RS RETAINER</v>
          </cell>
          <cell r="D2404">
            <v>150.5</v>
          </cell>
          <cell r="N2404" t="str">
            <v>1610-09</v>
          </cell>
          <cell r="O2404" t="str">
            <v>RS RETAINER</v>
          </cell>
          <cell r="P2404">
            <v>301</v>
          </cell>
        </row>
        <row r="2405">
          <cell r="B2405" t="str">
            <v>1634-04</v>
          </cell>
          <cell r="C2405" t="str">
            <v>RS RETAINER</v>
          </cell>
          <cell r="D2405">
            <v>89.5</v>
          </cell>
          <cell r="N2405" t="str">
            <v>1634-04</v>
          </cell>
          <cell r="O2405" t="str">
            <v>RS RETAINER</v>
          </cell>
          <cell r="P2405">
            <v>179</v>
          </cell>
        </row>
        <row r="2406">
          <cell r="B2406" t="str">
            <v>1634-04</v>
          </cell>
          <cell r="C2406" t="str">
            <v>RS RETAINER</v>
          </cell>
          <cell r="D2406">
            <v>89.5</v>
          </cell>
          <cell r="N2406" t="str">
            <v>1634-04</v>
          </cell>
          <cell r="O2406" t="str">
            <v>RS RETAINER</v>
          </cell>
          <cell r="P2406">
            <v>179</v>
          </cell>
        </row>
        <row r="2407">
          <cell r="B2407" t="str">
            <v>2076-05</v>
          </cell>
          <cell r="C2407" t="str">
            <v>BODY RETAINER</v>
          </cell>
          <cell r="D2407">
            <v>92.5</v>
          </cell>
          <cell r="N2407" t="str">
            <v>2076-05</v>
          </cell>
          <cell r="O2407" t="str">
            <v>BODY RETAINER</v>
          </cell>
          <cell r="P2407">
            <v>185</v>
          </cell>
        </row>
        <row r="2408">
          <cell r="B2408" t="str">
            <v>441-01</v>
          </cell>
          <cell r="C2408" t="str">
            <v>RACK STOPPER</v>
          </cell>
          <cell r="D2408">
            <v>150.5</v>
          </cell>
          <cell r="N2408" t="str">
            <v>441-01</v>
          </cell>
          <cell r="O2408" t="str">
            <v>RACK STOPPER</v>
          </cell>
          <cell r="P2408">
            <v>301</v>
          </cell>
        </row>
        <row r="2409">
          <cell r="B2409" t="str">
            <v>786-10</v>
          </cell>
          <cell r="C2409" t="str">
            <v>BODY</v>
          </cell>
          <cell r="D2409">
            <v>150.5</v>
          </cell>
          <cell r="N2409" t="str">
            <v>786-10</v>
          </cell>
          <cell r="O2409" t="str">
            <v>BODY</v>
          </cell>
          <cell r="P2409">
            <v>301</v>
          </cell>
        </row>
        <row r="2410">
          <cell r="B2410" t="str">
            <v>852-18</v>
          </cell>
          <cell r="C2410" t="str">
            <v>BODY</v>
          </cell>
          <cell r="D2410">
            <v>123</v>
          </cell>
          <cell r="N2410" t="str">
            <v>852-18</v>
          </cell>
          <cell r="O2410" t="str">
            <v>BODY</v>
          </cell>
          <cell r="P2410">
            <v>246</v>
          </cell>
        </row>
        <row r="2411">
          <cell r="B2411" t="str">
            <v>882-04</v>
          </cell>
          <cell r="C2411" t="str">
            <v>VALVE PLATE</v>
          </cell>
          <cell r="D2411">
            <v>180.6</v>
          </cell>
          <cell r="N2411" t="str">
            <v>882-04</v>
          </cell>
          <cell r="O2411" t="str">
            <v>VALVE PLATE</v>
          </cell>
          <cell r="P2411">
            <v>301</v>
          </cell>
        </row>
        <row r="2412">
          <cell r="B2412" t="str">
            <v>882-05</v>
          </cell>
          <cell r="C2412" t="str">
            <v>VALVE PLATE</v>
          </cell>
          <cell r="D2412">
            <v>180.6</v>
          </cell>
          <cell r="N2412" t="str">
            <v>882-05</v>
          </cell>
          <cell r="O2412" t="str">
            <v>VALVE PLATE</v>
          </cell>
          <cell r="P2412">
            <v>301</v>
          </cell>
        </row>
        <row r="2413">
          <cell r="B2413" t="str">
            <v>1554-37</v>
          </cell>
          <cell r="C2413" t="str">
            <v>RS RETAINER</v>
          </cell>
          <cell r="D2413">
            <v>151</v>
          </cell>
          <cell r="N2413" t="str">
            <v>1554-37</v>
          </cell>
          <cell r="O2413" t="str">
            <v>RS RETAINER</v>
          </cell>
          <cell r="P2413">
            <v>302</v>
          </cell>
        </row>
        <row r="2414">
          <cell r="B2414" t="str">
            <v>1681-01</v>
          </cell>
          <cell r="C2414" t="str">
            <v>BODY</v>
          </cell>
          <cell r="D2414">
            <v>144.5</v>
          </cell>
          <cell r="N2414" t="str">
            <v>1681-01</v>
          </cell>
          <cell r="O2414" t="str">
            <v>BODY</v>
          </cell>
          <cell r="P2414">
            <v>289</v>
          </cell>
        </row>
        <row r="2415">
          <cell r="B2415" t="str">
            <v>1734-13</v>
          </cell>
          <cell r="C2415" t="str">
            <v>RS RETAINER</v>
          </cell>
          <cell r="D2415">
            <v>151</v>
          </cell>
          <cell r="N2415" t="str">
            <v>1734-13</v>
          </cell>
          <cell r="O2415" t="str">
            <v>RS RETAINER</v>
          </cell>
          <cell r="P2415">
            <v>302</v>
          </cell>
        </row>
        <row r="2416">
          <cell r="B2416" t="str">
            <v>724-19</v>
          </cell>
          <cell r="C2416" t="str">
            <v>PISTON</v>
          </cell>
          <cell r="D2416">
            <v>151</v>
          </cell>
          <cell r="N2416" t="str">
            <v>724-19</v>
          </cell>
          <cell r="O2416" t="str">
            <v>PISTON</v>
          </cell>
          <cell r="P2416">
            <v>302</v>
          </cell>
        </row>
        <row r="2417">
          <cell r="B2417" t="str">
            <v>727-04</v>
          </cell>
          <cell r="C2417" t="str">
            <v>BODY</v>
          </cell>
          <cell r="D2417">
            <v>100.5</v>
          </cell>
          <cell r="N2417" t="str">
            <v>727-04</v>
          </cell>
          <cell r="O2417" t="str">
            <v>BODY</v>
          </cell>
          <cell r="P2417">
            <v>201</v>
          </cell>
        </row>
        <row r="2418">
          <cell r="B2418" t="str">
            <v>787-22</v>
          </cell>
          <cell r="C2418" t="str">
            <v>BODY</v>
          </cell>
          <cell r="D2418">
            <v>151</v>
          </cell>
          <cell r="N2418" t="str">
            <v>787-22</v>
          </cell>
          <cell r="O2418" t="str">
            <v>BODY</v>
          </cell>
          <cell r="P2418">
            <v>302</v>
          </cell>
        </row>
        <row r="2419">
          <cell r="B2419" t="str">
            <v>787-22</v>
          </cell>
          <cell r="C2419" t="str">
            <v>BODY</v>
          </cell>
          <cell r="D2419">
            <v>151</v>
          </cell>
          <cell r="N2419" t="str">
            <v>787-22</v>
          </cell>
          <cell r="O2419" t="str">
            <v>BODY</v>
          </cell>
          <cell r="P2419">
            <v>302</v>
          </cell>
        </row>
        <row r="2420">
          <cell r="B2420" t="str">
            <v>1412-15</v>
          </cell>
          <cell r="C2420" t="str">
            <v>BODY</v>
          </cell>
          <cell r="D2420">
            <v>151.5</v>
          </cell>
          <cell r="N2420" t="str">
            <v>1412-15</v>
          </cell>
          <cell r="O2420" t="str">
            <v>BODY</v>
          </cell>
          <cell r="P2420">
            <v>303</v>
          </cell>
        </row>
        <row r="2421">
          <cell r="B2421" t="str">
            <v>1430-05</v>
          </cell>
          <cell r="C2421" t="str">
            <v>BODY</v>
          </cell>
          <cell r="D2421">
            <v>125</v>
          </cell>
          <cell r="N2421" t="str">
            <v>1430-05</v>
          </cell>
          <cell r="O2421" t="str">
            <v>BODY</v>
          </cell>
          <cell r="P2421">
            <v>250</v>
          </cell>
        </row>
        <row r="2422">
          <cell r="B2422" t="str">
            <v>1634-09</v>
          </cell>
          <cell r="C2422" t="str">
            <v>RS RETAINER</v>
          </cell>
          <cell r="D2422">
            <v>123.5</v>
          </cell>
          <cell r="N2422" t="str">
            <v>1634-09</v>
          </cell>
          <cell r="O2422" t="str">
            <v>RS RETAINER</v>
          </cell>
          <cell r="P2422">
            <v>247</v>
          </cell>
        </row>
        <row r="2423">
          <cell r="B2423" t="str">
            <v>1690-00</v>
          </cell>
          <cell r="C2423" t="str">
            <v>RACK STOPPER</v>
          </cell>
          <cell r="D2423">
            <v>147.5</v>
          </cell>
          <cell r="N2423" t="str">
            <v>1690-00</v>
          </cell>
          <cell r="O2423" t="str">
            <v>RACK STOPPER</v>
          </cell>
          <cell r="P2423">
            <v>295</v>
          </cell>
        </row>
        <row r="2424">
          <cell r="B2424" t="str">
            <v>1896-01</v>
          </cell>
          <cell r="C2424" t="str">
            <v>BODY</v>
          </cell>
          <cell r="D2424">
            <v>143</v>
          </cell>
          <cell r="N2424" t="str">
            <v>1896-01</v>
          </cell>
          <cell r="O2424" t="str">
            <v>BODY</v>
          </cell>
          <cell r="P2424">
            <v>286</v>
          </cell>
        </row>
        <row r="2425">
          <cell r="B2425" t="str">
            <v>2412-06</v>
          </cell>
          <cell r="C2425" t="str">
            <v>BODY</v>
          </cell>
          <cell r="D2425">
            <v>143</v>
          </cell>
          <cell r="N2425" t="str">
            <v>2412-06</v>
          </cell>
          <cell r="O2425" t="str">
            <v>BODY</v>
          </cell>
          <cell r="P2425">
            <v>286</v>
          </cell>
        </row>
        <row r="2426">
          <cell r="B2426" t="str">
            <v>2412-06</v>
          </cell>
          <cell r="C2426" t="str">
            <v>BODY</v>
          </cell>
          <cell r="D2426">
            <v>143</v>
          </cell>
          <cell r="N2426" t="str">
            <v>2412-06</v>
          </cell>
          <cell r="O2426" t="str">
            <v>BODY</v>
          </cell>
          <cell r="P2426">
            <v>286</v>
          </cell>
        </row>
        <row r="2427">
          <cell r="B2427" t="str">
            <v>2412-10</v>
          </cell>
          <cell r="C2427" t="str">
            <v>BODY</v>
          </cell>
          <cell r="D2427">
            <v>143</v>
          </cell>
          <cell r="N2427" t="str">
            <v>2412-10</v>
          </cell>
          <cell r="O2427" t="str">
            <v>BODY</v>
          </cell>
          <cell r="P2427">
            <v>286</v>
          </cell>
        </row>
        <row r="2428">
          <cell r="B2428" t="str">
            <v>2412-15</v>
          </cell>
          <cell r="C2428" t="str">
            <v>BODY</v>
          </cell>
          <cell r="D2428">
            <v>151.5</v>
          </cell>
          <cell r="N2428" t="str">
            <v>2412-15</v>
          </cell>
          <cell r="O2428" t="str">
            <v>BODY</v>
          </cell>
          <cell r="P2428">
            <v>303</v>
          </cell>
        </row>
        <row r="2429">
          <cell r="B2429" t="str">
            <v>2412-19</v>
          </cell>
          <cell r="C2429" t="str">
            <v>BODY</v>
          </cell>
          <cell r="D2429">
            <v>143</v>
          </cell>
          <cell r="N2429" t="str">
            <v>2412-19</v>
          </cell>
          <cell r="O2429" t="str">
            <v>BODY</v>
          </cell>
          <cell r="P2429">
            <v>286</v>
          </cell>
        </row>
        <row r="2430">
          <cell r="B2430" t="str">
            <v>324-00</v>
          </cell>
          <cell r="C2430" t="str">
            <v>FLY WEIGHT</v>
          </cell>
          <cell r="D2430">
            <v>115.8</v>
          </cell>
          <cell r="N2430" t="str">
            <v>324-00</v>
          </cell>
          <cell r="O2430" t="str">
            <v>FLY WEIGHT</v>
          </cell>
          <cell r="P2430">
            <v>193</v>
          </cell>
        </row>
        <row r="2431">
          <cell r="B2431" t="str">
            <v>588-35</v>
          </cell>
          <cell r="C2431" t="str">
            <v>PISTON</v>
          </cell>
          <cell r="D2431">
            <v>151.5</v>
          </cell>
          <cell r="N2431" t="str">
            <v>588-35</v>
          </cell>
          <cell r="O2431" t="str">
            <v>PISTON</v>
          </cell>
          <cell r="P2431">
            <v>303</v>
          </cell>
        </row>
        <row r="2432">
          <cell r="B2432" t="str">
            <v>673-10</v>
          </cell>
          <cell r="C2432" t="str">
            <v>PISTON</v>
          </cell>
          <cell r="D2432">
            <v>151.5</v>
          </cell>
          <cell r="N2432" t="str">
            <v>673-10</v>
          </cell>
          <cell r="O2432" t="str">
            <v>PISTON</v>
          </cell>
          <cell r="P2432">
            <v>303</v>
          </cell>
        </row>
        <row r="2433">
          <cell r="B2433" t="str">
            <v>868-03</v>
          </cell>
          <cell r="C2433" t="str">
            <v>CON-ROD</v>
          </cell>
          <cell r="D2433">
            <v>151.5</v>
          </cell>
          <cell r="N2433" t="str">
            <v>868-03</v>
          </cell>
          <cell r="O2433" t="str">
            <v>CON-ROD</v>
          </cell>
          <cell r="P2433">
            <v>303</v>
          </cell>
        </row>
        <row r="2434">
          <cell r="B2434" t="str">
            <v>1634-13</v>
          </cell>
          <cell r="C2434" t="str">
            <v>RS RETAINER</v>
          </cell>
          <cell r="D2434">
            <v>148</v>
          </cell>
          <cell r="N2434" t="str">
            <v>1634-13</v>
          </cell>
          <cell r="O2434" t="str">
            <v>RS RETAINER</v>
          </cell>
          <cell r="P2434">
            <v>296</v>
          </cell>
        </row>
        <row r="2435">
          <cell r="B2435" t="str">
            <v>1666-01</v>
          </cell>
          <cell r="C2435" t="str">
            <v>BODY</v>
          </cell>
          <cell r="D2435">
            <v>140</v>
          </cell>
          <cell r="N2435" t="str">
            <v>1666-01</v>
          </cell>
          <cell r="O2435" t="str">
            <v>BODY</v>
          </cell>
          <cell r="P2435">
            <v>280</v>
          </cell>
        </row>
        <row r="2436">
          <cell r="B2436" t="str">
            <v>1681-01</v>
          </cell>
          <cell r="C2436" t="str">
            <v>BODY</v>
          </cell>
          <cell r="D2436">
            <v>144.5</v>
          </cell>
          <cell r="N2436" t="str">
            <v>1681-01</v>
          </cell>
          <cell r="O2436" t="str">
            <v>BODY</v>
          </cell>
          <cell r="P2436">
            <v>289</v>
          </cell>
        </row>
        <row r="2437">
          <cell r="B2437" t="str">
            <v>1831-14</v>
          </cell>
          <cell r="C2437" t="str">
            <v>BODY RETAINER</v>
          </cell>
          <cell r="D2437">
            <v>88.5</v>
          </cell>
          <cell r="N2437" t="str">
            <v>1831-14</v>
          </cell>
          <cell r="O2437" t="str">
            <v>BODY RETAINER</v>
          </cell>
          <cell r="P2437">
            <v>177</v>
          </cell>
        </row>
        <row r="2438">
          <cell r="B2438" t="str">
            <v>588-61</v>
          </cell>
          <cell r="C2438" t="str">
            <v>PISTON</v>
          </cell>
          <cell r="D2438">
            <v>152</v>
          </cell>
          <cell r="N2438" t="str">
            <v>588-61</v>
          </cell>
          <cell r="O2438" t="str">
            <v>PISTON</v>
          </cell>
          <cell r="P2438">
            <v>304</v>
          </cell>
        </row>
        <row r="2439">
          <cell r="B2439" t="str">
            <v>714-01</v>
          </cell>
          <cell r="C2439" t="str">
            <v>PISTON</v>
          </cell>
          <cell r="D2439">
            <v>129.5</v>
          </cell>
          <cell r="N2439" t="str">
            <v>714-01</v>
          </cell>
          <cell r="O2439" t="str">
            <v>PISTON</v>
          </cell>
          <cell r="P2439">
            <v>259</v>
          </cell>
        </row>
        <row r="2440">
          <cell r="B2440" t="str">
            <v>784-00</v>
          </cell>
          <cell r="C2440" t="str">
            <v>RACK STOPPER</v>
          </cell>
          <cell r="D2440">
            <v>152</v>
          </cell>
          <cell r="N2440" t="str">
            <v>784-00</v>
          </cell>
          <cell r="O2440" t="str">
            <v>RACK STOPPER</v>
          </cell>
          <cell r="P2440">
            <v>304</v>
          </cell>
        </row>
        <row r="2441">
          <cell r="B2441" t="str">
            <v>786-11</v>
          </cell>
          <cell r="C2441" t="str">
            <v>BODY</v>
          </cell>
          <cell r="D2441">
            <v>152</v>
          </cell>
          <cell r="N2441" t="str">
            <v>786-11</v>
          </cell>
          <cell r="O2441" t="str">
            <v>BODY</v>
          </cell>
          <cell r="P2441">
            <v>304</v>
          </cell>
        </row>
        <row r="2442">
          <cell r="B2442" t="str">
            <v>853-35</v>
          </cell>
          <cell r="C2442" t="str">
            <v>REB,RETAINER</v>
          </cell>
          <cell r="D2442">
            <v>152</v>
          </cell>
          <cell r="N2442" t="str">
            <v>853-35</v>
          </cell>
          <cell r="O2442" t="str">
            <v>REB,RETAINER</v>
          </cell>
          <cell r="P2442">
            <v>304</v>
          </cell>
        </row>
        <row r="2443">
          <cell r="B2443" t="str">
            <v>1211-01</v>
          </cell>
          <cell r="C2443" t="str">
            <v>CON-ROD</v>
          </cell>
          <cell r="D2443">
            <v>152.5</v>
          </cell>
          <cell r="N2443" t="str">
            <v>1211-01</v>
          </cell>
          <cell r="O2443" t="str">
            <v>CON-ROD</v>
          </cell>
          <cell r="P2443">
            <v>305</v>
          </cell>
        </row>
        <row r="2444">
          <cell r="B2444" t="str">
            <v>1265-01</v>
          </cell>
          <cell r="C2444" t="str">
            <v>CON-ROD</v>
          </cell>
          <cell r="D2444">
            <v>152.5</v>
          </cell>
          <cell r="N2444" t="str">
            <v>1265-01</v>
          </cell>
          <cell r="O2444" t="str">
            <v>CON-ROD</v>
          </cell>
          <cell r="P2444">
            <v>305</v>
          </cell>
        </row>
        <row r="2445">
          <cell r="B2445" t="str">
            <v>1613-05</v>
          </cell>
          <cell r="C2445" t="str">
            <v>BODY</v>
          </cell>
          <cell r="D2445">
            <v>147</v>
          </cell>
          <cell r="N2445" t="str">
            <v>1613-05</v>
          </cell>
          <cell r="O2445" t="str">
            <v>BODY</v>
          </cell>
          <cell r="P2445">
            <v>294</v>
          </cell>
        </row>
        <row r="2446">
          <cell r="B2446" t="str">
            <v>1634-13</v>
          </cell>
          <cell r="C2446" t="str">
            <v>RS RETAINER</v>
          </cell>
          <cell r="D2446">
            <v>148</v>
          </cell>
          <cell r="N2446" t="str">
            <v>1634-13</v>
          </cell>
          <cell r="O2446" t="str">
            <v>RS RETAINER</v>
          </cell>
          <cell r="P2446">
            <v>296</v>
          </cell>
        </row>
        <row r="2447">
          <cell r="B2447" t="str">
            <v>2412-09</v>
          </cell>
          <cell r="C2447" t="str">
            <v>BODY</v>
          </cell>
          <cell r="D2447">
            <v>142</v>
          </cell>
          <cell r="N2447" t="str">
            <v>2412-09</v>
          </cell>
          <cell r="O2447" t="str">
            <v>BODY</v>
          </cell>
          <cell r="P2447">
            <v>284</v>
          </cell>
        </row>
        <row r="2448">
          <cell r="B2448" t="str">
            <v>009-03</v>
          </cell>
          <cell r="C2448" t="str">
            <v>PISTON</v>
          </cell>
          <cell r="D2448">
            <v>81</v>
          </cell>
          <cell r="N2448" t="str">
            <v>009-03</v>
          </cell>
          <cell r="O2448" t="str">
            <v>PISTON</v>
          </cell>
          <cell r="P2448">
            <v>162</v>
          </cell>
        </row>
        <row r="2449">
          <cell r="B2449" t="str">
            <v>1412-07</v>
          </cell>
          <cell r="C2449" t="str">
            <v>BODY</v>
          </cell>
          <cell r="D2449">
            <v>153</v>
          </cell>
          <cell r="N2449" t="str">
            <v>1412-07</v>
          </cell>
          <cell r="O2449" t="str">
            <v>BODY</v>
          </cell>
          <cell r="P2449">
            <v>306</v>
          </cell>
        </row>
        <row r="2450">
          <cell r="B2450" t="str">
            <v>1554-43</v>
          </cell>
          <cell r="C2450" t="str">
            <v>RS RETAINER</v>
          </cell>
          <cell r="D2450">
            <v>93</v>
          </cell>
          <cell r="N2450" t="str">
            <v>1554-43</v>
          </cell>
          <cell r="O2450" t="str">
            <v>RS RETAINER</v>
          </cell>
          <cell r="P2450">
            <v>186</v>
          </cell>
        </row>
        <row r="2451">
          <cell r="B2451" t="str">
            <v>1896-02</v>
          </cell>
          <cell r="C2451" t="str">
            <v>BODY</v>
          </cell>
          <cell r="D2451">
            <v>145</v>
          </cell>
          <cell r="N2451" t="str">
            <v>1896-02</v>
          </cell>
          <cell r="O2451" t="str">
            <v>BODY</v>
          </cell>
          <cell r="P2451">
            <v>290</v>
          </cell>
        </row>
        <row r="2452">
          <cell r="B2452" t="str">
            <v>2852-24</v>
          </cell>
          <cell r="C2452" t="str">
            <v>BODY</v>
          </cell>
          <cell r="D2452">
            <v>153</v>
          </cell>
          <cell r="N2452" t="str">
            <v>2852-24</v>
          </cell>
          <cell r="O2452" t="str">
            <v>BODY</v>
          </cell>
          <cell r="P2452">
            <v>306</v>
          </cell>
        </row>
        <row r="2453">
          <cell r="B2453" t="str">
            <v>588-48</v>
          </cell>
          <cell r="C2453" t="str">
            <v>PISTON</v>
          </cell>
          <cell r="D2453">
            <v>148.5</v>
          </cell>
          <cell r="N2453" t="str">
            <v>588-48</v>
          </cell>
          <cell r="O2453" t="str">
            <v>PISTON</v>
          </cell>
          <cell r="P2453">
            <v>297</v>
          </cell>
        </row>
        <row r="2454">
          <cell r="B2454" t="str">
            <v>962-01</v>
          </cell>
          <cell r="C2454" t="str">
            <v>PISTON</v>
          </cell>
          <cell r="D2454">
            <v>153</v>
          </cell>
          <cell r="N2454" t="str">
            <v>962-01</v>
          </cell>
          <cell r="O2454" t="str">
            <v>PISTON</v>
          </cell>
          <cell r="P2454">
            <v>306</v>
          </cell>
        </row>
        <row r="2455">
          <cell r="B2455" t="str">
            <v>1390-01</v>
          </cell>
          <cell r="C2455" t="str">
            <v>PISTON</v>
          </cell>
          <cell r="D2455">
            <v>153.5</v>
          </cell>
          <cell r="N2455" t="str">
            <v>1390-01</v>
          </cell>
          <cell r="O2455" t="str">
            <v>PISTON</v>
          </cell>
          <cell r="P2455">
            <v>307</v>
          </cell>
        </row>
        <row r="2456">
          <cell r="B2456" t="str">
            <v>546-01</v>
          </cell>
          <cell r="C2456" t="str">
            <v>BODY</v>
          </cell>
          <cell r="D2456">
            <v>153.5</v>
          </cell>
          <cell r="N2456" t="str">
            <v>546-01</v>
          </cell>
          <cell r="O2456" t="str">
            <v>BODY</v>
          </cell>
          <cell r="P2456">
            <v>307</v>
          </cell>
        </row>
        <row r="2457">
          <cell r="B2457" t="str">
            <v>1069-03</v>
          </cell>
          <cell r="C2457" t="str">
            <v>PISTON</v>
          </cell>
          <cell r="D2457">
            <v>93.5</v>
          </cell>
          <cell r="N2457" t="str">
            <v>1069-03</v>
          </cell>
          <cell r="O2457" t="str">
            <v>PISTON</v>
          </cell>
          <cell r="P2457">
            <v>187</v>
          </cell>
        </row>
        <row r="2458">
          <cell r="B2458" t="str">
            <v>787-19</v>
          </cell>
          <cell r="C2458" t="str">
            <v>BODY</v>
          </cell>
          <cell r="D2458">
            <v>147</v>
          </cell>
          <cell r="N2458" t="str">
            <v>787-19</v>
          </cell>
          <cell r="O2458" t="str">
            <v>BODY</v>
          </cell>
          <cell r="P2458">
            <v>294</v>
          </cell>
        </row>
        <row r="2459">
          <cell r="B2459" t="str">
            <v>854-00</v>
          </cell>
          <cell r="C2459" t="str">
            <v>RACK STOPPER</v>
          </cell>
          <cell r="D2459">
            <v>154</v>
          </cell>
          <cell r="N2459" t="str">
            <v>854-00</v>
          </cell>
          <cell r="O2459" t="str">
            <v>RACK STOPPER</v>
          </cell>
          <cell r="P2459">
            <v>308</v>
          </cell>
        </row>
        <row r="2460">
          <cell r="B2460" t="str">
            <v>1097-00</v>
          </cell>
          <cell r="C2460" t="str">
            <v>ROD GUIDE</v>
          </cell>
          <cell r="D2460">
            <v>154.5</v>
          </cell>
          <cell r="N2460" t="str">
            <v>1097-00</v>
          </cell>
          <cell r="O2460" t="str">
            <v>ROD GUIDE</v>
          </cell>
          <cell r="P2460">
            <v>309</v>
          </cell>
        </row>
        <row r="2461">
          <cell r="B2461" t="str">
            <v>1529-01</v>
          </cell>
          <cell r="C2461" t="str">
            <v>BODY</v>
          </cell>
          <cell r="D2461">
            <v>154.5</v>
          </cell>
          <cell r="N2461" t="str">
            <v>1529-01</v>
          </cell>
          <cell r="O2461" t="str">
            <v>BODY</v>
          </cell>
          <cell r="P2461">
            <v>309</v>
          </cell>
        </row>
        <row r="2462">
          <cell r="B2462" t="str">
            <v>1566-01</v>
          </cell>
          <cell r="C2462" t="str">
            <v>BODY</v>
          </cell>
          <cell r="D2462">
            <v>148</v>
          </cell>
          <cell r="N2462" t="str">
            <v>1566-01</v>
          </cell>
          <cell r="O2462" t="str">
            <v>BODY</v>
          </cell>
          <cell r="P2462">
            <v>296</v>
          </cell>
        </row>
        <row r="2463">
          <cell r="B2463" t="str">
            <v>1634-16</v>
          </cell>
          <cell r="C2463" t="str">
            <v>RS RETAINER</v>
          </cell>
          <cell r="D2463">
            <v>154.5</v>
          </cell>
          <cell r="N2463" t="str">
            <v>1634-16</v>
          </cell>
          <cell r="O2463" t="str">
            <v>RS RETAINER</v>
          </cell>
          <cell r="P2463">
            <v>309</v>
          </cell>
        </row>
        <row r="2464">
          <cell r="B2464" t="str">
            <v>1681-06</v>
          </cell>
          <cell r="C2464" t="str">
            <v>BODY</v>
          </cell>
          <cell r="D2464">
            <v>144.5</v>
          </cell>
          <cell r="N2464" t="str">
            <v>1681-06</v>
          </cell>
          <cell r="O2464" t="str">
            <v>BODY</v>
          </cell>
          <cell r="P2464">
            <v>289</v>
          </cell>
        </row>
        <row r="2465">
          <cell r="B2465" t="str">
            <v>1791-02</v>
          </cell>
          <cell r="C2465" t="str">
            <v>BODY</v>
          </cell>
          <cell r="D2465">
            <v>109.5</v>
          </cell>
          <cell r="N2465" t="str">
            <v>1791-02</v>
          </cell>
          <cell r="O2465" t="str">
            <v>BODY</v>
          </cell>
          <cell r="P2465">
            <v>219</v>
          </cell>
        </row>
        <row r="2466">
          <cell r="B2466" t="str">
            <v>464-34</v>
          </cell>
          <cell r="C2466" t="str">
            <v>PISTON</v>
          </cell>
          <cell r="D2466">
            <v>154.5</v>
          </cell>
          <cell r="N2466" t="str">
            <v>464-34</v>
          </cell>
          <cell r="O2466" t="str">
            <v>PISTON</v>
          </cell>
          <cell r="P2466">
            <v>309</v>
          </cell>
        </row>
        <row r="2467">
          <cell r="B2467" t="str">
            <v>661-10</v>
          </cell>
          <cell r="C2467" t="str">
            <v>BODY</v>
          </cell>
          <cell r="D2467">
            <v>94</v>
          </cell>
          <cell r="N2467" t="str">
            <v>661-10</v>
          </cell>
          <cell r="O2467" t="str">
            <v>BODY</v>
          </cell>
          <cell r="P2467">
            <v>188</v>
          </cell>
        </row>
        <row r="2468">
          <cell r="B2468" t="str">
            <v>861-51</v>
          </cell>
          <cell r="C2468" t="str">
            <v>BODY</v>
          </cell>
          <cell r="D2468">
            <v>154.5</v>
          </cell>
          <cell r="N2468" t="str">
            <v>861-51</v>
          </cell>
          <cell r="O2468" t="str">
            <v>BODY</v>
          </cell>
          <cell r="P2468">
            <v>309</v>
          </cell>
        </row>
        <row r="2469">
          <cell r="B2469" t="str">
            <v>1340-00</v>
          </cell>
          <cell r="C2469" t="str">
            <v>ROD GUIDE</v>
          </cell>
          <cell r="D2469">
            <v>139.5</v>
          </cell>
          <cell r="N2469" t="str">
            <v>1340-00</v>
          </cell>
          <cell r="O2469" t="str">
            <v>ROD GUIDE</v>
          </cell>
          <cell r="P2469">
            <v>279</v>
          </cell>
        </row>
        <row r="2470">
          <cell r="B2470" t="str">
            <v>1340-00</v>
          </cell>
          <cell r="C2470" t="str">
            <v>ROD GUIDE</v>
          </cell>
          <cell r="D2470">
            <v>139.5</v>
          </cell>
          <cell r="N2470" t="str">
            <v>1340-00</v>
          </cell>
          <cell r="O2470" t="str">
            <v>ROD GUIDE</v>
          </cell>
          <cell r="P2470">
            <v>279</v>
          </cell>
        </row>
        <row r="2471">
          <cell r="B2471" t="str">
            <v>1429-01</v>
          </cell>
          <cell r="C2471" t="str">
            <v>PISTON</v>
          </cell>
          <cell r="D2471">
            <v>155</v>
          </cell>
          <cell r="N2471" t="str">
            <v>1429-01</v>
          </cell>
          <cell r="O2471" t="str">
            <v>PISTON</v>
          </cell>
          <cell r="P2471">
            <v>310</v>
          </cell>
        </row>
        <row r="2472">
          <cell r="B2472" t="str">
            <v>1554-37</v>
          </cell>
          <cell r="C2472" t="str">
            <v>RS RETAINER</v>
          </cell>
          <cell r="D2472">
            <v>151</v>
          </cell>
          <cell r="N2472" t="str">
            <v>1554-37</v>
          </cell>
          <cell r="O2472" t="str">
            <v>RS RETAINER</v>
          </cell>
          <cell r="P2472">
            <v>302</v>
          </cell>
        </row>
        <row r="2473">
          <cell r="B2473" t="str">
            <v>1610-09</v>
          </cell>
          <cell r="C2473" t="str">
            <v>RS RETAINER</v>
          </cell>
          <cell r="D2473">
            <v>150.5</v>
          </cell>
          <cell r="N2473" t="str">
            <v>1610-09</v>
          </cell>
          <cell r="O2473" t="str">
            <v>RS RETAINER</v>
          </cell>
          <cell r="P2473">
            <v>301</v>
          </cell>
        </row>
        <row r="2474">
          <cell r="B2474" t="str">
            <v>1681-02</v>
          </cell>
          <cell r="C2474" t="str">
            <v>BODY</v>
          </cell>
          <cell r="D2474">
            <v>140</v>
          </cell>
          <cell r="N2474" t="str">
            <v>1681-02</v>
          </cell>
          <cell r="O2474" t="str">
            <v>BODY</v>
          </cell>
          <cell r="P2474">
            <v>280</v>
          </cell>
        </row>
        <row r="2475">
          <cell r="B2475" t="str">
            <v>1681-06</v>
          </cell>
          <cell r="C2475" t="str">
            <v>BODY</v>
          </cell>
          <cell r="D2475">
            <v>144.5</v>
          </cell>
          <cell r="N2475" t="str">
            <v>1681-06</v>
          </cell>
          <cell r="O2475" t="str">
            <v>BODY</v>
          </cell>
          <cell r="P2475">
            <v>289</v>
          </cell>
        </row>
        <row r="2476">
          <cell r="B2476" t="str">
            <v>1863-01</v>
          </cell>
          <cell r="C2476" t="str">
            <v>RS RETAINER</v>
          </cell>
          <cell r="D2476">
            <v>155</v>
          </cell>
          <cell r="N2476" t="str">
            <v>1863-01</v>
          </cell>
          <cell r="O2476" t="str">
            <v>RS RETAINER</v>
          </cell>
          <cell r="P2476">
            <v>310</v>
          </cell>
        </row>
        <row r="2477">
          <cell r="B2477" t="str">
            <v>1917-00</v>
          </cell>
          <cell r="C2477" t="str">
            <v>BODY</v>
          </cell>
          <cell r="D2477">
            <v>155</v>
          </cell>
          <cell r="N2477" t="str">
            <v>1917-00</v>
          </cell>
          <cell r="O2477" t="str">
            <v>BODY</v>
          </cell>
          <cell r="P2477">
            <v>310</v>
          </cell>
        </row>
        <row r="2478">
          <cell r="B2478" t="str">
            <v>2092-02</v>
          </cell>
          <cell r="C2478" t="str">
            <v>BODY</v>
          </cell>
          <cell r="D2478">
            <v>155</v>
          </cell>
          <cell r="N2478" t="str">
            <v>2092-02</v>
          </cell>
          <cell r="O2478" t="str">
            <v>BODY</v>
          </cell>
          <cell r="P2478">
            <v>310</v>
          </cell>
        </row>
        <row r="2479">
          <cell r="B2479" t="str">
            <v>2412-09</v>
          </cell>
          <cell r="C2479" t="str">
            <v>BODY</v>
          </cell>
          <cell r="D2479">
            <v>142</v>
          </cell>
          <cell r="N2479" t="str">
            <v>2412-09</v>
          </cell>
          <cell r="O2479" t="str">
            <v>BODY</v>
          </cell>
          <cell r="P2479">
            <v>284</v>
          </cell>
        </row>
        <row r="2480">
          <cell r="B2480" t="str">
            <v>661-18</v>
          </cell>
          <cell r="C2480" t="str">
            <v>BODY</v>
          </cell>
          <cell r="D2480">
            <v>144</v>
          </cell>
          <cell r="N2480" t="str">
            <v>661-18</v>
          </cell>
          <cell r="O2480" t="str">
            <v>BODY</v>
          </cell>
          <cell r="P2480">
            <v>288</v>
          </cell>
        </row>
        <row r="2481">
          <cell r="B2481" t="str">
            <v>787-22</v>
          </cell>
          <cell r="C2481" t="str">
            <v>BODY</v>
          </cell>
          <cell r="D2481">
            <v>151</v>
          </cell>
          <cell r="N2481" t="str">
            <v>787-22</v>
          </cell>
          <cell r="O2481" t="str">
            <v>BODY</v>
          </cell>
          <cell r="P2481">
            <v>302</v>
          </cell>
        </row>
        <row r="2482">
          <cell r="B2482" t="str">
            <v>1607-00</v>
          </cell>
          <cell r="C2482" t="str">
            <v>PISTON</v>
          </cell>
          <cell r="D2482">
            <v>155.5</v>
          </cell>
          <cell r="N2482" t="str">
            <v>1607-00</v>
          </cell>
          <cell r="O2482" t="str">
            <v>PISTON</v>
          </cell>
          <cell r="P2482">
            <v>311</v>
          </cell>
        </row>
        <row r="2483">
          <cell r="B2483" t="str">
            <v>1610-02</v>
          </cell>
          <cell r="C2483" t="str">
            <v>RS RETAINER</v>
          </cell>
          <cell r="D2483">
            <v>87.5</v>
          </cell>
          <cell r="N2483" t="str">
            <v>1610-02</v>
          </cell>
          <cell r="O2483" t="str">
            <v>RS RETAINER</v>
          </cell>
          <cell r="P2483">
            <v>175</v>
          </cell>
        </row>
        <row r="2484">
          <cell r="B2484" t="str">
            <v>1831-15</v>
          </cell>
          <cell r="C2484" t="str">
            <v>BODY RETAINER</v>
          </cell>
          <cell r="D2484">
            <v>155.5</v>
          </cell>
          <cell r="N2484" t="str">
            <v>1831-15</v>
          </cell>
          <cell r="O2484" t="str">
            <v>BODY RETAINER</v>
          </cell>
          <cell r="P2484">
            <v>311</v>
          </cell>
        </row>
        <row r="2485">
          <cell r="B2485" t="str">
            <v>1916-00</v>
          </cell>
          <cell r="C2485" t="str">
            <v>BODY</v>
          </cell>
          <cell r="D2485">
            <v>155.5</v>
          </cell>
          <cell r="N2485" t="str">
            <v>1916-00</v>
          </cell>
          <cell r="O2485" t="str">
            <v>BODY</v>
          </cell>
          <cell r="P2485">
            <v>311</v>
          </cell>
        </row>
        <row r="2486">
          <cell r="B2486" t="str">
            <v>588-48</v>
          </cell>
          <cell r="C2486" t="str">
            <v>PISTON</v>
          </cell>
          <cell r="D2486">
            <v>148.5</v>
          </cell>
          <cell r="N2486" t="str">
            <v>588-48</v>
          </cell>
          <cell r="O2486" t="str">
            <v>PISTON</v>
          </cell>
          <cell r="P2486">
            <v>297</v>
          </cell>
        </row>
        <row r="2487">
          <cell r="B2487" t="str">
            <v>923-00</v>
          </cell>
          <cell r="C2487" t="str">
            <v>ROD GUIDE</v>
          </cell>
          <cell r="D2487">
            <v>155.5</v>
          </cell>
          <cell r="N2487" t="str">
            <v>923-00</v>
          </cell>
          <cell r="O2487" t="str">
            <v>ROD GUIDE</v>
          </cell>
          <cell r="P2487">
            <v>311</v>
          </cell>
        </row>
        <row r="2488">
          <cell r="B2488" t="str">
            <v>1566-01</v>
          </cell>
          <cell r="C2488" t="str">
            <v>BODY</v>
          </cell>
          <cell r="D2488">
            <v>148</v>
          </cell>
          <cell r="N2488" t="str">
            <v>1566-01</v>
          </cell>
          <cell r="O2488" t="str">
            <v>BODY</v>
          </cell>
          <cell r="P2488">
            <v>296</v>
          </cell>
        </row>
        <row r="2489">
          <cell r="B2489" t="str">
            <v>1608-00</v>
          </cell>
          <cell r="C2489" t="str">
            <v>PISTON</v>
          </cell>
          <cell r="D2489">
            <v>147.5</v>
          </cell>
          <cell r="N2489" t="str">
            <v>1608-00</v>
          </cell>
          <cell r="O2489" t="str">
            <v>PISTON</v>
          </cell>
          <cell r="P2489">
            <v>295</v>
          </cell>
        </row>
        <row r="2490">
          <cell r="B2490" t="str">
            <v>1831-05</v>
          </cell>
          <cell r="C2490" t="str">
            <v>BODY RETAINER</v>
          </cell>
          <cell r="D2490">
            <v>156</v>
          </cell>
          <cell r="N2490" t="str">
            <v>1831-05</v>
          </cell>
          <cell r="O2490" t="str">
            <v>BODY RETAINER</v>
          </cell>
          <cell r="P2490">
            <v>312</v>
          </cell>
        </row>
        <row r="2491">
          <cell r="B2491" t="str">
            <v>1832-13</v>
          </cell>
          <cell r="C2491" t="str">
            <v>BODY RETAINER</v>
          </cell>
          <cell r="D2491">
            <v>156</v>
          </cell>
          <cell r="N2491" t="str">
            <v>1832-13</v>
          </cell>
          <cell r="O2491" t="str">
            <v>BODY RETAINER</v>
          </cell>
          <cell r="P2491">
            <v>312</v>
          </cell>
        </row>
        <row r="2492">
          <cell r="B2492" t="str">
            <v>1832-13</v>
          </cell>
          <cell r="C2492" t="str">
            <v>BODY RETAINER</v>
          </cell>
          <cell r="D2492">
            <v>156</v>
          </cell>
          <cell r="N2492" t="str">
            <v>1832-13</v>
          </cell>
          <cell r="O2492" t="str">
            <v>BODY RETAINER</v>
          </cell>
          <cell r="P2492">
            <v>312</v>
          </cell>
        </row>
        <row r="2493">
          <cell r="B2493" t="str">
            <v>1832-13</v>
          </cell>
          <cell r="C2493" t="str">
            <v>BODY RETAINER</v>
          </cell>
          <cell r="D2493">
            <v>156</v>
          </cell>
          <cell r="N2493" t="str">
            <v>1832-13</v>
          </cell>
          <cell r="O2493" t="str">
            <v>BODY RETAINER</v>
          </cell>
          <cell r="P2493">
            <v>312</v>
          </cell>
        </row>
        <row r="2494">
          <cell r="B2494" t="str">
            <v>1896-02</v>
          </cell>
          <cell r="C2494" t="str">
            <v>BODY</v>
          </cell>
          <cell r="D2494">
            <v>145</v>
          </cell>
          <cell r="N2494" t="str">
            <v>1896-02</v>
          </cell>
          <cell r="O2494" t="str">
            <v>BODY</v>
          </cell>
          <cell r="P2494">
            <v>290</v>
          </cell>
        </row>
        <row r="2495">
          <cell r="B2495" t="str">
            <v>2412-07</v>
          </cell>
          <cell r="C2495" t="str">
            <v>BODY</v>
          </cell>
          <cell r="D2495">
            <v>143</v>
          </cell>
          <cell r="N2495" t="str">
            <v>2412-07</v>
          </cell>
          <cell r="O2495" t="str">
            <v>BODY</v>
          </cell>
          <cell r="P2495">
            <v>286</v>
          </cell>
        </row>
        <row r="2496">
          <cell r="B2496" t="str">
            <v>2554-01</v>
          </cell>
          <cell r="C2496" t="str">
            <v>RS RETAINER</v>
          </cell>
          <cell r="D2496">
            <v>156</v>
          </cell>
          <cell r="N2496" t="str">
            <v>2554-01</v>
          </cell>
          <cell r="O2496" t="str">
            <v>RS RETAINER</v>
          </cell>
          <cell r="P2496">
            <v>312</v>
          </cell>
        </row>
        <row r="2497">
          <cell r="B2497" t="str">
            <v>588-12</v>
          </cell>
          <cell r="C2497" t="str">
            <v>PISTON</v>
          </cell>
          <cell r="D2497">
            <v>135</v>
          </cell>
          <cell r="N2497" t="str">
            <v>588-12</v>
          </cell>
          <cell r="O2497" t="str">
            <v>PISTON</v>
          </cell>
          <cell r="P2497">
            <v>270</v>
          </cell>
        </row>
        <row r="2498">
          <cell r="B2498" t="str">
            <v>588-57</v>
          </cell>
          <cell r="C2498" t="str">
            <v>PISTON</v>
          </cell>
          <cell r="D2498">
            <v>156</v>
          </cell>
          <cell r="N2498" t="str">
            <v>588-57</v>
          </cell>
          <cell r="O2498" t="str">
            <v>PISTON</v>
          </cell>
          <cell r="P2498">
            <v>312</v>
          </cell>
        </row>
        <row r="2499">
          <cell r="B2499" t="str">
            <v>661-09</v>
          </cell>
          <cell r="C2499" t="str">
            <v>BODY</v>
          </cell>
          <cell r="D2499">
            <v>156</v>
          </cell>
          <cell r="N2499" t="str">
            <v>661-09</v>
          </cell>
          <cell r="O2499" t="str">
            <v>BODY</v>
          </cell>
          <cell r="P2499">
            <v>312</v>
          </cell>
        </row>
        <row r="2500">
          <cell r="B2500" t="str">
            <v>786-11</v>
          </cell>
          <cell r="C2500" t="str">
            <v>BODY</v>
          </cell>
          <cell r="D2500">
            <v>152</v>
          </cell>
          <cell r="N2500" t="str">
            <v>786-11</v>
          </cell>
          <cell r="O2500" t="str">
            <v>BODY</v>
          </cell>
          <cell r="P2500">
            <v>304</v>
          </cell>
        </row>
        <row r="2501">
          <cell r="B2501" t="str">
            <v>787-18</v>
          </cell>
          <cell r="C2501" t="str">
            <v>BODY</v>
          </cell>
          <cell r="D2501">
            <v>156</v>
          </cell>
          <cell r="N2501" t="str">
            <v>787-18</v>
          </cell>
          <cell r="O2501" t="str">
            <v>BODY</v>
          </cell>
          <cell r="P2501">
            <v>312</v>
          </cell>
        </row>
        <row r="2502">
          <cell r="B2502" t="str">
            <v>853-50</v>
          </cell>
          <cell r="C2502" t="str">
            <v>REB,RETAINER</v>
          </cell>
          <cell r="D2502">
            <v>156</v>
          </cell>
          <cell r="N2502" t="str">
            <v>853-50</v>
          </cell>
          <cell r="O2502" t="str">
            <v>REB,RETAINER</v>
          </cell>
          <cell r="P2502">
            <v>312</v>
          </cell>
        </row>
        <row r="2503">
          <cell r="B2503" t="str">
            <v>861-11</v>
          </cell>
          <cell r="C2503" t="str">
            <v>BODY</v>
          </cell>
          <cell r="D2503">
            <v>156</v>
          </cell>
          <cell r="N2503" t="str">
            <v>861-11</v>
          </cell>
          <cell r="O2503" t="str">
            <v>BODY</v>
          </cell>
          <cell r="P2503">
            <v>312</v>
          </cell>
        </row>
        <row r="2504">
          <cell r="B2504" t="str">
            <v>861-11</v>
          </cell>
          <cell r="C2504" t="str">
            <v>BODY</v>
          </cell>
          <cell r="D2504">
            <v>156</v>
          </cell>
          <cell r="N2504" t="str">
            <v>861-11</v>
          </cell>
          <cell r="O2504" t="str">
            <v>BODY</v>
          </cell>
          <cell r="P2504">
            <v>312</v>
          </cell>
        </row>
        <row r="2505">
          <cell r="B2505" t="str">
            <v>1400-01</v>
          </cell>
          <cell r="C2505" t="str">
            <v>BODY</v>
          </cell>
          <cell r="D2505">
            <v>110</v>
          </cell>
          <cell r="N2505" t="str">
            <v>1400-01</v>
          </cell>
          <cell r="O2505" t="str">
            <v>BODY</v>
          </cell>
          <cell r="P2505">
            <v>220</v>
          </cell>
        </row>
        <row r="2506">
          <cell r="B2506" t="str">
            <v>1412-10</v>
          </cell>
          <cell r="C2506" t="str">
            <v>BODY</v>
          </cell>
          <cell r="D2506">
            <v>146.5</v>
          </cell>
          <cell r="N2506" t="str">
            <v>1412-10</v>
          </cell>
          <cell r="O2506" t="str">
            <v>BODY</v>
          </cell>
          <cell r="P2506">
            <v>293</v>
          </cell>
        </row>
        <row r="2507">
          <cell r="B2507" t="str">
            <v>1429-01</v>
          </cell>
          <cell r="C2507" t="str">
            <v>PISTON</v>
          </cell>
          <cell r="D2507">
            <v>155</v>
          </cell>
          <cell r="N2507" t="str">
            <v>1429-01</v>
          </cell>
          <cell r="O2507" t="str">
            <v>PISTON</v>
          </cell>
          <cell r="P2507">
            <v>310</v>
          </cell>
        </row>
        <row r="2508">
          <cell r="B2508" t="str">
            <v>1634-13</v>
          </cell>
          <cell r="C2508" t="str">
            <v>RS RETAINER</v>
          </cell>
          <cell r="D2508">
            <v>148</v>
          </cell>
          <cell r="N2508" t="str">
            <v>1634-13</v>
          </cell>
          <cell r="O2508" t="str">
            <v>RS RETAINER</v>
          </cell>
          <cell r="P2508">
            <v>296</v>
          </cell>
        </row>
        <row r="2509">
          <cell r="B2509" t="str">
            <v>1681-07</v>
          </cell>
          <cell r="C2509" t="str">
            <v>BODY</v>
          </cell>
          <cell r="D2509">
            <v>156.5</v>
          </cell>
          <cell r="N2509" t="str">
            <v>1681-07</v>
          </cell>
          <cell r="O2509" t="str">
            <v>BODY</v>
          </cell>
          <cell r="P2509">
            <v>313</v>
          </cell>
        </row>
        <row r="2510">
          <cell r="B2510" t="str">
            <v>1916-00</v>
          </cell>
          <cell r="C2510" t="str">
            <v>BODY</v>
          </cell>
          <cell r="D2510">
            <v>155.5</v>
          </cell>
          <cell r="N2510" t="str">
            <v>1916-00</v>
          </cell>
          <cell r="O2510" t="str">
            <v>BODY</v>
          </cell>
          <cell r="P2510">
            <v>311</v>
          </cell>
        </row>
        <row r="2511">
          <cell r="B2511" t="str">
            <v>588-44</v>
          </cell>
          <cell r="C2511" t="str">
            <v>PISTON</v>
          </cell>
          <cell r="D2511">
            <v>143.5</v>
          </cell>
          <cell r="N2511" t="str">
            <v>588-44</v>
          </cell>
          <cell r="O2511" t="str">
            <v>PISTON</v>
          </cell>
          <cell r="P2511">
            <v>287</v>
          </cell>
        </row>
        <row r="2512">
          <cell r="B2512" t="str">
            <v>944-00</v>
          </cell>
          <cell r="C2512" t="str">
            <v>RACK STOPPER</v>
          </cell>
          <cell r="D2512">
            <v>187.79999999999998</v>
          </cell>
          <cell r="N2512" t="str">
            <v>944-00</v>
          </cell>
          <cell r="O2512" t="str">
            <v>RACK STOPPER</v>
          </cell>
          <cell r="P2512">
            <v>313</v>
          </cell>
        </row>
        <row r="2513">
          <cell r="B2513" t="str">
            <v>1554-05</v>
          </cell>
          <cell r="C2513" t="str">
            <v>RS RETAINER</v>
          </cell>
          <cell r="D2513">
            <v>157</v>
          </cell>
          <cell r="N2513" t="str">
            <v>1554-05</v>
          </cell>
          <cell r="O2513" t="str">
            <v>RS RETAINER</v>
          </cell>
          <cell r="P2513">
            <v>314</v>
          </cell>
        </row>
        <row r="2514">
          <cell r="B2514" t="str">
            <v>1554-43</v>
          </cell>
          <cell r="C2514" t="str">
            <v>RS RETAINER</v>
          </cell>
          <cell r="D2514">
            <v>93</v>
          </cell>
          <cell r="N2514" t="str">
            <v>1554-43</v>
          </cell>
          <cell r="O2514" t="str">
            <v>RS RETAINER</v>
          </cell>
          <cell r="P2514">
            <v>186</v>
          </cell>
        </row>
        <row r="2515">
          <cell r="B2515" t="str">
            <v>1826-01</v>
          </cell>
          <cell r="C2515" t="str">
            <v>BODY</v>
          </cell>
          <cell r="D2515">
            <v>157</v>
          </cell>
          <cell r="N2515" t="str">
            <v>1826-01</v>
          </cell>
          <cell r="O2515" t="str">
            <v>BODY</v>
          </cell>
          <cell r="P2515">
            <v>314</v>
          </cell>
        </row>
        <row r="2516">
          <cell r="B2516" t="str">
            <v>1832-03</v>
          </cell>
          <cell r="C2516" t="str">
            <v>BODY RETAINER</v>
          </cell>
          <cell r="D2516">
            <v>157</v>
          </cell>
          <cell r="N2516" t="str">
            <v>1832-03</v>
          </cell>
          <cell r="O2516" t="str">
            <v>BODY RETAINER</v>
          </cell>
          <cell r="P2516">
            <v>314</v>
          </cell>
        </row>
        <row r="2517">
          <cell r="B2517" t="str">
            <v>1832-04</v>
          </cell>
          <cell r="C2517" t="str">
            <v>BODY RETAINER</v>
          </cell>
          <cell r="D2517">
            <v>157</v>
          </cell>
          <cell r="N2517" t="str">
            <v>1832-04</v>
          </cell>
          <cell r="O2517" t="str">
            <v>BODY RETAINER</v>
          </cell>
          <cell r="P2517">
            <v>314</v>
          </cell>
        </row>
        <row r="2518">
          <cell r="B2518" t="str">
            <v>1896-02</v>
          </cell>
          <cell r="C2518" t="str">
            <v>BODY</v>
          </cell>
          <cell r="D2518">
            <v>145</v>
          </cell>
          <cell r="N2518" t="str">
            <v>1896-02</v>
          </cell>
          <cell r="O2518" t="str">
            <v>BODY</v>
          </cell>
          <cell r="P2518">
            <v>290</v>
          </cell>
        </row>
        <row r="2519">
          <cell r="B2519" t="str">
            <v>1918-00</v>
          </cell>
          <cell r="C2519" t="str">
            <v>BODY</v>
          </cell>
          <cell r="D2519">
            <v>157</v>
          </cell>
          <cell r="N2519" t="str">
            <v>1918-00</v>
          </cell>
          <cell r="O2519" t="str">
            <v>BODY</v>
          </cell>
          <cell r="P2519">
            <v>314</v>
          </cell>
        </row>
        <row r="2520">
          <cell r="B2520" t="str">
            <v>2093-01</v>
          </cell>
          <cell r="C2520" t="str">
            <v>BODY</v>
          </cell>
          <cell r="D2520">
            <v>157</v>
          </cell>
          <cell r="N2520" t="str">
            <v>2093-01</v>
          </cell>
          <cell r="O2520" t="str">
            <v>BODY</v>
          </cell>
          <cell r="P2520">
            <v>314</v>
          </cell>
        </row>
        <row r="2521">
          <cell r="B2521" t="str">
            <v>616-08</v>
          </cell>
          <cell r="C2521" t="str">
            <v>SUB VALVE BODY</v>
          </cell>
          <cell r="D2521">
            <v>157</v>
          </cell>
          <cell r="N2521" t="str">
            <v>616-08</v>
          </cell>
          <cell r="O2521" t="str">
            <v>SUB VALVE BODY</v>
          </cell>
          <cell r="P2521">
            <v>314</v>
          </cell>
        </row>
        <row r="2522">
          <cell r="B2522" t="str">
            <v>661-02</v>
          </cell>
          <cell r="C2522" t="str">
            <v>BODY</v>
          </cell>
          <cell r="D2522">
            <v>145</v>
          </cell>
          <cell r="N2522" t="str">
            <v>661-02</v>
          </cell>
          <cell r="O2522" t="str">
            <v>BODY</v>
          </cell>
          <cell r="P2522">
            <v>290</v>
          </cell>
        </row>
        <row r="2523">
          <cell r="B2523" t="str">
            <v>861-20</v>
          </cell>
          <cell r="C2523" t="str">
            <v>BODY</v>
          </cell>
          <cell r="D2523">
            <v>98</v>
          </cell>
          <cell r="N2523" t="str">
            <v>861-20</v>
          </cell>
          <cell r="O2523" t="str">
            <v>BODY</v>
          </cell>
          <cell r="P2523">
            <v>196</v>
          </cell>
        </row>
        <row r="2524">
          <cell r="B2524" t="str">
            <v>1607-00</v>
          </cell>
          <cell r="C2524" t="str">
            <v>PISTON</v>
          </cell>
          <cell r="D2524">
            <v>155.5</v>
          </cell>
          <cell r="N2524" t="str">
            <v>1607-00</v>
          </cell>
          <cell r="O2524" t="str">
            <v>PISTON</v>
          </cell>
          <cell r="P2524">
            <v>311</v>
          </cell>
        </row>
        <row r="2525">
          <cell r="B2525" t="str">
            <v>1767-00</v>
          </cell>
          <cell r="C2525" t="str">
            <v>CON-ROD</v>
          </cell>
          <cell r="D2525">
            <v>157.5</v>
          </cell>
          <cell r="N2525" t="str">
            <v>1767-00</v>
          </cell>
          <cell r="O2525" t="str">
            <v>CON-ROD</v>
          </cell>
          <cell r="P2525">
            <v>315</v>
          </cell>
        </row>
        <row r="2526">
          <cell r="B2526" t="str">
            <v>1831-02</v>
          </cell>
          <cell r="C2526" t="str">
            <v>BODY RETAINER</v>
          </cell>
          <cell r="D2526">
            <v>157.5</v>
          </cell>
          <cell r="N2526" t="str">
            <v>1831-02</v>
          </cell>
          <cell r="O2526" t="str">
            <v>BODY RETAINER</v>
          </cell>
          <cell r="P2526">
            <v>315</v>
          </cell>
        </row>
        <row r="2527">
          <cell r="B2527" t="str">
            <v>2069-00</v>
          </cell>
          <cell r="C2527" t="str">
            <v>PILOT RETAINER</v>
          </cell>
          <cell r="D2527">
            <v>157.5</v>
          </cell>
          <cell r="N2527" t="str">
            <v>2069-00</v>
          </cell>
          <cell r="O2527" t="str">
            <v>PILOT RETAINER</v>
          </cell>
          <cell r="P2527">
            <v>315</v>
          </cell>
        </row>
        <row r="2528">
          <cell r="B2528" t="str">
            <v>2077-03</v>
          </cell>
          <cell r="C2528" t="str">
            <v>BODY RETAINER</v>
          </cell>
          <cell r="D2528">
            <v>157.5</v>
          </cell>
          <cell r="N2528" t="str">
            <v>2077-03</v>
          </cell>
          <cell r="O2528" t="str">
            <v>BODY RETAINER</v>
          </cell>
          <cell r="P2528">
            <v>315</v>
          </cell>
        </row>
        <row r="2529">
          <cell r="B2529" t="str">
            <v>598-08</v>
          </cell>
          <cell r="C2529" t="str">
            <v>PISTON</v>
          </cell>
          <cell r="D2529">
            <v>157.5</v>
          </cell>
          <cell r="N2529" t="str">
            <v>598-08</v>
          </cell>
          <cell r="O2529" t="str">
            <v>PISTON</v>
          </cell>
          <cell r="P2529">
            <v>315</v>
          </cell>
        </row>
        <row r="2530">
          <cell r="B2530" t="str">
            <v>1412-14</v>
          </cell>
          <cell r="C2530" t="str">
            <v>BODY</v>
          </cell>
          <cell r="D2530">
            <v>158</v>
          </cell>
          <cell r="N2530" t="str">
            <v>1412-14</v>
          </cell>
          <cell r="O2530" t="str">
            <v>BODY</v>
          </cell>
          <cell r="P2530">
            <v>316</v>
          </cell>
        </row>
        <row r="2531">
          <cell r="B2531" t="str">
            <v>1430-06</v>
          </cell>
          <cell r="C2531" t="str">
            <v>BODY</v>
          </cell>
          <cell r="D2531">
            <v>158</v>
          </cell>
          <cell r="N2531" t="str">
            <v>1430-06</v>
          </cell>
          <cell r="O2531" t="str">
            <v>BODY</v>
          </cell>
          <cell r="P2531">
            <v>316</v>
          </cell>
        </row>
        <row r="2532">
          <cell r="B2532" t="str">
            <v>1610-03</v>
          </cell>
          <cell r="C2532" t="str">
            <v>RS RETAINER</v>
          </cell>
          <cell r="D2532">
            <v>158</v>
          </cell>
          <cell r="N2532" t="str">
            <v>1610-03</v>
          </cell>
          <cell r="O2532" t="str">
            <v>RS RETAINER</v>
          </cell>
          <cell r="P2532">
            <v>316</v>
          </cell>
        </row>
        <row r="2533">
          <cell r="B2533" t="str">
            <v>1673-04</v>
          </cell>
          <cell r="C2533" t="str">
            <v>RS RETAINER</v>
          </cell>
          <cell r="D2533">
            <v>158</v>
          </cell>
          <cell r="N2533" t="str">
            <v>1673-04</v>
          </cell>
          <cell r="O2533" t="str">
            <v>RS RETAINER</v>
          </cell>
          <cell r="P2533">
            <v>316</v>
          </cell>
        </row>
        <row r="2534">
          <cell r="B2534" t="str">
            <v>1831-15</v>
          </cell>
          <cell r="C2534" t="str">
            <v>BODY RETAINER</v>
          </cell>
          <cell r="D2534">
            <v>155.5</v>
          </cell>
          <cell r="N2534" t="str">
            <v>1831-15</v>
          </cell>
          <cell r="O2534" t="str">
            <v>BODY RETAINER</v>
          </cell>
          <cell r="P2534">
            <v>311</v>
          </cell>
        </row>
        <row r="2535">
          <cell r="B2535" t="str">
            <v>1832-07</v>
          </cell>
          <cell r="C2535" t="str">
            <v>BODY RETAINER</v>
          </cell>
          <cell r="D2535">
            <v>158</v>
          </cell>
          <cell r="N2535" t="str">
            <v>1832-07</v>
          </cell>
          <cell r="O2535" t="str">
            <v>BODY RETAINER</v>
          </cell>
          <cell r="P2535">
            <v>316</v>
          </cell>
        </row>
        <row r="2536">
          <cell r="B2536" t="str">
            <v>388-02</v>
          </cell>
          <cell r="C2536" t="str">
            <v>PISTON</v>
          </cell>
          <cell r="D2536">
            <v>66.5</v>
          </cell>
          <cell r="N2536" t="str">
            <v>388-02</v>
          </cell>
          <cell r="O2536" t="str">
            <v>PISTON</v>
          </cell>
          <cell r="P2536">
            <v>133</v>
          </cell>
        </row>
        <row r="2537">
          <cell r="B2537" t="str">
            <v>591-13</v>
          </cell>
          <cell r="C2537" t="str">
            <v>PISTON</v>
          </cell>
          <cell r="D2537">
            <v>158</v>
          </cell>
          <cell r="N2537" t="str">
            <v>591-13</v>
          </cell>
          <cell r="O2537" t="str">
            <v>PISTON</v>
          </cell>
          <cell r="P2537">
            <v>316</v>
          </cell>
        </row>
        <row r="2538">
          <cell r="B2538" t="str">
            <v>592-06</v>
          </cell>
          <cell r="C2538" t="str">
            <v>PISTON</v>
          </cell>
          <cell r="D2538">
            <v>158</v>
          </cell>
          <cell r="N2538" t="str">
            <v>592-06</v>
          </cell>
          <cell r="O2538" t="str">
            <v>PISTON</v>
          </cell>
          <cell r="P2538">
            <v>316</v>
          </cell>
        </row>
        <row r="2539">
          <cell r="B2539" t="str">
            <v>635-00</v>
          </cell>
          <cell r="C2539" t="str">
            <v>SUPPORT YOKE ASS'Y</v>
          </cell>
          <cell r="D2539">
            <v>158</v>
          </cell>
          <cell r="N2539" t="str">
            <v>635-00</v>
          </cell>
          <cell r="O2539" t="str">
            <v>SUPPORT YOKE ASS'Y</v>
          </cell>
          <cell r="P2539">
            <v>316</v>
          </cell>
        </row>
        <row r="2540">
          <cell r="B2540" t="str">
            <v>852-17</v>
          </cell>
          <cell r="C2540" t="str">
            <v>BODY</v>
          </cell>
          <cell r="D2540">
            <v>158</v>
          </cell>
          <cell r="N2540" t="str">
            <v>852-17</v>
          </cell>
          <cell r="O2540" t="str">
            <v>BODY</v>
          </cell>
          <cell r="P2540">
            <v>316</v>
          </cell>
        </row>
        <row r="2541">
          <cell r="B2541" t="str">
            <v>1831-05</v>
          </cell>
          <cell r="C2541" t="str">
            <v>BODY RETAINER</v>
          </cell>
          <cell r="D2541">
            <v>156</v>
          </cell>
          <cell r="N2541" t="str">
            <v>1831-05</v>
          </cell>
          <cell r="O2541" t="str">
            <v>BODY RETAINER</v>
          </cell>
          <cell r="P2541">
            <v>312</v>
          </cell>
        </row>
        <row r="2542">
          <cell r="B2542" t="str">
            <v>1832-07</v>
          </cell>
          <cell r="C2542" t="str">
            <v>BODY RETAINER</v>
          </cell>
          <cell r="D2542">
            <v>158</v>
          </cell>
          <cell r="N2542" t="str">
            <v>1832-07</v>
          </cell>
          <cell r="O2542" t="str">
            <v>BODY RETAINER</v>
          </cell>
          <cell r="P2542">
            <v>316</v>
          </cell>
        </row>
        <row r="2543">
          <cell r="B2543" t="str">
            <v>1832-13</v>
          </cell>
          <cell r="C2543" t="str">
            <v>BODY RETAINER</v>
          </cell>
          <cell r="D2543">
            <v>156</v>
          </cell>
          <cell r="N2543" t="str">
            <v>1832-13</v>
          </cell>
          <cell r="O2543" t="str">
            <v>BODY RETAINER</v>
          </cell>
          <cell r="P2543">
            <v>312</v>
          </cell>
        </row>
        <row r="2544">
          <cell r="B2544" t="str">
            <v>1833-01</v>
          </cell>
          <cell r="C2544" t="str">
            <v>BODY RETAINER</v>
          </cell>
          <cell r="D2544">
            <v>158.5</v>
          </cell>
          <cell r="N2544" t="str">
            <v>1833-01</v>
          </cell>
          <cell r="O2544" t="str">
            <v>BODY RETAINER</v>
          </cell>
          <cell r="P2544">
            <v>317</v>
          </cell>
        </row>
        <row r="2545">
          <cell r="B2545" t="str">
            <v>1892-02</v>
          </cell>
          <cell r="C2545" t="str">
            <v>BODY</v>
          </cell>
          <cell r="D2545">
            <v>158.5</v>
          </cell>
          <cell r="N2545" t="str">
            <v>1892-02</v>
          </cell>
          <cell r="O2545" t="str">
            <v>BODY</v>
          </cell>
          <cell r="P2545">
            <v>317</v>
          </cell>
        </row>
        <row r="2546">
          <cell r="B2546" t="str">
            <v>2119-00</v>
          </cell>
          <cell r="C2546" t="str">
            <v>BODY</v>
          </cell>
          <cell r="D2546">
            <v>158.5</v>
          </cell>
          <cell r="N2546" t="str">
            <v>2119-00</v>
          </cell>
          <cell r="O2546" t="str">
            <v>BODY</v>
          </cell>
          <cell r="P2546">
            <v>317</v>
          </cell>
        </row>
        <row r="2547">
          <cell r="B2547" t="str">
            <v>661-17</v>
          </cell>
          <cell r="C2547" t="str">
            <v>BODY</v>
          </cell>
          <cell r="D2547">
            <v>134.5</v>
          </cell>
          <cell r="N2547" t="str">
            <v>661-17</v>
          </cell>
          <cell r="O2547" t="str">
            <v>BODY</v>
          </cell>
          <cell r="P2547">
            <v>269</v>
          </cell>
        </row>
        <row r="2548">
          <cell r="B2548" t="str">
            <v>1005-00</v>
          </cell>
          <cell r="C2548" t="str">
            <v>PISTON</v>
          </cell>
          <cell r="D2548">
            <v>159</v>
          </cell>
          <cell r="N2548" t="str">
            <v>1005-00</v>
          </cell>
          <cell r="O2548" t="str">
            <v>PISTON</v>
          </cell>
          <cell r="P2548">
            <v>318</v>
          </cell>
        </row>
        <row r="2549">
          <cell r="B2549" t="str">
            <v>1095-00</v>
          </cell>
          <cell r="C2549" t="str">
            <v>ROD GUIDE</v>
          </cell>
          <cell r="D2549">
            <v>159</v>
          </cell>
          <cell r="N2549" t="str">
            <v>1095-00</v>
          </cell>
          <cell r="O2549" t="str">
            <v>ROD GUIDE</v>
          </cell>
          <cell r="P2549">
            <v>318</v>
          </cell>
        </row>
        <row r="2550">
          <cell r="B2550" t="str">
            <v>1530-01</v>
          </cell>
          <cell r="C2550" t="str">
            <v>PISTON</v>
          </cell>
          <cell r="D2550">
            <v>159</v>
          </cell>
          <cell r="N2550" t="str">
            <v>1530-01</v>
          </cell>
          <cell r="O2550" t="str">
            <v>PISTON</v>
          </cell>
          <cell r="P2550">
            <v>318</v>
          </cell>
        </row>
        <row r="2551">
          <cell r="B2551" t="str">
            <v>1554-29</v>
          </cell>
          <cell r="C2551" t="str">
            <v>RS RETAINER</v>
          </cell>
          <cell r="D2551">
            <v>139</v>
          </cell>
          <cell r="N2551" t="str">
            <v>1554-29</v>
          </cell>
          <cell r="O2551" t="str">
            <v>RS RETAINER</v>
          </cell>
          <cell r="P2551">
            <v>278</v>
          </cell>
        </row>
        <row r="2552">
          <cell r="B2552" t="str">
            <v>1917-00</v>
          </cell>
          <cell r="C2552" t="str">
            <v>BODY</v>
          </cell>
          <cell r="D2552">
            <v>155</v>
          </cell>
          <cell r="N2552" t="str">
            <v>1917-00</v>
          </cell>
          <cell r="O2552" t="str">
            <v>BODY</v>
          </cell>
          <cell r="P2552">
            <v>310</v>
          </cell>
        </row>
        <row r="2553">
          <cell r="B2553" t="str">
            <v>2077-07</v>
          </cell>
          <cell r="C2553" t="str">
            <v>BODY RETAINER</v>
          </cell>
          <cell r="D2553">
            <v>83</v>
          </cell>
          <cell r="N2553" t="str">
            <v>2077-07</v>
          </cell>
          <cell r="O2553" t="str">
            <v>BODY RETAINER</v>
          </cell>
          <cell r="P2553">
            <v>166</v>
          </cell>
        </row>
        <row r="2554">
          <cell r="B2554" t="str">
            <v>588-39</v>
          </cell>
          <cell r="C2554" t="str">
            <v>PISTON</v>
          </cell>
          <cell r="D2554">
            <v>159</v>
          </cell>
          <cell r="N2554" t="str">
            <v>588-39</v>
          </cell>
          <cell r="O2554" t="str">
            <v>PISTON</v>
          </cell>
          <cell r="P2554">
            <v>318</v>
          </cell>
        </row>
        <row r="2555">
          <cell r="B2555" t="str">
            <v>588-64</v>
          </cell>
          <cell r="C2555" t="str">
            <v>PISTON</v>
          </cell>
          <cell r="D2555">
            <v>159</v>
          </cell>
          <cell r="N2555" t="str">
            <v>588-64</v>
          </cell>
          <cell r="O2555" t="str">
            <v>PISTON</v>
          </cell>
          <cell r="P2555">
            <v>318</v>
          </cell>
        </row>
        <row r="2556">
          <cell r="B2556" t="str">
            <v>598-08</v>
          </cell>
          <cell r="C2556" t="str">
            <v>PISTON</v>
          </cell>
          <cell r="D2556">
            <v>157.5</v>
          </cell>
          <cell r="N2556" t="str">
            <v>598-08</v>
          </cell>
          <cell r="O2556" t="str">
            <v>PISTON</v>
          </cell>
          <cell r="P2556">
            <v>315</v>
          </cell>
        </row>
        <row r="2557">
          <cell r="B2557" t="str">
            <v>661-05</v>
          </cell>
          <cell r="C2557" t="str">
            <v>BODY</v>
          </cell>
          <cell r="D2557">
            <v>93.5</v>
          </cell>
          <cell r="N2557" t="str">
            <v>661-05</v>
          </cell>
          <cell r="O2557" t="str">
            <v>BODY</v>
          </cell>
          <cell r="P2557">
            <v>187</v>
          </cell>
        </row>
        <row r="2558">
          <cell r="B2558" t="str">
            <v>661-15</v>
          </cell>
          <cell r="C2558" t="str">
            <v>BODY</v>
          </cell>
          <cell r="D2558">
            <v>110.5</v>
          </cell>
          <cell r="N2558" t="str">
            <v>661-15</v>
          </cell>
          <cell r="O2558" t="str">
            <v>BODY</v>
          </cell>
          <cell r="P2558">
            <v>221</v>
          </cell>
        </row>
        <row r="2559">
          <cell r="B2559" t="str">
            <v>786-10</v>
          </cell>
          <cell r="C2559" t="str">
            <v>BODY</v>
          </cell>
          <cell r="D2559">
            <v>150.5</v>
          </cell>
          <cell r="N2559" t="str">
            <v>786-10</v>
          </cell>
          <cell r="O2559" t="str">
            <v>BODY</v>
          </cell>
          <cell r="P2559">
            <v>301</v>
          </cell>
        </row>
        <row r="2560">
          <cell r="B2560" t="str">
            <v>861-02</v>
          </cell>
          <cell r="C2560" t="str">
            <v>BODY</v>
          </cell>
          <cell r="D2560">
            <v>99.5</v>
          </cell>
          <cell r="N2560" t="str">
            <v>861-02</v>
          </cell>
          <cell r="O2560" t="str">
            <v>BODY</v>
          </cell>
          <cell r="P2560">
            <v>199</v>
          </cell>
        </row>
        <row r="2561">
          <cell r="B2561" t="str">
            <v>861-11</v>
          </cell>
          <cell r="C2561" t="str">
            <v>BODY</v>
          </cell>
          <cell r="D2561">
            <v>156</v>
          </cell>
          <cell r="N2561" t="str">
            <v>861-11</v>
          </cell>
          <cell r="O2561" t="str">
            <v>BODY</v>
          </cell>
          <cell r="P2561">
            <v>312</v>
          </cell>
        </row>
        <row r="2562">
          <cell r="B2562" t="str">
            <v>861-16</v>
          </cell>
          <cell r="C2562" t="str">
            <v>BODY</v>
          </cell>
          <cell r="D2562">
            <v>119</v>
          </cell>
          <cell r="N2562" t="str">
            <v>861-16</v>
          </cell>
          <cell r="O2562" t="str">
            <v>BODY</v>
          </cell>
          <cell r="P2562">
            <v>238</v>
          </cell>
        </row>
        <row r="2563">
          <cell r="B2563" t="str">
            <v>1390-01</v>
          </cell>
          <cell r="C2563" t="str">
            <v>PISTON</v>
          </cell>
          <cell r="D2563">
            <v>153.5</v>
          </cell>
          <cell r="N2563" t="str">
            <v>1390-01</v>
          </cell>
          <cell r="O2563" t="str">
            <v>PISTON</v>
          </cell>
          <cell r="P2563">
            <v>307</v>
          </cell>
        </row>
        <row r="2564">
          <cell r="B2564" t="str">
            <v>1634-49</v>
          </cell>
          <cell r="C2564" t="str">
            <v>RS RETAINER</v>
          </cell>
          <cell r="D2564">
            <v>159.5</v>
          </cell>
          <cell r="N2564" t="str">
            <v>1634-49</v>
          </cell>
          <cell r="O2564" t="str">
            <v>RS RETAINER</v>
          </cell>
          <cell r="P2564">
            <v>319</v>
          </cell>
        </row>
        <row r="2565">
          <cell r="B2565" t="str">
            <v>1791-06</v>
          </cell>
          <cell r="C2565" t="str">
            <v>BODY</v>
          </cell>
          <cell r="D2565">
            <v>120</v>
          </cell>
          <cell r="N2565" t="str">
            <v>1791-06</v>
          </cell>
          <cell r="O2565" t="str">
            <v>BODY</v>
          </cell>
          <cell r="P2565">
            <v>240</v>
          </cell>
        </row>
        <row r="2566">
          <cell r="B2566" t="str">
            <v>1807-01</v>
          </cell>
          <cell r="C2566" t="str">
            <v>BODY</v>
          </cell>
          <cell r="D2566">
            <v>159.5</v>
          </cell>
          <cell r="N2566" t="str">
            <v>1807-01</v>
          </cell>
          <cell r="O2566" t="str">
            <v>BODY</v>
          </cell>
          <cell r="P2566">
            <v>319</v>
          </cell>
        </row>
        <row r="2567">
          <cell r="B2567" t="str">
            <v>1807-02</v>
          </cell>
          <cell r="C2567" t="str">
            <v>BODY</v>
          </cell>
          <cell r="D2567">
            <v>159.5</v>
          </cell>
          <cell r="N2567" t="str">
            <v>1807-02</v>
          </cell>
          <cell r="O2567" t="str">
            <v>BODY</v>
          </cell>
          <cell r="P2567">
            <v>319</v>
          </cell>
        </row>
        <row r="2568">
          <cell r="B2568" t="str">
            <v>1807-03</v>
          </cell>
          <cell r="C2568" t="str">
            <v>BODY</v>
          </cell>
          <cell r="D2568">
            <v>141</v>
          </cell>
          <cell r="N2568" t="str">
            <v>1807-03</v>
          </cell>
          <cell r="O2568" t="str">
            <v>BODY</v>
          </cell>
          <cell r="P2568">
            <v>282</v>
          </cell>
        </row>
        <row r="2569">
          <cell r="B2569" t="str">
            <v>1807-04</v>
          </cell>
          <cell r="C2569" t="str">
            <v>BODY</v>
          </cell>
          <cell r="D2569">
            <v>159.5</v>
          </cell>
          <cell r="N2569" t="str">
            <v>1807-04</v>
          </cell>
          <cell r="O2569" t="str">
            <v>BODY</v>
          </cell>
          <cell r="P2569">
            <v>319</v>
          </cell>
        </row>
        <row r="2570">
          <cell r="B2570" t="str">
            <v>786-12</v>
          </cell>
          <cell r="C2570" t="str">
            <v>BODY</v>
          </cell>
          <cell r="D2570">
            <v>87</v>
          </cell>
          <cell r="N2570" t="str">
            <v>786-12</v>
          </cell>
          <cell r="O2570" t="str">
            <v>BODY</v>
          </cell>
          <cell r="P2570">
            <v>174</v>
          </cell>
        </row>
        <row r="2571">
          <cell r="B2571" t="str">
            <v>1656-00</v>
          </cell>
          <cell r="C2571" t="str">
            <v>BASE VALVE</v>
          </cell>
          <cell r="D2571">
            <v>160</v>
          </cell>
          <cell r="N2571" t="str">
            <v>1656-00</v>
          </cell>
          <cell r="O2571" t="str">
            <v>BASE VALVE</v>
          </cell>
          <cell r="P2571">
            <v>320</v>
          </cell>
        </row>
        <row r="2572">
          <cell r="B2572" t="str">
            <v>1656-00</v>
          </cell>
          <cell r="C2572" t="str">
            <v>BASE VALVE</v>
          </cell>
          <cell r="D2572">
            <v>160</v>
          </cell>
          <cell r="N2572" t="str">
            <v>1656-00</v>
          </cell>
          <cell r="O2572" t="str">
            <v>BASE VALVE</v>
          </cell>
          <cell r="P2572">
            <v>320</v>
          </cell>
        </row>
        <row r="2573">
          <cell r="B2573" t="str">
            <v>195-00</v>
          </cell>
          <cell r="C2573" t="str">
            <v>REB,RETAINER</v>
          </cell>
          <cell r="D2573">
            <v>160</v>
          </cell>
          <cell r="N2573" t="str">
            <v>195-00</v>
          </cell>
          <cell r="O2573" t="str">
            <v>REB,RETAINER</v>
          </cell>
          <cell r="P2573">
            <v>320</v>
          </cell>
        </row>
        <row r="2574">
          <cell r="B2574" t="str">
            <v>591-13</v>
          </cell>
          <cell r="C2574" t="str">
            <v>PISTON</v>
          </cell>
          <cell r="D2574">
            <v>158</v>
          </cell>
          <cell r="N2574" t="str">
            <v>591-13</v>
          </cell>
          <cell r="O2574" t="str">
            <v>PISTON</v>
          </cell>
          <cell r="P2574">
            <v>316</v>
          </cell>
        </row>
        <row r="2575">
          <cell r="B2575" t="str">
            <v>592-07</v>
          </cell>
          <cell r="C2575" t="str">
            <v>PISTON</v>
          </cell>
          <cell r="D2575">
            <v>160</v>
          </cell>
          <cell r="N2575" t="str">
            <v>592-07</v>
          </cell>
          <cell r="O2575" t="str">
            <v>PISTON</v>
          </cell>
          <cell r="P2575">
            <v>320</v>
          </cell>
        </row>
        <row r="2576">
          <cell r="B2576" t="str">
            <v>671-08</v>
          </cell>
          <cell r="C2576" t="str">
            <v>PISTON</v>
          </cell>
          <cell r="D2576">
            <v>109.5</v>
          </cell>
          <cell r="N2576" t="str">
            <v>671-08</v>
          </cell>
          <cell r="O2576" t="str">
            <v>PISTON</v>
          </cell>
          <cell r="P2576">
            <v>219</v>
          </cell>
        </row>
        <row r="2577">
          <cell r="B2577" t="str">
            <v>878-03</v>
          </cell>
          <cell r="C2577" t="str">
            <v>BODY</v>
          </cell>
          <cell r="D2577">
            <v>160</v>
          </cell>
          <cell r="N2577" t="str">
            <v>878-03</v>
          </cell>
          <cell r="O2577" t="str">
            <v>BODY</v>
          </cell>
          <cell r="P2577">
            <v>320</v>
          </cell>
        </row>
        <row r="2578">
          <cell r="B2578" t="str">
            <v>1610-02</v>
          </cell>
          <cell r="C2578" t="str">
            <v>RS RETAINER</v>
          </cell>
          <cell r="D2578">
            <v>87.5</v>
          </cell>
          <cell r="N2578" t="str">
            <v>1610-02</v>
          </cell>
          <cell r="O2578" t="str">
            <v>RS RETAINER</v>
          </cell>
          <cell r="P2578">
            <v>175</v>
          </cell>
        </row>
        <row r="2579">
          <cell r="B2579" t="str">
            <v>1673-03</v>
          </cell>
          <cell r="C2579" t="str">
            <v>RS RETAINER</v>
          </cell>
          <cell r="D2579">
            <v>82.5</v>
          </cell>
          <cell r="N2579" t="str">
            <v>1673-03</v>
          </cell>
          <cell r="O2579" t="str">
            <v>RS RETAINER</v>
          </cell>
          <cell r="P2579">
            <v>165</v>
          </cell>
        </row>
        <row r="2580">
          <cell r="B2580" t="str">
            <v>1742-01</v>
          </cell>
          <cell r="C2580" t="str">
            <v>REB,RETAINER</v>
          </cell>
          <cell r="D2580">
            <v>160.5</v>
          </cell>
          <cell r="N2580" t="str">
            <v>1742-01</v>
          </cell>
          <cell r="O2580" t="str">
            <v>REB,RETAINER</v>
          </cell>
          <cell r="P2580">
            <v>321</v>
          </cell>
        </row>
        <row r="2581">
          <cell r="B2581" t="str">
            <v>2076-17</v>
          </cell>
          <cell r="C2581" t="str">
            <v>BODY RETAINER</v>
          </cell>
          <cell r="D2581">
            <v>160.5</v>
          </cell>
          <cell r="N2581" t="str">
            <v>2076-17</v>
          </cell>
          <cell r="O2581" t="str">
            <v>BODY RETAINER</v>
          </cell>
          <cell r="P2581">
            <v>321</v>
          </cell>
        </row>
        <row r="2582">
          <cell r="B2582" t="str">
            <v>2412-12</v>
          </cell>
          <cell r="C2582" t="str">
            <v>BODY</v>
          </cell>
          <cell r="D2582">
            <v>160.5</v>
          </cell>
          <cell r="N2582" t="str">
            <v>2412-12</v>
          </cell>
          <cell r="O2582" t="str">
            <v>BODY</v>
          </cell>
          <cell r="P2582">
            <v>321</v>
          </cell>
        </row>
        <row r="2583">
          <cell r="B2583" t="str">
            <v>357-04</v>
          </cell>
          <cell r="C2583" t="str">
            <v>ROD GUIDE ASS'Y</v>
          </cell>
          <cell r="D2583">
            <v>160.5</v>
          </cell>
          <cell r="N2583" t="str">
            <v>357-04</v>
          </cell>
          <cell r="O2583" t="str">
            <v>ROD GUIDE ASS'Y</v>
          </cell>
          <cell r="P2583">
            <v>321</v>
          </cell>
        </row>
        <row r="2584">
          <cell r="B2584" t="str">
            <v>861-08</v>
          </cell>
          <cell r="C2584" t="str">
            <v>BODY</v>
          </cell>
          <cell r="D2584">
            <v>90</v>
          </cell>
          <cell r="N2584" t="str">
            <v>861-08</v>
          </cell>
          <cell r="O2584" t="str">
            <v>BODY</v>
          </cell>
          <cell r="P2584">
            <v>180</v>
          </cell>
        </row>
        <row r="2585">
          <cell r="B2585" t="str">
            <v>1481-06</v>
          </cell>
          <cell r="C2585" t="str">
            <v>RS RETAINER</v>
          </cell>
          <cell r="D2585">
            <v>161</v>
          </cell>
          <cell r="N2585" t="str">
            <v>1481-06</v>
          </cell>
          <cell r="O2585" t="str">
            <v>RS RETAINER</v>
          </cell>
          <cell r="P2585">
            <v>322</v>
          </cell>
        </row>
        <row r="2586">
          <cell r="B2586" t="str">
            <v>1554-05</v>
          </cell>
          <cell r="C2586" t="str">
            <v>RS RETAINER</v>
          </cell>
          <cell r="D2586">
            <v>157</v>
          </cell>
          <cell r="N2586" t="str">
            <v>1554-05</v>
          </cell>
          <cell r="O2586" t="str">
            <v>RS RETAINER</v>
          </cell>
          <cell r="P2586">
            <v>314</v>
          </cell>
        </row>
        <row r="2587">
          <cell r="B2587" t="str">
            <v>1634-16</v>
          </cell>
          <cell r="C2587" t="str">
            <v>RS RETAINER</v>
          </cell>
          <cell r="D2587">
            <v>154.5</v>
          </cell>
          <cell r="N2587" t="str">
            <v>1634-16</v>
          </cell>
          <cell r="O2587" t="str">
            <v>RS RETAINER</v>
          </cell>
          <cell r="P2587">
            <v>309</v>
          </cell>
        </row>
        <row r="2588">
          <cell r="B2588" t="str">
            <v>1673-08</v>
          </cell>
          <cell r="C2588" t="str">
            <v>RS RETAINER</v>
          </cell>
          <cell r="D2588">
            <v>161</v>
          </cell>
          <cell r="N2588" t="str">
            <v>1673-08</v>
          </cell>
          <cell r="O2588" t="str">
            <v>RS RETAINER</v>
          </cell>
          <cell r="P2588">
            <v>322</v>
          </cell>
        </row>
        <row r="2589">
          <cell r="B2589" t="str">
            <v>1734-13</v>
          </cell>
          <cell r="C2589" t="str">
            <v>RS RETAINER</v>
          </cell>
          <cell r="D2589">
            <v>151</v>
          </cell>
          <cell r="N2589" t="str">
            <v>1734-13</v>
          </cell>
          <cell r="O2589" t="str">
            <v>RS RETAINER</v>
          </cell>
          <cell r="P2589">
            <v>302</v>
          </cell>
        </row>
        <row r="2590">
          <cell r="B2590" t="str">
            <v>1734-13</v>
          </cell>
          <cell r="C2590" t="str">
            <v>RS RETAINER</v>
          </cell>
          <cell r="D2590">
            <v>151</v>
          </cell>
          <cell r="N2590" t="str">
            <v>1734-13</v>
          </cell>
          <cell r="O2590" t="str">
            <v>RS RETAINER</v>
          </cell>
          <cell r="P2590">
            <v>302</v>
          </cell>
        </row>
        <row r="2591">
          <cell r="B2591" t="str">
            <v>1831-05</v>
          </cell>
          <cell r="C2591" t="str">
            <v>BODY RETAINER</v>
          </cell>
          <cell r="D2591">
            <v>156</v>
          </cell>
          <cell r="N2591" t="str">
            <v>1831-05</v>
          </cell>
          <cell r="O2591" t="str">
            <v>BODY RETAINER</v>
          </cell>
          <cell r="P2591">
            <v>312</v>
          </cell>
        </row>
        <row r="2592">
          <cell r="B2592" t="str">
            <v>464-05</v>
          </cell>
          <cell r="C2592" t="str">
            <v>PISTON</v>
          </cell>
          <cell r="D2592">
            <v>161</v>
          </cell>
          <cell r="N2592" t="str">
            <v>464-05</v>
          </cell>
          <cell r="O2592" t="str">
            <v>PISTON</v>
          </cell>
          <cell r="P2592">
            <v>322</v>
          </cell>
        </row>
        <row r="2593">
          <cell r="B2593" t="str">
            <v>861-11</v>
          </cell>
          <cell r="C2593" t="str">
            <v>BODY</v>
          </cell>
          <cell r="D2593">
            <v>156</v>
          </cell>
          <cell r="N2593" t="str">
            <v>861-11</v>
          </cell>
          <cell r="O2593" t="str">
            <v>BODY</v>
          </cell>
          <cell r="P2593">
            <v>312</v>
          </cell>
        </row>
        <row r="2594">
          <cell r="B2594" t="str">
            <v>1095-00</v>
          </cell>
          <cell r="C2594" t="str">
            <v>ROD GUIDE</v>
          </cell>
          <cell r="D2594">
            <v>159</v>
          </cell>
          <cell r="N2594" t="str">
            <v>1095-00</v>
          </cell>
          <cell r="O2594" t="str">
            <v>ROD GUIDE</v>
          </cell>
          <cell r="P2594">
            <v>318</v>
          </cell>
        </row>
        <row r="2595">
          <cell r="B2595" t="str">
            <v>2892-03</v>
          </cell>
          <cell r="C2595" t="str">
            <v>BODY</v>
          </cell>
          <cell r="D2595">
            <v>161.5</v>
          </cell>
          <cell r="N2595" t="str">
            <v>2892-03</v>
          </cell>
          <cell r="O2595" t="str">
            <v>BODY</v>
          </cell>
          <cell r="P2595">
            <v>323</v>
          </cell>
        </row>
        <row r="2596">
          <cell r="B2596" t="str">
            <v>588-61</v>
          </cell>
          <cell r="C2596" t="str">
            <v>PISTON</v>
          </cell>
          <cell r="D2596">
            <v>152</v>
          </cell>
          <cell r="N2596" t="str">
            <v>588-61</v>
          </cell>
          <cell r="O2596" t="str">
            <v>PISTON</v>
          </cell>
          <cell r="P2596">
            <v>304</v>
          </cell>
        </row>
        <row r="2597">
          <cell r="B2597" t="str">
            <v>588-61</v>
          </cell>
          <cell r="C2597" t="str">
            <v>PISTON</v>
          </cell>
          <cell r="D2597">
            <v>152</v>
          </cell>
          <cell r="N2597" t="str">
            <v>588-61</v>
          </cell>
          <cell r="O2597" t="str">
            <v>PISTON</v>
          </cell>
          <cell r="P2597">
            <v>304</v>
          </cell>
        </row>
        <row r="2598">
          <cell r="B2598" t="str">
            <v>591-13</v>
          </cell>
          <cell r="C2598" t="str">
            <v>PISTON</v>
          </cell>
          <cell r="D2598">
            <v>158</v>
          </cell>
          <cell r="N2598" t="str">
            <v>591-13</v>
          </cell>
          <cell r="O2598" t="str">
            <v>PISTON</v>
          </cell>
          <cell r="P2598">
            <v>316</v>
          </cell>
        </row>
        <row r="2599">
          <cell r="B2599" t="str">
            <v>592-06</v>
          </cell>
          <cell r="C2599" t="str">
            <v>PISTON</v>
          </cell>
          <cell r="D2599">
            <v>158</v>
          </cell>
          <cell r="N2599" t="str">
            <v>592-06</v>
          </cell>
          <cell r="O2599" t="str">
            <v>PISTON</v>
          </cell>
          <cell r="P2599">
            <v>316</v>
          </cell>
        </row>
        <row r="2600">
          <cell r="B2600" t="str">
            <v>598-07</v>
          </cell>
          <cell r="C2600" t="str">
            <v>PISTON</v>
          </cell>
          <cell r="D2600">
            <v>161.5</v>
          </cell>
          <cell r="N2600" t="str">
            <v>598-07</v>
          </cell>
          <cell r="O2600" t="str">
            <v>PISTON</v>
          </cell>
          <cell r="P2600">
            <v>323</v>
          </cell>
        </row>
        <row r="2601">
          <cell r="B2601" t="str">
            <v>616-06</v>
          </cell>
          <cell r="C2601" t="str">
            <v>SUB VALVE BODY</v>
          </cell>
          <cell r="D2601">
            <v>161.5</v>
          </cell>
          <cell r="N2601" t="str">
            <v>616-06</v>
          </cell>
          <cell r="O2601" t="str">
            <v>SUB VALVE BODY</v>
          </cell>
          <cell r="P2601">
            <v>323</v>
          </cell>
        </row>
        <row r="2602">
          <cell r="B2602" t="str">
            <v>786-10</v>
          </cell>
          <cell r="C2602" t="str">
            <v>BODY</v>
          </cell>
          <cell r="D2602">
            <v>150.5</v>
          </cell>
          <cell r="N2602" t="str">
            <v>786-10</v>
          </cell>
          <cell r="O2602" t="str">
            <v>BODY</v>
          </cell>
          <cell r="P2602">
            <v>301</v>
          </cell>
        </row>
        <row r="2603">
          <cell r="B2603" t="str">
            <v>853-42</v>
          </cell>
          <cell r="C2603" t="str">
            <v>REB,RETAINER</v>
          </cell>
          <cell r="D2603">
            <v>95.5</v>
          </cell>
          <cell r="N2603" t="str">
            <v>853-42</v>
          </cell>
          <cell r="O2603" t="str">
            <v>REB,RETAINER</v>
          </cell>
          <cell r="P2603">
            <v>191</v>
          </cell>
        </row>
        <row r="2604">
          <cell r="B2604" t="str">
            <v>1444-00</v>
          </cell>
          <cell r="C2604" t="str">
            <v>CON-ROD</v>
          </cell>
          <cell r="D2604">
            <v>162</v>
          </cell>
          <cell r="N2604" t="str">
            <v>1444-00</v>
          </cell>
          <cell r="O2604" t="str">
            <v>CON-ROD</v>
          </cell>
          <cell r="P2604">
            <v>324</v>
          </cell>
        </row>
        <row r="2605">
          <cell r="B2605" t="str">
            <v>1444-00</v>
          </cell>
          <cell r="C2605" t="str">
            <v>CON-ROD</v>
          </cell>
          <cell r="D2605">
            <v>162</v>
          </cell>
          <cell r="N2605" t="str">
            <v>1444-00</v>
          </cell>
          <cell r="O2605" t="str">
            <v>CON-ROD</v>
          </cell>
          <cell r="P2605">
            <v>324</v>
          </cell>
        </row>
        <row r="2606">
          <cell r="B2606" t="str">
            <v>1444-00</v>
          </cell>
          <cell r="C2606" t="str">
            <v>CON-ROD</v>
          </cell>
          <cell r="D2606">
            <v>162</v>
          </cell>
          <cell r="N2606" t="str">
            <v>1444-00</v>
          </cell>
          <cell r="O2606" t="str">
            <v>CON-ROD</v>
          </cell>
          <cell r="P2606">
            <v>324</v>
          </cell>
        </row>
        <row r="2607">
          <cell r="B2607" t="str">
            <v>1607-00</v>
          </cell>
          <cell r="C2607" t="str">
            <v>PISTON</v>
          </cell>
          <cell r="D2607">
            <v>155.5</v>
          </cell>
          <cell r="N2607" t="str">
            <v>1607-00</v>
          </cell>
          <cell r="O2607" t="str">
            <v>PISTON</v>
          </cell>
          <cell r="P2607">
            <v>311</v>
          </cell>
        </row>
        <row r="2608">
          <cell r="B2608" t="str">
            <v>1610-10</v>
          </cell>
          <cell r="C2608" t="str">
            <v>RS RETAINER</v>
          </cell>
          <cell r="D2608">
            <v>162</v>
          </cell>
          <cell r="N2608" t="str">
            <v>1610-10</v>
          </cell>
          <cell r="O2608" t="str">
            <v>RS RETAINER</v>
          </cell>
          <cell r="P2608">
            <v>324</v>
          </cell>
        </row>
        <row r="2609">
          <cell r="B2609" t="str">
            <v>2069-00</v>
          </cell>
          <cell r="C2609" t="str">
            <v>PILOT RETAINER</v>
          </cell>
          <cell r="D2609">
            <v>157.5</v>
          </cell>
          <cell r="N2609" t="str">
            <v>2069-00</v>
          </cell>
          <cell r="O2609" t="str">
            <v>PILOT RETAINER</v>
          </cell>
          <cell r="P2609">
            <v>315</v>
          </cell>
        </row>
        <row r="2610">
          <cell r="B2610" t="str">
            <v>357-04</v>
          </cell>
          <cell r="C2610" t="str">
            <v>ROD GUIDE ASS'Y</v>
          </cell>
          <cell r="D2610">
            <v>160.5</v>
          </cell>
          <cell r="N2610" t="str">
            <v>357-04</v>
          </cell>
          <cell r="O2610" t="str">
            <v>ROD GUIDE ASS'Y</v>
          </cell>
          <cell r="P2610">
            <v>321</v>
          </cell>
        </row>
        <row r="2611">
          <cell r="B2611" t="str">
            <v>464-03</v>
          </cell>
          <cell r="C2611" t="str">
            <v>PISTON</v>
          </cell>
          <cell r="D2611">
            <v>144.5</v>
          </cell>
          <cell r="N2611" t="str">
            <v>464-03</v>
          </cell>
          <cell r="O2611" t="str">
            <v>PISTON</v>
          </cell>
          <cell r="P2611">
            <v>289</v>
          </cell>
        </row>
        <row r="2612">
          <cell r="B2612" t="str">
            <v>598-07</v>
          </cell>
          <cell r="C2612" t="str">
            <v>PISTON</v>
          </cell>
          <cell r="D2612">
            <v>161.5</v>
          </cell>
          <cell r="N2612" t="str">
            <v>598-07</v>
          </cell>
          <cell r="O2612" t="str">
            <v>PISTON</v>
          </cell>
          <cell r="P2612">
            <v>323</v>
          </cell>
        </row>
        <row r="2613">
          <cell r="B2613" t="str">
            <v>598-13</v>
          </cell>
          <cell r="C2613" t="str">
            <v>PISTON</v>
          </cell>
          <cell r="D2613">
            <v>162</v>
          </cell>
          <cell r="N2613" t="str">
            <v>598-13</v>
          </cell>
          <cell r="O2613" t="str">
            <v>PISTON</v>
          </cell>
          <cell r="P2613">
            <v>324</v>
          </cell>
        </row>
        <row r="2614">
          <cell r="B2614" t="str">
            <v>673-14</v>
          </cell>
          <cell r="C2614" t="str">
            <v>PISTON</v>
          </cell>
          <cell r="D2614">
            <v>139.5</v>
          </cell>
          <cell r="N2614" t="str">
            <v>673-14</v>
          </cell>
          <cell r="O2614" t="str">
            <v>PISTON</v>
          </cell>
          <cell r="P2614">
            <v>279</v>
          </cell>
        </row>
        <row r="2615">
          <cell r="B2615" t="str">
            <v>673-14</v>
          </cell>
          <cell r="C2615" t="str">
            <v>PISTON</v>
          </cell>
          <cell r="D2615">
            <v>139.5</v>
          </cell>
          <cell r="N2615" t="str">
            <v>673-14</v>
          </cell>
          <cell r="O2615" t="str">
            <v>PISTON</v>
          </cell>
          <cell r="P2615">
            <v>279</v>
          </cell>
        </row>
        <row r="2616">
          <cell r="B2616" t="str">
            <v>673-16</v>
          </cell>
          <cell r="C2616" t="str">
            <v>PISTON</v>
          </cell>
          <cell r="D2616">
            <v>147</v>
          </cell>
          <cell r="N2616" t="str">
            <v>673-16</v>
          </cell>
          <cell r="O2616" t="str">
            <v>PISTON</v>
          </cell>
          <cell r="P2616">
            <v>294</v>
          </cell>
        </row>
        <row r="2617">
          <cell r="B2617" t="str">
            <v>673-16</v>
          </cell>
          <cell r="C2617" t="str">
            <v>PISTON</v>
          </cell>
          <cell r="D2617">
            <v>147</v>
          </cell>
          <cell r="N2617" t="str">
            <v>673-16</v>
          </cell>
          <cell r="O2617" t="str">
            <v>PISTON</v>
          </cell>
          <cell r="P2617">
            <v>294</v>
          </cell>
        </row>
        <row r="2618">
          <cell r="B2618" t="str">
            <v>673-17</v>
          </cell>
          <cell r="C2618" t="str">
            <v>PISTON</v>
          </cell>
          <cell r="D2618">
            <v>162</v>
          </cell>
          <cell r="N2618" t="str">
            <v>673-17</v>
          </cell>
          <cell r="O2618" t="str">
            <v>PISTON</v>
          </cell>
          <cell r="P2618">
            <v>324</v>
          </cell>
        </row>
        <row r="2619">
          <cell r="B2619" t="str">
            <v>673-17</v>
          </cell>
          <cell r="C2619" t="str">
            <v>PISTON</v>
          </cell>
          <cell r="D2619">
            <v>162</v>
          </cell>
          <cell r="N2619" t="str">
            <v>673-17</v>
          </cell>
          <cell r="O2619" t="str">
            <v>PISTON</v>
          </cell>
          <cell r="P2619">
            <v>324</v>
          </cell>
        </row>
        <row r="2620">
          <cell r="B2620" t="str">
            <v>852-08</v>
          </cell>
          <cell r="C2620" t="str">
            <v>BODY</v>
          </cell>
          <cell r="D2620">
            <v>126</v>
          </cell>
          <cell r="N2620" t="str">
            <v>852-08</v>
          </cell>
          <cell r="O2620" t="str">
            <v>BODY</v>
          </cell>
          <cell r="P2620">
            <v>252</v>
          </cell>
        </row>
        <row r="2621">
          <cell r="B2621" t="str">
            <v>118-00</v>
          </cell>
          <cell r="C2621" t="str">
            <v>CYLINDER END</v>
          </cell>
          <cell r="D2621">
            <v>162.5</v>
          </cell>
          <cell r="N2621" t="str">
            <v>118-00</v>
          </cell>
          <cell r="O2621" t="str">
            <v>CYLINDER END</v>
          </cell>
          <cell r="P2621">
            <v>325</v>
          </cell>
        </row>
        <row r="2622">
          <cell r="B2622" t="str">
            <v>1446-07</v>
          </cell>
          <cell r="C2622" t="str">
            <v>BODY</v>
          </cell>
          <cell r="D2622">
            <v>162.5</v>
          </cell>
          <cell r="N2622" t="str">
            <v>1446-07</v>
          </cell>
          <cell r="O2622" t="str">
            <v>BODY</v>
          </cell>
          <cell r="P2622">
            <v>325</v>
          </cell>
        </row>
        <row r="2623">
          <cell r="B2623" t="str">
            <v>1461-01</v>
          </cell>
          <cell r="C2623" t="str">
            <v>PISTON</v>
          </cell>
          <cell r="D2623">
            <v>162.5</v>
          </cell>
          <cell r="N2623" t="str">
            <v>1461-01</v>
          </cell>
          <cell r="O2623" t="str">
            <v>PISTON</v>
          </cell>
          <cell r="P2623">
            <v>325</v>
          </cell>
        </row>
        <row r="2624">
          <cell r="B2624" t="str">
            <v>1690-00</v>
          </cell>
          <cell r="C2624" t="str">
            <v>RACK STOPPER</v>
          </cell>
          <cell r="D2624">
            <v>147.5</v>
          </cell>
          <cell r="N2624" t="str">
            <v>1690-00</v>
          </cell>
          <cell r="O2624" t="str">
            <v>RACK STOPPER</v>
          </cell>
          <cell r="P2624">
            <v>295</v>
          </cell>
        </row>
        <row r="2625">
          <cell r="B2625" t="str">
            <v>1690-00</v>
          </cell>
          <cell r="C2625" t="str">
            <v>RACK STOPPER</v>
          </cell>
          <cell r="D2625">
            <v>147.5</v>
          </cell>
          <cell r="N2625" t="str">
            <v>1690-00</v>
          </cell>
          <cell r="O2625" t="str">
            <v>RACK STOPPER</v>
          </cell>
          <cell r="P2625">
            <v>295</v>
          </cell>
        </row>
        <row r="2626">
          <cell r="B2626" t="str">
            <v>1779-05</v>
          </cell>
          <cell r="C2626" t="str">
            <v>RS RETAINER</v>
          </cell>
          <cell r="D2626">
            <v>86.5</v>
          </cell>
          <cell r="N2626" t="str">
            <v>1779-05</v>
          </cell>
          <cell r="O2626" t="str">
            <v>RS RETAINER</v>
          </cell>
          <cell r="P2626">
            <v>173</v>
          </cell>
        </row>
        <row r="2627">
          <cell r="B2627" t="str">
            <v>1831-17</v>
          </cell>
          <cell r="C2627" t="str">
            <v>BODY RETAINER</v>
          </cell>
          <cell r="D2627">
            <v>162.5</v>
          </cell>
          <cell r="N2627" t="str">
            <v>1831-17</v>
          </cell>
          <cell r="O2627" t="str">
            <v>BODY RETAINER</v>
          </cell>
          <cell r="P2627">
            <v>325</v>
          </cell>
        </row>
        <row r="2628">
          <cell r="B2628" t="str">
            <v>1832-07</v>
          </cell>
          <cell r="C2628" t="str">
            <v>BODY RETAINER</v>
          </cell>
          <cell r="D2628">
            <v>158</v>
          </cell>
          <cell r="N2628" t="str">
            <v>1832-07</v>
          </cell>
          <cell r="O2628" t="str">
            <v>BODY RETAINER</v>
          </cell>
          <cell r="P2628">
            <v>316</v>
          </cell>
        </row>
        <row r="2629">
          <cell r="B2629" t="str">
            <v>598-20</v>
          </cell>
          <cell r="C2629" t="str">
            <v>PISTON</v>
          </cell>
          <cell r="D2629">
            <v>162.5</v>
          </cell>
          <cell r="N2629" t="str">
            <v>598-20</v>
          </cell>
          <cell r="O2629" t="str">
            <v>PISTON</v>
          </cell>
          <cell r="P2629">
            <v>325</v>
          </cell>
        </row>
        <row r="2630">
          <cell r="B2630" t="str">
            <v>661-19</v>
          </cell>
          <cell r="C2630" t="str">
            <v>BODY</v>
          </cell>
          <cell r="D2630">
            <v>162.5</v>
          </cell>
          <cell r="N2630" t="str">
            <v>661-19</v>
          </cell>
          <cell r="O2630" t="str">
            <v>BODY</v>
          </cell>
          <cell r="P2630">
            <v>325</v>
          </cell>
        </row>
        <row r="2631">
          <cell r="B2631" t="str">
            <v>661-30</v>
          </cell>
          <cell r="C2631" t="str">
            <v>BODY</v>
          </cell>
          <cell r="D2631">
            <v>162.5</v>
          </cell>
          <cell r="N2631" t="str">
            <v>661-30</v>
          </cell>
          <cell r="O2631" t="str">
            <v>BODY</v>
          </cell>
          <cell r="P2631">
            <v>325</v>
          </cell>
        </row>
        <row r="2632">
          <cell r="B2632" t="str">
            <v>671-01</v>
          </cell>
          <cell r="C2632" t="str">
            <v>PISTON</v>
          </cell>
          <cell r="D2632">
            <v>84</v>
          </cell>
          <cell r="N2632" t="str">
            <v>671-01</v>
          </cell>
          <cell r="O2632" t="str">
            <v>PISTON</v>
          </cell>
          <cell r="P2632">
            <v>168</v>
          </cell>
        </row>
        <row r="2633">
          <cell r="B2633" t="str">
            <v>749-20</v>
          </cell>
          <cell r="C2633" t="str">
            <v>REB,RETAINER</v>
          </cell>
          <cell r="D2633">
            <v>123.5</v>
          </cell>
          <cell r="N2633" t="str">
            <v>749-20</v>
          </cell>
          <cell r="O2633" t="str">
            <v>REB,RETAINER</v>
          </cell>
          <cell r="P2633">
            <v>247</v>
          </cell>
        </row>
        <row r="2634">
          <cell r="B2634" t="str">
            <v>784-02</v>
          </cell>
          <cell r="C2634" t="str">
            <v>RACK STOPPER</v>
          </cell>
          <cell r="D2634">
            <v>162.5</v>
          </cell>
          <cell r="N2634" t="str">
            <v>784-02</v>
          </cell>
          <cell r="O2634" t="str">
            <v>RACK STOPPER</v>
          </cell>
          <cell r="P2634">
            <v>325</v>
          </cell>
        </row>
        <row r="2635">
          <cell r="B2635" t="str">
            <v>797-01</v>
          </cell>
          <cell r="C2635" t="str">
            <v>BODY</v>
          </cell>
          <cell r="D2635">
            <v>99</v>
          </cell>
          <cell r="N2635" t="str">
            <v>797-01</v>
          </cell>
          <cell r="O2635" t="str">
            <v>BODY</v>
          </cell>
          <cell r="P2635">
            <v>198</v>
          </cell>
        </row>
        <row r="2636">
          <cell r="B2636" t="str">
            <v>797-07</v>
          </cell>
          <cell r="C2636" t="str">
            <v>BODY</v>
          </cell>
          <cell r="D2636">
            <v>112</v>
          </cell>
          <cell r="N2636" t="str">
            <v>797-07</v>
          </cell>
          <cell r="O2636" t="str">
            <v>BODY</v>
          </cell>
          <cell r="P2636">
            <v>224</v>
          </cell>
        </row>
        <row r="2637">
          <cell r="B2637" t="str">
            <v>1429-01</v>
          </cell>
          <cell r="C2637" t="str">
            <v>PISTON</v>
          </cell>
          <cell r="D2637">
            <v>155</v>
          </cell>
          <cell r="N2637" t="str">
            <v>1429-01</v>
          </cell>
          <cell r="O2637" t="str">
            <v>PISTON</v>
          </cell>
          <cell r="P2637">
            <v>310</v>
          </cell>
        </row>
        <row r="2638">
          <cell r="B2638" t="str">
            <v>1547-00</v>
          </cell>
          <cell r="C2638" t="str">
            <v>TILT CAM</v>
          </cell>
          <cell r="D2638">
            <v>195.6</v>
          </cell>
          <cell r="N2638" t="str">
            <v>1547-00</v>
          </cell>
          <cell r="O2638" t="str">
            <v>TILT CAM</v>
          </cell>
          <cell r="P2638">
            <v>326</v>
          </cell>
        </row>
        <row r="2639">
          <cell r="B2639" t="str">
            <v>1634-15</v>
          </cell>
          <cell r="C2639" t="str">
            <v>RS RETAINER</v>
          </cell>
          <cell r="D2639">
            <v>163</v>
          </cell>
          <cell r="N2639" t="str">
            <v>1634-15</v>
          </cell>
          <cell r="O2639" t="str">
            <v>RS RETAINER</v>
          </cell>
          <cell r="P2639">
            <v>326</v>
          </cell>
        </row>
        <row r="2640">
          <cell r="B2640" t="str">
            <v>1673-05</v>
          </cell>
          <cell r="C2640" t="str">
            <v>RS RETAINER</v>
          </cell>
          <cell r="D2640">
            <v>163</v>
          </cell>
          <cell r="N2640" t="str">
            <v>1673-05</v>
          </cell>
          <cell r="O2640" t="str">
            <v>RS RETAINER</v>
          </cell>
          <cell r="P2640">
            <v>326</v>
          </cell>
        </row>
        <row r="2641">
          <cell r="B2641" t="str">
            <v>356-00</v>
          </cell>
          <cell r="C2641" t="str">
            <v>RACK STOPPER</v>
          </cell>
          <cell r="D2641">
            <v>195.6</v>
          </cell>
          <cell r="N2641" t="str">
            <v>356-00</v>
          </cell>
          <cell r="O2641" t="str">
            <v>RACK STOPPER</v>
          </cell>
          <cell r="P2641">
            <v>326</v>
          </cell>
        </row>
        <row r="2642">
          <cell r="B2642" t="str">
            <v>784-01</v>
          </cell>
          <cell r="C2642" t="str">
            <v>RACK STOPPER</v>
          </cell>
          <cell r="D2642">
            <v>163</v>
          </cell>
          <cell r="N2642" t="str">
            <v>784-01</v>
          </cell>
          <cell r="O2642" t="str">
            <v>RACK STOPPER</v>
          </cell>
          <cell r="P2642">
            <v>326</v>
          </cell>
        </row>
        <row r="2643">
          <cell r="B2643" t="str">
            <v>928-00</v>
          </cell>
          <cell r="C2643" t="str">
            <v>ROD GUIDE</v>
          </cell>
          <cell r="D2643">
            <v>163</v>
          </cell>
          <cell r="N2643" t="str">
            <v>928-00</v>
          </cell>
          <cell r="O2643" t="str">
            <v>ROD GUIDE</v>
          </cell>
          <cell r="P2643">
            <v>326</v>
          </cell>
        </row>
        <row r="2644">
          <cell r="B2644" t="str">
            <v>1554-05</v>
          </cell>
          <cell r="C2644" t="str">
            <v>RS RETAINER</v>
          </cell>
          <cell r="D2644">
            <v>157</v>
          </cell>
          <cell r="N2644" t="str">
            <v>1554-05</v>
          </cell>
          <cell r="O2644" t="str">
            <v>RS RETAINER</v>
          </cell>
          <cell r="P2644">
            <v>314</v>
          </cell>
        </row>
        <row r="2645">
          <cell r="B2645" t="str">
            <v>1554-05</v>
          </cell>
          <cell r="C2645" t="str">
            <v>RS RETAINER</v>
          </cell>
          <cell r="D2645">
            <v>157</v>
          </cell>
          <cell r="N2645" t="str">
            <v>1554-05</v>
          </cell>
          <cell r="O2645" t="str">
            <v>RS RETAINER</v>
          </cell>
          <cell r="P2645">
            <v>314</v>
          </cell>
        </row>
        <row r="2646">
          <cell r="B2646" t="str">
            <v>1634-16</v>
          </cell>
          <cell r="C2646" t="str">
            <v>RS RETAINER</v>
          </cell>
          <cell r="D2646">
            <v>154.5</v>
          </cell>
          <cell r="N2646" t="str">
            <v>1634-16</v>
          </cell>
          <cell r="O2646" t="str">
            <v>RS RETAINER</v>
          </cell>
          <cell r="P2646">
            <v>309</v>
          </cell>
        </row>
        <row r="2647">
          <cell r="B2647" t="str">
            <v>1734-09</v>
          </cell>
          <cell r="C2647" t="str">
            <v>RS RETAINER</v>
          </cell>
          <cell r="D2647">
            <v>96.5</v>
          </cell>
          <cell r="N2647" t="str">
            <v>1734-09</v>
          </cell>
          <cell r="O2647" t="str">
            <v>RS RETAINER</v>
          </cell>
          <cell r="P2647">
            <v>193</v>
          </cell>
        </row>
        <row r="2648">
          <cell r="B2648" t="str">
            <v>1917-00</v>
          </cell>
          <cell r="C2648" t="str">
            <v>BODY</v>
          </cell>
          <cell r="D2648">
            <v>155</v>
          </cell>
          <cell r="N2648" t="str">
            <v>1917-00</v>
          </cell>
          <cell r="O2648" t="str">
            <v>BODY</v>
          </cell>
          <cell r="P2648">
            <v>310</v>
          </cell>
        </row>
        <row r="2649">
          <cell r="B2649" t="str">
            <v>606-00</v>
          </cell>
          <cell r="C2649" t="str">
            <v>CONTROL SLEEVE</v>
          </cell>
          <cell r="D2649">
            <v>163.5</v>
          </cell>
          <cell r="N2649" t="str">
            <v>606-00</v>
          </cell>
          <cell r="O2649" t="str">
            <v>CONTROL SLEEVE</v>
          </cell>
          <cell r="P2649">
            <v>327</v>
          </cell>
        </row>
        <row r="2650">
          <cell r="B2650" t="str">
            <v>661-01</v>
          </cell>
          <cell r="C2650" t="str">
            <v>BODY</v>
          </cell>
          <cell r="D2650">
            <v>88</v>
          </cell>
          <cell r="N2650" t="str">
            <v>661-01</v>
          </cell>
          <cell r="O2650" t="str">
            <v>BODY</v>
          </cell>
          <cell r="P2650">
            <v>176</v>
          </cell>
        </row>
        <row r="2651">
          <cell r="B2651" t="str">
            <v>661-15</v>
          </cell>
          <cell r="C2651" t="str">
            <v>BODY</v>
          </cell>
          <cell r="D2651">
            <v>110.5</v>
          </cell>
          <cell r="N2651" t="str">
            <v>661-15</v>
          </cell>
          <cell r="O2651" t="str">
            <v>BODY</v>
          </cell>
          <cell r="P2651">
            <v>221</v>
          </cell>
        </row>
        <row r="2652">
          <cell r="B2652" t="str">
            <v>673-12</v>
          </cell>
          <cell r="C2652" t="str">
            <v>PISTON</v>
          </cell>
          <cell r="D2652">
            <v>163.5</v>
          </cell>
          <cell r="N2652" t="str">
            <v>673-12</v>
          </cell>
          <cell r="O2652" t="str">
            <v>PISTON</v>
          </cell>
          <cell r="P2652">
            <v>327</v>
          </cell>
        </row>
        <row r="2653">
          <cell r="B2653" t="str">
            <v>735-03</v>
          </cell>
          <cell r="C2653" t="str">
            <v>BODY</v>
          </cell>
          <cell r="D2653">
            <v>163.5</v>
          </cell>
          <cell r="N2653" t="str">
            <v>735-03</v>
          </cell>
          <cell r="O2653" t="str">
            <v>BODY</v>
          </cell>
          <cell r="P2653">
            <v>327</v>
          </cell>
        </row>
        <row r="2654">
          <cell r="B2654" t="str">
            <v>853-48</v>
          </cell>
          <cell r="C2654" t="str">
            <v>REB,RETAINER</v>
          </cell>
          <cell r="D2654">
            <v>97</v>
          </cell>
          <cell r="N2654" t="str">
            <v>853-48</v>
          </cell>
          <cell r="O2654" t="str">
            <v>REB,RETAINER</v>
          </cell>
          <cell r="P2654">
            <v>194</v>
          </cell>
        </row>
        <row r="2655">
          <cell r="B2655" t="str">
            <v>1199-00</v>
          </cell>
          <cell r="C2655" t="str">
            <v>TONE WHEEL</v>
          </cell>
          <cell r="D2655">
            <v>164</v>
          </cell>
          <cell r="N2655" t="str">
            <v>1199-00</v>
          </cell>
          <cell r="O2655" t="str">
            <v>TONE WHEEL</v>
          </cell>
          <cell r="P2655">
            <v>328</v>
          </cell>
        </row>
        <row r="2656">
          <cell r="B2656" t="str">
            <v>1199-00</v>
          </cell>
          <cell r="C2656" t="str">
            <v>TONE WHEEL</v>
          </cell>
          <cell r="D2656">
            <v>164</v>
          </cell>
          <cell r="N2656" t="str">
            <v>1199-00</v>
          </cell>
          <cell r="O2656" t="str">
            <v>TONE WHEEL</v>
          </cell>
          <cell r="P2656">
            <v>328</v>
          </cell>
        </row>
        <row r="2657">
          <cell r="B2657" t="str">
            <v>1199-00</v>
          </cell>
          <cell r="C2657" t="str">
            <v>TONE WHEEL</v>
          </cell>
          <cell r="D2657">
            <v>164</v>
          </cell>
          <cell r="N2657" t="str">
            <v>1199-00</v>
          </cell>
          <cell r="O2657" t="str">
            <v>TONE WHEEL</v>
          </cell>
          <cell r="P2657">
            <v>328</v>
          </cell>
        </row>
        <row r="2658">
          <cell r="B2658" t="str">
            <v>1471-02</v>
          </cell>
          <cell r="C2658" t="str">
            <v>SUB BODY</v>
          </cell>
          <cell r="D2658">
            <v>131</v>
          </cell>
          <cell r="N2658" t="str">
            <v>1471-02</v>
          </cell>
          <cell r="O2658" t="str">
            <v>SUB BODY</v>
          </cell>
          <cell r="P2658">
            <v>262</v>
          </cell>
        </row>
        <row r="2659">
          <cell r="B2659" t="str">
            <v>1831-02</v>
          </cell>
          <cell r="C2659" t="str">
            <v>BODY RETAINER</v>
          </cell>
          <cell r="D2659">
            <v>157.5</v>
          </cell>
          <cell r="N2659" t="str">
            <v>1831-02</v>
          </cell>
          <cell r="O2659" t="str">
            <v>BODY RETAINER</v>
          </cell>
          <cell r="P2659">
            <v>315</v>
          </cell>
        </row>
        <row r="2660">
          <cell r="B2660" t="str">
            <v>588-61</v>
          </cell>
          <cell r="C2660" t="str">
            <v>PISTON</v>
          </cell>
          <cell r="D2660">
            <v>152</v>
          </cell>
          <cell r="N2660" t="str">
            <v>588-61</v>
          </cell>
          <cell r="O2660" t="str">
            <v>PISTON</v>
          </cell>
          <cell r="P2660">
            <v>304</v>
          </cell>
        </row>
        <row r="2661">
          <cell r="B2661" t="str">
            <v>591-13</v>
          </cell>
          <cell r="C2661" t="str">
            <v>PISTON</v>
          </cell>
          <cell r="D2661">
            <v>158</v>
          </cell>
          <cell r="N2661" t="str">
            <v>591-13</v>
          </cell>
          <cell r="O2661" t="str">
            <v>PISTON</v>
          </cell>
          <cell r="P2661">
            <v>316</v>
          </cell>
        </row>
        <row r="2662">
          <cell r="B2662" t="str">
            <v>598-20</v>
          </cell>
          <cell r="C2662" t="str">
            <v>PISTON</v>
          </cell>
          <cell r="D2662">
            <v>162.5</v>
          </cell>
          <cell r="N2662" t="str">
            <v>598-20</v>
          </cell>
          <cell r="O2662" t="str">
            <v>PISTON</v>
          </cell>
          <cell r="P2662">
            <v>325</v>
          </cell>
        </row>
        <row r="2663">
          <cell r="B2663" t="str">
            <v>605-00</v>
          </cell>
          <cell r="C2663" t="str">
            <v>CONTROL SLEEVE</v>
          </cell>
          <cell r="D2663">
            <v>164</v>
          </cell>
          <cell r="N2663" t="str">
            <v>605-00</v>
          </cell>
          <cell r="O2663" t="str">
            <v>CONTROL SLEEVE</v>
          </cell>
          <cell r="P2663">
            <v>328</v>
          </cell>
        </row>
        <row r="2664">
          <cell r="B2664" t="str">
            <v>1461-01</v>
          </cell>
          <cell r="C2664" t="str">
            <v>PISTON</v>
          </cell>
          <cell r="D2664">
            <v>162.5</v>
          </cell>
          <cell r="N2664" t="str">
            <v>1461-01</v>
          </cell>
          <cell r="O2664" t="str">
            <v>PISTON</v>
          </cell>
          <cell r="P2664">
            <v>325</v>
          </cell>
        </row>
        <row r="2665">
          <cell r="B2665" t="str">
            <v>588-39</v>
          </cell>
          <cell r="C2665" t="str">
            <v>PISTON</v>
          </cell>
          <cell r="D2665">
            <v>159</v>
          </cell>
          <cell r="N2665" t="str">
            <v>588-39</v>
          </cell>
          <cell r="O2665" t="str">
            <v>PISTON</v>
          </cell>
          <cell r="P2665">
            <v>318</v>
          </cell>
        </row>
        <row r="2666">
          <cell r="B2666" t="str">
            <v>588-39</v>
          </cell>
          <cell r="C2666" t="str">
            <v>PISTON</v>
          </cell>
          <cell r="D2666">
            <v>159</v>
          </cell>
          <cell r="N2666" t="str">
            <v>588-39</v>
          </cell>
          <cell r="O2666" t="str">
            <v>PISTON</v>
          </cell>
          <cell r="P2666">
            <v>318</v>
          </cell>
        </row>
        <row r="2667">
          <cell r="B2667" t="str">
            <v>861-17</v>
          </cell>
          <cell r="C2667" t="str">
            <v>BODY</v>
          </cell>
          <cell r="D2667">
            <v>164.5</v>
          </cell>
          <cell r="N2667" t="str">
            <v>861-17</v>
          </cell>
          <cell r="O2667" t="str">
            <v>BODY</v>
          </cell>
          <cell r="P2667">
            <v>329</v>
          </cell>
        </row>
        <row r="2668">
          <cell r="B2668" t="str">
            <v>861-17</v>
          </cell>
          <cell r="C2668" t="str">
            <v>BODY</v>
          </cell>
          <cell r="D2668">
            <v>164.5</v>
          </cell>
          <cell r="N2668" t="str">
            <v>861-17</v>
          </cell>
          <cell r="O2668" t="str">
            <v>BODY</v>
          </cell>
          <cell r="P2668">
            <v>329</v>
          </cell>
        </row>
        <row r="2669">
          <cell r="B2669" t="str">
            <v>878-09</v>
          </cell>
          <cell r="C2669" t="str">
            <v>BODY</v>
          </cell>
          <cell r="D2669">
            <v>164.5</v>
          </cell>
          <cell r="N2669" t="str">
            <v>878-09</v>
          </cell>
          <cell r="O2669" t="str">
            <v>BODY</v>
          </cell>
          <cell r="P2669">
            <v>329</v>
          </cell>
        </row>
        <row r="2670">
          <cell r="B2670" t="str">
            <v>1477-00</v>
          </cell>
          <cell r="C2670" t="str">
            <v>PISTON</v>
          </cell>
          <cell r="D2670">
            <v>165</v>
          </cell>
          <cell r="N2670" t="str">
            <v>1477-00</v>
          </cell>
          <cell r="O2670" t="str">
            <v>PISTON</v>
          </cell>
          <cell r="P2670">
            <v>330</v>
          </cell>
        </row>
        <row r="2671">
          <cell r="B2671" t="str">
            <v>1607-00</v>
          </cell>
          <cell r="C2671" t="str">
            <v>PISTON</v>
          </cell>
          <cell r="D2671">
            <v>155.5</v>
          </cell>
          <cell r="N2671" t="str">
            <v>1607-00</v>
          </cell>
          <cell r="O2671" t="str">
            <v>PISTON</v>
          </cell>
          <cell r="P2671">
            <v>311</v>
          </cell>
        </row>
        <row r="2672">
          <cell r="B2672" t="str">
            <v>1634-14</v>
          </cell>
          <cell r="C2672" t="str">
            <v>RS RETAINER</v>
          </cell>
          <cell r="D2672">
            <v>89.5</v>
          </cell>
          <cell r="N2672" t="str">
            <v>1634-14</v>
          </cell>
          <cell r="O2672" t="str">
            <v>RS RETAINER</v>
          </cell>
          <cell r="P2672">
            <v>179</v>
          </cell>
        </row>
        <row r="2673">
          <cell r="B2673" t="str">
            <v>1656-00</v>
          </cell>
          <cell r="C2673" t="str">
            <v>BASE VALVE</v>
          </cell>
          <cell r="D2673">
            <v>160</v>
          </cell>
          <cell r="N2673" t="str">
            <v>1656-00</v>
          </cell>
          <cell r="O2673" t="str">
            <v>BASE VALVE</v>
          </cell>
          <cell r="P2673">
            <v>320</v>
          </cell>
        </row>
        <row r="2674">
          <cell r="B2674" t="str">
            <v>1657-00</v>
          </cell>
          <cell r="C2674" t="str">
            <v>BASE VALVE</v>
          </cell>
          <cell r="D2674">
            <v>165</v>
          </cell>
          <cell r="N2674" t="str">
            <v>1657-00</v>
          </cell>
          <cell r="O2674" t="str">
            <v>BASE VALVE</v>
          </cell>
          <cell r="P2674">
            <v>330</v>
          </cell>
        </row>
        <row r="2675">
          <cell r="B2675" t="str">
            <v>1657-00</v>
          </cell>
          <cell r="C2675" t="str">
            <v>BASE VALVE</v>
          </cell>
          <cell r="D2675">
            <v>165</v>
          </cell>
          <cell r="N2675" t="str">
            <v>1657-00</v>
          </cell>
          <cell r="O2675" t="str">
            <v>BASE VALVE</v>
          </cell>
          <cell r="P2675">
            <v>330</v>
          </cell>
        </row>
        <row r="2676">
          <cell r="B2676" t="str">
            <v>1916-00</v>
          </cell>
          <cell r="C2676" t="str">
            <v>BODY</v>
          </cell>
          <cell r="D2676">
            <v>155.5</v>
          </cell>
          <cell r="N2676" t="str">
            <v>1916-00</v>
          </cell>
          <cell r="O2676" t="str">
            <v>BODY</v>
          </cell>
          <cell r="P2676">
            <v>311</v>
          </cell>
        </row>
        <row r="2677">
          <cell r="B2677" t="str">
            <v>598-23</v>
          </cell>
          <cell r="C2677" t="str">
            <v>PISTON</v>
          </cell>
          <cell r="D2677">
            <v>165</v>
          </cell>
          <cell r="N2677" t="str">
            <v>598-23</v>
          </cell>
          <cell r="O2677" t="str">
            <v>PISTON</v>
          </cell>
          <cell r="P2677">
            <v>330</v>
          </cell>
        </row>
        <row r="2678">
          <cell r="B2678" t="str">
            <v>616-09</v>
          </cell>
          <cell r="C2678" t="str">
            <v>SUB VALVE BODY</v>
          </cell>
          <cell r="D2678">
            <v>165</v>
          </cell>
          <cell r="N2678" t="str">
            <v>616-09</v>
          </cell>
          <cell r="O2678" t="str">
            <v>SUB VALVE BODY</v>
          </cell>
          <cell r="P2678">
            <v>330</v>
          </cell>
        </row>
        <row r="2679">
          <cell r="B2679" t="str">
            <v>661-19</v>
          </cell>
          <cell r="C2679" t="str">
            <v>BODY</v>
          </cell>
          <cell r="D2679">
            <v>162.5</v>
          </cell>
          <cell r="N2679" t="str">
            <v>661-19</v>
          </cell>
          <cell r="O2679" t="str">
            <v>BODY</v>
          </cell>
          <cell r="P2679">
            <v>325</v>
          </cell>
        </row>
        <row r="2680">
          <cell r="B2680" t="str">
            <v>1634-35</v>
          </cell>
          <cell r="C2680" t="str">
            <v>RS RETAINER</v>
          </cell>
          <cell r="D2680">
            <v>165.5</v>
          </cell>
          <cell r="N2680" t="str">
            <v>1634-35</v>
          </cell>
          <cell r="O2680" t="str">
            <v>RS RETAINER</v>
          </cell>
          <cell r="P2680">
            <v>331</v>
          </cell>
        </row>
        <row r="2681">
          <cell r="B2681" t="str">
            <v>1826-01</v>
          </cell>
          <cell r="C2681" t="str">
            <v>BODY</v>
          </cell>
          <cell r="D2681">
            <v>157</v>
          </cell>
          <cell r="N2681" t="str">
            <v>1826-01</v>
          </cell>
          <cell r="O2681" t="str">
            <v>BODY</v>
          </cell>
          <cell r="P2681">
            <v>314</v>
          </cell>
        </row>
        <row r="2682">
          <cell r="B2682" t="str">
            <v>1832-13</v>
          </cell>
          <cell r="C2682" t="str">
            <v>BODY RETAINER</v>
          </cell>
          <cell r="D2682">
            <v>156</v>
          </cell>
          <cell r="N2682" t="str">
            <v>1832-13</v>
          </cell>
          <cell r="O2682" t="str">
            <v>BODY RETAINER</v>
          </cell>
          <cell r="P2682">
            <v>312</v>
          </cell>
        </row>
        <row r="2683">
          <cell r="B2683" t="str">
            <v>1832-17</v>
          </cell>
          <cell r="C2683" t="str">
            <v>BODY RETAINER</v>
          </cell>
          <cell r="D2683">
            <v>165.5</v>
          </cell>
          <cell r="N2683" t="str">
            <v>1832-17</v>
          </cell>
          <cell r="O2683" t="str">
            <v>BODY RETAINER</v>
          </cell>
          <cell r="P2683">
            <v>331</v>
          </cell>
        </row>
        <row r="2684">
          <cell r="B2684" t="str">
            <v>1916-00</v>
          </cell>
          <cell r="C2684" t="str">
            <v>BODY</v>
          </cell>
          <cell r="D2684">
            <v>155.5</v>
          </cell>
          <cell r="N2684" t="str">
            <v>1916-00</v>
          </cell>
          <cell r="O2684" t="str">
            <v>BODY</v>
          </cell>
          <cell r="P2684">
            <v>311</v>
          </cell>
        </row>
        <row r="2685">
          <cell r="B2685" t="str">
            <v>1917-00</v>
          </cell>
          <cell r="C2685" t="str">
            <v>BODY</v>
          </cell>
          <cell r="D2685">
            <v>155</v>
          </cell>
          <cell r="N2685" t="str">
            <v>1917-00</v>
          </cell>
          <cell r="O2685" t="str">
            <v>BODY</v>
          </cell>
          <cell r="P2685">
            <v>310</v>
          </cell>
        </row>
        <row r="2686">
          <cell r="B2686" t="str">
            <v>2092-01</v>
          </cell>
          <cell r="C2686" t="str">
            <v>BODY</v>
          </cell>
          <cell r="D2686">
            <v>165.5</v>
          </cell>
          <cell r="N2686" t="str">
            <v>2092-01</v>
          </cell>
          <cell r="O2686" t="str">
            <v>BODY</v>
          </cell>
          <cell r="P2686">
            <v>331</v>
          </cell>
        </row>
        <row r="2687">
          <cell r="B2687" t="str">
            <v>464-22</v>
          </cell>
          <cell r="C2687" t="str">
            <v>PISTON</v>
          </cell>
          <cell r="D2687">
            <v>165.5</v>
          </cell>
          <cell r="N2687" t="str">
            <v>464-22</v>
          </cell>
          <cell r="O2687" t="str">
            <v>PISTON</v>
          </cell>
          <cell r="P2687">
            <v>331</v>
          </cell>
        </row>
        <row r="2688">
          <cell r="B2688" t="str">
            <v>1634-16</v>
          </cell>
          <cell r="C2688" t="str">
            <v>RS RETAINER</v>
          </cell>
          <cell r="D2688">
            <v>154.5</v>
          </cell>
          <cell r="N2688" t="str">
            <v>1634-16</v>
          </cell>
          <cell r="O2688" t="str">
            <v>RS RETAINER</v>
          </cell>
          <cell r="P2688">
            <v>309</v>
          </cell>
        </row>
        <row r="2689">
          <cell r="B2689" t="str">
            <v>1917-00</v>
          </cell>
          <cell r="C2689" t="str">
            <v>BODY</v>
          </cell>
          <cell r="D2689">
            <v>155</v>
          </cell>
          <cell r="N2689" t="str">
            <v>1917-00</v>
          </cell>
          <cell r="O2689" t="str">
            <v>BODY</v>
          </cell>
          <cell r="P2689">
            <v>310</v>
          </cell>
        </row>
        <row r="2690">
          <cell r="B2690" t="str">
            <v>1917-00</v>
          </cell>
          <cell r="C2690" t="str">
            <v>BODY</v>
          </cell>
          <cell r="D2690">
            <v>155</v>
          </cell>
          <cell r="N2690" t="str">
            <v>1917-00</v>
          </cell>
          <cell r="O2690" t="str">
            <v>BODY</v>
          </cell>
          <cell r="P2690">
            <v>310</v>
          </cell>
        </row>
        <row r="2691">
          <cell r="B2691" t="str">
            <v>588-45</v>
          </cell>
          <cell r="C2691" t="str">
            <v>PISTON</v>
          </cell>
          <cell r="D2691">
            <v>150</v>
          </cell>
          <cell r="N2691" t="str">
            <v>588-45</v>
          </cell>
          <cell r="O2691" t="str">
            <v>PISTON</v>
          </cell>
          <cell r="P2691">
            <v>300</v>
          </cell>
        </row>
        <row r="2692">
          <cell r="B2692" t="str">
            <v>588-57</v>
          </cell>
          <cell r="C2692" t="str">
            <v>PISTON</v>
          </cell>
          <cell r="D2692">
            <v>156</v>
          </cell>
          <cell r="N2692" t="str">
            <v>588-57</v>
          </cell>
          <cell r="O2692" t="str">
            <v>PISTON</v>
          </cell>
          <cell r="P2692">
            <v>312</v>
          </cell>
        </row>
        <row r="2693">
          <cell r="B2693" t="str">
            <v>588-57</v>
          </cell>
          <cell r="C2693" t="str">
            <v>PISTON</v>
          </cell>
          <cell r="D2693">
            <v>156</v>
          </cell>
          <cell r="N2693" t="str">
            <v>588-57</v>
          </cell>
          <cell r="O2693" t="str">
            <v>PISTON</v>
          </cell>
          <cell r="P2693">
            <v>312</v>
          </cell>
        </row>
        <row r="2694">
          <cell r="B2694" t="str">
            <v>598-26</v>
          </cell>
          <cell r="C2694" t="str">
            <v>PISTON</v>
          </cell>
          <cell r="D2694">
            <v>150</v>
          </cell>
          <cell r="N2694" t="str">
            <v>598-26</v>
          </cell>
          <cell r="O2694" t="str">
            <v>PISTON</v>
          </cell>
          <cell r="P2694">
            <v>300</v>
          </cell>
        </row>
        <row r="2695">
          <cell r="B2695" t="str">
            <v>853-36</v>
          </cell>
          <cell r="C2695" t="str">
            <v>REB,RETAINER</v>
          </cell>
          <cell r="D2695">
            <v>97</v>
          </cell>
          <cell r="N2695" t="str">
            <v>853-36</v>
          </cell>
          <cell r="O2695" t="str">
            <v>REB,RETAINER</v>
          </cell>
          <cell r="P2695">
            <v>194</v>
          </cell>
        </row>
        <row r="2696">
          <cell r="B2696" t="str">
            <v>861-18</v>
          </cell>
          <cell r="C2696" t="str">
            <v>BODY</v>
          </cell>
          <cell r="D2696">
            <v>91</v>
          </cell>
          <cell r="N2696" t="str">
            <v>861-18</v>
          </cell>
          <cell r="O2696" t="str">
            <v>BODY</v>
          </cell>
          <cell r="P2696">
            <v>182</v>
          </cell>
        </row>
        <row r="2697">
          <cell r="B2697" t="str">
            <v>861-18</v>
          </cell>
          <cell r="C2697" t="str">
            <v>BODY</v>
          </cell>
          <cell r="D2697">
            <v>91</v>
          </cell>
          <cell r="N2697" t="str">
            <v>861-18</v>
          </cell>
          <cell r="O2697" t="str">
            <v>BODY</v>
          </cell>
          <cell r="P2697">
            <v>182</v>
          </cell>
        </row>
        <row r="2698">
          <cell r="B2698" t="str">
            <v>1634-17</v>
          </cell>
          <cell r="C2698" t="str">
            <v>RS RETAINER</v>
          </cell>
          <cell r="D2698">
            <v>166.5</v>
          </cell>
          <cell r="N2698" t="str">
            <v>1634-17</v>
          </cell>
          <cell r="O2698" t="str">
            <v>RS RETAINER</v>
          </cell>
          <cell r="P2698">
            <v>333</v>
          </cell>
        </row>
        <row r="2699">
          <cell r="B2699" t="str">
            <v>1640-03</v>
          </cell>
          <cell r="C2699" t="str">
            <v>BODY</v>
          </cell>
          <cell r="D2699">
            <v>166.5</v>
          </cell>
          <cell r="N2699" t="str">
            <v>1640-03</v>
          </cell>
          <cell r="O2699" t="str">
            <v>BODY</v>
          </cell>
          <cell r="P2699">
            <v>333</v>
          </cell>
        </row>
        <row r="2700">
          <cell r="B2700" t="str">
            <v>1832-03</v>
          </cell>
          <cell r="C2700" t="str">
            <v>BODY RETAINER</v>
          </cell>
          <cell r="D2700">
            <v>157</v>
          </cell>
          <cell r="N2700" t="str">
            <v>1832-03</v>
          </cell>
          <cell r="O2700" t="str">
            <v>BODY RETAINER</v>
          </cell>
          <cell r="P2700">
            <v>314</v>
          </cell>
        </row>
        <row r="2701">
          <cell r="B2701" t="str">
            <v>598-20</v>
          </cell>
          <cell r="C2701" t="str">
            <v>PISTON</v>
          </cell>
          <cell r="D2701">
            <v>162.5</v>
          </cell>
          <cell r="N2701" t="str">
            <v>598-20</v>
          </cell>
          <cell r="O2701" t="str">
            <v>PISTON</v>
          </cell>
          <cell r="P2701">
            <v>325</v>
          </cell>
        </row>
        <row r="2702">
          <cell r="B2702" t="str">
            <v>607-00</v>
          </cell>
          <cell r="C2702" t="str">
            <v>CONTROL SLEEVE</v>
          </cell>
          <cell r="D2702">
            <v>166.5</v>
          </cell>
          <cell r="N2702" t="str">
            <v>607-00</v>
          </cell>
          <cell r="O2702" t="str">
            <v>CONTROL SLEEVE</v>
          </cell>
          <cell r="P2702">
            <v>333</v>
          </cell>
        </row>
        <row r="2703">
          <cell r="B2703" t="str">
            <v>853-40</v>
          </cell>
          <cell r="C2703" t="str">
            <v>REB,RETAINER</v>
          </cell>
          <cell r="D2703">
            <v>96.5</v>
          </cell>
          <cell r="N2703" t="str">
            <v>853-40</v>
          </cell>
          <cell r="O2703" t="str">
            <v>REB,RETAINER</v>
          </cell>
          <cell r="P2703">
            <v>193</v>
          </cell>
        </row>
        <row r="2704">
          <cell r="B2704" t="str">
            <v>853-43</v>
          </cell>
          <cell r="C2704" t="str">
            <v>REB,RETAINER</v>
          </cell>
          <cell r="D2704">
            <v>102</v>
          </cell>
          <cell r="N2704" t="str">
            <v>853-43</v>
          </cell>
          <cell r="O2704" t="str">
            <v>REB,RETAINER</v>
          </cell>
          <cell r="P2704">
            <v>204</v>
          </cell>
        </row>
        <row r="2705">
          <cell r="B2705" t="str">
            <v>1019-01</v>
          </cell>
          <cell r="C2705" t="str">
            <v>BODY</v>
          </cell>
          <cell r="D2705">
            <v>167</v>
          </cell>
          <cell r="N2705" t="str">
            <v>1019-01</v>
          </cell>
          <cell r="O2705" t="str">
            <v>BODY</v>
          </cell>
          <cell r="P2705">
            <v>334</v>
          </cell>
        </row>
        <row r="2706">
          <cell r="B2706" t="str">
            <v>1375-00</v>
          </cell>
          <cell r="C2706" t="str">
            <v>BODY</v>
          </cell>
          <cell r="D2706">
            <v>167</v>
          </cell>
          <cell r="N2706" t="str">
            <v>1375-00</v>
          </cell>
          <cell r="O2706" t="str">
            <v>BODY</v>
          </cell>
          <cell r="P2706">
            <v>334</v>
          </cell>
        </row>
        <row r="2707">
          <cell r="B2707" t="str">
            <v>1430-06</v>
          </cell>
          <cell r="C2707" t="str">
            <v>BODY</v>
          </cell>
          <cell r="D2707">
            <v>158</v>
          </cell>
          <cell r="N2707" t="str">
            <v>1430-06</v>
          </cell>
          <cell r="O2707" t="str">
            <v>BODY</v>
          </cell>
          <cell r="P2707">
            <v>316</v>
          </cell>
        </row>
        <row r="2708">
          <cell r="B2708" t="str">
            <v>1610-04</v>
          </cell>
          <cell r="C2708" t="str">
            <v>RS RETAINER</v>
          </cell>
          <cell r="D2708">
            <v>87.5</v>
          </cell>
          <cell r="N2708" t="str">
            <v>1610-04</v>
          </cell>
          <cell r="O2708" t="str">
            <v>RS RETAINER</v>
          </cell>
          <cell r="P2708">
            <v>175</v>
          </cell>
        </row>
        <row r="2709">
          <cell r="B2709" t="str">
            <v>1832-01</v>
          </cell>
          <cell r="C2709" t="str">
            <v>BODY RETAINER</v>
          </cell>
          <cell r="D2709">
            <v>97</v>
          </cell>
          <cell r="N2709" t="str">
            <v>1832-01</v>
          </cell>
          <cell r="O2709" t="str">
            <v>BODY RETAINER</v>
          </cell>
          <cell r="P2709">
            <v>194</v>
          </cell>
        </row>
        <row r="2710">
          <cell r="B2710" t="str">
            <v>2026-06</v>
          </cell>
          <cell r="C2710" t="str">
            <v>SOFT VALVE</v>
          </cell>
          <cell r="D2710">
            <v>167</v>
          </cell>
          <cell r="N2710" t="str">
            <v>2026-06</v>
          </cell>
          <cell r="O2710" t="str">
            <v>SOFT VALVE</v>
          </cell>
          <cell r="P2710">
            <v>334</v>
          </cell>
        </row>
        <row r="2711">
          <cell r="B2711" t="str">
            <v>588-45</v>
          </cell>
          <cell r="C2711" t="str">
            <v>PISTON</v>
          </cell>
          <cell r="D2711">
            <v>150</v>
          </cell>
          <cell r="N2711" t="str">
            <v>588-45</v>
          </cell>
          <cell r="O2711" t="str">
            <v>PISTON</v>
          </cell>
          <cell r="P2711">
            <v>300</v>
          </cell>
        </row>
        <row r="2712">
          <cell r="B2712" t="str">
            <v>588-49</v>
          </cell>
          <cell r="C2712" t="str">
            <v>PISTON</v>
          </cell>
          <cell r="D2712">
            <v>167</v>
          </cell>
          <cell r="N2712" t="str">
            <v>588-49</v>
          </cell>
          <cell r="O2712" t="str">
            <v>PISTON</v>
          </cell>
          <cell r="P2712">
            <v>334</v>
          </cell>
        </row>
        <row r="2713">
          <cell r="B2713" t="str">
            <v>588-49</v>
          </cell>
          <cell r="C2713" t="str">
            <v>PISTON</v>
          </cell>
          <cell r="D2713">
            <v>167</v>
          </cell>
          <cell r="N2713" t="str">
            <v>588-49</v>
          </cell>
          <cell r="O2713" t="str">
            <v>PISTON</v>
          </cell>
          <cell r="P2713">
            <v>334</v>
          </cell>
        </row>
        <row r="2714">
          <cell r="B2714" t="str">
            <v>588-49</v>
          </cell>
          <cell r="C2714" t="str">
            <v>PISTON</v>
          </cell>
          <cell r="D2714">
            <v>167</v>
          </cell>
          <cell r="N2714" t="str">
            <v>588-49</v>
          </cell>
          <cell r="O2714" t="str">
            <v>PISTON</v>
          </cell>
          <cell r="P2714">
            <v>334</v>
          </cell>
        </row>
        <row r="2715">
          <cell r="B2715" t="str">
            <v>598-14</v>
          </cell>
          <cell r="C2715" t="str">
            <v>PISTON</v>
          </cell>
          <cell r="D2715">
            <v>167</v>
          </cell>
          <cell r="N2715" t="str">
            <v>598-14</v>
          </cell>
          <cell r="O2715" t="str">
            <v>PISTON</v>
          </cell>
          <cell r="P2715">
            <v>334</v>
          </cell>
        </row>
        <row r="2716">
          <cell r="B2716" t="str">
            <v>786-06</v>
          </cell>
          <cell r="C2716" t="str">
            <v>BODY</v>
          </cell>
          <cell r="D2716">
            <v>85.5</v>
          </cell>
          <cell r="N2716" t="str">
            <v>786-06</v>
          </cell>
          <cell r="O2716" t="str">
            <v>BODY</v>
          </cell>
          <cell r="P2716">
            <v>171</v>
          </cell>
        </row>
        <row r="2717">
          <cell r="B2717" t="str">
            <v>786-06</v>
          </cell>
          <cell r="C2717" t="str">
            <v>BODY</v>
          </cell>
          <cell r="D2717">
            <v>85.5</v>
          </cell>
          <cell r="N2717" t="str">
            <v>786-06</v>
          </cell>
          <cell r="O2717" t="str">
            <v>BODY</v>
          </cell>
          <cell r="P2717">
            <v>171</v>
          </cell>
        </row>
        <row r="2718">
          <cell r="B2718" t="str">
            <v>852-09</v>
          </cell>
          <cell r="C2718" t="str">
            <v>BODY</v>
          </cell>
          <cell r="D2718">
            <v>93</v>
          </cell>
          <cell r="N2718" t="str">
            <v>852-09</v>
          </cell>
          <cell r="O2718" t="str">
            <v>BODY</v>
          </cell>
          <cell r="P2718">
            <v>186</v>
          </cell>
        </row>
        <row r="2719">
          <cell r="B2719" t="str">
            <v>852-10</v>
          </cell>
          <cell r="C2719" t="str">
            <v>BODY</v>
          </cell>
          <cell r="D2719">
            <v>96</v>
          </cell>
          <cell r="N2719" t="str">
            <v>852-10</v>
          </cell>
          <cell r="O2719" t="str">
            <v>BODY</v>
          </cell>
          <cell r="P2719">
            <v>192</v>
          </cell>
        </row>
        <row r="2720">
          <cell r="B2720" t="str">
            <v>1252-02</v>
          </cell>
          <cell r="C2720" t="str">
            <v>PISTON</v>
          </cell>
          <cell r="D2720">
            <v>167.5</v>
          </cell>
          <cell r="N2720" t="str">
            <v>1252-02</v>
          </cell>
          <cell r="O2720" t="str">
            <v>PISTON</v>
          </cell>
          <cell r="P2720">
            <v>335</v>
          </cell>
        </row>
        <row r="2721">
          <cell r="B2721" t="str">
            <v>1610-05</v>
          </cell>
          <cell r="C2721" t="str">
            <v>RS RETAINER</v>
          </cell>
          <cell r="D2721">
            <v>167.5</v>
          </cell>
          <cell r="N2721" t="str">
            <v>1610-05</v>
          </cell>
          <cell r="O2721" t="str">
            <v>RS RETAINER</v>
          </cell>
          <cell r="P2721">
            <v>335</v>
          </cell>
        </row>
        <row r="2722">
          <cell r="B2722" t="str">
            <v>1634-15</v>
          </cell>
          <cell r="C2722" t="str">
            <v>RS RETAINER</v>
          </cell>
          <cell r="D2722">
            <v>163</v>
          </cell>
          <cell r="N2722" t="str">
            <v>1634-15</v>
          </cell>
          <cell r="O2722" t="str">
            <v>RS RETAINER</v>
          </cell>
          <cell r="P2722">
            <v>326</v>
          </cell>
        </row>
        <row r="2723">
          <cell r="B2723" t="str">
            <v>1640-01</v>
          </cell>
          <cell r="C2723" t="str">
            <v>BODY</v>
          </cell>
          <cell r="D2723">
            <v>167.5</v>
          </cell>
          <cell r="N2723" t="str">
            <v>1640-01</v>
          </cell>
          <cell r="O2723" t="str">
            <v>BODY</v>
          </cell>
          <cell r="P2723">
            <v>335</v>
          </cell>
        </row>
        <row r="2724">
          <cell r="B2724" t="str">
            <v>1752-00</v>
          </cell>
          <cell r="C2724" t="str">
            <v>PISTON</v>
          </cell>
          <cell r="D2724">
            <v>167.5</v>
          </cell>
          <cell r="N2724" t="str">
            <v>1752-00</v>
          </cell>
          <cell r="O2724" t="str">
            <v>PISTON</v>
          </cell>
          <cell r="P2724">
            <v>335</v>
          </cell>
        </row>
        <row r="2725">
          <cell r="B2725" t="str">
            <v>1916-00</v>
          </cell>
          <cell r="C2725" t="str">
            <v>BODY</v>
          </cell>
          <cell r="D2725">
            <v>155.5</v>
          </cell>
          <cell r="N2725" t="str">
            <v>1916-00</v>
          </cell>
          <cell r="O2725" t="str">
            <v>BODY</v>
          </cell>
          <cell r="P2725">
            <v>311</v>
          </cell>
        </row>
        <row r="2726">
          <cell r="B2726" t="str">
            <v>598-14</v>
          </cell>
          <cell r="C2726" t="str">
            <v>PISTON</v>
          </cell>
          <cell r="D2726">
            <v>167</v>
          </cell>
          <cell r="N2726" t="str">
            <v>598-14</v>
          </cell>
          <cell r="O2726" t="str">
            <v>PISTON</v>
          </cell>
          <cell r="P2726">
            <v>334</v>
          </cell>
        </row>
        <row r="2727">
          <cell r="B2727" t="str">
            <v>853-42</v>
          </cell>
          <cell r="C2727" t="str">
            <v>REB,RETAINER</v>
          </cell>
          <cell r="D2727">
            <v>95.5</v>
          </cell>
          <cell r="N2727" t="str">
            <v>853-42</v>
          </cell>
          <cell r="O2727" t="str">
            <v>REB,RETAINER</v>
          </cell>
          <cell r="P2727">
            <v>191</v>
          </cell>
        </row>
        <row r="2728">
          <cell r="B2728" t="str">
            <v>1383-02</v>
          </cell>
          <cell r="C2728" t="str">
            <v>PISTON</v>
          </cell>
          <cell r="D2728">
            <v>168</v>
          </cell>
          <cell r="N2728" t="str">
            <v>1383-02</v>
          </cell>
          <cell r="O2728" t="str">
            <v>PISTON</v>
          </cell>
          <cell r="P2728">
            <v>336</v>
          </cell>
        </row>
        <row r="2729">
          <cell r="B2729" t="str">
            <v>1383-02</v>
          </cell>
          <cell r="C2729" t="str">
            <v>PISTON</v>
          </cell>
          <cell r="D2729">
            <v>168</v>
          </cell>
          <cell r="N2729" t="str">
            <v>1383-02</v>
          </cell>
          <cell r="O2729" t="str">
            <v>PISTON</v>
          </cell>
          <cell r="P2729">
            <v>336</v>
          </cell>
        </row>
        <row r="2730">
          <cell r="B2730" t="str">
            <v>1383-02</v>
          </cell>
          <cell r="C2730" t="str">
            <v>PISTON</v>
          </cell>
          <cell r="D2730">
            <v>168</v>
          </cell>
          <cell r="N2730" t="str">
            <v>1383-02</v>
          </cell>
          <cell r="O2730" t="str">
            <v>PISTON</v>
          </cell>
          <cell r="P2730">
            <v>336</v>
          </cell>
        </row>
        <row r="2731">
          <cell r="B2731" t="str">
            <v>1477-00</v>
          </cell>
          <cell r="C2731" t="str">
            <v>PISTON</v>
          </cell>
          <cell r="D2731">
            <v>165</v>
          </cell>
          <cell r="N2731" t="str">
            <v>1477-00</v>
          </cell>
          <cell r="O2731" t="str">
            <v>PISTON</v>
          </cell>
          <cell r="P2731">
            <v>330</v>
          </cell>
        </row>
        <row r="2732">
          <cell r="B2732" t="str">
            <v>1630-06</v>
          </cell>
          <cell r="C2732" t="str">
            <v>RS RETAINER</v>
          </cell>
          <cell r="D2732">
            <v>168</v>
          </cell>
          <cell r="N2732" t="str">
            <v>1630-06</v>
          </cell>
          <cell r="O2732" t="str">
            <v>RS RETAINER</v>
          </cell>
          <cell r="P2732">
            <v>336</v>
          </cell>
        </row>
        <row r="2733">
          <cell r="B2733" t="str">
            <v>1916-00</v>
          </cell>
          <cell r="C2733" t="str">
            <v>BODY</v>
          </cell>
          <cell r="D2733">
            <v>155.5</v>
          </cell>
          <cell r="N2733" t="str">
            <v>1916-00</v>
          </cell>
          <cell r="O2733" t="str">
            <v>BODY</v>
          </cell>
          <cell r="P2733">
            <v>311</v>
          </cell>
        </row>
        <row r="2734">
          <cell r="B2734" t="str">
            <v>1916-00</v>
          </cell>
          <cell r="C2734" t="str">
            <v>BODY</v>
          </cell>
          <cell r="D2734">
            <v>155.5</v>
          </cell>
          <cell r="N2734" t="str">
            <v>1916-00</v>
          </cell>
          <cell r="O2734" t="str">
            <v>BODY</v>
          </cell>
          <cell r="P2734">
            <v>311</v>
          </cell>
        </row>
        <row r="2735">
          <cell r="B2735" t="str">
            <v>852-19</v>
          </cell>
          <cell r="C2735" t="str">
            <v>BODY</v>
          </cell>
          <cell r="D2735">
            <v>168</v>
          </cell>
          <cell r="N2735" t="str">
            <v>852-19</v>
          </cell>
          <cell r="O2735" t="str">
            <v>BODY</v>
          </cell>
          <cell r="P2735">
            <v>336</v>
          </cell>
        </row>
        <row r="2736">
          <cell r="B2736" t="str">
            <v>853-48</v>
          </cell>
          <cell r="C2736" t="str">
            <v>REB,RETAINER</v>
          </cell>
          <cell r="D2736">
            <v>97</v>
          </cell>
          <cell r="N2736" t="str">
            <v>853-48</v>
          </cell>
          <cell r="O2736" t="str">
            <v>REB,RETAINER</v>
          </cell>
          <cell r="P2736">
            <v>194</v>
          </cell>
        </row>
        <row r="2737">
          <cell r="B2737" t="str">
            <v>1101-00</v>
          </cell>
          <cell r="C2737" t="str">
            <v>ROD GUIDE</v>
          </cell>
          <cell r="D2737">
            <v>168.5</v>
          </cell>
          <cell r="N2737" t="str">
            <v>1101-00</v>
          </cell>
          <cell r="O2737" t="str">
            <v>ROD GUIDE</v>
          </cell>
          <cell r="P2737">
            <v>337</v>
          </cell>
        </row>
        <row r="2738">
          <cell r="B2738" t="str">
            <v>1101-00</v>
          </cell>
          <cell r="C2738" t="str">
            <v>ROD GUIDE</v>
          </cell>
          <cell r="D2738">
            <v>168.5</v>
          </cell>
          <cell r="N2738" t="str">
            <v>1101-00</v>
          </cell>
          <cell r="O2738" t="str">
            <v>ROD GUIDE</v>
          </cell>
          <cell r="P2738">
            <v>337</v>
          </cell>
        </row>
        <row r="2739">
          <cell r="B2739" t="str">
            <v>1661-03</v>
          </cell>
          <cell r="C2739" t="str">
            <v>PISTON</v>
          </cell>
          <cell r="D2739">
            <v>168.5</v>
          </cell>
          <cell r="N2739" t="str">
            <v>1661-03</v>
          </cell>
          <cell r="O2739" t="str">
            <v>PISTON</v>
          </cell>
          <cell r="P2739">
            <v>337</v>
          </cell>
        </row>
        <row r="2740">
          <cell r="B2740" t="str">
            <v>661-12</v>
          </cell>
          <cell r="C2740" t="str">
            <v>BODY</v>
          </cell>
          <cell r="D2740">
            <v>89.5</v>
          </cell>
          <cell r="N2740" t="str">
            <v>661-12</v>
          </cell>
          <cell r="O2740" t="str">
            <v>BODY</v>
          </cell>
          <cell r="P2740">
            <v>179</v>
          </cell>
        </row>
        <row r="2741">
          <cell r="B2741" t="str">
            <v>787-19</v>
          </cell>
          <cell r="C2741" t="str">
            <v>BODY</v>
          </cell>
          <cell r="D2741">
            <v>147</v>
          </cell>
          <cell r="N2741" t="str">
            <v>787-19</v>
          </cell>
          <cell r="O2741" t="str">
            <v>BODY</v>
          </cell>
          <cell r="P2741">
            <v>294</v>
          </cell>
        </row>
        <row r="2742">
          <cell r="B2742" t="str">
            <v>787-21</v>
          </cell>
          <cell r="C2742" t="str">
            <v>BODY</v>
          </cell>
          <cell r="D2742">
            <v>168.5</v>
          </cell>
          <cell r="N2742" t="str">
            <v>787-21</v>
          </cell>
          <cell r="O2742" t="str">
            <v>BODY</v>
          </cell>
          <cell r="P2742">
            <v>337</v>
          </cell>
        </row>
        <row r="2743">
          <cell r="B2743" t="str">
            <v>1471-03</v>
          </cell>
          <cell r="C2743" t="str">
            <v>SUB BODY</v>
          </cell>
          <cell r="D2743">
            <v>169</v>
          </cell>
          <cell r="N2743" t="str">
            <v>1471-03</v>
          </cell>
          <cell r="O2743" t="str">
            <v>SUB BODY</v>
          </cell>
          <cell r="P2743">
            <v>338</v>
          </cell>
        </row>
        <row r="2744">
          <cell r="B2744" t="str">
            <v>1501-01</v>
          </cell>
          <cell r="C2744" t="str">
            <v>CYLINDER END</v>
          </cell>
          <cell r="D2744">
            <v>202.79999999999998</v>
          </cell>
          <cell r="N2744" t="str">
            <v>1501-01</v>
          </cell>
          <cell r="O2744" t="str">
            <v>CYLINDER END</v>
          </cell>
          <cell r="P2744">
            <v>338</v>
          </cell>
        </row>
        <row r="2745">
          <cell r="B2745" t="str">
            <v>357-02</v>
          </cell>
          <cell r="C2745" t="str">
            <v>ROD GUIDE ASS'Y</v>
          </cell>
          <cell r="D2745">
            <v>169</v>
          </cell>
          <cell r="N2745" t="str">
            <v>357-02</v>
          </cell>
          <cell r="O2745" t="str">
            <v>ROD GUIDE ASS'Y</v>
          </cell>
          <cell r="P2745">
            <v>338</v>
          </cell>
        </row>
        <row r="2746">
          <cell r="B2746" t="str">
            <v>588-36</v>
          </cell>
          <cell r="C2746" t="str">
            <v>PISTON</v>
          </cell>
          <cell r="D2746">
            <v>169</v>
          </cell>
          <cell r="N2746" t="str">
            <v>588-36</v>
          </cell>
          <cell r="O2746" t="str">
            <v>PISTON</v>
          </cell>
          <cell r="P2746">
            <v>338</v>
          </cell>
        </row>
        <row r="2747">
          <cell r="B2747" t="str">
            <v>661-05</v>
          </cell>
          <cell r="C2747" t="str">
            <v>BODY</v>
          </cell>
          <cell r="D2747">
            <v>93.5</v>
          </cell>
          <cell r="N2747" t="str">
            <v>661-05</v>
          </cell>
          <cell r="O2747" t="str">
            <v>BODY</v>
          </cell>
          <cell r="P2747">
            <v>187</v>
          </cell>
        </row>
        <row r="2748">
          <cell r="B2748" t="str">
            <v>786-07</v>
          </cell>
          <cell r="C2748" t="str">
            <v>BODY</v>
          </cell>
          <cell r="D2748">
            <v>89</v>
          </cell>
          <cell r="N2748" t="str">
            <v>786-07</v>
          </cell>
          <cell r="O2748" t="str">
            <v>BODY</v>
          </cell>
          <cell r="P2748">
            <v>178</v>
          </cell>
        </row>
        <row r="2749">
          <cell r="B2749" t="str">
            <v>852-17</v>
          </cell>
          <cell r="C2749" t="str">
            <v>BODY</v>
          </cell>
          <cell r="D2749">
            <v>158</v>
          </cell>
          <cell r="N2749" t="str">
            <v>852-17</v>
          </cell>
          <cell r="O2749" t="str">
            <v>BODY</v>
          </cell>
          <cell r="P2749">
            <v>316</v>
          </cell>
        </row>
        <row r="2750">
          <cell r="B2750" t="str">
            <v>852-22</v>
          </cell>
          <cell r="C2750" t="str">
            <v>BODY</v>
          </cell>
          <cell r="D2750">
            <v>125.5</v>
          </cell>
          <cell r="N2750" t="str">
            <v>852-22</v>
          </cell>
          <cell r="O2750" t="str">
            <v>BODY</v>
          </cell>
          <cell r="P2750">
            <v>251</v>
          </cell>
        </row>
        <row r="2751">
          <cell r="B2751" t="str">
            <v>861-04</v>
          </cell>
          <cell r="C2751" t="str">
            <v>BODY</v>
          </cell>
          <cell r="D2751">
            <v>129.5</v>
          </cell>
          <cell r="N2751" t="str">
            <v>861-04</v>
          </cell>
          <cell r="O2751" t="str">
            <v>BODY</v>
          </cell>
          <cell r="P2751">
            <v>259</v>
          </cell>
        </row>
        <row r="2752">
          <cell r="B2752" t="str">
            <v>1412-13</v>
          </cell>
          <cell r="C2752" t="str">
            <v>BODY</v>
          </cell>
          <cell r="D2752">
            <v>169.5</v>
          </cell>
          <cell r="N2752" t="str">
            <v>1412-13</v>
          </cell>
          <cell r="O2752" t="str">
            <v>BODY</v>
          </cell>
          <cell r="P2752">
            <v>339</v>
          </cell>
        </row>
        <row r="2753">
          <cell r="B2753" t="str">
            <v>1634-15</v>
          </cell>
          <cell r="C2753" t="str">
            <v>RS RETAINER</v>
          </cell>
          <cell r="D2753">
            <v>163</v>
          </cell>
          <cell r="N2753" t="str">
            <v>1634-15</v>
          </cell>
          <cell r="O2753" t="str">
            <v>RS RETAINER</v>
          </cell>
          <cell r="P2753">
            <v>326</v>
          </cell>
        </row>
        <row r="2754">
          <cell r="B2754" t="str">
            <v>1791-04</v>
          </cell>
          <cell r="C2754" t="str">
            <v>BODY</v>
          </cell>
          <cell r="D2754">
            <v>169.5</v>
          </cell>
          <cell r="N2754" t="str">
            <v>1791-04</v>
          </cell>
          <cell r="O2754" t="str">
            <v>BODY</v>
          </cell>
          <cell r="P2754">
            <v>339</v>
          </cell>
        </row>
        <row r="2755">
          <cell r="B2755" t="str">
            <v>2852-17</v>
          </cell>
          <cell r="C2755" t="str">
            <v>BODY</v>
          </cell>
          <cell r="D2755">
            <v>123.5</v>
          </cell>
          <cell r="N2755" t="str">
            <v>2852-17</v>
          </cell>
          <cell r="O2755" t="str">
            <v>BODY</v>
          </cell>
          <cell r="P2755">
            <v>247</v>
          </cell>
        </row>
        <row r="2756">
          <cell r="B2756" t="str">
            <v>598-23</v>
          </cell>
          <cell r="C2756" t="str">
            <v>PISTON</v>
          </cell>
          <cell r="D2756">
            <v>165</v>
          </cell>
          <cell r="N2756" t="str">
            <v>598-23</v>
          </cell>
          <cell r="O2756" t="str">
            <v>PISTON</v>
          </cell>
          <cell r="P2756">
            <v>330</v>
          </cell>
        </row>
        <row r="2757">
          <cell r="B2757" t="str">
            <v>1166-00</v>
          </cell>
          <cell r="C2757" t="str">
            <v>ROD GUIDE</v>
          </cell>
          <cell r="D2757">
            <v>170</v>
          </cell>
          <cell r="N2757" t="str">
            <v>1166-00</v>
          </cell>
          <cell r="O2757" t="str">
            <v>ROD GUIDE</v>
          </cell>
          <cell r="P2757">
            <v>340</v>
          </cell>
        </row>
        <row r="2758">
          <cell r="B2758" t="str">
            <v>1312-01</v>
          </cell>
          <cell r="C2758" t="str">
            <v>VALVE PLATE</v>
          </cell>
          <cell r="D2758">
            <v>204</v>
          </cell>
          <cell r="N2758" t="str">
            <v>1312-01</v>
          </cell>
          <cell r="O2758" t="str">
            <v>VALVE PLATE</v>
          </cell>
          <cell r="P2758">
            <v>340</v>
          </cell>
        </row>
        <row r="2759">
          <cell r="B2759" t="str">
            <v>1634-35</v>
          </cell>
          <cell r="C2759" t="str">
            <v>RS RETAINER</v>
          </cell>
          <cell r="D2759">
            <v>165.5</v>
          </cell>
          <cell r="N2759" t="str">
            <v>1634-35</v>
          </cell>
          <cell r="O2759" t="str">
            <v>RS RETAINER</v>
          </cell>
          <cell r="P2759">
            <v>331</v>
          </cell>
        </row>
        <row r="2760">
          <cell r="B2760" t="str">
            <v>1657-00</v>
          </cell>
          <cell r="C2760" t="str">
            <v>BASE VALVE</v>
          </cell>
          <cell r="D2760">
            <v>165</v>
          </cell>
          <cell r="N2760" t="str">
            <v>1657-00</v>
          </cell>
          <cell r="O2760" t="str">
            <v>BASE VALVE</v>
          </cell>
          <cell r="P2760">
            <v>330</v>
          </cell>
        </row>
        <row r="2761">
          <cell r="B2761" t="str">
            <v>1918-00</v>
          </cell>
          <cell r="C2761" t="str">
            <v>BODY</v>
          </cell>
          <cell r="D2761">
            <v>157</v>
          </cell>
          <cell r="N2761" t="str">
            <v>1918-00</v>
          </cell>
          <cell r="O2761" t="str">
            <v>BODY</v>
          </cell>
          <cell r="P2761">
            <v>314</v>
          </cell>
        </row>
        <row r="2762">
          <cell r="B2762" t="str">
            <v>1918-00</v>
          </cell>
          <cell r="C2762" t="str">
            <v>BODY</v>
          </cell>
          <cell r="D2762">
            <v>157</v>
          </cell>
          <cell r="N2762" t="str">
            <v>1918-00</v>
          </cell>
          <cell r="O2762" t="str">
            <v>BODY</v>
          </cell>
          <cell r="P2762">
            <v>314</v>
          </cell>
        </row>
        <row r="2763">
          <cell r="B2763" t="str">
            <v>2026-02</v>
          </cell>
          <cell r="C2763" t="str">
            <v>SOFT VALVE</v>
          </cell>
          <cell r="D2763">
            <v>88.5</v>
          </cell>
          <cell r="N2763" t="str">
            <v>2026-02</v>
          </cell>
          <cell r="O2763" t="str">
            <v>SOFT VALVE</v>
          </cell>
          <cell r="P2763">
            <v>177</v>
          </cell>
        </row>
        <row r="2764">
          <cell r="B2764" t="str">
            <v>464-11</v>
          </cell>
          <cell r="C2764" t="str">
            <v>PISTON</v>
          </cell>
          <cell r="D2764">
            <v>170</v>
          </cell>
          <cell r="N2764" t="str">
            <v>464-11</v>
          </cell>
          <cell r="O2764" t="str">
            <v>PISTON</v>
          </cell>
          <cell r="P2764">
            <v>340</v>
          </cell>
        </row>
        <row r="2765">
          <cell r="B2765" t="str">
            <v>592-07</v>
          </cell>
          <cell r="C2765" t="str">
            <v>PISTON</v>
          </cell>
          <cell r="D2765">
            <v>160</v>
          </cell>
          <cell r="N2765" t="str">
            <v>592-07</v>
          </cell>
          <cell r="O2765" t="str">
            <v>PISTON</v>
          </cell>
          <cell r="P2765">
            <v>320</v>
          </cell>
        </row>
        <row r="2766">
          <cell r="B2766" t="str">
            <v>592-07</v>
          </cell>
          <cell r="C2766" t="str">
            <v>PISTON</v>
          </cell>
          <cell r="D2766">
            <v>160</v>
          </cell>
          <cell r="N2766" t="str">
            <v>592-07</v>
          </cell>
          <cell r="O2766" t="str">
            <v>PISTON</v>
          </cell>
          <cell r="P2766">
            <v>320</v>
          </cell>
        </row>
        <row r="2767">
          <cell r="B2767" t="str">
            <v>797-03</v>
          </cell>
          <cell r="C2767" t="str">
            <v>BODY</v>
          </cell>
          <cell r="D2767">
            <v>125.5</v>
          </cell>
          <cell r="N2767" t="str">
            <v>797-03</v>
          </cell>
          <cell r="O2767" t="str">
            <v>BODY</v>
          </cell>
          <cell r="P2767">
            <v>251</v>
          </cell>
        </row>
        <row r="2768">
          <cell r="B2768" t="str">
            <v>797-04</v>
          </cell>
          <cell r="C2768" t="str">
            <v>BODY</v>
          </cell>
          <cell r="D2768">
            <v>125.5</v>
          </cell>
          <cell r="N2768" t="str">
            <v>797-04</v>
          </cell>
          <cell r="O2768" t="str">
            <v>BODY</v>
          </cell>
          <cell r="P2768">
            <v>251</v>
          </cell>
        </row>
        <row r="2769">
          <cell r="B2769" t="str">
            <v>1554-07</v>
          </cell>
          <cell r="C2769" t="str">
            <v>RS RETAINER</v>
          </cell>
          <cell r="D2769">
            <v>87.5</v>
          </cell>
          <cell r="N2769" t="str">
            <v>1554-07</v>
          </cell>
          <cell r="O2769" t="str">
            <v>RS RETAINER</v>
          </cell>
          <cell r="P2769">
            <v>175</v>
          </cell>
        </row>
        <row r="2770">
          <cell r="B2770" t="str">
            <v>1554-20</v>
          </cell>
          <cell r="C2770" t="str">
            <v>RS RETAINER</v>
          </cell>
          <cell r="D2770">
            <v>170.5</v>
          </cell>
          <cell r="N2770" t="str">
            <v>1554-20</v>
          </cell>
          <cell r="O2770" t="str">
            <v>RS RETAINER</v>
          </cell>
          <cell r="P2770">
            <v>341</v>
          </cell>
        </row>
        <row r="2771">
          <cell r="B2771" t="str">
            <v>1610-06</v>
          </cell>
          <cell r="C2771" t="str">
            <v>RS RETAINER</v>
          </cell>
          <cell r="D2771">
            <v>170.5</v>
          </cell>
          <cell r="N2771" t="str">
            <v>1610-06</v>
          </cell>
          <cell r="O2771" t="str">
            <v>RS RETAINER</v>
          </cell>
          <cell r="P2771">
            <v>341</v>
          </cell>
        </row>
        <row r="2772">
          <cell r="B2772" t="str">
            <v>1634-28</v>
          </cell>
          <cell r="C2772" t="str">
            <v>RS RETAINER</v>
          </cell>
          <cell r="D2772">
            <v>170.5</v>
          </cell>
          <cell r="N2772" t="str">
            <v>1634-28</v>
          </cell>
          <cell r="O2772" t="str">
            <v>RS RETAINER</v>
          </cell>
          <cell r="P2772">
            <v>341</v>
          </cell>
        </row>
        <row r="2773">
          <cell r="B2773" t="str">
            <v>1790-03</v>
          </cell>
          <cell r="C2773" t="str">
            <v>BODY</v>
          </cell>
          <cell r="D2773">
            <v>170.5</v>
          </cell>
          <cell r="N2773" t="str">
            <v>1790-03</v>
          </cell>
          <cell r="O2773" t="str">
            <v>BODY</v>
          </cell>
          <cell r="P2773">
            <v>341</v>
          </cell>
        </row>
        <row r="2774">
          <cell r="B2774" t="str">
            <v>1832-01</v>
          </cell>
          <cell r="C2774" t="str">
            <v>BODY RETAINER</v>
          </cell>
          <cell r="D2774">
            <v>97</v>
          </cell>
          <cell r="N2774" t="str">
            <v>1832-01</v>
          </cell>
          <cell r="O2774" t="str">
            <v>BODY RETAINER</v>
          </cell>
          <cell r="P2774">
            <v>194</v>
          </cell>
        </row>
        <row r="2775">
          <cell r="B2775" t="str">
            <v>464-07</v>
          </cell>
          <cell r="C2775" t="str">
            <v>PISTON</v>
          </cell>
          <cell r="D2775">
            <v>170.5</v>
          </cell>
          <cell r="N2775" t="str">
            <v>464-07</v>
          </cell>
          <cell r="O2775" t="str">
            <v>PISTON</v>
          </cell>
          <cell r="P2775">
            <v>341</v>
          </cell>
        </row>
        <row r="2776">
          <cell r="B2776" t="str">
            <v>661-22</v>
          </cell>
          <cell r="C2776" t="str">
            <v>BODY</v>
          </cell>
          <cell r="D2776">
            <v>118.5</v>
          </cell>
          <cell r="N2776" t="str">
            <v>661-22</v>
          </cell>
          <cell r="O2776" t="str">
            <v>BODY</v>
          </cell>
          <cell r="P2776">
            <v>237</v>
          </cell>
        </row>
        <row r="2777">
          <cell r="B2777" t="str">
            <v>1598-00</v>
          </cell>
          <cell r="C2777" t="str">
            <v>INSERT CAM</v>
          </cell>
          <cell r="D2777">
            <v>205.2</v>
          </cell>
          <cell r="N2777" t="str">
            <v>1598-00</v>
          </cell>
          <cell r="O2777" t="str">
            <v>INSERT CAM</v>
          </cell>
          <cell r="P2777">
            <v>342</v>
          </cell>
        </row>
        <row r="2778">
          <cell r="B2778" t="str">
            <v>1610-06</v>
          </cell>
          <cell r="C2778" t="str">
            <v>RS RETAINER</v>
          </cell>
          <cell r="D2778">
            <v>170.5</v>
          </cell>
          <cell r="N2778" t="str">
            <v>1610-06</v>
          </cell>
          <cell r="O2778" t="str">
            <v>RS RETAINER</v>
          </cell>
          <cell r="P2778">
            <v>341</v>
          </cell>
        </row>
        <row r="2779">
          <cell r="B2779" t="str">
            <v>1634-14</v>
          </cell>
          <cell r="C2779" t="str">
            <v>RS RETAINER</v>
          </cell>
          <cell r="D2779">
            <v>89.5</v>
          </cell>
          <cell r="N2779" t="str">
            <v>1634-14</v>
          </cell>
          <cell r="O2779" t="str">
            <v>RS RETAINER</v>
          </cell>
          <cell r="P2779">
            <v>179</v>
          </cell>
        </row>
        <row r="2780">
          <cell r="B2780" t="str">
            <v>1634-14</v>
          </cell>
          <cell r="C2780" t="str">
            <v>RS RETAINER</v>
          </cell>
          <cell r="D2780">
            <v>89.5</v>
          </cell>
          <cell r="N2780" t="str">
            <v>1634-14</v>
          </cell>
          <cell r="O2780" t="str">
            <v>RS RETAINER</v>
          </cell>
          <cell r="P2780">
            <v>179</v>
          </cell>
        </row>
        <row r="2781">
          <cell r="B2781" t="str">
            <v>1634-16</v>
          </cell>
          <cell r="C2781" t="str">
            <v>RS RETAINER</v>
          </cell>
          <cell r="D2781">
            <v>154.5</v>
          </cell>
          <cell r="N2781" t="str">
            <v>1634-16</v>
          </cell>
          <cell r="O2781" t="str">
            <v>RS RETAINER</v>
          </cell>
          <cell r="P2781">
            <v>309</v>
          </cell>
        </row>
        <row r="2782">
          <cell r="B2782" t="str">
            <v>1673-09</v>
          </cell>
          <cell r="C2782" t="str">
            <v>RS RETAINER</v>
          </cell>
          <cell r="D2782">
            <v>171</v>
          </cell>
          <cell r="N2782" t="str">
            <v>1673-09</v>
          </cell>
          <cell r="O2782" t="str">
            <v>RS RETAINER</v>
          </cell>
          <cell r="P2782">
            <v>342</v>
          </cell>
        </row>
        <row r="2783">
          <cell r="B2783" t="str">
            <v>1832-01</v>
          </cell>
          <cell r="C2783" t="str">
            <v>BODY RETAINER</v>
          </cell>
          <cell r="D2783">
            <v>97</v>
          </cell>
          <cell r="N2783" t="str">
            <v>1832-01</v>
          </cell>
          <cell r="O2783" t="str">
            <v>BODY RETAINER</v>
          </cell>
          <cell r="P2783">
            <v>194</v>
          </cell>
        </row>
        <row r="2784">
          <cell r="B2784" t="str">
            <v>1918-00</v>
          </cell>
          <cell r="C2784" t="str">
            <v>BODY</v>
          </cell>
          <cell r="D2784">
            <v>157</v>
          </cell>
          <cell r="N2784" t="str">
            <v>1918-00</v>
          </cell>
          <cell r="O2784" t="str">
            <v>BODY</v>
          </cell>
          <cell r="P2784">
            <v>314</v>
          </cell>
        </row>
        <row r="2785">
          <cell r="B2785" t="str">
            <v>2076-09</v>
          </cell>
          <cell r="C2785" t="str">
            <v>BODY RETAINER</v>
          </cell>
          <cell r="D2785">
            <v>171</v>
          </cell>
          <cell r="N2785" t="str">
            <v>2076-09</v>
          </cell>
          <cell r="O2785" t="str">
            <v>BODY RETAINER</v>
          </cell>
          <cell r="P2785">
            <v>342</v>
          </cell>
        </row>
        <row r="2786">
          <cell r="B2786" t="str">
            <v>598-23</v>
          </cell>
          <cell r="C2786" t="str">
            <v>PISTON</v>
          </cell>
          <cell r="D2786">
            <v>165</v>
          </cell>
          <cell r="N2786" t="str">
            <v>598-23</v>
          </cell>
          <cell r="O2786" t="str">
            <v>PISTON</v>
          </cell>
          <cell r="P2786">
            <v>330</v>
          </cell>
        </row>
        <row r="2787">
          <cell r="B2787" t="str">
            <v>598-23</v>
          </cell>
          <cell r="C2787" t="str">
            <v>PISTON</v>
          </cell>
          <cell r="D2787">
            <v>165</v>
          </cell>
          <cell r="N2787" t="str">
            <v>598-23</v>
          </cell>
          <cell r="O2787" t="str">
            <v>PISTON</v>
          </cell>
          <cell r="P2787">
            <v>330</v>
          </cell>
        </row>
        <row r="2788">
          <cell r="B2788" t="str">
            <v>758-00</v>
          </cell>
          <cell r="C2788" t="str">
            <v>ROD GUIDE ASS'Y</v>
          </cell>
          <cell r="D2788">
            <v>171</v>
          </cell>
          <cell r="N2788" t="str">
            <v>758-00</v>
          </cell>
          <cell r="O2788" t="str">
            <v>ROD GUIDE ASS'Y</v>
          </cell>
          <cell r="P2788">
            <v>342</v>
          </cell>
        </row>
        <row r="2789">
          <cell r="B2789" t="str">
            <v>825-00</v>
          </cell>
          <cell r="C2789" t="str">
            <v>RACK STOPPER</v>
          </cell>
          <cell r="D2789">
            <v>205.2</v>
          </cell>
          <cell r="N2789" t="str">
            <v>825-00</v>
          </cell>
          <cell r="O2789" t="str">
            <v>RACK STOPPER</v>
          </cell>
          <cell r="P2789">
            <v>342</v>
          </cell>
        </row>
        <row r="2790">
          <cell r="B2790" t="str">
            <v>1554-01</v>
          </cell>
          <cell r="C2790" t="str">
            <v>RS RETAINER</v>
          </cell>
          <cell r="D2790">
            <v>148</v>
          </cell>
          <cell r="N2790" t="str">
            <v>1554-01</v>
          </cell>
          <cell r="O2790" t="str">
            <v>RS RETAINER</v>
          </cell>
          <cell r="P2790">
            <v>296</v>
          </cell>
        </row>
        <row r="2791">
          <cell r="B2791" t="str">
            <v>1610-05</v>
          </cell>
          <cell r="C2791" t="str">
            <v>RS RETAINER</v>
          </cell>
          <cell r="D2791">
            <v>167.5</v>
          </cell>
          <cell r="N2791" t="str">
            <v>1610-05</v>
          </cell>
          <cell r="O2791" t="str">
            <v>RS RETAINER</v>
          </cell>
          <cell r="P2791">
            <v>335</v>
          </cell>
        </row>
        <row r="2792">
          <cell r="B2792" t="str">
            <v>1634-17</v>
          </cell>
          <cell r="C2792" t="str">
            <v>RS RETAINER</v>
          </cell>
          <cell r="D2792">
            <v>166.5</v>
          </cell>
          <cell r="N2792" t="str">
            <v>1634-17</v>
          </cell>
          <cell r="O2792" t="str">
            <v>RS RETAINER</v>
          </cell>
          <cell r="P2792">
            <v>333</v>
          </cell>
        </row>
        <row r="2793">
          <cell r="B2793" t="str">
            <v>1640-03</v>
          </cell>
          <cell r="C2793" t="str">
            <v>BODY</v>
          </cell>
          <cell r="D2793">
            <v>166.5</v>
          </cell>
          <cell r="N2793" t="str">
            <v>1640-03</v>
          </cell>
          <cell r="O2793" t="str">
            <v>BODY</v>
          </cell>
          <cell r="P2793">
            <v>333</v>
          </cell>
        </row>
        <row r="2794">
          <cell r="B2794" t="str">
            <v>357-04</v>
          </cell>
          <cell r="C2794" t="str">
            <v>ROD GUIDE ASS'Y</v>
          </cell>
          <cell r="D2794">
            <v>160.5</v>
          </cell>
          <cell r="N2794" t="str">
            <v>357-04</v>
          </cell>
          <cell r="O2794" t="str">
            <v>ROD GUIDE ASS'Y</v>
          </cell>
          <cell r="P2794">
            <v>321</v>
          </cell>
        </row>
        <row r="2795">
          <cell r="B2795" t="str">
            <v>661-22</v>
          </cell>
          <cell r="C2795" t="str">
            <v>BODY</v>
          </cell>
          <cell r="D2795">
            <v>118.5</v>
          </cell>
          <cell r="N2795" t="str">
            <v>661-22</v>
          </cell>
          <cell r="O2795" t="str">
            <v>BODY</v>
          </cell>
          <cell r="P2795">
            <v>237</v>
          </cell>
        </row>
        <row r="2796">
          <cell r="B2796" t="str">
            <v>661-22</v>
          </cell>
          <cell r="C2796" t="str">
            <v>BODY</v>
          </cell>
          <cell r="D2796">
            <v>118.5</v>
          </cell>
          <cell r="N2796" t="str">
            <v>661-22</v>
          </cell>
          <cell r="O2796" t="str">
            <v>BODY</v>
          </cell>
          <cell r="P2796">
            <v>237</v>
          </cell>
        </row>
        <row r="2797">
          <cell r="B2797" t="str">
            <v>861-14</v>
          </cell>
          <cell r="C2797" t="str">
            <v>BODY</v>
          </cell>
          <cell r="D2797">
            <v>171.5</v>
          </cell>
          <cell r="N2797" t="str">
            <v>861-14</v>
          </cell>
          <cell r="O2797" t="str">
            <v>BODY</v>
          </cell>
          <cell r="P2797">
            <v>343</v>
          </cell>
        </row>
        <row r="2798">
          <cell r="B2798" t="str">
            <v>861-14</v>
          </cell>
          <cell r="C2798" t="str">
            <v>BODY</v>
          </cell>
          <cell r="D2798">
            <v>171.5</v>
          </cell>
          <cell r="N2798" t="str">
            <v>861-14</v>
          </cell>
          <cell r="O2798" t="str">
            <v>BODY</v>
          </cell>
          <cell r="P2798">
            <v>343</v>
          </cell>
        </row>
        <row r="2799">
          <cell r="B2799" t="str">
            <v>089-00</v>
          </cell>
          <cell r="C2799" t="str">
            <v>BODY</v>
          </cell>
          <cell r="D2799">
            <v>172</v>
          </cell>
          <cell r="N2799" t="str">
            <v>089-00</v>
          </cell>
          <cell r="O2799" t="str">
            <v>BODY</v>
          </cell>
          <cell r="P2799">
            <v>344</v>
          </cell>
        </row>
        <row r="2800">
          <cell r="B2800" t="str">
            <v>1446-04</v>
          </cell>
          <cell r="C2800" t="str">
            <v>BODY</v>
          </cell>
          <cell r="D2800">
            <v>172</v>
          </cell>
          <cell r="N2800" t="str">
            <v>1446-04</v>
          </cell>
          <cell r="O2800" t="str">
            <v>BODY</v>
          </cell>
          <cell r="P2800">
            <v>344</v>
          </cell>
        </row>
        <row r="2801">
          <cell r="B2801" t="str">
            <v>1461-01</v>
          </cell>
          <cell r="C2801" t="str">
            <v>PISTON</v>
          </cell>
          <cell r="D2801">
            <v>162.5</v>
          </cell>
          <cell r="N2801" t="str">
            <v>1461-01</v>
          </cell>
          <cell r="O2801" t="str">
            <v>PISTON</v>
          </cell>
          <cell r="P2801">
            <v>325</v>
          </cell>
        </row>
        <row r="2802">
          <cell r="B2802" t="str">
            <v>1634-35</v>
          </cell>
          <cell r="C2802" t="str">
            <v>RS RETAINER</v>
          </cell>
          <cell r="D2802">
            <v>165.5</v>
          </cell>
          <cell r="N2802" t="str">
            <v>1634-35</v>
          </cell>
          <cell r="O2802" t="str">
            <v>RS RETAINER</v>
          </cell>
          <cell r="P2802">
            <v>331</v>
          </cell>
        </row>
        <row r="2803">
          <cell r="B2803" t="str">
            <v>1634-36</v>
          </cell>
          <cell r="C2803" t="str">
            <v>RS RETAINER</v>
          </cell>
          <cell r="D2803">
            <v>172.5</v>
          </cell>
          <cell r="N2803" t="str">
            <v>1634-36</v>
          </cell>
          <cell r="O2803" t="str">
            <v>RS RETAINER</v>
          </cell>
          <cell r="P2803">
            <v>345</v>
          </cell>
        </row>
        <row r="2804">
          <cell r="B2804" t="str">
            <v>2026-02</v>
          </cell>
          <cell r="C2804" t="str">
            <v>SOFT VALVE</v>
          </cell>
          <cell r="D2804">
            <v>88.5</v>
          </cell>
          <cell r="N2804" t="str">
            <v>2026-02</v>
          </cell>
          <cell r="O2804" t="str">
            <v>SOFT VALVE</v>
          </cell>
          <cell r="P2804">
            <v>177</v>
          </cell>
        </row>
        <row r="2805">
          <cell r="B2805" t="str">
            <v>567-14</v>
          </cell>
          <cell r="C2805" t="str">
            <v>BODY</v>
          </cell>
          <cell r="D2805">
            <v>100</v>
          </cell>
          <cell r="N2805" t="str">
            <v>567-14</v>
          </cell>
          <cell r="O2805" t="str">
            <v>BODY</v>
          </cell>
          <cell r="P2805">
            <v>200</v>
          </cell>
        </row>
        <row r="2806">
          <cell r="B2806" t="str">
            <v>567-16</v>
          </cell>
          <cell r="C2806" t="str">
            <v>BODY</v>
          </cell>
          <cell r="D2806">
            <v>127.5</v>
          </cell>
          <cell r="N2806" t="str">
            <v>567-16</v>
          </cell>
          <cell r="O2806" t="str">
            <v>BODY</v>
          </cell>
          <cell r="P2806">
            <v>255</v>
          </cell>
        </row>
        <row r="2807">
          <cell r="B2807" t="str">
            <v>588-01</v>
          </cell>
          <cell r="C2807" t="str">
            <v>PISTON</v>
          </cell>
          <cell r="D2807">
            <v>172.5</v>
          </cell>
          <cell r="N2807" t="str">
            <v>588-01</v>
          </cell>
          <cell r="O2807" t="str">
            <v>PISTON</v>
          </cell>
          <cell r="P2807">
            <v>345</v>
          </cell>
        </row>
        <row r="2808">
          <cell r="B2808" t="str">
            <v>661-19</v>
          </cell>
          <cell r="C2808" t="str">
            <v>BODY</v>
          </cell>
          <cell r="D2808">
            <v>162.5</v>
          </cell>
          <cell r="N2808" t="str">
            <v>661-19</v>
          </cell>
          <cell r="O2808" t="str">
            <v>BODY</v>
          </cell>
          <cell r="P2808">
            <v>325</v>
          </cell>
        </row>
        <row r="2809">
          <cell r="B2809" t="str">
            <v>661-25</v>
          </cell>
          <cell r="C2809" t="str">
            <v>BODY</v>
          </cell>
          <cell r="D2809">
            <v>172.5</v>
          </cell>
          <cell r="N2809" t="str">
            <v>661-25</v>
          </cell>
          <cell r="O2809" t="str">
            <v>BODY</v>
          </cell>
          <cell r="P2809">
            <v>345</v>
          </cell>
        </row>
        <row r="2810">
          <cell r="B2810" t="str">
            <v>758-00</v>
          </cell>
          <cell r="C2810" t="str">
            <v>ROD GUIDE ASS'Y</v>
          </cell>
          <cell r="D2810">
            <v>171</v>
          </cell>
          <cell r="N2810" t="str">
            <v>758-00</v>
          </cell>
          <cell r="O2810" t="str">
            <v>ROD GUIDE ASS'Y</v>
          </cell>
          <cell r="P2810">
            <v>342</v>
          </cell>
        </row>
        <row r="2811">
          <cell r="B2811" t="str">
            <v>1590-12</v>
          </cell>
          <cell r="C2811" t="str">
            <v>BODY</v>
          </cell>
          <cell r="D2811">
            <v>173</v>
          </cell>
          <cell r="N2811" t="str">
            <v>1590-12</v>
          </cell>
          <cell r="O2811" t="str">
            <v>BODY</v>
          </cell>
          <cell r="P2811">
            <v>346</v>
          </cell>
        </row>
        <row r="2812">
          <cell r="B2812" t="str">
            <v>1634-19</v>
          </cell>
          <cell r="C2812" t="str">
            <v>RS RETAINER</v>
          </cell>
          <cell r="D2812">
            <v>89.5</v>
          </cell>
          <cell r="N2812" t="str">
            <v>1634-19</v>
          </cell>
          <cell r="O2812" t="str">
            <v>RS RETAINER</v>
          </cell>
          <cell r="P2812">
            <v>179</v>
          </cell>
        </row>
        <row r="2813">
          <cell r="B2813" t="str">
            <v>1832-09</v>
          </cell>
          <cell r="C2813" t="str">
            <v>BODY RETAINER</v>
          </cell>
          <cell r="D2813">
            <v>90.5</v>
          </cell>
          <cell r="N2813" t="str">
            <v>1832-09</v>
          </cell>
          <cell r="O2813" t="str">
            <v>BODY RETAINER</v>
          </cell>
          <cell r="P2813">
            <v>181</v>
          </cell>
        </row>
        <row r="2814">
          <cell r="B2814" t="str">
            <v>786-07</v>
          </cell>
          <cell r="C2814" t="str">
            <v>BODY</v>
          </cell>
          <cell r="D2814">
            <v>89</v>
          </cell>
          <cell r="N2814" t="str">
            <v>786-07</v>
          </cell>
          <cell r="O2814" t="str">
            <v>BODY</v>
          </cell>
          <cell r="P2814">
            <v>178</v>
          </cell>
        </row>
        <row r="2815">
          <cell r="B2815" t="str">
            <v>786-08</v>
          </cell>
          <cell r="C2815" t="str">
            <v>BODY</v>
          </cell>
          <cell r="D2815">
            <v>85</v>
          </cell>
          <cell r="N2815" t="str">
            <v>786-08</v>
          </cell>
          <cell r="O2815" t="str">
            <v>BODY</v>
          </cell>
          <cell r="P2815">
            <v>170</v>
          </cell>
        </row>
        <row r="2816">
          <cell r="B2816" t="str">
            <v>958-00</v>
          </cell>
          <cell r="C2816" t="str">
            <v>FIXED GEAR</v>
          </cell>
          <cell r="D2816">
            <v>207.6</v>
          </cell>
          <cell r="N2816" t="str">
            <v>958-00</v>
          </cell>
          <cell r="O2816" t="str">
            <v>FIXED GEAR</v>
          </cell>
          <cell r="P2816">
            <v>346</v>
          </cell>
        </row>
        <row r="2817">
          <cell r="B2817" t="str">
            <v>1117-00</v>
          </cell>
          <cell r="C2817" t="str">
            <v>ROD GUIDE</v>
          </cell>
          <cell r="D2817">
            <v>173.5</v>
          </cell>
          <cell r="N2817" t="str">
            <v>1117-00</v>
          </cell>
          <cell r="O2817" t="str">
            <v>ROD GUIDE</v>
          </cell>
          <cell r="P2817">
            <v>347</v>
          </cell>
        </row>
        <row r="2818">
          <cell r="B2818" t="str">
            <v>1411-02</v>
          </cell>
          <cell r="C2818" t="str">
            <v>PISTON</v>
          </cell>
          <cell r="D2818">
            <v>173.5</v>
          </cell>
          <cell r="N2818" t="str">
            <v>1411-02</v>
          </cell>
          <cell r="O2818" t="str">
            <v>PISTON</v>
          </cell>
          <cell r="P2818">
            <v>347</v>
          </cell>
        </row>
        <row r="2819">
          <cell r="B2819" t="str">
            <v>1779-05</v>
          </cell>
          <cell r="C2819" t="str">
            <v>RS RETAINER</v>
          </cell>
          <cell r="D2819">
            <v>86.5</v>
          </cell>
          <cell r="N2819" t="str">
            <v>1779-05</v>
          </cell>
          <cell r="O2819" t="str">
            <v>RS RETAINER</v>
          </cell>
          <cell r="P2819">
            <v>173</v>
          </cell>
        </row>
        <row r="2820">
          <cell r="B2820" t="str">
            <v>1832-01</v>
          </cell>
          <cell r="C2820" t="str">
            <v>BODY RETAINER</v>
          </cell>
          <cell r="D2820">
            <v>97</v>
          </cell>
          <cell r="N2820" t="str">
            <v>1832-01</v>
          </cell>
          <cell r="O2820" t="str">
            <v>BODY RETAINER</v>
          </cell>
          <cell r="P2820">
            <v>194</v>
          </cell>
        </row>
        <row r="2821">
          <cell r="B2821" t="str">
            <v>588-01</v>
          </cell>
          <cell r="C2821" t="str">
            <v>PISTON</v>
          </cell>
          <cell r="D2821">
            <v>172.5</v>
          </cell>
          <cell r="N2821" t="str">
            <v>588-01</v>
          </cell>
          <cell r="O2821" t="str">
            <v>PISTON</v>
          </cell>
          <cell r="P2821">
            <v>345</v>
          </cell>
        </row>
        <row r="2822">
          <cell r="B2822" t="str">
            <v>588-01</v>
          </cell>
          <cell r="C2822" t="str">
            <v>PISTON</v>
          </cell>
          <cell r="D2822">
            <v>172.5</v>
          </cell>
          <cell r="N2822" t="str">
            <v>588-01</v>
          </cell>
          <cell r="O2822" t="str">
            <v>PISTON</v>
          </cell>
          <cell r="P2822">
            <v>345</v>
          </cell>
        </row>
        <row r="2823">
          <cell r="B2823" t="str">
            <v>588-02</v>
          </cell>
          <cell r="C2823" t="str">
            <v>PISTON</v>
          </cell>
          <cell r="D2823">
            <v>173.5</v>
          </cell>
          <cell r="N2823" t="str">
            <v>588-02</v>
          </cell>
          <cell r="O2823" t="str">
            <v>PISTON</v>
          </cell>
          <cell r="P2823">
            <v>347</v>
          </cell>
        </row>
        <row r="2824">
          <cell r="B2824" t="str">
            <v>598-26</v>
          </cell>
          <cell r="C2824" t="str">
            <v>PISTON</v>
          </cell>
          <cell r="D2824">
            <v>150</v>
          </cell>
          <cell r="N2824" t="str">
            <v>598-26</v>
          </cell>
          <cell r="O2824" t="str">
            <v>PISTON</v>
          </cell>
          <cell r="P2824">
            <v>300</v>
          </cell>
        </row>
        <row r="2825">
          <cell r="B2825" t="str">
            <v>661-23</v>
          </cell>
          <cell r="C2825" t="str">
            <v>BODY</v>
          </cell>
          <cell r="D2825">
            <v>123.5</v>
          </cell>
          <cell r="N2825" t="str">
            <v>661-23</v>
          </cell>
          <cell r="O2825" t="str">
            <v>BODY</v>
          </cell>
          <cell r="P2825">
            <v>247</v>
          </cell>
        </row>
        <row r="2826">
          <cell r="B2826" t="str">
            <v>1554-01</v>
          </cell>
          <cell r="C2826" t="str">
            <v>RS RETAINER</v>
          </cell>
          <cell r="D2826">
            <v>148</v>
          </cell>
          <cell r="N2826" t="str">
            <v>1554-01</v>
          </cell>
          <cell r="O2826" t="str">
            <v>RS RETAINER</v>
          </cell>
          <cell r="P2826">
            <v>296</v>
          </cell>
        </row>
        <row r="2827">
          <cell r="B2827" t="str">
            <v>1634-17</v>
          </cell>
          <cell r="C2827" t="str">
            <v>RS RETAINER</v>
          </cell>
          <cell r="D2827">
            <v>166.5</v>
          </cell>
          <cell r="N2827" t="str">
            <v>1634-17</v>
          </cell>
          <cell r="O2827" t="str">
            <v>RS RETAINER</v>
          </cell>
          <cell r="P2827">
            <v>333</v>
          </cell>
        </row>
        <row r="2828">
          <cell r="B2828" t="str">
            <v>1634-31</v>
          </cell>
          <cell r="C2828" t="str">
            <v>RS RETAINER</v>
          </cell>
          <cell r="D2828">
            <v>174</v>
          </cell>
          <cell r="N2828" t="str">
            <v>1634-31</v>
          </cell>
          <cell r="O2828" t="str">
            <v>RS RETAINER</v>
          </cell>
          <cell r="P2828">
            <v>348</v>
          </cell>
        </row>
        <row r="2829">
          <cell r="B2829" t="str">
            <v>1634-31</v>
          </cell>
          <cell r="C2829" t="str">
            <v>RS RETAINER</v>
          </cell>
          <cell r="D2829">
            <v>174</v>
          </cell>
          <cell r="N2829" t="str">
            <v>1634-31</v>
          </cell>
          <cell r="O2829" t="str">
            <v>RS RETAINER</v>
          </cell>
          <cell r="P2829">
            <v>348</v>
          </cell>
        </row>
        <row r="2830">
          <cell r="B2830" t="str">
            <v>1833-04</v>
          </cell>
          <cell r="C2830" t="str">
            <v>BODY RETAINER</v>
          </cell>
          <cell r="D2830">
            <v>81</v>
          </cell>
          <cell r="N2830" t="str">
            <v>1833-04</v>
          </cell>
          <cell r="O2830" t="str">
            <v>BODY RETAINER</v>
          </cell>
          <cell r="P2830">
            <v>162</v>
          </cell>
        </row>
        <row r="2831">
          <cell r="B2831" t="str">
            <v>787-01</v>
          </cell>
          <cell r="C2831" t="str">
            <v>BODY</v>
          </cell>
          <cell r="D2831">
            <v>86</v>
          </cell>
          <cell r="N2831" t="str">
            <v>787-01</v>
          </cell>
          <cell r="O2831" t="str">
            <v>BODY</v>
          </cell>
          <cell r="P2831">
            <v>172</v>
          </cell>
        </row>
        <row r="2832">
          <cell r="B2832" t="str">
            <v>852-24</v>
          </cell>
          <cell r="C2832" t="str">
            <v>BODY</v>
          </cell>
          <cell r="D2832">
            <v>174</v>
          </cell>
          <cell r="N2832" t="str">
            <v>852-24</v>
          </cell>
          <cell r="O2832" t="str">
            <v>BODY</v>
          </cell>
          <cell r="P2832">
            <v>348</v>
          </cell>
        </row>
        <row r="2833">
          <cell r="B2833" t="str">
            <v>861-14</v>
          </cell>
          <cell r="C2833" t="str">
            <v>BODY</v>
          </cell>
          <cell r="D2833">
            <v>171.5</v>
          </cell>
          <cell r="N2833" t="str">
            <v>861-14</v>
          </cell>
          <cell r="O2833" t="str">
            <v>BODY</v>
          </cell>
          <cell r="P2833">
            <v>343</v>
          </cell>
        </row>
        <row r="2834">
          <cell r="B2834" t="str">
            <v>958-00</v>
          </cell>
          <cell r="C2834" t="str">
            <v>FIXED GEAR</v>
          </cell>
          <cell r="D2834">
            <v>207.6</v>
          </cell>
          <cell r="N2834" t="str">
            <v>958-00</v>
          </cell>
          <cell r="O2834" t="str">
            <v>FIXED GEAR</v>
          </cell>
          <cell r="P2834">
            <v>346</v>
          </cell>
        </row>
        <row r="2835">
          <cell r="B2835" t="str">
            <v>1554-20</v>
          </cell>
          <cell r="C2835" t="str">
            <v>RS RETAINER</v>
          </cell>
          <cell r="D2835">
            <v>170.5</v>
          </cell>
          <cell r="N2835" t="str">
            <v>1554-20</v>
          </cell>
          <cell r="O2835" t="str">
            <v>RS RETAINER</v>
          </cell>
          <cell r="P2835">
            <v>341</v>
          </cell>
        </row>
        <row r="2836">
          <cell r="B2836" t="str">
            <v>1634-15</v>
          </cell>
          <cell r="C2836" t="str">
            <v>RS RETAINER</v>
          </cell>
          <cell r="D2836">
            <v>163</v>
          </cell>
          <cell r="N2836" t="str">
            <v>1634-15</v>
          </cell>
          <cell r="O2836" t="str">
            <v>RS RETAINER</v>
          </cell>
          <cell r="P2836">
            <v>326</v>
          </cell>
        </row>
        <row r="2837">
          <cell r="B2837" t="str">
            <v>1833-02</v>
          </cell>
          <cell r="C2837" t="str">
            <v>BODY RETAINER</v>
          </cell>
          <cell r="D2837">
            <v>81</v>
          </cell>
          <cell r="N2837" t="str">
            <v>1833-02</v>
          </cell>
          <cell r="O2837" t="str">
            <v>BODY RETAINER</v>
          </cell>
          <cell r="P2837">
            <v>162</v>
          </cell>
        </row>
        <row r="2838">
          <cell r="B2838" t="str">
            <v>1994-02</v>
          </cell>
          <cell r="C2838" t="str">
            <v>BODY</v>
          </cell>
          <cell r="D2838">
            <v>174.5</v>
          </cell>
          <cell r="N2838" t="str">
            <v>1994-02</v>
          </cell>
          <cell r="O2838" t="str">
            <v>BODY</v>
          </cell>
          <cell r="P2838">
            <v>349</v>
          </cell>
        </row>
        <row r="2839">
          <cell r="B2839" t="str">
            <v>598-09</v>
          </cell>
          <cell r="C2839" t="str">
            <v>PISTON</v>
          </cell>
          <cell r="D2839">
            <v>174.5</v>
          </cell>
          <cell r="N2839" t="str">
            <v>598-09</v>
          </cell>
          <cell r="O2839" t="str">
            <v>PISTON</v>
          </cell>
          <cell r="P2839">
            <v>349</v>
          </cell>
        </row>
        <row r="2840">
          <cell r="B2840" t="str">
            <v>661-25</v>
          </cell>
          <cell r="C2840" t="str">
            <v>BODY</v>
          </cell>
          <cell r="D2840">
            <v>172.5</v>
          </cell>
          <cell r="N2840" t="str">
            <v>661-25</v>
          </cell>
          <cell r="O2840" t="str">
            <v>BODY</v>
          </cell>
          <cell r="P2840">
            <v>345</v>
          </cell>
        </row>
        <row r="2841">
          <cell r="B2841" t="str">
            <v>786-04</v>
          </cell>
          <cell r="C2841" t="str">
            <v>BODY</v>
          </cell>
          <cell r="D2841">
            <v>85</v>
          </cell>
          <cell r="N2841" t="str">
            <v>786-04</v>
          </cell>
          <cell r="O2841" t="str">
            <v>BODY</v>
          </cell>
          <cell r="P2841">
            <v>170</v>
          </cell>
        </row>
        <row r="2842">
          <cell r="B2842" t="str">
            <v>1023-14</v>
          </cell>
          <cell r="C2842" t="str">
            <v>PISTON</v>
          </cell>
          <cell r="D2842">
            <v>175</v>
          </cell>
          <cell r="N2842" t="str">
            <v>1023-14</v>
          </cell>
          <cell r="O2842" t="str">
            <v>PISTON</v>
          </cell>
          <cell r="P2842">
            <v>350</v>
          </cell>
        </row>
        <row r="2843">
          <cell r="B2843" t="str">
            <v>1312-02</v>
          </cell>
          <cell r="C2843" t="str">
            <v>VALVE PLATE</v>
          </cell>
          <cell r="D2843">
            <v>210</v>
          </cell>
          <cell r="N2843" t="str">
            <v>1312-02</v>
          </cell>
          <cell r="O2843" t="str">
            <v>VALVE PLATE</v>
          </cell>
          <cell r="P2843">
            <v>350</v>
          </cell>
        </row>
        <row r="2844">
          <cell r="B2844" t="str">
            <v>1554-12</v>
          </cell>
          <cell r="C2844" t="str">
            <v>RS RETAINER</v>
          </cell>
          <cell r="D2844">
            <v>175</v>
          </cell>
          <cell r="N2844" t="str">
            <v>1554-12</v>
          </cell>
          <cell r="O2844" t="str">
            <v>RS RETAINER</v>
          </cell>
          <cell r="P2844">
            <v>350</v>
          </cell>
        </row>
        <row r="2845">
          <cell r="B2845" t="str">
            <v>1634-28</v>
          </cell>
          <cell r="C2845" t="str">
            <v>RS RETAINER</v>
          </cell>
          <cell r="D2845">
            <v>170.5</v>
          </cell>
          <cell r="N2845" t="str">
            <v>1634-28</v>
          </cell>
          <cell r="O2845" t="str">
            <v>RS RETAINER</v>
          </cell>
          <cell r="P2845">
            <v>341</v>
          </cell>
        </row>
        <row r="2846">
          <cell r="B2846" t="str">
            <v>1733-00</v>
          </cell>
          <cell r="C2846" t="str">
            <v>BASE VALVE</v>
          </cell>
          <cell r="D2846">
            <v>175</v>
          </cell>
          <cell r="N2846" t="str">
            <v>1733-00</v>
          </cell>
          <cell r="O2846" t="str">
            <v>BASE VALVE</v>
          </cell>
          <cell r="P2846">
            <v>350</v>
          </cell>
        </row>
        <row r="2847">
          <cell r="B2847" t="str">
            <v>1733-00</v>
          </cell>
          <cell r="C2847" t="str">
            <v>BASE VALVE</v>
          </cell>
          <cell r="D2847">
            <v>175</v>
          </cell>
          <cell r="N2847" t="str">
            <v>1733-00</v>
          </cell>
          <cell r="O2847" t="str">
            <v>BASE VALVE</v>
          </cell>
          <cell r="P2847">
            <v>350</v>
          </cell>
        </row>
        <row r="2848">
          <cell r="B2848" t="str">
            <v>1799-01</v>
          </cell>
          <cell r="C2848" t="str">
            <v>PISTON</v>
          </cell>
          <cell r="D2848">
            <v>175</v>
          </cell>
          <cell r="N2848" t="str">
            <v>1799-01</v>
          </cell>
          <cell r="O2848" t="str">
            <v>PISTON</v>
          </cell>
          <cell r="P2848">
            <v>350</v>
          </cell>
        </row>
        <row r="2849">
          <cell r="B2849" t="str">
            <v>1922-07</v>
          </cell>
          <cell r="C2849" t="str">
            <v>RS RETAINER</v>
          </cell>
          <cell r="D2849">
            <v>175</v>
          </cell>
          <cell r="N2849" t="str">
            <v>1922-07</v>
          </cell>
          <cell r="O2849" t="str">
            <v>RS RETAINER</v>
          </cell>
          <cell r="P2849">
            <v>350</v>
          </cell>
        </row>
        <row r="2850">
          <cell r="B2850" t="str">
            <v>2852-24</v>
          </cell>
          <cell r="C2850" t="str">
            <v>BODY</v>
          </cell>
          <cell r="D2850">
            <v>153</v>
          </cell>
          <cell r="N2850" t="str">
            <v>2852-24</v>
          </cell>
          <cell r="O2850" t="str">
            <v>BODY</v>
          </cell>
          <cell r="P2850">
            <v>306</v>
          </cell>
        </row>
        <row r="2851">
          <cell r="B2851" t="str">
            <v>591-19</v>
          </cell>
          <cell r="C2851" t="str">
            <v>PISTON</v>
          </cell>
          <cell r="D2851">
            <v>175</v>
          </cell>
          <cell r="N2851" t="str">
            <v>591-19</v>
          </cell>
          <cell r="O2851" t="str">
            <v>PISTON</v>
          </cell>
          <cell r="P2851">
            <v>350</v>
          </cell>
        </row>
        <row r="2852">
          <cell r="B2852" t="str">
            <v>661-25</v>
          </cell>
          <cell r="C2852" t="str">
            <v>BODY</v>
          </cell>
          <cell r="D2852">
            <v>172.5</v>
          </cell>
          <cell r="N2852" t="str">
            <v>661-25</v>
          </cell>
          <cell r="O2852" t="str">
            <v>BODY</v>
          </cell>
          <cell r="P2852">
            <v>345</v>
          </cell>
        </row>
        <row r="2853">
          <cell r="B2853" t="str">
            <v>721-01</v>
          </cell>
          <cell r="C2853" t="str">
            <v>PISTON</v>
          </cell>
          <cell r="D2853">
            <v>175</v>
          </cell>
          <cell r="N2853" t="str">
            <v>721-01</v>
          </cell>
          <cell r="O2853" t="str">
            <v>PISTON</v>
          </cell>
          <cell r="P2853">
            <v>350</v>
          </cell>
        </row>
        <row r="2854">
          <cell r="B2854" t="str">
            <v>846-00</v>
          </cell>
          <cell r="C2854" t="str">
            <v>COMP,GUIDE ASS'Y</v>
          </cell>
          <cell r="D2854">
            <v>175</v>
          </cell>
          <cell r="N2854" t="str">
            <v>846-00</v>
          </cell>
          <cell r="O2854" t="str">
            <v>COMP,GUIDE ASS'Y</v>
          </cell>
          <cell r="P2854">
            <v>350</v>
          </cell>
        </row>
        <row r="2855">
          <cell r="B2855" t="str">
            <v>878-04</v>
          </cell>
          <cell r="C2855" t="str">
            <v>BODY</v>
          </cell>
          <cell r="D2855">
            <v>175</v>
          </cell>
          <cell r="N2855" t="str">
            <v>878-04</v>
          </cell>
          <cell r="O2855" t="str">
            <v>BODY</v>
          </cell>
          <cell r="P2855">
            <v>350</v>
          </cell>
        </row>
        <row r="2856">
          <cell r="B2856" t="str">
            <v>958-00</v>
          </cell>
          <cell r="C2856" t="str">
            <v>FIXED GEAR</v>
          </cell>
          <cell r="D2856">
            <v>207.6</v>
          </cell>
          <cell r="N2856" t="str">
            <v>958-00</v>
          </cell>
          <cell r="O2856" t="str">
            <v>FIXED GEAR</v>
          </cell>
          <cell r="P2856">
            <v>346</v>
          </cell>
        </row>
        <row r="2857">
          <cell r="B2857" t="str">
            <v>1069-01</v>
          </cell>
          <cell r="C2857" t="str">
            <v>PISTON</v>
          </cell>
          <cell r="D2857">
            <v>99</v>
          </cell>
          <cell r="N2857" t="str">
            <v>1069-01</v>
          </cell>
          <cell r="O2857" t="str">
            <v>PISTON</v>
          </cell>
          <cell r="P2857">
            <v>198</v>
          </cell>
        </row>
        <row r="2858">
          <cell r="B2858" t="str">
            <v>108-07</v>
          </cell>
          <cell r="C2858" t="str">
            <v>REB,RETAINER</v>
          </cell>
          <cell r="D2858">
            <v>175.5</v>
          </cell>
          <cell r="N2858" t="str">
            <v>108-07</v>
          </cell>
          <cell r="O2858" t="str">
            <v>REB,RETAINER</v>
          </cell>
          <cell r="P2858">
            <v>351</v>
          </cell>
        </row>
        <row r="2859">
          <cell r="B2859" t="str">
            <v>1446-02</v>
          </cell>
          <cell r="C2859" t="str">
            <v>BODY</v>
          </cell>
          <cell r="D2859">
            <v>111</v>
          </cell>
          <cell r="N2859" t="str">
            <v>1446-02</v>
          </cell>
          <cell r="O2859" t="str">
            <v>BODY</v>
          </cell>
          <cell r="P2859">
            <v>222</v>
          </cell>
        </row>
        <row r="2860">
          <cell r="B2860" t="str">
            <v>1481-04</v>
          </cell>
          <cell r="C2860" t="str">
            <v>RS RETAINER</v>
          </cell>
          <cell r="D2860">
            <v>175.5</v>
          </cell>
          <cell r="N2860" t="str">
            <v>1481-04</v>
          </cell>
          <cell r="O2860" t="str">
            <v>RS RETAINER</v>
          </cell>
          <cell r="P2860">
            <v>351</v>
          </cell>
        </row>
        <row r="2861">
          <cell r="B2861" t="str">
            <v>1502-01</v>
          </cell>
          <cell r="C2861" t="str">
            <v>PISTON</v>
          </cell>
          <cell r="D2861">
            <v>175.5</v>
          </cell>
          <cell r="N2861" t="str">
            <v>1502-01</v>
          </cell>
          <cell r="O2861" t="str">
            <v>PISTON</v>
          </cell>
          <cell r="P2861">
            <v>351</v>
          </cell>
        </row>
        <row r="2862">
          <cell r="B2862" t="str">
            <v>1634-35</v>
          </cell>
          <cell r="C2862" t="str">
            <v>RS RETAINER</v>
          </cell>
          <cell r="D2862">
            <v>165.5</v>
          </cell>
          <cell r="N2862" t="str">
            <v>1634-35</v>
          </cell>
          <cell r="O2862" t="str">
            <v>RS RETAINER</v>
          </cell>
          <cell r="P2862">
            <v>331</v>
          </cell>
        </row>
        <row r="2863">
          <cell r="B2863" t="str">
            <v>588-18</v>
          </cell>
          <cell r="C2863" t="str">
            <v>PISTON</v>
          </cell>
          <cell r="D2863">
            <v>85</v>
          </cell>
          <cell r="N2863" t="str">
            <v>588-18</v>
          </cell>
          <cell r="O2863" t="str">
            <v>PISTON</v>
          </cell>
          <cell r="P2863">
            <v>170</v>
          </cell>
        </row>
        <row r="2864">
          <cell r="B2864" t="str">
            <v>588-30</v>
          </cell>
          <cell r="C2864" t="str">
            <v>PISTON</v>
          </cell>
          <cell r="D2864">
            <v>123.5</v>
          </cell>
          <cell r="N2864" t="str">
            <v>588-30</v>
          </cell>
          <cell r="O2864" t="str">
            <v>PISTON</v>
          </cell>
          <cell r="P2864">
            <v>247</v>
          </cell>
        </row>
        <row r="2865">
          <cell r="B2865" t="str">
            <v>634-01</v>
          </cell>
          <cell r="C2865" t="str">
            <v>RACK STOPPER</v>
          </cell>
          <cell r="D2865">
            <v>210.6</v>
          </cell>
          <cell r="N2865" t="str">
            <v>634-01</v>
          </cell>
          <cell r="O2865" t="str">
            <v>RACK STOPPER</v>
          </cell>
          <cell r="P2865">
            <v>351</v>
          </cell>
        </row>
        <row r="2866">
          <cell r="B2866" t="str">
            <v>661-06</v>
          </cell>
          <cell r="C2866" t="str">
            <v>BODY</v>
          </cell>
          <cell r="D2866">
            <v>82.5</v>
          </cell>
          <cell r="N2866" t="str">
            <v>661-06</v>
          </cell>
          <cell r="O2866" t="str">
            <v>BODY</v>
          </cell>
          <cell r="P2866">
            <v>165</v>
          </cell>
        </row>
        <row r="2867">
          <cell r="B2867" t="str">
            <v>787-22</v>
          </cell>
          <cell r="C2867" t="str">
            <v>BODY</v>
          </cell>
          <cell r="D2867">
            <v>151</v>
          </cell>
          <cell r="N2867" t="str">
            <v>787-22</v>
          </cell>
          <cell r="O2867" t="str">
            <v>BODY</v>
          </cell>
          <cell r="P2867">
            <v>302</v>
          </cell>
        </row>
        <row r="2868">
          <cell r="B2868" t="str">
            <v>861-14</v>
          </cell>
          <cell r="C2868" t="str">
            <v>BODY</v>
          </cell>
          <cell r="D2868">
            <v>171.5</v>
          </cell>
          <cell r="N2868" t="str">
            <v>861-14</v>
          </cell>
          <cell r="O2868" t="str">
            <v>BODY</v>
          </cell>
          <cell r="P2868">
            <v>343</v>
          </cell>
        </row>
        <row r="2869">
          <cell r="B2869" t="str">
            <v>1018-01</v>
          </cell>
          <cell r="C2869" t="str">
            <v>PISTON</v>
          </cell>
          <cell r="D2869">
            <v>176</v>
          </cell>
          <cell r="N2869" t="str">
            <v>1018-01</v>
          </cell>
          <cell r="O2869" t="str">
            <v>PISTON</v>
          </cell>
          <cell r="P2869">
            <v>352</v>
          </cell>
        </row>
        <row r="2870">
          <cell r="B2870" t="str">
            <v>1446-08</v>
          </cell>
          <cell r="C2870" t="str">
            <v>BODY</v>
          </cell>
          <cell r="D2870">
            <v>176</v>
          </cell>
          <cell r="N2870" t="str">
            <v>1446-08</v>
          </cell>
          <cell r="O2870" t="str">
            <v>BODY</v>
          </cell>
          <cell r="P2870">
            <v>352</v>
          </cell>
        </row>
        <row r="2871">
          <cell r="B2871" t="str">
            <v>1634-14</v>
          </cell>
          <cell r="C2871" t="str">
            <v>RS RETAINER</v>
          </cell>
          <cell r="D2871">
            <v>89.5</v>
          </cell>
          <cell r="N2871" t="str">
            <v>1634-14</v>
          </cell>
          <cell r="O2871" t="str">
            <v>RS RETAINER</v>
          </cell>
          <cell r="P2871">
            <v>179</v>
          </cell>
        </row>
        <row r="2872">
          <cell r="B2872" t="str">
            <v>1634-17</v>
          </cell>
          <cell r="C2872" t="str">
            <v>RS RETAINER</v>
          </cell>
          <cell r="D2872">
            <v>166.5</v>
          </cell>
          <cell r="N2872" t="str">
            <v>1634-17</v>
          </cell>
          <cell r="O2872" t="str">
            <v>RS RETAINER</v>
          </cell>
          <cell r="P2872">
            <v>333</v>
          </cell>
        </row>
        <row r="2873">
          <cell r="B2873" t="str">
            <v>1779-05</v>
          </cell>
          <cell r="C2873" t="str">
            <v>RS RETAINER</v>
          </cell>
          <cell r="D2873">
            <v>86.5</v>
          </cell>
          <cell r="N2873" t="str">
            <v>1779-05</v>
          </cell>
          <cell r="O2873" t="str">
            <v>RS RETAINER</v>
          </cell>
          <cell r="P2873">
            <v>173</v>
          </cell>
        </row>
        <row r="2874">
          <cell r="B2874" t="str">
            <v>1831-06</v>
          </cell>
          <cell r="C2874" t="str">
            <v>BODY RETAINER</v>
          </cell>
          <cell r="D2874">
            <v>176</v>
          </cell>
          <cell r="N2874" t="str">
            <v>1831-06</v>
          </cell>
          <cell r="O2874" t="str">
            <v>BODY RETAINER</v>
          </cell>
          <cell r="P2874">
            <v>352</v>
          </cell>
        </row>
        <row r="2875">
          <cell r="B2875" t="str">
            <v>1832-01</v>
          </cell>
          <cell r="C2875" t="str">
            <v>BODY RETAINER</v>
          </cell>
          <cell r="D2875">
            <v>97</v>
          </cell>
          <cell r="N2875" t="str">
            <v>1832-01</v>
          </cell>
          <cell r="O2875" t="str">
            <v>BODY RETAINER</v>
          </cell>
          <cell r="P2875">
            <v>194</v>
          </cell>
        </row>
        <row r="2876">
          <cell r="B2876" t="str">
            <v>2076-06</v>
          </cell>
          <cell r="C2876" t="str">
            <v>BODY RETAINER</v>
          </cell>
          <cell r="D2876">
            <v>176</v>
          </cell>
          <cell r="N2876" t="str">
            <v>2076-06</v>
          </cell>
          <cell r="O2876" t="str">
            <v>BODY RETAINER</v>
          </cell>
          <cell r="P2876">
            <v>352</v>
          </cell>
        </row>
        <row r="2877">
          <cell r="B2877" t="str">
            <v>651-00</v>
          </cell>
          <cell r="C2877" t="str">
            <v>HEAD</v>
          </cell>
          <cell r="D2877">
            <v>211.2</v>
          </cell>
          <cell r="N2877" t="str">
            <v>651-00</v>
          </cell>
          <cell r="O2877" t="str">
            <v>HEAD</v>
          </cell>
          <cell r="P2877">
            <v>352</v>
          </cell>
        </row>
        <row r="2878">
          <cell r="B2878" t="str">
            <v>661-31</v>
          </cell>
          <cell r="C2878" t="str">
            <v>BODY</v>
          </cell>
          <cell r="D2878">
            <v>126</v>
          </cell>
          <cell r="N2878" t="str">
            <v>661-31</v>
          </cell>
          <cell r="O2878" t="str">
            <v>BODY</v>
          </cell>
          <cell r="P2878">
            <v>252</v>
          </cell>
        </row>
        <row r="2879">
          <cell r="B2879" t="str">
            <v>758-00</v>
          </cell>
          <cell r="C2879" t="str">
            <v>ROD GUIDE ASS'Y</v>
          </cell>
          <cell r="D2879">
            <v>171</v>
          </cell>
          <cell r="N2879" t="str">
            <v>758-00</v>
          </cell>
          <cell r="O2879" t="str">
            <v>ROD GUIDE ASS'Y</v>
          </cell>
          <cell r="P2879">
            <v>342</v>
          </cell>
        </row>
        <row r="2880">
          <cell r="B2880" t="str">
            <v>852-21</v>
          </cell>
          <cell r="C2880" t="str">
            <v>BODY</v>
          </cell>
          <cell r="D2880">
            <v>123</v>
          </cell>
          <cell r="N2880" t="str">
            <v>852-21</v>
          </cell>
          <cell r="O2880" t="str">
            <v>BODY</v>
          </cell>
          <cell r="P2880">
            <v>246</v>
          </cell>
        </row>
        <row r="2881">
          <cell r="B2881" t="str">
            <v>878-04</v>
          </cell>
          <cell r="C2881" t="str">
            <v>BODY</v>
          </cell>
          <cell r="D2881">
            <v>175</v>
          </cell>
          <cell r="N2881" t="str">
            <v>878-04</v>
          </cell>
          <cell r="O2881" t="str">
            <v>BODY</v>
          </cell>
          <cell r="P2881">
            <v>350</v>
          </cell>
        </row>
        <row r="2882">
          <cell r="B2882" t="str">
            <v>878-05</v>
          </cell>
          <cell r="C2882" t="str">
            <v>BODY</v>
          </cell>
          <cell r="D2882">
            <v>124</v>
          </cell>
          <cell r="N2882" t="str">
            <v>878-05</v>
          </cell>
          <cell r="O2882" t="str">
            <v>BODY</v>
          </cell>
          <cell r="P2882">
            <v>248</v>
          </cell>
        </row>
        <row r="2883">
          <cell r="B2883" t="str">
            <v>878-05</v>
          </cell>
          <cell r="C2883" t="str">
            <v>BODY</v>
          </cell>
          <cell r="D2883">
            <v>124</v>
          </cell>
          <cell r="N2883" t="str">
            <v>878-05</v>
          </cell>
          <cell r="O2883" t="str">
            <v>BODY</v>
          </cell>
          <cell r="P2883">
            <v>248</v>
          </cell>
        </row>
        <row r="2884">
          <cell r="B2884" t="str">
            <v>1025-00</v>
          </cell>
          <cell r="C2884" t="str">
            <v>RACK STOPPER</v>
          </cell>
          <cell r="D2884">
            <v>176.5</v>
          </cell>
          <cell r="N2884" t="str">
            <v>1025-00</v>
          </cell>
          <cell r="O2884" t="str">
            <v>RACK STOPPER</v>
          </cell>
          <cell r="P2884">
            <v>353</v>
          </cell>
        </row>
        <row r="2885">
          <cell r="B2885" t="str">
            <v>1241-02</v>
          </cell>
          <cell r="C2885" t="str">
            <v>SUPPORT YOKE ASS'Y</v>
          </cell>
          <cell r="D2885">
            <v>176.5</v>
          </cell>
          <cell r="N2885" t="str">
            <v>1241-02</v>
          </cell>
          <cell r="O2885" t="str">
            <v>SUPPORT YOKE ASS'Y</v>
          </cell>
          <cell r="P2885">
            <v>353</v>
          </cell>
        </row>
        <row r="2886">
          <cell r="B2886" t="str">
            <v>1324-00</v>
          </cell>
          <cell r="C2886" t="str">
            <v>FREE PISTON ASS'Y</v>
          </cell>
          <cell r="D2886">
            <v>176.5</v>
          </cell>
          <cell r="N2886" t="str">
            <v>1324-00</v>
          </cell>
          <cell r="O2886" t="str">
            <v>FREE PISTON ASS'Y</v>
          </cell>
          <cell r="P2886">
            <v>353</v>
          </cell>
        </row>
        <row r="2887">
          <cell r="B2887" t="str">
            <v>1831-01</v>
          </cell>
          <cell r="C2887" t="str">
            <v>BODY RETAINER</v>
          </cell>
          <cell r="D2887">
            <v>90</v>
          </cell>
          <cell r="N2887" t="str">
            <v>1831-01</v>
          </cell>
          <cell r="O2887" t="str">
            <v>BODY RETAINER</v>
          </cell>
          <cell r="P2887">
            <v>180</v>
          </cell>
        </row>
        <row r="2888">
          <cell r="B2888" t="str">
            <v>2852-15</v>
          </cell>
          <cell r="C2888" t="str">
            <v>BODY</v>
          </cell>
          <cell r="D2888">
            <v>117</v>
          </cell>
          <cell r="N2888" t="str">
            <v>2852-15</v>
          </cell>
          <cell r="O2888" t="str">
            <v>BODY</v>
          </cell>
          <cell r="P2888">
            <v>234</v>
          </cell>
        </row>
        <row r="2889">
          <cell r="B2889" t="str">
            <v>588-24</v>
          </cell>
          <cell r="C2889" t="str">
            <v>PISTON</v>
          </cell>
          <cell r="D2889">
            <v>176.5</v>
          </cell>
          <cell r="N2889" t="str">
            <v>588-24</v>
          </cell>
          <cell r="O2889" t="str">
            <v>PISTON</v>
          </cell>
          <cell r="P2889">
            <v>353</v>
          </cell>
        </row>
        <row r="2890">
          <cell r="B2890" t="str">
            <v>861-19</v>
          </cell>
          <cell r="C2890" t="str">
            <v>BODY</v>
          </cell>
          <cell r="D2890">
            <v>176.5</v>
          </cell>
          <cell r="N2890" t="str">
            <v>861-19</v>
          </cell>
          <cell r="O2890" t="str">
            <v>BODY</v>
          </cell>
          <cell r="P2890">
            <v>353</v>
          </cell>
        </row>
        <row r="2891">
          <cell r="B2891" t="str">
            <v>862-00</v>
          </cell>
          <cell r="C2891" t="str">
            <v>ROD GUIDE ASS'Y</v>
          </cell>
          <cell r="D2891">
            <v>176.5</v>
          </cell>
          <cell r="N2891" t="str">
            <v>862-00</v>
          </cell>
          <cell r="O2891" t="str">
            <v>ROD GUIDE ASS'Y</v>
          </cell>
          <cell r="P2891">
            <v>353</v>
          </cell>
        </row>
        <row r="2892">
          <cell r="B2892" t="str">
            <v>1481-07</v>
          </cell>
          <cell r="C2892" t="str">
            <v>RS RETAINER</v>
          </cell>
          <cell r="D2892">
            <v>177</v>
          </cell>
          <cell r="N2892" t="str">
            <v>1481-07</v>
          </cell>
          <cell r="O2892" t="str">
            <v>RS RETAINER</v>
          </cell>
          <cell r="P2892">
            <v>354</v>
          </cell>
        </row>
        <row r="2893">
          <cell r="B2893" t="str">
            <v>1634-15</v>
          </cell>
          <cell r="C2893" t="str">
            <v>RS RETAINER</v>
          </cell>
          <cell r="D2893">
            <v>163</v>
          </cell>
          <cell r="N2893" t="str">
            <v>1634-15</v>
          </cell>
          <cell r="O2893" t="str">
            <v>RS RETAINER</v>
          </cell>
          <cell r="P2893">
            <v>326</v>
          </cell>
        </row>
        <row r="2894">
          <cell r="B2894" t="str">
            <v>2026-03</v>
          </cell>
          <cell r="C2894" t="str">
            <v>SOFT VALVE</v>
          </cell>
          <cell r="D2894">
            <v>177</v>
          </cell>
          <cell r="N2894" t="str">
            <v>2026-03</v>
          </cell>
          <cell r="O2894" t="str">
            <v>SOFT VALVE</v>
          </cell>
          <cell r="P2894">
            <v>354</v>
          </cell>
        </row>
        <row r="2895">
          <cell r="B2895" t="str">
            <v>1241-02</v>
          </cell>
          <cell r="C2895" t="str">
            <v>SUPPORT YOKE ASS'Y</v>
          </cell>
          <cell r="D2895">
            <v>176.5</v>
          </cell>
          <cell r="N2895" t="str">
            <v>1241-02</v>
          </cell>
          <cell r="O2895" t="str">
            <v>SUPPORT YOKE ASS'Y</v>
          </cell>
          <cell r="P2895">
            <v>353</v>
          </cell>
        </row>
        <row r="2896">
          <cell r="B2896" t="str">
            <v>1366-00</v>
          </cell>
          <cell r="C2896" t="str">
            <v>CAM</v>
          </cell>
          <cell r="D2896">
            <v>213</v>
          </cell>
          <cell r="N2896" t="str">
            <v>1366-00</v>
          </cell>
          <cell r="O2896" t="str">
            <v>CAM</v>
          </cell>
          <cell r="P2896">
            <v>355</v>
          </cell>
        </row>
        <row r="2897">
          <cell r="B2897" t="str">
            <v>1554-12</v>
          </cell>
          <cell r="C2897" t="str">
            <v>RS RETAINER</v>
          </cell>
          <cell r="D2897">
            <v>175</v>
          </cell>
          <cell r="N2897" t="str">
            <v>1554-12</v>
          </cell>
          <cell r="O2897" t="str">
            <v>RS RETAINER</v>
          </cell>
          <cell r="P2897">
            <v>350</v>
          </cell>
        </row>
        <row r="2898">
          <cell r="B2898" t="str">
            <v>1554-12</v>
          </cell>
          <cell r="C2898" t="str">
            <v>RS RETAINER</v>
          </cell>
          <cell r="D2898">
            <v>175</v>
          </cell>
          <cell r="N2898" t="str">
            <v>1554-12</v>
          </cell>
          <cell r="O2898" t="str">
            <v>RS RETAINER</v>
          </cell>
          <cell r="P2898">
            <v>350</v>
          </cell>
        </row>
        <row r="2899">
          <cell r="B2899" t="str">
            <v>1610-06</v>
          </cell>
          <cell r="C2899" t="str">
            <v>RS RETAINER</v>
          </cell>
          <cell r="D2899">
            <v>170.5</v>
          </cell>
          <cell r="N2899" t="str">
            <v>1610-06</v>
          </cell>
          <cell r="O2899" t="str">
            <v>RS RETAINER</v>
          </cell>
          <cell r="P2899">
            <v>341</v>
          </cell>
        </row>
        <row r="2900">
          <cell r="B2900" t="str">
            <v>1634-28</v>
          </cell>
          <cell r="C2900" t="str">
            <v>RS RETAINER</v>
          </cell>
          <cell r="D2900">
            <v>170.5</v>
          </cell>
          <cell r="N2900" t="str">
            <v>1634-28</v>
          </cell>
          <cell r="O2900" t="str">
            <v>RS RETAINER</v>
          </cell>
          <cell r="P2900">
            <v>341</v>
          </cell>
        </row>
        <row r="2901">
          <cell r="B2901" t="str">
            <v>1634-35</v>
          </cell>
          <cell r="C2901" t="str">
            <v>RS RETAINER</v>
          </cell>
          <cell r="D2901">
            <v>165.5</v>
          </cell>
          <cell r="N2901" t="str">
            <v>1634-35</v>
          </cell>
          <cell r="O2901" t="str">
            <v>RS RETAINER</v>
          </cell>
          <cell r="P2901">
            <v>331</v>
          </cell>
        </row>
        <row r="2902">
          <cell r="B2902" t="str">
            <v>1833-04</v>
          </cell>
          <cell r="C2902" t="str">
            <v>BODY RETAINER</v>
          </cell>
          <cell r="D2902">
            <v>81</v>
          </cell>
          <cell r="N2902" t="str">
            <v>1833-04</v>
          </cell>
          <cell r="O2902" t="str">
            <v>BODY RETAINER</v>
          </cell>
          <cell r="P2902">
            <v>162</v>
          </cell>
        </row>
        <row r="2903">
          <cell r="B2903" t="str">
            <v>592-09</v>
          </cell>
          <cell r="C2903" t="str">
            <v>PISTON</v>
          </cell>
          <cell r="D2903">
            <v>177.5</v>
          </cell>
          <cell r="N2903" t="str">
            <v>592-09</v>
          </cell>
          <cell r="O2903" t="str">
            <v>PISTON</v>
          </cell>
          <cell r="P2903">
            <v>355</v>
          </cell>
        </row>
        <row r="2904">
          <cell r="B2904" t="str">
            <v>661-01</v>
          </cell>
          <cell r="C2904" t="str">
            <v>BODY</v>
          </cell>
          <cell r="D2904">
            <v>88</v>
          </cell>
          <cell r="N2904" t="str">
            <v>661-01</v>
          </cell>
          <cell r="O2904" t="str">
            <v>BODY</v>
          </cell>
          <cell r="P2904">
            <v>176</v>
          </cell>
        </row>
        <row r="2905">
          <cell r="B2905" t="str">
            <v>786-04</v>
          </cell>
          <cell r="C2905" t="str">
            <v>BODY</v>
          </cell>
          <cell r="D2905">
            <v>85</v>
          </cell>
          <cell r="N2905" t="str">
            <v>786-04</v>
          </cell>
          <cell r="O2905" t="str">
            <v>BODY</v>
          </cell>
          <cell r="P2905">
            <v>170</v>
          </cell>
        </row>
        <row r="2906">
          <cell r="B2906" t="str">
            <v>861-19</v>
          </cell>
          <cell r="C2906" t="str">
            <v>BODY</v>
          </cell>
          <cell r="D2906">
            <v>176.5</v>
          </cell>
          <cell r="N2906" t="str">
            <v>861-19</v>
          </cell>
          <cell r="O2906" t="str">
            <v>BODY</v>
          </cell>
          <cell r="P2906">
            <v>353</v>
          </cell>
        </row>
        <row r="2907">
          <cell r="B2907" t="str">
            <v>1071-00</v>
          </cell>
          <cell r="C2907" t="str">
            <v>ROD GUIDE</v>
          </cell>
          <cell r="D2907">
            <v>178</v>
          </cell>
          <cell r="N2907" t="str">
            <v>1071-00</v>
          </cell>
          <cell r="O2907" t="str">
            <v>ROD GUIDE</v>
          </cell>
          <cell r="P2907">
            <v>356</v>
          </cell>
        </row>
        <row r="2908">
          <cell r="B2908" t="str">
            <v>1071-00</v>
          </cell>
          <cell r="C2908" t="str">
            <v>ROD GUIDE</v>
          </cell>
          <cell r="D2908">
            <v>178</v>
          </cell>
          <cell r="N2908" t="str">
            <v>1071-00</v>
          </cell>
          <cell r="O2908" t="str">
            <v>ROD GUIDE</v>
          </cell>
          <cell r="P2908">
            <v>356</v>
          </cell>
        </row>
        <row r="2909">
          <cell r="B2909" t="str">
            <v>1446-03</v>
          </cell>
          <cell r="C2909" t="str">
            <v>BODY</v>
          </cell>
          <cell r="D2909">
            <v>178</v>
          </cell>
          <cell r="N2909" t="str">
            <v>1446-03</v>
          </cell>
          <cell r="O2909" t="str">
            <v>BODY</v>
          </cell>
          <cell r="P2909">
            <v>356</v>
          </cell>
        </row>
        <row r="2910">
          <cell r="B2910" t="str">
            <v>1590-06</v>
          </cell>
          <cell r="C2910" t="str">
            <v>BODY</v>
          </cell>
          <cell r="D2910">
            <v>178</v>
          </cell>
          <cell r="N2910" t="str">
            <v>1590-06</v>
          </cell>
          <cell r="O2910" t="str">
            <v>BODY</v>
          </cell>
          <cell r="P2910">
            <v>356</v>
          </cell>
        </row>
        <row r="2911">
          <cell r="B2911" t="str">
            <v>1590-06</v>
          </cell>
          <cell r="C2911" t="str">
            <v>BODY</v>
          </cell>
          <cell r="D2911">
            <v>178</v>
          </cell>
          <cell r="N2911" t="str">
            <v>1590-06</v>
          </cell>
          <cell r="O2911" t="str">
            <v>BODY</v>
          </cell>
          <cell r="P2911">
            <v>356</v>
          </cell>
        </row>
        <row r="2912">
          <cell r="B2912" t="str">
            <v>1673-09</v>
          </cell>
          <cell r="C2912" t="str">
            <v>RS RETAINER</v>
          </cell>
          <cell r="D2912">
            <v>171</v>
          </cell>
          <cell r="N2912" t="str">
            <v>1673-09</v>
          </cell>
          <cell r="O2912" t="str">
            <v>RS RETAINER</v>
          </cell>
          <cell r="P2912">
            <v>342</v>
          </cell>
        </row>
        <row r="2913">
          <cell r="B2913" t="str">
            <v>1673-10</v>
          </cell>
          <cell r="C2913" t="str">
            <v>RS RETAINER</v>
          </cell>
          <cell r="D2913">
            <v>178</v>
          </cell>
          <cell r="N2913" t="str">
            <v>1673-10</v>
          </cell>
          <cell r="O2913" t="str">
            <v>RS RETAINER</v>
          </cell>
          <cell r="P2913">
            <v>356</v>
          </cell>
        </row>
        <row r="2914">
          <cell r="B2914" t="str">
            <v>1832-15</v>
          </cell>
          <cell r="C2914" t="str">
            <v>BODY RETAINER</v>
          </cell>
          <cell r="D2914">
            <v>178</v>
          </cell>
          <cell r="N2914" t="str">
            <v>1832-15</v>
          </cell>
          <cell r="O2914" t="str">
            <v>BODY RETAINER</v>
          </cell>
          <cell r="P2914">
            <v>356</v>
          </cell>
        </row>
        <row r="2915">
          <cell r="B2915" t="str">
            <v>567-07</v>
          </cell>
          <cell r="C2915" t="str">
            <v>BODY</v>
          </cell>
          <cell r="D2915">
            <v>178</v>
          </cell>
          <cell r="N2915" t="str">
            <v>567-07</v>
          </cell>
          <cell r="O2915" t="str">
            <v>BODY</v>
          </cell>
          <cell r="P2915">
            <v>356</v>
          </cell>
        </row>
        <row r="2916">
          <cell r="B2916" t="str">
            <v>671-07</v>
          </cell>
          <cell r="C2916" t="str">
            <v>PISTON</v>
          </cell>
          <cell r="D2916">
            <v>178</v>
          </cell>
          <cell r="N2916" t="str">
            <v>671-07</v>
          </cell>
          <cell r="O2916" t="str">
            <v>PISTON</v>
          </cell>
          <cell r="P2916">
            <v>356</v>
          </cell>
        </row>
        <row r="2917">
          <cell r="B2917" t="str">
            <v>878-05</v>
          </cell>
          <cell r="C2917" t="str">
            <v>BODY</v>
          </cell>
          <cell r="D2917">
            <v>124</v>
          </cell>
          <cell r="N2917" t="str">
            <v>878-05</v>
          </cell>
          <cell r="O2917" t="str">
            <v>BODY</v>
          </cell>
          <cell r="P2917">
            <v>248</v>
          </cell>
        </row>
        <row r="2918">
          <cell r="B2918" t="str">
            <v>1446-03</v>
          </cell>
          <cell r="C2918" t="str">
            <v>BODY</v>
          </cell>
          <cell r="D2918">
            <v>178</v>
          </cell>
          <cell r="N2918" t="str">
            <v>1446-03</v>
          </cell>
          <cell r="O2918" t="str">
            <v>BODY</v>
          </cell>
          <cell r="P2918">
            <v>356</v>
          </cell>
        </row>
        <row r="2919">
          <cell r="B2919" t="str">
            <v>1832-01</v>
          </cell>
          <cell r="C2919" t="str">
            <v>BODY RETAINER</v>
          </cell>
          <cell r="D2919">
            <v>97</v>
          </cell>
          <cell r="N2919" t="str">
            <v>1832-01</v>
          </cell>
          <cell r="O2919" t="str">
            <v>BODY RETAINER</v>
          </cell>
          <cell r="P2919">
            <v>194</v>
          </cell>
        </row>
        <row r="2920">
          <cell r="B2920" t="str">
            <v>1832-01</v>
          </cell>
          <cell r="C2920" t="str">
            <v>BODY RETAINER</v>
          </cell>
          <cell r="D2920">
            <v>97</v>
          </cell>
          <cell r="N2920" t="str">
            <v>1832-01</v>
          </cell>
          <cell r="O2920" t="str">
            <v>BODY RETAINER</v>
          </cell>
          <cell r="P2920">
            <v>194</v>
          </cell>
        </row>
        <row r="2921">
          <cell r="B2921" t="str">
            <v>496-00</v>
          </cell>
          <cell r="C2921" t="str">
            <v>ROD GUIDE ASS'Y</v>
          </cell>
          <cell r="D2921">
            <v>149.5</v>
          </cell>
          <cell r="N2921" t="str">
            <v>496-00</v>
          </cell>
          <cell r="O2921" t="str">
            <v>ROD GUIDE ASS'Y</v>
          </cell>
          <cell r="P2921">
            <v>299</v>
          </cell>
        </row>
        <row r="2922">
          <cell r="B2922" t="str">
            <v>1302-00</v>
          </cell>
          <cell r="C2922" t="str">
            <v>CAM</v>
          </cell>
          <cell r="D2922">
            <v>114.6</v>
          </cell>
          <cell r="N2922" t="str">
            <v>1302-00</v>
          </cell>
          <cell r="O2922" t="str">
            <v>CAM</v>
          </cell>
          <cell r="P2922">
            <v>191</v>
          </cell>
        </row>
        <row r="2923">
          <cell r="B2923" t="str">
            <v>1653-00</v>
          </cell>
          <cell r="C2923" t="str">
            <v>TILT CAM</v>
          </cell>
          <cell r="D2923">
            <v>214.79999999999998</v>
          </cell>
          <cell r="N2923" t="str">
            <v>1653-00</v>
          </cell>
          <cell r="O2923" t="str">
            <v>TILT CAM</v>
          </cell>
          <cell r="P2923">
            <v>358</v>
          </cell>
        </row>
        <row r="2924">
          <cell r="B2924" t="str">
            <v>1779-05</v>
          </cell>
          <cell r="C2924" t="str">
            <v>RS RETAINER</v>
          </cell>
          <cell r="D2924">
            <v>86.5</v>
          </cell>
          <cell r="N2924" t="str">
            <v>1779-05</v>
          </cell>
          <cell r="O2924" t="str">
            <v>RS RETAINER</v>
          </cell>
          <cell r="P2924">
            <v>173</v>
          </cell>
        </row>
        <row r="2925">
          <cell r="B2925" t="str">
            <v>567-07</v>
          </cell>
          <cell r="C2925" t="str">
            <v>BODY</v>
          </cell>
          <cell r="D2925">
            <v>178</v>
          </cell>
          <cell r="N2925" t="str">
            <v>567-07</v>
          </cell>
          <cell r="O2925" t="str">
            <v>BODY</v>
          </cell>
          <cell r="P2925">
            <v>356</v>
          </cell>
        </row>
        <row r="2926">
          <cell r="B2926" t="str">
            <v>616-10</v>
          </cell>
          <cell r="C2926" t="str">
            <v>SUB VALVE BODY</v>
          </cell>
          <cell r="D2926">
            <v>179</v>
          </cell>
          <cell r="N2926" t="str">
            <v>616-10</v>
          </cell>
          <cell r="O2926" t="str">
            <v>SUB VALVE BODY</v>
          </cell>
          <cell r="P2926">
            <v>358</v>
          </cell>
        </row>
        <row r="2927">
          <cell r="B2927" t="str">
            <v>787-03</v>
          </cell>
          <cell r="C2927" t="str">
            <v>BODY</v>
          </cell>
          <cell r="D2927">
            <v>95.5</v>
          </cell>
          <cell r="N2927" t="str">
            <v>787-03</v>
          </cell>
          <cell r="O2927" t="str">
            <v>BODY</v>
          </cell>
          <cell r="P2927">
            <v>191</v>
          </cell>
        </row>
        <row r="2928">
          <cell r="B2928" t="str">
            <v>1428-01</v>
          </cell>
          <cell r="C2928" t="str">
            <v>BODY</v>
          </cell>
          <cell r="D2928">
            <v>179.5</v>
          </cell>
          <cell r="N2928" t="str">
            <v>1428-01</v>
          </cell>
          <cell r="O2928" t="str">
            <v>BODY</v>
          </cell>
          <cell r="P2928">
            <v>359</v>
          </cell>
        </row>
        <row r="2929">
          <cell r="B2929" t="str">
            <v>1428-01</v>
          </cell>
          <cell r="C2929" t="str">
            <v>BODY</v>
          </cell>
          <cell r="D2929">
            <v>179.5</v>
          </cell>
          <cell r="N2929" t="str">
            <v>1428-01</v>
          </cell>
          <cell r="O2929" t="str">
            <v>BODY</v>
          </cell>
          <cell r="P2929">
            <v>359</v>
          </cell>
        </row>
        <row r="2930">
          <cell r="B2930" t="str">
            <v>1630-12</v>
          </cell>
          <cell r="C2930" t="str">
            <v>RS RETAINER</v>
          </cell>
          <cell r="D2930">
            <v>179.5</v>
          </cell>
          <cell r="N2930" t="str">
            <v>1630-12</v>
          </cell>
          <cell r="O2930" t="str">
            <v>RS RETAINER</v>
          </cell>
          <cell r="P2930">
            <v>359</v>
          </cell>
        </row>
        <row r="2931">
          <cell r="B2931" t="str">
            <v>1790-10</v>
          </cell>
          <cell r="C2931" t="str">
            <v>BODY</v>
          </cell>
          <cell r="D2931">
            <v>179.5</v>
          </cell>
          <cell r="N2931" t="str">
            <v>1790-10</v>
          </cell>
          <cell r="O2931" t="str">
            <v>BODY</v>
          </cell>
          <cell r="P2931">
            <v>359</v>
          </cell>
        </row>
        <row r="2932">
          <cell r="B2932" t="str">
            <v>1922-07</v>
          </cell>
          <cell r="C2932" t="str">
            <v>RS RETAINER</v>
          </cell>
          <cell r="D2932">
            <v>175</v>
          </cell>
          <cell r="N2932" t="str">
            <v>1922-07</v>
          </cell>
          <cell r="O2932" t="str">
            <v>RS RETAINER</v>
          </cell>
          <cell r="P2932">
            <v>350</v>
          </cell>
        </row>
        <row r="2933">
          <cell r="B2933" t="str">
            <v>2026-03</v>
          </cell>
          <cell r="C2933" t="str">
            <v>SOFT VALVE</v>
          </cell>
          <cell r="D2933">
            <v>177</v>
          </cell>
          <cell r="N2933" t="str">
            <v>2026-03</v>
          </cell>
          <cell r="O2933" t="str">
            <v>SOFT VALVE</v>
          </cell>
          <cell r="P2933">
            <v>354</v>
          </cell>
        </row>
        <row r="2934">
          <cell r="B2934" t="str">
            <v>2026-03</v>
          </cell>
          <cell r="C2934" t="str">
            <v>SOFT VALVE</v>
          </cell>
          <cell r="D2934">
            <v>177</v>
          </cell>
          <cell r="N2934" t="str">
            <v>2026-03</v>
          </cell>
          <cell r="O2934" t="str">
            <v>SOFT VALVE</v>
          </cell>
          <cell r="P2934">
            <v>354</v>
          </cell>
        </row>
        <row r="2935">
          <cell r="B2935" t="str">
            <v>226-03</v>
          </cell>
          <cell r="C2935" t="str">
            <v>ROD GUIDE ASS'Y</v>
          </cell>
          <cell r="D2935">
            <v>119</v>
          </cell>
          <cell r="N2935" t="str">
            <v>226-03</v>
          </cell>
          <cell r="O2935" t="str">
            <v>ROD GUIDE ASS'Y</v>
          </cell>
          <cell r="P2935">
            <v>238</v>
          </cell>
        </row>
        <row r="2936">
          <cell r="B2936" t="str">
            <v>2412-04</v>
          </cell>
          <cell r="C2936" t="str">
            <v>BODY</v>
          </cell>
          <cell r="D2936">
            <v>179.5</v>
          </cell>
          <cell r="N2936" t="str">
            <v>2412-04</v>
          </cell>
          <cell r="O2936" t="str">
            <v>BODY</v>
          </cell>
          <cell r="P2936">
            <v>359</v>
          </cell>
        </row>
        <row r="2937">
          <cell r="B2937" t="str">
            <v>2412-04</v>
          </cell>
          <cell r="C2937" t="str">
            <v>BODY</v>
          </cell>
          <cell r="D2937">
            <v>179.5</v>
          </cell>
          <cell r="N2937" t="str">
            <v>2412-04</v>
          </cell>
          <cell r="O2937" t="str">
            <v>BODY</v>
          </cell>
          <cell r="P2937">
            <v>359</v>
          </cell>
        </row>
        <row r="2938">
          <cell r="B2938" t="str">
            <v>2852-11</v>
          </cell>
          <cell r="C2938" t="str">
            <v>BODY</v>
          </cell>
          <cell r="D2938">
            <v>179.5</v>
          </cell>
          <cell r="N2938" t="str">
            <v>2852-11</v>
          </cell>
          <cell r="O2938" t="str">
            <v>BODY</v>
          </cell>
          <cell r="P2938">
            <v>359</v>
          </cell>
        </row>
        <row r="2939">
          <cell r="B2939" t="str">
            <v>2852-14</v>
          </cell>
          <cell r="C2939" t="str">
            <v>BODY</v>
          </cell>
          <cell r="D2939">
            <v>123.5</v>
          </cell>
          <cell r="N2939" t="str">
            <v>2852-14</v>
          </cell>
          <cell r="O2939" t="str">
            <v>BODY</v>
          </cell>
          <cell r="P2939">
            <v>247</v>
          </cell>
        </row>
        <row r="2940">
          <cell r="B2940" t="str">
            <v>2852-18</v>
          </cell>
          <cell r="C2940" t="str">
            <v>BODY</v>
          </cell>
          <cell r="D2940">
            <v>179.5</v>
          </cell>
          <cell r="N2940" t="str">
            <v>2852-18</v>
          </cell>
          <cell r="O2940" t="str">
            <v>BODY</v>
          </cell>
          <cell r="P2940">
            <v>359</v>
          </cell>
        </row>
        <row r="2941">
          <cell r="B2941" t="str">
            <v>671-05</v>
          </cell>
          <cell r="C2941" t="str">
            <v>PISTON</v>
          </cell>
          <cell r="D2941">
            <v>106</v>
          </cell>
          <cell r="N2941" t="str">
            <v>671-05</v>
          </cell>
          <cell r="O2941" t="str">
            <v>PISTON</v>
          </cell>
          <cell r="P2941">
            <v>212</v>
          </cell>
        </row>
        <row r="2942">
          <cell r="B2942" t="str">
            <v>1023-16</v>
          </cell>
          <cell r="C2942" t="str">
            <v>PISTON</v>
          </cell>
          <cell r="D2942">
            <v>180</v>
          </cell>
          <cell r="N2942" t="str">
            <v>1023-16</v>
          </cell>
          <cell r="O2942" t="str">
            <v>PISTON</v>
          </cell>
          <cell r="P2942">
            <v>360</v>
          </cell>
        </row>
        <row r="2943">
          <cell r="B2943" t="str">
            <v>1250-03</v>
          </cell>
          <cell r="C2943" t="str">
            <v>PISTON</v>
          </cell>
          <cell r="D2943">
            <v>180</v>
          </cell>
          <cell r="N2943" t="str">
            <v>1250-03</v>
          </cell>
          <cell r="O2943" t="str">
            <v>PISTON</v>
          </cell>
          <cell r="P2943">
            <v>360</v>
          </cell>
        </row>
        <row r="2944">
          <cell r="B2944" t="str">
            <v>1610-05</v>
          </cell>
          <cell r="C2944" t="str">
            <v>RS RETAINER</v>
          </cell>
          <cell r="D2944">
            <v>167.5</v>
          </cell>
          <cell r="N2944" t="str">
            <v>1610-05</v>
          </cell>
          <cell r="O2944" t="str">
            <v>RS RETAINER</v>
          </cell>
          <cell r="P2944">
            <v>335</v>
          </cell>
        </row>
        <row r="2945">
          <cell r="B2945" t="str">
            <v>1634-17</v>
          </cell>
          <cell r="C2945" t="str">
            <v>RS RETAINER</v>
          </cell>
          <cell r="D2945">
            <v>166.5</v>
          </cell>
          <cell r="N2945" t="str">
            <v>1634-17</v>
          </cell>
          <cell r="O2945" t="str">
            <v>RS RETAINER</v>
          </cell>
          <cell r="P2945">
            <v>333</v>
          </cell>
        </row>
        <row r="2946">
          <cell r="B2946" t="str">
            <v>1634-35</v>
          </cell>
          <cell r="C2946" t="str">
            <v>RS RETAINER</v>
          </cell>
          <cell r="D2946">
            <v>165.5</v>
          </cell>
          <cell r="N2946" t="str">
            <v>1634-35</v>
          </cell>
          <cell r="O2946" t="str">
            <v>RS RETAINER</v>
          </cell>
          <cell r="P2946">
            <v>331</v>
          </cell>
        </row>
        <row r="2947">
          <cell r="B2947" t="str">
            <v>1634-35</v>
          </cell>
          <cell r="C2947" t="str">
            <v>RS RETAINER</v>
          </cell>
          <cell r="D2947">
            <v>165.5</v>
          </cell>
          <cell r="N2947" t="str">
            <v>1634-35</v>
          </cell>
          <cell r="O2947" t="str">
            <v>RS RETAINER</v>
          </cell>
          <cell r="P2947">
            <v>331</v>
          </cell>
        </row>
        <row r="2948">
          <cell r="B2948" t="str">
            <v>1634-42</v>
          </cell>
          <cell r="C2948" t="str">
            <v>RS RETAINER</v>
          </cell>
          <cell r="D2948">
            <v>180</v>
          </cell>
          <cell r="N2948" t="str">
            <v>1634-42</v>
          </cell>
          <cell r="O2948" t="str">
            <v>RS RETAINER</v>
          </cell>
          <cell r="P2948">
            <v>360</v>
          </cell>
        </row>
        <row r="2949">
          <cell r="B2949" t="str">
            <v>1733-00</v>
          </cell>
          <cell r="C2949" t="str">
            <v>BASE VALVE</v>
          </cell>
          <cell r="D2949">
            <v>175</v>
          </cell>
          <cell r="N2949" t="str">
            <v>1733-00</v>
          </cell>
          <cell r="O2949" t="str">
            <v>BASE VALVE</v>
          </cell>
          <cell r="P2949">
            <v>350</v>
          </cell>
        </row>
        <row r="2950">
          <cell r="B2950" t="str">
            <v>1750-00</v>
          </cell>
          <cell r="C2950" t="str">
            <v>PISTON</v>
          </cell>
          <cell r="D2950">
            <v>180</v>
          </cell>
          <cell r="N2950" t="str">
            <v>1750-00</v>
          </cell>
          <cell r="O2950" t="str">
            <v>PISTON</v>
          </cell>
          <cell r="P2950">
            <v>360</v>
          </cell>
        </row>
        <row r="2951">
          <cell r="B2951" t="str">
            <v>1836-01</v>
          </cell>
          <cell r="C2951" t="str">
            <v>RS RETAINER</v>
          </cell>
          <cell r="D2951">
            <v>180</v>
          </cell>
          <cell r="N2951" t="str">
            <v>1836-01</v>
          </cell>
          <cell r="O2951" t="str">
            <v>RS RETAINER</v>
          </cell>
          <cell r="P2951">
            <v>360</v>
          </cell>
        </row>
        <row r="2952">
          <cell r="B2952" t="str">
            <v>783-00</v>
          </cell>
          <cell r="C2952" t="str">
            <v>ROD GUIDE ASS'Y</v>
          </cell>
          <cell r="D2952">
            <v>180</v>
          </cell>
          <cell r="N2952" t="str">
            <v>783-00</v>
          </cell>
          <cell r="O2952" t="str">
            <v>ROD GUIDE ASS'Y</v>
          </cell>
          <cell r="P2952">
            <v>360</v>
          </cell>
        </row>
        <row r="2953">
          <cell r="B2953" t="str">
            <v>787-04</v>
          </cell>
          <cell r="C2953" t="str">
            <v>BODY</v>
          </cell>
          <cell r="D2953">
            <v>107</v>
          </cell>
          <cell r="N2953" t="str">
            <v>787-04</v>
          </cell>
          <cell r="O2953" t="str">
            <v>BODY</v>
          </cell>
          <cell r="P2953">
            <v>214</v>
          </cell>
        </row>
        <row r="2954">
          <cell r="B2954" t="str">
            <v>861-14</v>
          </cell>
          <cell r="C2954" t="str">
            <v>BODY</v>
          </cell>
          <cell r="D2954">
            <v>171.5</v>
          </cell>
          <cell r="N2954" t="str">
            <v>861-14</v>
          </cell>
          <cell r="O2954" t="str">
            <v>BODY</v>
          </cell>
          <cell r="P2954">
            <v>343</v>
          </cell>
        </row>
        <row r="2955">
          <cell r="B2955" t="str">
            <v>1117-01</v>
          </cell>
          <cell r="C2955" t="str">
            <v>ROD GUIDE</v>
          </cell>
          <cell r="D2955">
            <v>180.5</v>
          </cell>
          <cell r="N2955" t="str">
            <v>1117-01</v>
          </cell>
          <cell r="O2955" t="str">
            <v>ROD GUIDE</v>
          </cell>
          <cell r="P2955">
            <v>361</v>
          </cell>
        </row>
        <row r="2956">
          <cell r="B2956" t="str">
            <v>1589-01</v>
          </cell>
          <cell r="C2956" t="str">
            <v>REB,RETAINER</v>
          </cell>
          <cell r="D2956">
            <v>180.5</v>
          </cell>
          <cell r="N2956" t="str">
            <v>1589-01</v>
          </cell>
          <cell r="O2956" t="str">
            <v>REB,RETAINER</v>
          </cell>
          <cell r="P2956">
            <v>361</v>
          </cell>
        </row>
        <row r="2957">
          <cell r="B2957" t="str">
            <v>1832-02</v>
          </cell>
          <cell r="C2957" t="str">
            <v>BODY RETAINER</v>
          </cell>
          <cell r="D2957">
            <v>90.5</v>
          </cell>
          <cell r="N2957" t="str">
            <v>1832-02</v>
          </cell>
          <cell r="O2957" t="str">
            <v>BODY RETAINER</v>
          </cell>
          <cell r="P2957">
            <v>181</v>
          </cell>
        </row>
        <row r="2958">
          <cell r="B2958" t="str">
            <v>1941-00</v>
          </cell>
          <cell r="C2958" t="str">
            <v>LEVER CAM</v>
          </cell>
          <cell r="D2958">
            <v>216.6</v>
          </cell>
          <cell r="N2958" t="str">
            <v>1941-00</v>
          </cell>
          <cell r="O2958" t="str">
            <v>LEVER CAM</v>
          </cell>
          <cell r="P2958">
            <v>361</v>
          </cell>
        </row>
        <row r="2959">
          <cell r="B2959" t="str">
            <v>483-02</v>
          </cell>
          <cell r="C2959" t="str">
            <v>RACK STOPPER</v>
          </cell>
          <cell r="D2959">
            <v>216.6</v>
          </cell>
          <cell r="N2959" t="str">
            <v>483-02</v>
          </cell>
          <cell r="O2959" t="str">
            <v>RACK STOPPER</v>
          </cell>
          <cell r="P2959">
            <v>361</v>
          </cell>
        </row>
        <row r="2960">
          <cell r="B2960" t="str">
            <v>878-05</v>
          </cell>
          <cell r="C2960" t="str">
            <v>BODY</v>
          </cell>
          <cell r="D2960">
            <v>124</v>
          </cell>
          <cell r="N2960" t="str">
            <v>878-05</v>
          </cell>
          <cell r="O2960" t="str">
            <v>BODY</v>
          </cell>
          <cell r="P2960">
            <v>248</v>
          </cell>
        </row>
        <row r="2961">
          <cell r="B2961" t="str">
            <v>878-05</v>
          </cell>
          <cell r="C2961" t="str">
            <v>BODY</v>
          </cell>
          <cell r="D2961">
            <v>124</v>
          </cell>
          <cell r="N2961" t="str">
            <v>878-05</v>
          </cell>
          <cell r="O2961" t="str">
            <v>BODY</v>
          </cell>
          <cell r="P2961">
            <v>248</v>
          </cell>
        </row>
        <row r="2962">
          <cell r="B2962" t="str">
            <v>1324-00</v>
          </cell>
          <cell r="C2962" t="str">
            <v>FREE PISTON ASS'Y</v>
          </cell>
          <cell r="D2962">
            <v>176.5</v>
          </cell>
          <cell r="N2962" t="str">
            <v>1324-00</v>
          </cell>
          <cell r="O2962" t="str">
            <v>FREE PISTON ASS'Y</v>
          </cell>
          <cell r="P2962">
            <v>353</v>
          </cell>
        </row>
        <row r="2963">
          <cell r="B2963" t="str">
            <v>1446-04</v>
          </cell>
          <cell r="C2963" t="str">
            <v>BODY</v>
          </cell>
          <cell r="D2963">
            <v>172</v>
          </cell>
          <cell r="N2963" t="str">
            <v>1446-04</v>
          </cell>
          <cell r="O2963" t="str">
            <v>BODY</v>
          </cell>
          <cell r="P2963">
            <v>344</v>
          </cell>
        </row>
        <row r="2964">
          <cell r="B2964" t="str">
            <v>1630-06</v>
          </cell>
          <cell r="C2964" t="str">
            <v>RS RETAINER</v>
          </cell>
          <cell r="D2964">
            <v>168</v>
          </cell>
          <cell r="N2964" t="str">
            <v>1630-06</v>
          </cell>
          <cell r="O2964" t="str">
            <v>RS RETAINER</v>
          </cell>
          <cell r="P2964">
            <v>336</v>
          </cell>
        </row>
        <row r="2965">
          <cell r="B2965" t="str">
            <v>1779-05</v>
          </cell>
          <cell r="C2965" t="str">
            <v>RS RETAINER</v>
          </cell>
          <cell r="D2965">
            <v>86.5</v>
          </cell>
          <cell r="N2965" t="str">
            <v>1779-05</v>
          </cell>
          <cell r="O2965" t="str">
            <v>RS RETAINER</v>
          </cell>
          <cell r="P2965">
            <v>173</v>
          </cell>
        </row>
        <row r="2966">
          <cell r="B2966" t="str">
            <v>2852-10</v>
          </cell>
          <cell r="C2966" t="str">
            <v>BODY</v>
          </cell>
          <cell r="D2966">
            <v>98</v>
          </cell>
          <cell r="N2966" t="str">
            <v>2852-10</v>
          </cell>
          <cell r="O2966" t="str">
            <v>BODY</v>
          </cell>
          <cell r="P2966">
            <v>196</v>
          </cell>
        </row>
        <row r="2967">
          <cell r="B2967" t="str">
            <v>588-08</v>
          </cell>
          <cell r="C2967" t="str">
            <v>PISTON</v>
          </cell>
          <cell r="D2967">
            <v>181</v>
          </cell>
          <cell r="N2967" t="str">
            <v>588-08</v>
          </cell>
          <cell r="O2967" t="str">
            <v>PISTON</v>
          </cell>
          <cell r="P2967">
            <v>362</v>
          </cell>
        </row>
        <row r="2968">
          <cell r="B2968" t="str">
            <v>598-04</v>
          </cell>
          <cell r="C2968" t="str">
            <v>PISTON</v>
          </cell>
          <cell r="D2968">
            <v>181</v>
          </cell>
          <cell r="N2968" t="str">
            <v>598-04</v>
          </cell>
          <cell r="O2968" t="str">
            <v>PISTON</v>
          </cell>
          <cell r="P2968">
            <v>362</v>
          </cell>
        </row>
        <row r="2969">
          <cell r="B2969" t="str">
            <v>598-04</v>
          </cell>
          <cell r="C2969" t="str">
            <v>PISTON</v>
          </cell>
          <cell r="D2969">
            <v>181</v>
          </cell>
          <cell r="N2969" t="str">
            <v>598-04</v>
          </cell>
          <cell r="O2969" t="str">
            <v>PISTON</v>
          </cell>
          <cell r="P2969">
            <v>362</v>
          </cell>
        </row>
        <row r="2970">
          <cell r="B2970" t="str">
            <v>661-13</v>
          </cell>
          <cell r="C2970" t="str">
            <v>BODY</v>
          </cell>
          <cell r="D2970">
            <v>88</v>
          </cell>
          <cell r="N2970" t="str">
            <v>661-13</v>
          </cell>
          <cell r="O2970" t="str">
            <v>BODY</v>
          </cell>
          <cell r="P2970">
            <v>176</v>
          </cell>
        </row>
        <row r="2971">
          <cell r="B2971" t="str">
            <v>1023-10</v>
          </cell>
          <cell r="C2971" t="str">
            <v>PISTON</v>
          </cell>
          <cell r="D2971">
            <v>181.5</v>
          </cell>
          <cell r="N2971" t="str">
            <v>1023-10</v>
          </cell>
          <cell r="O2971" t="str">
            <v>PISTON</v>
          </cell>
          <cell r="P2971">
            <v>363</v>
          </cell>
        </row>
        <row r="2972">
          <cell r="B2972" t="str">
            <v>1074-00</v>
          </cell>
          <cell r="C2972" t="str">
            <v>SUPPORT YOKE ASS'Y</v>
          </cell>
          <cell r="D2972">
            <v>181.5</v>
          </cell>
          <cell r="N2972" t="str">
            <v>1074-00</v>
          </cell>
          <cell r="O2972" t="str">
            <v>SUPPORT YOKE ASS'Y</v>
          </cell>
          <cell r="P2972">
            <v>363</v>
          </cell>
        </row>
        <row r="2973">
          <cell r="B2973" t="str">
            <v>1252-02</v>
          </cell>
          <cell r="C2973" t="str">
            <v>PISTON</v>
          </cell>
          <cell r="D2973">
            <v>167.5</v>
          </cell>
          <cell r="N2973" t="str">
            <v>1252-02</v>
          </cell>
          <cell r="O2973" t="str">
            <v>PISTON</v>
          </cell>
          <cell r="P2973">
            <v>335</v>
          </cell>
        </row>
        <row r="2974">
          <cell r="B2974" t="str">
            <v>1274-01</v>
          </cell>
          <cell r="C2974" t="str">
            <v>PISTON</v>
          </cell>
          <cell r="D2974">
            <v>181.5</v>
          </cell>
          <cell r="N2974" t="str">
            <v>1274-01</v>
          </cell>
          <cell r="O2974" t="str">
            <v>PISTON</v>
          </cell>
          <cell r="P2974">
            <v>363</v>
          </cell>
        </row>
        <row r="2975">
          <cell r="B2975" t="str">
            <v>1831-01</v>
          </cell>
          <cell r="C2975" t="str">
            <v>BODY RETAINER</v>
          </cell>
          <cell r="D2975">
            <v>90</v>
          </cell>
          <cell r="N2975" t="str">
            <v>1831-01</v>
          </cell>
          <cell r="O2975" t="str">
            <v>BODY RETAINER</v>
          </cell>
          <cell r="P2975">
            <v>180</v>
          </cell>
        </row>
        <row r="2976">
          <cell r="B2976" t="str">
            <v>2852-11</v>
          </cell>
          <cell r="C2976" t="str">
            <v>BODY</v>
          </cell>
          <cell r="D2976">
            <v>179.5</v>
          </cell>
          <cell r="N2976" t="str">
            <v>2852-11</v>
          </cell>
          <cell r="O2976" t="str">
            <v>BODY</v>
          </cell>
          <cell r="P2976">
            <v>359</v>
          </cell>
        </row>
        <row r="2977">
          <cell r="B2977" t="str">
            <v>598-15</v>
          </cell>
          <cell r="C2977" t="str">
            <v>PISTON</v>
          </cell>
          <cell r="D2977">
            <v>181.5</v>
          </cell>
          <cell r="N2977" t="str">
            <v>598-15</v>
          </cell>
          <cell r="O2977" t="str">
            <v>PISTON</v>
          </cell>
          <cell r="P2977">
            <v>363</v>
          </cell>
        </row>
        <row r="2978">
          <cell r="B2978" t="str">
            <v>598-27</v>
          </cell>
          <cell r="C2978" t="str">
            <v>PISTON</v>
          </cell>
          <cell r="D2978">
            <v>181.5</v>
          </cell>
          <cell r="N2978" t="str">
            <v>598-27</v>
          </cell>
          <cell r="O2978" t="str">
            <v>PISTON</v>
          </cell>
          <cell r="P2978">
            <v>363</v>
          </cell>
        </row>
        <row r="2979">
          <cell r="B2979" t="str">
            <v>661-22</v>
          </cell>
          <cell r="C2979" t="str">
            <v>BODY</v>
          </cell>
          <cell r="D2979">
            <v>118.5</v>
          </cell>
          <cell r="N2979" t="str">
            <v>661-22</v>
          </cell>
          <cell r="O2979" t="str">
            <v>BODY</v>
          </cell>
          <cell r="P2979">
            <v>237</v>
          </cell>
        </row>
        <row r="2980">
          <cell r="B2980" t="str">
            <v>661-23</v>
          </cell>
          <cell r="C2980" t="str">
            <v>BODY</v>
          </cell>
          <cell r="D2980">
            <v>123.5</v>
          </cell>
          <cell r="N2980" t="str">
            <v>661-23</v>
          </cell>
          <cell r="O2980" t="str">
            <v>BODY</v>
          </cell>
          <cell r="P2980">
            <v>247</v>
          </cell>
        </row>
        <row r="2981">
          <cell r="B2981" t="str">
            <v>786-08</v>
          </cell>
          <cell r="C2981" t="str">
            <v>BODY</v>
          </cell>
          <cell r="D2981">
            <v>85</v>
          </cell>
          <cell r="N2981" t="str">
            <v>786-08</v>
          </cell>
          <cell r="O2981" t="str">
            <v>BODY</v>
          </cell>
          <cell r="P2981">
            <v>170</v>
          </cell>
        </row>
        <row r="2982">
          <cell r="B2982" t="str">
            <v>786-14</v>
          </cell>
          <cell r="C2982" t="str">
            <v>BODY</v>
          </cell>
          <cell r="D2982">
            <v>104</v>
          </cell>
          <cell r="N2982" t="str">
            <v>786-14</v>
          </cell>
          <cell r="O2982" t="str">
            <v>BODY</v>
          </cell>
          <cell r="P2982">
            <v>208</v>
          </cell>
        </row>
        <row r="2983">
          <cell r="B2983" t="str">
            <v>787-20</v>
          </cell>
          <cell r="C2983" t="str">
            <v>BODY</v>
          </cell>
          <cell r="D2983">
            <v>181.5</v>
          </cell>
          <cell r="N2983" t="str">
            <v>787-20</v>
          </cell>
          <cell r="O2983" t="str">
            <v>BODY</v>
          </cell>
          <cell r="P2983">
            <v>363</v>
          </cell>
        </row>
        <row r="2984">
          <cell r="B2984" t="str">
            <v>862-02</v>
          </cell>
          <cell r="C2984" t="str">
            <v>ROD GUIDE ASS'Y</v>
          </cell>
          <cell r="D2984">
            <v>181.5</v>
          </cell>
          <cell r="N2984" t="str">
            <v>862-02</v>
          </cell>
          <cell r="O2984" t="str">
            <v>ROD GUIDE ASS'Y</v>
          </cell>
          <cell r="P2984">
            <v>363</v>
          </cell>
        </row>
        <row r="2985">
          <cell r="B2985" t="str">
            <v>1023-13</v>
          </cell>
          <cell r="C2985" t="str">
            <v>PISTON</v>
          </cell>
          <cell r="D2985">
            <v>182</v>
          </cell>
          <cell r="N2985" t="str">
            <v>1023-13</v>
          </cell>
          <cell r="O2985" t="str">
            <v>PISTON</v>
          </cell>
          <cell r="P2985">
            <v>364</v>
          </cell>
        </row>
        <row r="2986">
          <cell r="B2986" t="str">
            <v>1388-01</v>
          </cell>
          <cell r="C2986" t="str">
            <v>INSERT CAM</v>
          </cell>
          <cell r="D2986">
            <v>218.4</v>
          </cell>
          <cell r="N2986" t="str">
            <v>1388-01</v>
          </cell>
          <cell r="O2986" t="str">
            <v>INSERT CAM</v>
          </cell>
          <cell r="P2986">
            <v>364</v>
          </cell>
        </row>
        <row r="2987">
          <cell r="B2987" t="str">
            <v>1554-30</v>
          </cell>
          <cell r="C2987" t="str">
            <v>RS RETAINER</v>
          </cell>
          <cell r="D2987">
            <v>182</v>
          </cell>
          <cell r="N2987" t="str">
            <v>1554-30</v>
          </cell>
          <cell r="O2987" t="str">
            <v>RS RETAINER</v>
          </cell>
          <cell r="P2987">
            <v>364</v>
          </cell>
        </row>
        <row r="2988">
          <cell r="B2988" t="str">
            <v>1554-41</v>
          </cell>
          <cell r="C2988" t="str">
            <v>RS RETAINER</v>
          </cell>
          <cell r="D2988">
            <v>97.5</v>
          </cell>
          <cell r="N2988" t="str">
            <v>1554-41</v>
          </cell>
          <cell r="O2988" t="str">
            <v>RS RETAINER</v>
          </cell>
          <cell r="P2988">
            <v>195</v>
          </cell>
        </row>
        <row r="2989">
          <cell r="B2989" t="str">
            <v>1634-36</v>
          </cell>
          <cell r="C2989" t="str">
            <v>RS RETAINER</v>
          </cell>
          <cell r="D2989">
            <v>172.5</v>
          </cell>
          <cell r="N2989" t="str">
            <v>1634-36</v>
          </cell>
          <cell r="O2989" t="str">
            <v>RS RETAINER</v>
          </cell>
          <cell r="P2989">
            <v>345</v>
          </cell>
        </row>
        <row r="2990">
          <cell r="B2990" t="str">
            <v>1673-14</v>
          </cell>
          <cell r="C2990" t="str">
            <v>RS RETAINER</v>
          </cell>
          <cell r="D2990">
            <v>182</v>
          </cell>
          <cell r="N2990" t="str">
            <v>1673-14</v>
          </cell>
          <cell r="O2990" t="str">
            <v>RS RETAINER</v>
          </cell>
          <cell r="P2990">
            <v>364</v>
          </cell>
        </row>
        <row r="2991">
          <cell r="B2991" t="str">
            <v>1791-01</v>
          </cell>
          <cell r="C2991" t="str">
            <v>BODY</v>
          </cell>
          <cell r="D2991">
            <v>109.5</v>
          </cell>
          <cell r="N2991" t="str">
            <v>1791-01</v>
          </cell>
          <cell r="O2991" t="str">
            <v>BODY</v>
          </cell>
          <cell r="P2991">
            <v>219</v>
          </cell>
        </row>
        <row r="2992">
          <cell r="B2992" t="str">
            <v>1843-01</v>
          </cell>
          <cell r="C2992" t="str">
            <v>RS RETAINER</v>
          </cell>
          <cell r="D2992">
            <v>182</v>
          </cell>
          <cell r="N2992" t="str">
            <v>1843-01</v>
          </cell>
          <cell r="O2992" t="str">
            <v>RS RETAINER</v>
          </cell>
          <cell r="P2992">
            <v>364</v>
          </cell>
        </row>
        <row r="2993">
          <cell r="B2993" t="str">
            <v>1843-01</v>
          </cell>
          <cell r="C2993" t="str">
            <v>RS RETAINER</v>
          </cell>
          <cell r="D2993">
            <v>182</v>
          </cell>
          <cell r="N2993" t="str">
            <v>1843-01</v>
          </cell>
          <cell r="O2993" t="str">
            <v>RS RETAINER</v>
          </cell>
          <cell r="P2993">
            <v>364</v>
          </cell>
        </row>
        <row r="2994">
          <cell r="B2994" t="str">
            <v>588-37</v>
          </cell>
          <cell r="C2994" t="str">
            <v>PISTON</v>
          </cell>
          <cell r="D2994">
            <v>182</v>
          </cell>
          <cell r="N2994" t="str">
            <v>588-37</v>
          </cell>
          <cell r="O2994" t="str">
            <v>PISTON</v>
          </cell>
          <cell r="P2994">
            <v>364</v>
          </cell>
        </row>
        <row r="2995">
          <cell r="B2995" t="str">
            <v>786-01</v>
          </cell>
          <cell r="C2995" t="str">
            <v>BODY</v>
          </cell>
          <cell r="D2995">
            <v>85</v>
          </cell>
          <cell r="N2995" t="str">
            <v>786-01</v>
          </cell>
          <cell r="O2995" t="str">
            <v>BODY</v>
          </cell>
          <cell r="P2995">
            <v>170</v>
          </cell>
        </row>
        <row r="2996">
          <cell r="B2996" t="str">
            <v>786-06</v>
          </cell>
          <cell r="C2996" t="str">
            <v>BODY</v>
          </cell>
          <cell r="D2996">
            <v>85.5</v>
          </cell>
          <cell r="N2996" t="str">
            <v>786-06</v>
          </cell>
          <cell r="O2996" t="str">
            <v>BODY</v>
          </cell>
          <cell r="P2996">
            <v>171</v>
          </cell>
        </row>
        <row r="2997">
          <cell r="B2997" t="str">
            <v>797-05</v>
          </cell>
          <cell r="C2997" t="str">
            <v>BODY</v>
          </cell>
          <cell r="D2997">
            <v>182</v>
          </cell>
          <cell r="N2997" t="str">
            <v>797-05</v>
          </cell>
          <cell r="O2997" t="str">
            <v>BODY</v>
          </cell>
          <cell r="P2997">
            <v>364</v>
          </cell>
        </row>
        <row r="2998">
          <cell r="B2998" t="str">
            <v>1287-03</v>
          </cell>
          <cell r="C2998" t="str">
            <v>BODY</v>
          </cell>
          <cell r="D2998">
            <v>132</v>
          </cell>
          <cell r="N2998" t="str">
            <v>1287-03</v>
          </cell>
          <cell r="O2998" t="str">
            <v>BODY</v>
          </cell>
          <cell r="P2998">
            <v>264</v>
          </cell>
        </row>
        <row r="2999">
          <cell r="B2999" t="str">
            <v>1634-45</v>
          </cell>
          <cell r="C2999" t="str">
            <v>RS RETAINER</v>
          </cell>
          <cell r="D2999">
            <v>182.5</v>
          </cell>
          <cell r="N2999" t="str">
            <v>1634-45</v>
          </cell>
          <cell r="O2999" t="str">
            <v>RS RETAINER</v>
          </cell>
          <cell r="P2999">
            <v>365</v>
          </cell>
        </row>
        <row r="3000">
          <cell r="B3000" t="str">
            <v>1734-17</v>
          </cell>
          <cell r="C3000" t="str">
            <v>RS RETAINER</v>
          </cell>
          <cell r="D3000">
            <v>182.5</v>
          </cell>
          <cell r="N3000" t="str">
            <v>1734-17</v>
          </cell>
          <cell r="O3000" t="str">
            <v>RS RETAINER</v>
          </cell>
          <cell r="P3000">
            <v>365</v>
          </cell>
        </row>
        <row r="3001">
          <cell r="B3001" t="str">
            <v>1738-02</v>
          </cell>
          <cell r="C3001" t="str">
            <v>RS RETAINER</v>
          </cell>
          <cell r="D3001">
            <v>182.5</v>
          </cell>
          <cell r="N3001" t="str">
            <v>1738-02</v>
          </cell>
          <cell r="O3001" t="str">
            <v>RS RETAINER</v>
          </cell>
          <cell r="P3001">
            <v>365</v>
          </cell>
        </row>
        <row r="3002">
          <cell r="B3002" t="str">
            <v>1832-05</v>
          </cell>
          <cell r="C3002" t="str">
            <v>BODY RETAINER</v>
          </cell>
          <cell r="D3002">
            <v>94.5</v>
          </cell>
          <cell r="N3002" t="str">
            <v>1832-05</v>
          </cell>
          <cell r="O3002" t="str">
            <v>BODY RETAINER</v>
          </cell>
          <cell r="P3002">
            <v>189</v>
          </cell>
        </row>
        <row r="3003">
          <cell r="B3003" t="str">
            <v>2412-04</v>
          </cell>
          <cell r="C3003" t="str">
            <v>BODY</v>
          </cell>
          <cell r="D3003">
            <v>179.5</v>
          </cell>
          <cell r="N3003" t="str">
            <v>2412-04</v>
          </cell>
          <cell r="O3003" t="str">
            <v>BODY</v>
          </cell>
          <cell r="P3003">
            <v>359</v>
          </cell>
        </row>
        <row r="3004">
          <cell r="B3004" t="str">
            <v>661-10</v>
          </cell>
          <cell r="C3004" t="str">
            <v>BODY</v>
          </cell>
          <cell r="D3004">
            <v>94</v>
          </cell>
          <cell r="N3004" t="str">
            <v>661-10</v>
          </cell>
          <cell r="O3004" t="str">
            <v>BODY</v>
          </cell>
          <cell r="P3004">
            <v>188</v>
          </cell>
        </row>
        <row r="3005">
          <cell r="B3005" t="str">
            <v>720-00</v>
          </cell>
          <cell r="C3005" t="str">
            <v>PISTON</v>
          </cell>
          <cell r="D3005">
            <v>182.5</v>
          </cell>
          <cell r="N3005" t="str">
            <v>720-00</v>
          </cell>
          <cell r="O3005" t="str">
            <v>PISTON</v>
          </cell>
          <cell r="P3005">
            <v>365</v>
          </cell>
        </row>
        <row r="3006">
          <cell r="B3006" t="str">
            <v>786-06</v>
          </cell>
          <cell r="C3006" t="str">
            <v>BODY</v>
          </cell>
          <cell r="D3006">
            <v>85.5</v>
          </cell>
          <cell r="N3006" t="str">
            <v>786-06</v>
          </cell>
          <cell r="O3006" t="str">
            <v>BODY</v>
          </cell>
          <cell r="P3006">
            <v>171</v>
          </cell>
        </row>
        <row r="3007">
          <cell r="B3007" t="str">
            <v>878-06</v>
          </cell>
          <cell r="C3007" t="str">
            <v>BODY</v>
          </cell>
          <cell r="D3007">
            <v>182.5</v>
          </cell>
          <cell r="N3007" t="str">
            <v>878-06</v>
          </cell>
          <cell r="O3007" t="str">
            <v>BODY</v>
          </cell>
          <cell r="P3007">
            <v>365</v>
          </cell>
        </row>
        <row r="3008">
          <cell r="B3008" t="str">
            <v>1117-01</v>
          </cell>
          <cell r="C3008" t="str">
            <v>ROD GUIDE</v>
          </cell>
          <cell r="D3008">
            <v>180.5</v>
          </cell>
          <cell r="N3008" t="str">
            <v>1117-01</v>
          </cell>
          <cell r="O3008" t="str">
            <v>ROD GUIDE</v>
          </cell>
          <cell r="P3008">
            <v>361</v>
          </cell>
        </row>
        <row r="3009">
          <cell r="B3009" t="str">
            <v>1673-10</v>
          </cell>
          <cell r="C3009" t="str">
            <v>RS RETAINER</v>
          </cell>
          <cell r="D3009">
            <v>178</v>
          </cell>
          <cell r="N3009" t="str">
            <v>1673-10</v>
          </cell>
          <cell r="O3009" t="str">
            <v>RS RETAINER</v>
          </cell>
          <cell r="P3009">
            <v>356</v>
          </cell>
        </row>
        <row r="3010">
          <cell r="B3010" t="str">
            <v>365-00</v>
          </cell>
          <cell r="C3010" t="str">
            <v>ROD GUIDE ASS'Y</v>
          </cell>
          <cell r="D3010">
            <v>183</v>
          </cell>
          <cell r="N3010" t="str">
            <v>365-00</v>
          </cell>
          <cell r="O3010" t="str">
            <v>ROD GUIDE ASS'Y</v>
          </cell>
          <cell r="P3010">
            <v>366</v>
          </cell>
        </row>
        <row r="3011">
          <cell r="B3011" t="str">
            <v>598-04</v>
          </cell>
          <cell r="C3011" t="str">
            <v>PISTON</v>
          </cell>
          <cell r="D3011">
            <v>181</v>
          </cell>
          <cell r="N3011" t="str">
            <v>598-04</v>
          </cell>
          <cell r="O3011" t="str">
            <v>PISTON</v>
          </cell>
          <cell r="P3011">
            <v>362</v>
          </cell>
        </row>
        <row r="3012">
          <cell r="B3012" t="str">
            <v>598-04</v>
          </cell>
          <cell r="C3012" t="str">
            <v>PISTON</v>
          </cell>
          <cell r="D3012">
            <v>181</v>
          </cell>
          <cell r="N3012" t="str">
            <v>598-04</v>
          </cell>
          <cell r="O3012" t="str">
            <v>PISTON</v>
          </cell>
          <cell r="P3012">
            <v>362</v>
          </cell>
        </row>
        <row r="3013">
          <cell r="B3013" t="str">
            <v>598-12</v>
          </cell>
          <cell r="C3013" t="str">
            <v>PISTON</v>
          </cell>
          <cell r="D3013">
            <v>183</v>
          </cell>
          <cell r="N3013" t="str">
            <v>598-12</v>
          </cell>
          <cell r="O3013" t="str">
            <v>PISTON</v>
          </cell>
          <cell r="P3013">
            <v>366</v>
          </cell>
        </row>
        <row r="3014">
          <cell r="B3014" t="str">
            <v>598-12</v>
          </cell>
          <cell r="C3014" t="str">
            <v>PISTON</v>
          </cell>
          <cell r="D3014">
            <v>183</v>
          </cell>
          <cell r="N3014" t="str">
            <v>598-12</v>
          </cell>
          <cell r="O3014" t="str">
            <v>PISTON</v>
          </cell>
          <cell r="P3014">
            <v>366</v>
          </cell>
        </row>
        <row r="3015">
          <cell r="B3015" t="str">
            <v>598-15</v>
          </cell>
          <cell r="C3015" t="str">
            <v>PISTON</v>
          </cell>
          <cell r="D3015">
            <v>181.5</v>
          </cell>
          <cell r="N3015" t="str">
            <v>598-15</v>
          </cell>
          <cell r="O3015" t="str">
            <v>PISTON</v>
          </cell>
          <cell r="P3015">
            <v>363</v>
          </cell>
        </row>
        <row r="3016">
          <cell r="B3016" t="str">
            <v>661-17</v>
          </cell>
          <cell r="C3016" t="str">
            <v>BODY</v>
          </cell>
          <cell r="D3016">
            <v>134.5</v>
          </cell>
          <cell r="N3016" t="str">
            <v>661-17</v>
          </cell>
          <cell r="O3016" t="str">
            <v>BODY</v>
          </cell>
          <cell r="P3016">
            <v>269</v>
          </cell>
        </row>
        <row r="3017">
          <cell r="B3017" t="str">
            <v>797-05</v>
          </cell>
          <cell r="C3017" t="str">
            <v>BODY</v>
          </cell>
          <cell r="D3017">
            <v>182</v>
          </cell>
          <cell r="N3017" t="str">
            <v>797-05</v>
          </cell>
          <cell r="O3017" t="str">
            <v>BODY</v>
          </cell>
          <cell r="P3017">
            <v>364</v>
          </cell>
        </row>
        <row r="3018">
          <cell r="B3018" t="str">
            <v>797-05</v>
          </cell>
          <cell r="C3018" t="str">
            <v>BODY</v>
          </cell>
          <cell r="D3018">
            <v>182</v>
          </cell>
          <cell r="N3018" t="str">
            <v>797-05</v>
          </cell>
          <cell r="O3018" t="str">
            <v>BODY</v>
          </cell>
          <cell r="P3018">
            <v>364</v>
          </cell>
        </row>
        <row r="3019">
          <cell r="B3019" t="str">
            <v>1590-07</v>
          </cell>
          <cell r="C3019" t="str">
            <v>BODY</v>
          </cell>
          <cell r="D3019">
            <v>183.5</v>
          </cell>
          <cell r="N3019" t="str">
            <v>1590-07</v>
          </cell>
          <cell r="O3019" t="str">
            <v>BODY</v>
          </cell>
          <cell r="P3019">
            <v>367</v>
          </cell>
        </row>
        <row r="3020">
          <cell r="B3020" t="str">
            <v>1610-06</v>
          </cell>
          <cell r="C3020" t="str">
            <v>RS RETAINER</v>
          </cell>
          <cell r="D3020">
            <v>170.5</v>
          </cell>
          <cell r="N3020" t="str">
            <v>1610-06</v>
          </cell>
          <cell r="O3020" t="str">
            <v>RS RETAINER</v>
          </cell>
          <cell r="P3020">
            <v>341</v>
          </cell>
        </row>
        <row r="3021">
          <cell r="B3021" t="str">
            <v>1610-07</v>
          </cell>
          <cell r="C3021" t="str">
            <v>RS RETAINER</v>
          </cell>
          <cell r="D3021">
            <v>142.5</v>
          </cell>
          <cell r="N3021" t="str">
            <v>1610-07</v>
          </cell>
          <cell r="O3021" t="str">
            <v>RS RETAINER</v>
          </cell>
          <cell r="P3021">
            <v>285</v>
          </cell>
        </row>
        <row r="3022">
          <cell r="B3022" t="str">
            <v>1831-03</v>
          </cell>
          <cell r="C3022" t="str">
            <v>BODY RETAINER</v>
          </cell>
          <cell r="D3022">
            <v>183.5</v>
          </cell>
          <cell r="N3022" t="str">
            <v>1831-03</v>
          </cell>
          <cell r="O3022" t="str">
            <v>BODY RETAINER</v>
          </cell>
          <cell r="P3022">
            <v>367</v>
          </cell>
        </row>
        <row r="3023">
          <cell r="B3023" t="str">
            <v>2852-16</v>
          </cell>
          <cell r="C3023" t="str">
            <v>BODY</v>
          </cell>
          <cell r="D3023">
            <v>137</v>
          </cell>
          <cell r="N3023" t="str">
            <v>2852-16</v>
          </cell>
          <cell r="O3023" t="str">
            <v>BODY</v>
          </cell>
          <cell r="P3023">
            <v>274</v>
          </cell>
        </row>
        <row r="3024">
          <cell r="B3024" t="str">
            <v>878-06</v>
          </cell>
          <cell r="C3024" t="str">
            <v>BODY</v>
          </cell>
          <cell r="D3024">
            <v>182.5</v>
          </cell>
          <cell r="N3024" t="str">
            <v>878-06</v>
          </cell>
          <cell r="O3024" t="str">
            <v>BODY</v>
          </cell>
          <cell r="P3024">
            <v>365</v>
          </cell>
        </row>
        <row r="3025">
          <cell r="B3025" t="str">
            <v>1341-00</v>
          </cell>
          <cell r="C3025" t="str">
            <v>ROD GUIDE</v>
          </cell>
          <cell r="D3025">
            <v>184</v>
          </cell>
          <cell r="N3025" t="str">
            <v>1341-00</v>
          </cell>
          <cell r="O3025" t="str">
            <v>ROD GUIDE</v>
          </cell>
          <cell r="P3025">
            <v>368</v>
          </cell>
        </row>
        <row r="3026">
          <cell r="B3026" t="str">
            <v>1430-05</v>
          </cell>
          <cell r="C3026" t="str">
            <v>BODY</v>
          </cell>
          <cell r="D3026">
            <v>125</v>
          </cell>
          <cell r="N3026" t="str">
            <v>1430-05</v>
          </cell>
          <cell r="O3026" t="str">
            <v>BODY</v>
          </cell>
          <cell r="P3026">
            <v>250</v>
          </cell>
        </row>
        <row r="3027">
          <cell r="B3027" t="str">
            <v>1588-02</v>
          </cell>
          <cell r="C3027" t="str">
            <v>PISTON</v>
          </cell>
          <cell r="D3027">
            <v>184</v>
          </cell>
          <cell r="N3027" t="str">
            <v>1588-02</v>
          </cell>
          <cell r="O3027" t="str">
            <v>PISTON</v>
          </cell>
          <cell r="P3027">
            <v>368</v>
          </cell>
        </row>
        <row r="3028">
          <cell r="B3028" t="str">
            <v>1590-10</v>
          </cell>
          <cell r="C3028" t="str">
            <v>BODY</v>
          </cell>
          <cell r="D3028">
            <v>184</v>
          </cell>
          <cell r="N3028" t="str">
            <v>1590-10</v>
          </cell>
          <cell r="O3028" t="str">
            <v>BODY</v>
          </cell>
          <cell r="P3028">
            <v>368</v>
          </cell>
        </row>
        <row r="3029">
          <cell r="B3029" t="str">
            <v>1590-18</v>
          </cell>
          <cell r="C3029" t="str">
            <v>BODY</v>
          </cell>
          <cell r="D3029">
            <v>184</v>
          </cell>
          <cell r="N3029" t="str">
            <v>1590-18</v>
          </cell>
          <cell r="O3029" t="str">
            <v>BODY</v>
          </cell>
          <cell r="P3029">
            <v>368</v>
          </cell>
        </row>
        <row r="3030">
          <cell r="B3030" t="str">
            <v>1831-10</v>
          </cell>
          <cell r="C3030" t="str">
            <v>BODY RETAINER</v>
          </cell>
          <cell r="D3030">
            <v>184</v>
          </cell>
          <cell r="N3030" t="str">
            <v>1831-10</v>
          </cell>
          <cell r="O3030" t="str">
            <v>BODY RETAINER</v>
          </cell>
          <cell r="P3030">
            <v>368</v>
          </cell>
        </row>
        <row r="3031">
          <cell r="B3031" t="str">
            <v>2011-02</v>
          </cell>
          <cell r="C3031" t="str">
            <v>BODY</v>
          </cell>
          <cell r="D3031">
            <v>184</v>
          </cell>
          <cell r="N3031" t="str">
            <v>2011-02</v>
          </cell>
          <cell r="O3031" t="str">
            <v>BODY</v>
          </cell>
          <cell r="P3031">
            <v>368</v>
          </cell>
        </row>
        <row r="3032">
          <cell r="B3032" t="str">
            <v>2852-11</v>
          </cell>
          <cell r="C3032" t="str">
            <v>BODY</v>
          </cell>
          <cell r="D3032">
            <v>179.5</v>
          </cell>
          <cell r="N3032" t="str">
            <v>2852-11</v>
          </cell>
          <cell r="O3032" t="str">
            <v>BODY</v>
          </cell>
          <cell r="P3032">
            <v>359</v>
          </cell>
        </row>
        <row r="3033">
          <cell r="B3033" t="str">
            <v>2852-11</v>
          </cell>
          <cell r="C3033" t="str">
            <v>BODY</v>
          </cell>
          <cell r="D3033">
            <v>179.5</v>
          </cell>
          <cell r="N3033" t="str">
            <v>2852-11</v>
          </cell>
          <cell r="O3033" t="str">
            <v>BODY</v>
          </cell>
          <cell r="P3033">
            <v>359</v>
          </cell>
        </row>
        <row r="3034">
          <cell r="B3034" t="str">
            <v>592-09</v>
          </cell>
          <cell r="C3034" t="str">
            <v>PISTON</v>
          </cell>
          <cell r="D3034">
            <v>177.5</v>
          </cell>
          <cell r="N3034" t="str">
            <v>592-09</v>
          </cell>
          <cell r="O3034" t="str">
            <v>PISTON</v>
          </cell>
          <cell r="P3034">
            <v>355</v>
          </cell>
        </row>
        <row r="3035">
          <cell r="B3035" t="str">
            <v>661-32</v>
          </cell>
          <cell r="C3035" t="str">
            <v>BODY</v>
          </cell>
          <cell r="D3035">
            <v>184</v>
          </cell>
          <cell r="N3035" t="str">
            <v>661-32</v>
          </cell>
          <cell r="O3035" t="str">
            <v>BODY</v>
          </cell>
          <cell r="P3035">
            <v>368</v>
          </cell>
        </row>
        <row r="3036">
          <cell r="B3036" t="str">
            <v>932-00</v>
          </cell>
          <cell r="C3036" t="str">
            <v>RACK STOPPER</v>
          </cell>
          <cell r="D3036">
            <v>220.79999999999998</v>
          </cell>
          <cell r="N3036" t="str">
            <v>932-00</v>
          </cell>
          <cell r="O3036" t="str">
            <v>RACK STOPPER</v>
          </cell>
          <cell r="P3036">
            <v>368</v>
          </cell>
        </row>
        <row r="3037">
          <cell r="B3037" t="str">
            <v>1252-02</v>
          </cell>
          <cell r="C3037" t="str">
            <v>PISTON</v>
          </cell>
          <cell r="D3037">
            <v>167.5</v>
          </cell>
          <cell r="N3037" t="str">
            <v>1252-02</v>
          </cell>
          <cell r="O3037" t="str">
            <v>PISTON</v>
          </cell>
          <cell r="P3037">
            <v>335</v>
          </cell>
        </row>
        <row r="3038">
          <cell r="B3038" t="str">
            <v>1446-08</v>
          </cell>
          <cell r="C3038" t="str">
            <v>BODY</v>
          </cell>
          <cell r="D3038">
            <v>176</v>
          </cell>
          <cell r="N3038" t="str">
            <v>1446-08</v>
          </cell>
          <cell r="O3038" t="str">
            <v>BODY</v>
          </cell>
          <cell r="P3038">
            <v>352</v>
          </cell>
        </row>
        <row r="3039">
          <cell r="B3039" t="str">
            <v>1446-08</v>
          </cell>
          <cell r="C3039" t="str">
            <v>BODY</v>
          </cell>
          <cell r="D3039">
            <v>176</v>
          </cell>
          <cell r="N3039" t="str">
            <v>1446-08</v>
          </cell>
          <cell r="O3039" t="str">
            <v>BODY</v>
          </cell>
          <cell r="P3039">
            <v>352</v>
          </cell>
        </row>
        <row r="3040">
          <cell r="B3040" t="str">
            <v>1446-11</v>
          </cell>
          <cell r="C3040" t="str">
            <v>BODY</v>
          </cell>
          <cell r="D3040">
            <v>184.5</v>
          </cell>
          <cell r="N3040" t="str">
            <v>1446-11</v>
          </cell>
          <cell r="O3040" t="str">
            <v>BODY</v>
          </cell>
          <cell r="P3040">
            <v>369</v>
          </cell>
        </row>
        <row r="3041">
          <cell r="B3041" t="str">
            <v>1554-14</v>
          </cell>
          <cell r="C3041" t="str">
            <v>RS RETAINER</v>
          </cell>
          <cell r="D3041">
            <v>89.5</v>
          </cell>
          <cell r="N3041" t="str">
            <v>1554-14</v>
          </cell>
          <cell r="O3041" t="str">
            <v>RS RETAINER</v>
          </cell>
          <cell r="P3041">
            <v>179</v>
          </cell>
        </row>
        <row r="3042">
          <cell r="B3042" t="str">
            <v>1790-02</v>
          </cell>
          <cell r="C3042" t="str">
            <v>BODY</v>
          </cell>
          <cell r="D3042">
            <v>184.5</v>
          </cell>
          <cell r="N3042" t="str">
            <v>1790-02</v>
          </cell>
          <cell r="O3042" t="str">
            <v>BODY</v>
          </cell>
          <cell r="P3042">
            <v>369</v>
          </cell>
        </row>
        <row r="3043">
          <cell r="B3043" t="str">
            <v>1833-05</v>
          </cell>
          <cell r="C3043" t="str">
            <v>BODY RETAINER</v>
          </cell>
          <cell r="D3043">
            <v>80.5</v>
          </cell>
          <cell r="N3043" t="str">
            <v>1833-05</v>
          </cell>
          <cell r="O3043" t="str">
            <v>BODY RETAINER</v>
          </cell>
          <cell r="P3043">
            <v>161</v>
          </cell>
        </row>
        <row r="3044">
          <cell r="B3044" t="str">
            <v>496-00</v>
          </cell>
          <cell r="C3044" t="str">
            <v>ROD GUIDE ASS'Y</v>
          </cell>
          <cell r="D3044">
            <v>149.5</v>
          </cell>
          <cell r="N3044" t="str">
            <v>496-00</v>
          </cell>
          <cell r="O3044" t="str">
            <v>ROD GUIDE ASS'Y</v>
          </cell>
          <cell r="P3044">
            <v>299</v>
          </cell>
        </row>
        <row r="3045">
          <cell r="B3045" t="str">
            <v>661-12</v>
          </cell>
          <cell r="C3045" t="str">
            <v>BODY</v>
          </cell>
          <cell r="D3045">
            <v>89.5</v>
          </cell>
          <cell r="N3045" t="str">
            <v>661-12</v>
          </cell>
          <cell r="O3045" t="str">
            <v>BODY</v>
          </cell>
          <cell r="P3045">
            <v>179</v>
          </cell>
        </row>
        <row r="3046">
          <cell r="B3046" t="str">
            <v>661-25</v>
          </cell>
          <cell r="C3046" t="str">
            <v>BODY</v>
          </cell>
          <cell r="D3046">
            <v>172.5</v>
          </cell>
          <cell r="N3046" t="str">
            <v>661-25</v>
          </cell>
          <cell r="O3046" t="str">
            <v>BODY</v>
          </cell>
          <cell r="P3046">
            <v>345</v>
          </cell>
        </row>
        <row r="3047">
          <cell r="B3047" t="str">
            <v>831-02</v>
          </cell>
          <cell r="C3047" t="str">
            <v>RACK STOPPER</v>
          </cell>
          <cell r="D3047">
            <v>221.4</v>
          </cell>
          <cell r="N3047" t="str">
            <v>831-02</v>
          </cell>
          <cell r="O3047" t="str">
            <v>RACK STOPPER</v>
          </cell>
          <cell r="P3047">
            <v>369</v>
          </cell>
        </row>
        <row r="3048">
          <cell r="B3048" t="str">
            <v>861-19</v>
          </cell>
          <cell r="C3048" t="str">
            <v>BODY</v>
          </cell>
          <cell r="D3048">
            <v>176.5</v>
          </cell>
          <cell r="N3048" t="str">
            <v>861-19</v>
          </cell>
          <cell r="O3048" t="str">
            <v>BODY</v>
          </cell>
          <cell r="P3048">
            <v>353</v>
          </cell>
        </row>
        <row r="3049">
          <cell r="B3049" t="str">
            <v>861-21</v>
          </cell>
          <cell r="C3049" t="str">
            <v>BODY</v>
          </cell>
          <cell r="D3049">
            <v>184.5</v>
          </cell>
          <cell r="N3049" t="str">
            <v>861-21</v>
          </cell>
          <cell r="O3049" t="str">
            <v>BODY</v>
          </cell>
          <cell r="P3049">
            <v>369</v>
          </cell>
        </row>
        <row r="3050">
          <cell r="B3050" t="str">
            <v>1046-01</v>
          </cell>
          <cell r="C3050" t="str">
            <v>BODY</v>
          </cell>
          <cell r="D3050">
            <v>185</v>
          </cell>
          <cell r="N3050" t="str">
            <v>1046-01</v>
          </cell>
          <cell r="O3050" t="str">
            <v>BODY</v>
          </cell>
          <cell r="P3050">
            <v>370</v>
          </cell>
        </row>
        <row r="3051">
          <cell r="B3051" t="str">
            <v>1412-04</v>
          </cell>
          <cell r="C3051" t="str">
            <v>BODY</v>
          </cell>
          <cell r="D3051">
            <v>185</v>
          </cell>
          <cell r="N3051" t="str">
            <v>1412-04</v>
          </cell>
          <cell r="O3051" t="str">
            <v>BODY</v>
          </cell>
          <cell r="P3051">
            <v>370</v>
          </cell>
        </row>
        <row r="3052">
          <cell r="B3052" t="str">
            <v>1428-01</v>
          </cell>
          <cell r="C3052" t="str">
            <v>BODY</v>
          </cell>
          <cell r="D3052">
            <v>179.5</v>
          </cell>
          <cell r="N3052" t="str">
            <v>1428-01</v>
          </cell>
          <cell r="O3052" t="str">
            <v>BODY</v>
          </cell>
          <cell r="P3052">
            <v>359</v>
          </cell>
        </row>
        <row r="3053">
          <cell r="B3053" t="str">
            <v>1554-30</v>
          </cell>
          <cell r="C3053" t="str">
            <v>RS RETAINER</v>
          </cell>
          <cell r="D3053">
            <v>182</v>
          </cell>
          <cell r="N3053" t="str">
            <v>1554-30</v>
          </cell>
          <cell r="O3053" t="str">
            <v>RS RETAINER</v>
          </cell>
          <cell r="P3053">
            <v>364</v>
          </cell>
        </row>
        <row r="3054">
          <cell r="B3054" t="str">
            <v>1554-30</v>
          </cell>
          <cell r="C3054" t="str">
            <v>RS RETAINER</v>
          </cell>
          <cell r="D3054">
            <v>182</v>
          </cell>
          <cell r="N3054" t="str">
            <v>1554-30</v>
          </cell>
          <cell r="O3054" t="str">
            <v>RS RETAINER</v>
          </cell>
          <cell r="P3054">
            <v>364</v>
          </cell>
        </row>
        <row r="3055">
          <cell r="B3055" t="str">
            <v>1554-41</v>
          </cell>
          <cell r="C3055" t="str">
            <v>RS RETAINER</v>
          </cell>
          <cell r="D3055">
            <v>97.5</v>
          </cell>
          <cell r="N3055" t="str">
            <v>1554-41</v>
          </cell>
          <cell r="O3055" t="str">
            <v>RS RETAINER</v>
          </cell>
          <cell r="P3055">
            <v>195</v>
          </cell>
        </row>
        <row r="3056">
          <cell r="B3056" t="str">
            <v>2026-04</v>
          </cell>
          <cell r="C3056" t="str">
            <v>SOFT VALVE</v>
          </cell>
          <cell r="D3056">
            <v>185</v>
          </cell>
          <cell r="N3056" t="str">
            <v>2026-04</v>
          </cell>
          <cell r="O3056" t="str">
            <v>SOFT VALVE</v>
          </cell>
          <cell r="P3056">
            <v>370</v>
          </cell>
        </row>
        <row r="3057">
          <cell r="B3057" t="str">
            <v>551-01</v>
          </cell>
          <cell r="C3057" t="str">
            <v>BODY</v>
          </cell>
          <cell r="D3057">
            <v>185</v>
          </cell>
          <cell r="N3057" t="str">
            <v>551-01</v>
          </cell>
          <cell r="O3057" t="str">
            <v>BODY</v>
          </cell>
          <cell r="P3057">
            <v>370</v>
          </cell>
        </row>
        <row r="3058">
          <cell r="B3058" t="str">
            <v>592-09</v>
          </cell>
          <cell r="C3058" t="str">
            <v>PISTON</v>
          </cell>
          <cell r="D3058">
            <v>177.5</v>
          </cell>
          <cell r="N3058" t="str">
            <v>592-09</v>
          </cell>
          <cell r="O3058" t="str">
            <v>PISTON</v>
          </cell>
          <cell r="P3058">
            <v>355</v>
          </cell>
        </row>
        <row r="3059">
          <cell r="B3059" t="str">
            <v>592-09</v>
          </cell>
          <cell r="C3059" t="str">
            <v>PISTON</v>
          </cell>
          <cell r="D3059">
            <v>177.5</v>
          </cell>
          <cell r="N3059" t="str">
            <v>592-09</v>
          </cell>
          <cell r="O3059" t="str">
            <v>PISTON</v>
          </cell>
          <cell r="P3059">
            <v>355</v>
          </cell>
        </row>
        <row r="3060">
          <cell r="B3060" t="str">
            <v>598-15</v>
          </cell>
          <cell r="C3060" t="str">
            <v>PISTON</v>
          </cell>
          <cell r="D3060">
            <v>181.5</v>
          </cell>
          <cell r="N3060" t="str">
            <v>598-15</v>
          </cell>
          <cell r="O3060" t="str">
            <v>PISTON</v>
          </cell>
          <cell r="P3060">
            <v>363</v>
          </cell>
        </row>
        <row r="3061">
          <cell r="B3061" t="str">
            <v>062-00</v>
          </cell>
          <cell r="C3061" t="str">
            <v>ROD GUIDE ASS'Y</v>
          </cell>
          <cell r="D3061">
            <v>185.5</v>
          </cell>
          <cell r="N3061" t="str">
            <v>062-00</v>
          </cell>
          <cell r="O3061" t="str">
            <v>ROD GUIDE ASS'Y</v>
          </cell>
          <cell r="P3061">
            <v>371</v>
          </cell>
        </row>
        <row r="3062">
          <cell r="B3062" t="str">
            <v>1734-17</v>
          </cell>
          <cell r="C3062" t="str">
            <v>RS RETAINER</v>
          </cell>
          <cell r="D3062">
            <v>182.5</v>
          </cell>
          <cell r="N3062" t="str">
            <v>1734-17</v>
          </cell>
          <cell r="O3062" t="str">
            <v>RS RETAINER</v>
          </cell>
          <cell r="P3062">
            <v>365</v>
          </cell>
        </row>
        <row r="3063">
          <cell r="B3063" t="str">
            <v>1790-12</v>
          </cell>
          <cell r="C3063" t="str">
            <v>BODY</v>
          </cell>
          <cell r="D3063">
            <v>185.5</v>
          </cell>
          <cell r="N3063" t="str">
            <v>1790-12</v>
          </cell>
          <cell r="O3063" t="str">
            <v>BODY</v>
          </cell>
          <cell r="P3063">
            <v>371</v>
          </cell>
        </row>
        <row r="3064">
          <cell r="B3064" t="str">
            <v>1791-03</v>
          </cell>
          <cell r="C3064" t="str">
            <v>BODY</v>
          </cell>
          <cell r="D3064">
            <v>185.5</v>
          </cell>
          <cell r="N3064" t="str">
            <v>1791-03</v>
          </cell>
          <cell r="O3064" t="str">
            <v>BODY</v>
          </cell>
          <cell r="P3064">
            <v>371</v>
          </cell>
        </row>
        <row r="3065">
          <cell r="B3065" t="str">
            <v>1807-01</v>
          </cell>
          <cell r="C3065" t="str">
            <v>BODY</v>
          </cell>
          <cell r="D3065">
            <v>159.5</v>
          </cell>
          <cell r="N3065" t="str">
            <v>1807-01</v>
          </cell>
          <cell r="O3065" t="str">
            <v>BODY</v>
          </cell>
          <cell r="P3065">
            <v>319</v>
          </cell>
        </row>
        <row r="3066">
          <cell r="B3066" t="str">
            <v>797-04</v>
          </cell>
          <cell r="C3066" t="str">
            <v>BODY</v>
          </cell>
          <cell r="D3066">
            <v>125.5</v>
          </cell>
          <cell r="N3066" t="str">
            <v>797-04</v>
          </cell>
          <cell r="O3066" t="str">
            <v>BODY</v>
          </cell>
          <cell r="P3066">
            <v>251</v>
          </cell>
        </row>
        <row r="3067">
          <cell r="B3067" t="str">
            <v>1634-33</v>
          </cell>
          <cell r="C3067" t="str">
            <v>RS RETAINER</v>
          </cell>
          <cell r="D3067">
            <v>97</v>
          </cell>
          <cell r="N3067" t="str">
            <v>1634-33</v>
          </cell>
          <cell r="O3067" t="str">
            <v>RS RETAINER</v>
          </cell>
          <cell r="P3067">
            <v>194</v>
          </cell>
        </row>
        <row r="3068">
          <cell r="B3068" t="str">
            <v>1634-33</v>
          </cell>
          <cell r="C3068" t="str">
            <v>RS RETAINER</v>
          </cell>
          <cell r="D3068">
            <v>97</v>
          </cell>
          <cell r="N3068" t="str">
            <v>1634-33</v>
          </cell>
          <cell r="O3068" t="str">
            <v>RS RETAINER</v>
          </cell>
          <cell r="P3068">
            <v>194</v>
          </cell>
        </row>
        <row r="3069">
          <cell r="B3069" t="str">
            <v>1634-33</v>
          </cell>
          <cell r="C3069" t="str">
            <v>RS RETAINER</v>
          </cell>
          <cell r="D3069">
            <v>97</v>
          </cell>
          <cell r="N3069" t="str">
            <v>1634-33</v>
          </cell>
          <cell r="O3069" t="str">
            <v>RS RETAINER</v>
          </cell>
          <cell r="P3069">
            <v>194</v>
          </cell>
        </row>
        <row r="3070">
          <cell r="B3070" t="str">
            <v>1779-01</v>
          </cell>
          <cell r="C3070" t="str">
            <v>RS RETAINER</v>
          </cell>
          <cell r="D3070">
            <v>186</v>
          </cell>
          <cell r="N3070" t="str">
            <v>1779-01</v>
          </cell>
          <cell r="O3070" t="str">
            <v>RS RETAINER</v>
          </cell>
          <cell r="P3070">
            <v>372</v>
          </cell>
        </row>
        <row r="3071">
          <cell r="B3071" t="str">
            <v>1779-06</v>
          </cell>
          <cell r="C3071" t="str">
            <v>RS RETAINER</v>
          </cell>
          <cell r="D3071">
            <v>186</v>
          </cell>
          <cell r="N3071" t="str">
            <v>1779-06</v>
          </cell>
          <cell r="O3071" t="str">
            <v>RS RETAINER</v>
          </cell>
          <cell r="P3071">
            <v>372</v>
          </cell>
        </row>
        <row r="3072">
          <cell r="B3072" t="str">
            <v>1831-06</v>
          </cell>
          <cell r="C3072" t="str">
            <v>BODY RETAINER</v>
          </cell>
          <cell r="D3072">
            <v>176</v>
          </cell>
          <cell r="N3072" t="str">
            <v>1831-06</v>
          </cell>
          <cell r="O3072" t="str">
            <v>BODY RETAINER</v>
          </cell>
          <cell r="P3072">
            <v>352</v>
          </cell>
        </row>
        <row r="3073">
          <cell r="B3073" t="str">
            <v>861-19</v>
          </cell>
          <cell r="C3073" t="str">
            <v>BODY</v>
          </cell>
          <cell r="D3073">
            <v>176.5</v>
          </cell>
          <cell r="N3073" t="str">
            <v>861-19</v>
          </cell>
          <cell r="O3073" t="str">
            <v>BODY</v>
          </cell>
          <cell r="P3073">
            <v>353</v>
          </cell>
        </row>
        <row r="3074">
          <cell r="B3074" t="str">
            <v>1339-00</v>
          </cell>
          <cell r="C3074" t="str">
            <v>ROD GUIDE</v>
          </cell>
          <cell r="D3074">
            <v>130</v>
          </cell>
          <cell r="N3074" t="str">
            <v>1339-00</v>
          </cell>
          <cell r="O3074" t="str">
            <v>ROD GUIDE</v>
          </cell>
          <cell r="P3074">
            <v>260</v>
          </cell>
        </row>
        <row r="3075">
          <cell r="B3075" t="str">
            <v>1339-00</v>
          </cell>
          <cell r="C3075" t="str">
            <v>ROD GUIDE</v>
          </cell>
          <cell r="D3075">
            <v>130</v>
          </cell>
          <cell r="N3075" t="str">
            <v>1339-00</v>
          </cell>
          <cell r="O3075" t="str">
            <v>ROD GUIDE</v>
          </cell>
          <cell r="P3075">
            <v>260</v>
          </cell>
        </row>
        <row r="3076">
          <cell r="B3076" t="str">
            <v>1446-05</v>
          </cell>
          <cell r="C3076" t="str">
            <v>BODY</v>
          </cell>
          <cell r="D3076">
            <v>186.5</v>
          </cell>
          <cell r="N3076" t="str">
            <v>1446-05</v>
          </cell>
          <cell r="O3076" t="str">
            <v>BODY</v>
          </cell>
          <cell r="P3076">
            <v>373</v>
          </cell>
        </row>
        <row r="3077">
          <cell r="B3077" t="str">
            <v>1590-21</v>
          </cell>
          <cell r="C3077" t="str">
            <v>BODY</v>
          </cell>
          <cell r="D3077">
            <v>125.5</v>
          </cell>
          <cell r="N3077" t="str">
            <v>1590-21</v>
          </cell>
          <cell r="O3077" t="str">
            <v>BODY</v>
          </cell>
          <cell r="P3077">
            <v>251</v>
          </cell>
        </row>
        <row r="3078">
          <cell r="B3078" t="str">
            <v>1634-23</v>
          </cell>
          <cell r="C3078" t="str">
            <v>RS RETAINER</v>
          </cell>
          <cell r="D3078">
            <v>91</v>
          </cell>
          <cell r="N3078" t="str">
            <v>1634-23</v>
          </cell>
          <cell r="O3078" t="str">
            <v>RS RETAINER</v>
          </cell>
          <cell r="P3078">
            <v>182</v>
          </cell>
        </row>
        <row r="3079">
          <cell r="B3079" t="str">
            <v>1790-01</v>
          </cell>
          <cell r="C3079" t="str">
            <v>BODY</v>
          </cell>
          <cell r="D3079">
            <v>186.5</v>
          </cell>
          <cell r="N3079" t="str">
            <v>1790-01</v>
          </cell>
          <cell r="O3079" t="str">
            <v>BODY</v>
          </cell>
          <cell r="P3079">
            <v>373</v>
          </cell>
        </row>
        <row r="3080">
          <cell r="B3080" t="str">
            <v>2671-06</v>
          </cell>
          <cell r="C3080" t="str">
            <v>PISTON</v>
          </cell>
          <cell r="D3080">
            <v>110</v>
          </cell>
          <cell r="N3080" t="str">
            <v>2671-06</v>
          </cell>
          <cell r="O3080" t="str">
            <v>PISTON</v>
          </cell>
          <cell r="P3080">
            <v>220</v>
          </cell>
        </row>
        <row r="3081">
          <cell r="B3081" t="str">
            <v>1069-01</v>
          </cell>
          <cell r="C3081" t="str">
            <v>PISTON</v>
          </cell>
          <cell r="D3081">
            <v>99</v>
          </cell>
          <cell r="N3081" t="str">
            <v>1069-01</v>
          </cell>
          <cell r="O3081" t="str">
            <v>PISTON</v>
          </cell>
          <cell r="P3081">
            <v>198</v>
          </cell>
        </row>
        <row r="3082">
          <cell r="B3082" t="str">
            <v>1424-00</v>
          </cell>
          <cell r="C3082" t="str">
            <v>INSERT CAM</v>
          </cell>
          <cell r="D3082">
            <v>224.4</v>
          </cell>
          <cell r="N3082" t="str">
            <v>1424-00</v>
          </cell>
          <cell r="O3082" t="str">
            <v>INSERT CAM</v>
          </cell>
          <cell r="P3082">
            <v>374</v>
          </cell>
        </row>
        <row r="3083">
          <cell r="B3083" t="str">
            <v>1446-02</v>
          </cell>
          <cell r="C3083" t="str">
            <v>BODY</v>
          </cell>
          <cell r="D3083">
            <v>111</v>
          </cell>
          <cell r="N3083" t="str">
            <v>1446-02</v>
          </cell>
          <cell r="O3083" t="str">
            <v>BODY</v>
          </cell>
          <cell r="P3083">
            <v>222</v>
          </cell>
        </row>
        <row r="3084">
          <cell r="B3084" t="str">
            <v>1590-10</v>
          </cell>
          <cell r="C3084" t="str">
            <v>BODY</v>
          </cell>
          <cell r="D3084">
            <v>184</v>
          </cell>
          <cell r="N3084" t="str">
            <v>1590-10</v>
          </cell>
          <cell r="O3084" t="str">
            <v>BODY</v>
          </cell>
          <cell r="P3084">
            <v>368</v>
          </cell>
        </row>
        <row r="3085">
          <cell r="B3085" t="str">
            <v>1634-25</v>
          </cell>
          <cell r="C3085" t="str">
            <v>RS RETAINER</v>
          </cell>
          <cell r="D3085">
            <v>89.5</v>
          </cell>
          <cell r="N3085" t="str">
            <v>1634-25</v>
          </cell>
          <cell r="O3085" t="str">
            <v>RS RETAINER</v>
          </cell>
          <cell r="P3085">
            <v>179</v>
          </cell>
        </row>
        <row r="3086">
          <cell r="B3086" t="str">
            <v>1832-06</v>
          </cell>
          <cell r="C3086" t="str">
            <v>BODY RETAINER</v>
          </cell>
          <cell r="D3086">
            <v>90.5</v>
          </cell>
          <cell r="N3086" t="str">
            <v>1832-06</v>
          </cell>
          <cell r="O3086" t="str">
            <v>BODY RETAINER</v>
          </cell>
          <cell r="P3086">
            <v>181</v>
          </cell>
        </row>
        <row r="3087">
          <cell r="B3087" t="str">
            <v>1833-05</v>
          </cell>
          <cell r="C3087" t="str">
            <v>BODY RETAINER</v>
          </cell>
          <cell r="D3087">
            <v>80.5</v>
          </cell>
          <cell r="N3087" t="str">
            <v>1833-05</v>
          </cell>
          <cell r="O3087" t="str">
            <v>BODY RETAINER</v>
          </cell>
          <cell r="P3087">
            <v>161</v>
          </cell>
        </row>
        <row r="3088">
          <cell r="B3088" t="str">
            <v>1836-01</v>
          </cell>
          <cell r="C3088" t="str">
            <v>RS RETAINER</v>
          </cell>
          <cell r="D3088">
            <v>180</v>
          </cell>
          <cell r="N3088" t="str">
            <v>1836-01</v>
          </cell>
          <cell r="O3088" t="str">
            <v>RS RETAINER</v>
          </cell>
          <cell r="P3088">
            <v>360</v>
          </cell>
        </row>
        <row r="3089">
          <cell r="B3089" t="str">
            <v>1843-02</v>
          </cell>
          <cell r="C3089" t="str">
            <v>RS RETAINER</v>
          </cell>
          <cell r="D3089">
            <v>187</v>
          </cell>
          <cell r="N3089" t="str">
            <v>1843-02</v>
          </cell>
          <cell r="O3089" t="str">
            <v>RS RETAINER</v>
          </cell>
          <cell r="P3089">
            <v>374</v>
          </cell>
        </row>
        <row r="3090">
          <cell r="B3090" t="str">
            <v>661-14</v>
          </cell>
          <cell r="C3090" t="str">
            <v>BODY</v>
          </cell>
          <cell r="D3090">
            <v>103.5</v>
          </cell>
          <cell r="N3090" t="str">
            <v>661-14</v>
          </cell>
          <cell r="O3090" t="str">
            <v>BODY</v>
          </cell>
          <cell r="P3090">
            <v>207</v>
          </cell>
        </row>
        <row r="3091">
          <cell r="B3091" t="str">
            <v>661-22</v>
          </cell>
          <cell r="C3091" t="str">
            <v>BODY</v>
          </cell>
          <cell r="D3091">
            <v>118.5</v>
          </cell>
          <cell r="N3091" t="str">
            <v>661-22</v>
          </cell>
          <cell r="O3091" t="str">
            <v>BODY</v>
          </cell>
          <cell r="P3091">
            <v>237</v>
          </cell>
        </row>
        <row r="3092">
          <cell r="B3092" t="str">
            <v>661-51</v>
          </cell>
          <cell r="C3092" t="str">
            <v>BODY</v>
          </cell>
          <cell r="D3092">
            <v>187</v>
          </cell>
          <cell r="N3092" t="str">
            <v>661-51</v>
          </cell>
          <cell r="O3092" t="str">
            <v>BODY</v>
          </cell>
          <cell r="P3092">
            <v>374</v>
          </cell>
        </row>
        <row r="3093">
          <cell r="B3093" t="str">
            <v>861-19</v>
          </cell>
          <cell r="C3093" t="str">
            <v>BODY</v>
          </cell>
          <cell r="D3093">
            <v>176.5</v>
          </cell>
          <cell r="N3093" t="str">
            <v>861-19</v>
          </cell>
          <cell r="O3093" t="str">
            <v>BODY</v>
          </cell>
          <cell r="P3093">
            <v>353</v>
          </cell>
        </row>
        <row r="3094">
          <cell r="B3094" t="str">
            <v>861-19</v>
          </cell>
          <cell r="C3094" t="str">
            <v>BODY</v>
          </cell>
          <cell r="D3094">
            <v>176.5</v>
          </cell>
          <cell r="N3094" t="str">
            <v>861-19</v>
          </cell>
          <cell r="O3094" t="str">
            <v>BODY</v>
          </cell>
          <cell r="P3094">
            <v>353</v>
          </cell>
        </row>
        <row r="3095">
          <cell r="B3095" t="str">
            <v>1589-05</v>
          </cell>
          <cell r="C3095" t="str">
            <v>REB,RETAINER</v>
          </cell>
          <cell r="D3095">
            <v>187.5</v>
          </cell>
          <cell r="N3095" t="str">
            <v>1589-05</v>
          </cell>
          <cell r="O3095" t="str">
            <v>REB,RETAINER</v>
          </cell>
          <cell r="P3095">
            <v>375</v>
          </cell>
        </row>
        <row r="3096">
          <cell r="B3096" t="str">
            <v>1790-08</v>
          </cell>
          <cell r="C3096" t="str">
            <v>BODY</v>
          </cell>
          <cell r="D3096">
            <v>109</v>
          </cell>
          <cell r="N3096" t="str">
            <v>1790-08</v>
          </cell>
          <cell r="O3096" t="str">
            <v>BODY</v>
          </cell>
          <cell r="P3096">
            <v>218</v>
          </cell>
        </row>
        <row r="3097">
          <cell r="B3097" t="str">
            <v>2076-09</v>
          </cell>
          <cell r="C3097" t="str">
            <v>BODY RETAINER</v>
          </cell>
          <cell r="D3097">
            <v>171</v>
          </cell>
          <cell r="N3097" t="str">
            <v>2076-09</v>
          </cell>
          <cell r="O3097" t="str">
            <v>BODY RETAINER</v>
          </cell>
          <cell r="P3097">
            <v>342</v>
          </cell>
        </row>
        <row r="3098">
          <cell r="B3098" t="str">
            <v>2671-05</v>
          </cell>
          <cell r="C3098" t="str">
            <v>PISTON</v>
          </cell>
          <cell r="D3098">
            <v>107.5</v>
          </cell>
          <cell r="N3098" t="str">
            <v>2671-05</v>
          </cell>
          <cell r="O3098" t="str">
            <v>PISTON</v>
          </cell>
          <cell r="P3098">
            <v>215</v>
          </cell>
        </row>
        <row r="3099">
          <cell r="B3099" t="str">
            <v>2671-06</v>
          </cell>
          <cell r="C3099" t="str">
            <v>PISTON</v>
          </cell>
          <cell r="D3099">
            <v>110</v>
          </cell>
          <cell r="N3099" t="str">
            <v>2671-06</v>
          </cell>
          <cell r="O3099" t="str">
            <v>PISTON</v>
          </cell>
          <cell r="P3099">
            <v>220</v>
          </cell>
        </row>
        <row r="3100">
          <cell r="B3100" t="str">
            <v>357-00</v>
          </cell>
          <cell r="C3100" t="str">
            <v>ROD GUIDE ASS'Y</v>
          </cell>
          <cell r="D3100">
            <v>187.5</v>
          </cell>
          <cell r="N3100" t="str">
            <v>357-00</v>
          </cell>
          <cell r="O3100" t="str">
            <v>ROD GUIDE ASS'Y</v>
          </cell>
          <cell r="P3100">
            <v>375</v>
          </cell>
        </row>
        <row r="3101">
          <cell r="B3101" t="str">
            <v>1634-33</v>
          </cell>
          <cell r="C3101" t="str">
            <v>RS RETAINER</v>
          </cell>
          <cell r="D3101">
            <v>97</v>
          </cell>
          <cell r="N3101" t="str">
            <v>1634-33</v>
          </cell>
          <cell r="O3101" t="str">
            <v>RS RETAINER</v>
          </cell>
          <cell r="P3101">
            <v>194</v>
          </cell>
        </row>
        <row r="3102">
          <cell r="B3102" t="str">
            <v>1831-09</v>
          </cell>
          <cell r="C3102" t="str">
            <v>BODY RETAINER</v>
          </cell>
          <cell r="D3102">
            <v>188</v>
          </cell>
          <cell r="N3102" t="str">
            <v>1831-09</v>
          </cell>
          <cell r="O3102" t="str">
            <v>BODY RETAINER</v>
          </cell>
          <cell r="P3102">
            <v>376</v>
          </cell>
        </row>
        <row r="3103">
          <cell r="B3103" t="str">
            <v>2076-09</v>
          </cell>
          <cell r="C3103" t="str">
            <v>BODY RETAINER</v>
          </cell>
          <cell r="D3103">
            <v>171</v>
          </cell>
          <cell r="N3103" t="str">
            <v>2076-09</v>
          </cell>
          <cell r="O3103" t="str">
            <v>BODY RETAINER</v>
          </cell>
          <cell r="P3103">
            <v>342</v>
          </cell>
        </row>
        <row r="3104">
          <cell r="B3104" t="str">
            <v>2412-11</v>
          </cell>
          <cell r="C3104" t="str">
            <v>BODY</v>
          </cell>
          <cell r="D3104">
            <v>188</v>
          </cell>
          <cell r="N3104" t="str">
            <v>2412-11</v>
          </cell>
          <cell r="O3104" t="str">
            <v>BODY</v>
          </cell>
          <cell r="P3104">
            <v>376</v>
          </cell>
        </row>
        <row r="3105">
          <cell r="B3105" t="str">
            <v>2671-05</v>
          </cell>
          <cell r="C3105" t="str">
            <v>PISTON</v>
          </cell>
          <cell r="D3105">
            <v>107.5</v>
          </cell>
          <cell r="N3105" t="str">
            <v>2671-05</v>
          </cell>
          <cell r="O3105" t="str">
            <v>PISTON</v>
          </cell>
          <cell r="P3105">
            <v>215</v>
          </cell>
        </row>
        <row r="3106">
          <cell r="B3106" t="str">
            <v>616-07</v>
          </cell>
          <cell r="C3106" t="str">
            <v>SUB VALVE BODY</v>
          </cell>
          <cell r="D3106">
            <v>188</v>
          </cell>
          <cell r="N3106" t="str">
            <v>616-07</v>
          </cell>
          <cell r="O3106" t="str">
            <v>SUB VALVE BODY</v>
          </cell>
          <cell r="P3106">
            <v>376</v>
          </cell>
        </row>
        <row r="3107">
          <cell r="B3107" t="str">
            <v>1412-16</v>
          </cell>
          <cell r="C3107" t="str">
            <v>BODY</v>
          </cell>
          <cell r="D3107">
            <v>188.5</v>
          </cell>
          <cell r="N3107" t="str">
            <v>1412-16</v>
          </cell>
          <cell r="O3107" t="str">
            <v>BODY</v>
          </cell>
          <cell r="P3107">
            <v>377</v>
          </cell>
        </row>
        <row r="3108">
          <cell r="B3108" t="str">
            <v>1446-06</v>
          </cell>
          <cell r="C3108" t="str">
            <v>BODY</v>
          </cell>
          <cell r="D3108">
            <v>188.5</v>
          </cell>
          <cell r="N3108" t="str">
            <v>1446-06</v>
          </cell>
          <cell r="O3108" t="str">
            <v>BODY</v>
          </cell>
          <cell r="P3108">
            <v>377</v>
          </cell>
        </row>
        <row r="3109">
          <cell r="B3109" t="str">
            <v>1673-16</v>
          </cell>
          <cell r="C3109" t="str">
            <v>RS RETAINER</v>
          </cell>
          <cell r="D3109">
            <v>188.5</v>
          </cell>
          <cell r="N3109" t="str">
            <v>1673-16</v>
          </cell>
          <cell r="O3109" t="str">
            <v>RS RETAINER</v>
          </cell>
          <cell r="P3109">
            <v>377</v>
          </cell>
        </row>
        <row r="3110">
          <cell r="B3110" t="str">
            <v>1779-12</v>
          </cell>
          <cell r="C3110" t="str">
            <v>RS RETAINER</v>
          </cell>
          <cell r="D3110">
            <v>188.5</v>
          </cell>
          <cell r="N3110" t="str">
            <v>1779-12</v>
          </cell>
          <cell r="O3110" t="str">
            <v>RS RETAINER</v>
          </cell>
          <cell r="P3110">
            <v>377</v>
          </cell>
        </row>
        <row r="3111">
          <cell r="B3111" t="str">
            <v>1831-11</v>
          </cell>
          <cell r="C3111" t="str">
            <v>BODY RETAINER</v>
          </cell>
          <cell r="D3111">
            <v>90</v>
          </cell>
          <cell r="N3111" t="str">
            <v>1831-11</v>
          </cell>
          <cell r="O3111" t="str">
            <v>BODY RETAINER</v>
          </cell>
          <cell r="P3111">
            <v>180</v>
          </cell>
        </row>
        <row r="3112">
          <cell r="B3112" t="str">
            <v>227-01</v>
          </cell>
          <cell r="C3112" t="str">
            <v>PISTON</v>
          </cell>
          <cell r="D3112">
            <v>92</v>
          </cell>
          <cell r="N3112" t="str">
            <v>227-01</v>
          </cell>
          <cell r="O3112" t="str">
            <v>PISTON</v>
          </cell>
          <cell r="P3112">
            <v>184</v>
          </cell>
        </row>
        <row r="3113">
          <cell r="B3113" t="str">
            <v>365-00</v>
          </cell>
          <cell r="C3113" t="str">
            <v>ROD GUIDE ASS'Y</v>
          </cell>
          <cell r="D3113">
            <v>183</v>
          </cell>
          <cell r="N3113" t="str">
            <v>365-00</v>
          </cell>
          <cell r="O3113" t="str">
            <v>ROD GUIDE ASS'Y</v>
          </cell>
          <cell r="P3113">
            <v>366</v>
          </cell>
        </row>
        <row r="3114">
          <cell r="B3114" t="str">
            <v>588-05</v>
          </cell>
          <cell r="C3114" t="str">
            <v>PISTON</v>
          </cell>
          <cell r="D3114">
            <v>110.5</v>
          </cell>
          <cell r="N3114" t="str">
            <v>588-05</v>
          </cell>
          <cell r="O3114" t="str">
            <v>PISTON</v>
          </cell>
          <cell r="P3114">
            <v>221</v>
          </cell>
        </row>
        <row r="3115">
          <cell r="B3115" t="str">
            <v>588-22</v>
          </cell>
          <cell r="C3115" t="str">
            <v>PISTON</v>
          </cell>
          <cell r="D3115">
            <v>117.5</v>
          </cell>
          <cell r="N3115" t="str">
            <v>588-22</v>
          </cell>
          <cell r="O3115" t="str">
            <v>PISTON</v>
          </cell>
          <cell r="P3115">
            <v>235</v>
          </cell>
        </row>
        <row r="3116">
          <cell r="B3116" t="str">
            <v>588-23</v>
          </cell>
          <cell r="C3116" t="str">
            <v>PISTON</v>
          </cell>
          <cell r="D3116">
            <v>188.5</v>
          </cell>
          <cell r="N3116" t="str">
            <v>588-23</v>
          </cell>
          <cell r="O3116" t="str">
            <v>PISTON</v>
          </cell>
          <cell r="P3116">
            <v>377</v>
          </cell>
        </row>
        <row r="3117">
          <cell r="B3117" t="str">
            <v>588-71</v>
          </cell>
          <cell r="C3117" t="str">
            <v>PISTON</v>
          </cell>
          <cell r="D3117">
            <v>188.5</v>
          </cell>
          <cell r="N3117" t="str">
            <v>588-71</v>
          </cell>
          <cell r="O3117" t="str">
            <v>PISTON</v>
          </cell>
          <cell r="P3117">
            <v>377</v>
          </cell>
        </row>
        <row r="3118">
          <cell r="B3118" t="str">
            <v>661-23</v>
          </cell>
          <cell r="C3118" t="str">
            <v>BODY</v>
          </cell>
          <cell r="D3118">
            <v>123.5</v>
          </cell>
          <cell r="N3118" t="str">
            <v>661-23</v>
          </cell>
          <cell r="O3118" t="str">
            <v>BODY</v>
          </cell>
          <cell r="P3118">
            <v>247</v>
          </cell>
        </row>
        <row r="3119">
          <cell r="B3119" t="str">
            <v>1023-07</v>
          </cell>
          <cell r="C3119" t="str">
            <v>PISTON</v>
          </cell>
          <cell r="D3119">
            <v>189</v>
          </cell>
          <cell r="N3119" t="str">
            <v>1023-07</v>
          </cell>
          <cell r="O3119" t="str">
            <v>PISTON</v>
          </cell>
          <cell r="P3119">
            <v>378</v>
          </cell>
        </row>
        <row r="3120">
          <cell r="B3120" t="str">
            <v>1554-16</v>
          </cell>
          <cell r="C3120" t="str">
            <v>RS RETAINER</v>
          </cell>
          <cell r="D3120">
            <v>88</v>
          </cell>
          <cell r="N3120" t="str">
            <v>1554-16</v>
          </cell>
          <cell r="O3120" t="str">
            <v>RS RETAINER</v>
          </cell>
          <cell r="P3120">
            <v>176</v>
          </cell>
        </row>
        <row r="3121">
          <cell r="B3121" t="str">
            <v>1554-21</v>
          </cell>
          <cell r="C3121" t="str">
            <v>RS RETAINER</v>
          </cell>
          <cell r="D3121">
            <v>146.5</v>
          </cell>
          <cell r="N3121" t="str">
            <v>1554-21</v>
          </cell>
          <cell r="O3121" t="str">
            <v>RS RETAINER</v>
          </cell>
          <cell r="P3121">
            <v>293</v>
          </cell>
        </row>
        <row r="3122">
          <cell r="B3122" t="str">
            <v>1832-07</v>
          </cell>
          <cell r="C3122" t="str">
            <v>BODY RETAINER</v>
          </cell>
          <cell r="D3122">
            <v>158</v>
          </cell>
          <cell r="N3122" t="str">
            <v>1832-07</v>
          </cell>
          <cell r="O3122" t="str">
            <v>BODY RETAINER</v>
          </cell>
          <cell r="P3122">
            <v>316</v>
          </cell>
        </row>
        <row r="3123">
          <cell r="B3123" t="str">
            <v>2852-18</v>
          </cell>
          <cell r="C3123" t="str">
            <v>BODY</v>
          </cell>
          <cell r="D3123">
            <v>179.5</v>
          </cell>
          <cell r="N3123" t="str">
            <v>2852-18</v>
          </cell>
          <cell r="O3123" t="str">
            <v>BODY</v>
          </cell>
          <cell r="P3123">
            <v>359</v>
          </cell>
        </row>
        <row r="3124">
          <cell r="B3124" t="str">
            <v>2852-19</v>
          </cell>
          <cell r="C3124" t="str">
            <v>BODY</v>
          </cell>
          <cell r="D3124">
            <v>189</v>
          </cell>
          <cell r="N3124" t="str">
            <v>2852-19</v>
          </cell>
          <cell r="O3124" t="str">
            <v>BODY</v>
          </cell>
          <cell r="P3124">
            <v>378</v>
          </cell>
        </row>
        <row r="3125">
          <cell r="B3125" t="str">
            <v>661-28</v>
          </cell>
          <cell r="C3125" t="str">
            <v>BODY</v>
          </cell>
          <cell r="D3125">
            <v>107.5</v>
          </cell>
          <cell r="N3125" t="str">
            <v>661-28</v>
          </cell>
          <cell r="O3125" t="str">
            <v>BODY</v>
          </cell>
          <cell r="P3125">
            <v>215</v>
          </cell>
        </row>
        <row r="3126">
          <cell r="B3126" t="str">
            <v>671-05</v>
          </cell>
          <cell r="C3126" t="str">
            <v>PISTON</v>
          </cell>
          <cell r="D3126">
            <v>106</v>
          </cell>
          <cell r="N3126" t="str">
            <v>671-05</v>
          </cell>
          <cell r="O3126" t="str">
            <v>PISTON</v>
          </cell>
          <cell r="P3126">
            <v>212</v>
          </cell>
        </row>
        <row r="3127">
          <cell r="B3127" t="str">
            <v>671-06</v>
          </cell>
          <cell r="C3127" t="str">
            <v>PISTON</v>
          </cell>
          <cell r="D3127">
            <v>104</v>
          </cell>
          <cell r="N3127" t="str">
            <v>671-06</v>
          </cell>
          <cell r="O3127" t="str">
            <v>PISTON</v>
          </cell>
          <cell r="P3127">
            <v>208</v>
          </cell>
        </row>
        <row r="3128">
          <cell r="B3128" t="str">
            <v>1610-07</v>
          </cell>
          <cell r="C3128" t="str">
            <v>RS RETAINER</v>
          </cell>
          <cell r="D3128">
            <v>142.5</v>
          </cell>
          <cell r="N3128" t="str">
            <v>1610-07</v>
          </cell>
          <cell r="O3128" t="str">
            <v>RS RETAINER</v>
          </cell>
          <cell r="P3128">
            <v>285</v>
          </cell>
        </row>
        <row r="3129">
          <cell r="B3129" t="str">
            <v>1610-08</v>
          </cell>
          <cell r="C3129" t="str">
            <v>RS RETAINER</v>
          </cell>
          <cell r="D3129">
            <v>189.5</v>
          </cell>
          <cell r="N3129" t="str">
            <v>1610-08</v>
          </cell>
          <cell r="O3129" t="str">
            <v>RS RETAINER</v>
          </cell>
          <cell r="P3129">
            <v>379</v>
          </cell>
        </row>
        <row r="3130">
          <cell r="B3130" t="str">
            <v>1634-06</v>
          </cell>
          <cell r="C3130" t="str">
            <v>RS RETAINER</v>
          </cell>
          <cell r="D3130">
            <v>91</v>
          </cell>
          <cell r="N3130" t="str">
            <v>1634-06</v>
          </cell>
          <cell r="O3130" t="str">
            <v>RS RETAINER</v>
          </cell>
          <cell r="P3130">
            <v>182</v>
          </cell>
        </row>
        <row r="3131">
          <cell r="B3131" t="str">
            <v>1634-42</v>
          </cell>
          <cell r="C3131" t="str">
            <v>RS RETAINER</v>
          </cell>
          <cell r="D3131">
            <v>180</v>
          </cell>
          <cell r="N3131" t="str">
            <v>1634-42</v>
          </cell>
          <cell r="O3131" t="str">
            <v>RS RETAINER</v>
          </cell>
          <cell r="P3131">
            <v>360</v>
          </cell>
        </row>
        <row r="3132">
          <cell r="B3132" t="str">
            <v>1738-04</v>
          </cell>
          <cell r="C3132" t="str">
            <v>RS RETAINER</v>
          </cell>
          <cell r="D3132">
            <v>189.5</v>
          </cell>
          <cell r="N3132" t="str">
            <v>1738-04</v>
          </cell>
          <cell r="O3132" t="str">
            <v>RS RETAINER</v>
          </cell>
          <cell r="P3132">
            <v>379</v>
          </cell>
        </row>
        <row r="3133">
          <cell r="B3133" t="str">
            <v>2671-06</v>
          </cell>
          <cell r="C3133" t="str">
            <v>PISTON</v>
          </cell>
          <cell r="D3133">
            <v>110</v>
          </cell>
          <cell r="N3133" t="str">
            <v>2671-06</v>
          </cell>
          <cell r="O3133" t="str">
            <v>PISTON</v>
          </cell>
          <cell r="P3133">
            <v>220</v>
          </cell>
        </row>
        <row r="3134">
          <cell r="B3134" t="str">
            <v>588-27</v>
          </cell>
          <cell r="C3134" t="str">
            <v>PISTON</v>
          </cell>
          <cell r="D3134">
            <v>117</v>
          </cell>
          <cell r="N3134" t="str">
            <v>588-27</v>
          </cell>
          <cell r="O3134" t="str">
            <v>PISTON</v>
          </cell>
          <cell r="P3134">
            <v>234</v>
          </cell>
        </row>
        <row r="3135">
          <cell r="B3135" t="str">
            <v>591-04</v>
          </cell>
          <cell r="C3135" t="str">
            <v>PISTON</v>
          </cell>
          <cell r="D3135">
            <v>189.5</v>
          </cell>
          <cell r="N3135" t="str">
            <v>591-04</v>
          </cell>
          <cell r="O3135" t="str">
            <v>PISTON</v>
          </cell>
          <cell r="P3135">
            <v>379</v>
          </cell>
        </row>
        <row r="3136">
          <cell r="B3136" t="str">
            <v>710-01</v>
          </cell>
          <cell r="C3136" t="str">
            <v>RACK STOPPER</v>
          </cell>
          <cell r="D3136">
            <v>227.4</v>
          </cell>
          <cell r="N3136" t="str">
            <v>710-01</v>
          </cell>
          <cell r="O3136" t="str">
            <v>RACK STOPPER</v>
          </cell>
          <cell r="P3136">
            <v>379</v>
          </cell>
        </row>
        <row r="3137">
          <cell r="B3137" t="str">
            <v>861-19</v>
          </cell>
          <cell r="C3137" t="str">
            <v>BODY</v>
          </cell>
          <cell r="D3137">
            <v>176.5</v>
          </cell>
          <cell r="N3137" t="str">
            <v>861-19</v>
          </cell>
          <cell r="O3137" t="str">
            <v>BODY</v>
          </cell>
          <cell r="P3137">
            <v>353</v>
          </cell>
        </row>
        <row r="3138">
          <cell r="B3138" t="str">
            <v>861-19</v>
          </cell>
          <cell r="C3138" t="str">
            <v>BODY</v>
          </cell>
          <cell r="D3138">
            <v>176.5</v>
          </cell>
          <cell r="N3138" t="str">
            <v>861-19</v>
          </cell>
          <cell r="O3138" t="str">
            <v>BODY</v>
          </cell>
          <cell r="P3138">
            <v>353</v>
          </cell>
        </row>
        <row r="3139">
          <cell r="B3139" t="str">
            <v>017-02</v>
          </cell>
          <cell r="C3139" t="str">
            <v>PISTON</v>
          </cell>
          <cell r="D3139">
            <v>190</v>
          </cell>
          <cell r="N3139" t="str">
            <v>017-02</v>
          </cell>
          <cell r="O3139" t="str">
            <v>PISTON</v>
          </cell>
          <cell r="P3139">
            <v>380</v>
          </cell>
        </row>
        <row r="3140">
          <cell r="B3140" t="str">
            <v>1526-00</v>
          </cell>
          <cell r="C3140" t="str">
            <v>ROD GUIDE</v>
          </cell>
          <cell r="D3140">
            <v>190</v>
          </cell>
          <cell r="N3140" t="str">
            <v>1526-00</v>
          </cell>
          <cell r="O3140" t="str">
            <v>ROD GUIDE</v>
          </cell>
          <cell r="P3140">
            <v>380</v>
          </cell>
        </row>
        <row r="3141">
          <cell r="B3141" t="str">
            <v>1610-08</v>
          </cell>
          <cell r="C3141" t="str">
            <v>RS RETAINER</v>
          </cell>
          <cell r="D3141">
            <v>189.5</v>
          </cell>
          <cell r="N3141" t="str">
            <v>1610-08</v>
          </cell>
          <cell r="O3141" t="str">
            <v>RS RETAINER</v>
          </cell>
          <cell r="P3141">
            <v>379</v>
          </cell>
        </row>
        <row r="3142">
          <cell r="B3142" t="str">
            <v>1612-00</v>
          </cell>
          <cell r="C3142" t="str">
            <v>SDC Piston</v>
          </cell>
          <cell r="D3142">
            <v>190</v>
          </cell>
          <cell r="N3142" t="str">
            <v>1612-00</v>
          </cell>
          <cell r="O3142" t="str">
            <v>SDC Piston</v>
          </cell>
          <cell r="P3142">
            <v>380</v>
          </cell>
        </row>
        <row r="3143">
          <cell r="B3143" t="str">
            <v>1612-00</v>
          </cell>
          <cell r="C3143" t="str">
            <v>SDC Piston</v>
          </cell>
          <cell r="D3143">
            <v>190</v>
          </cell>
          <cell r="N3143" t="str">
            <v>1612-00</v>
          </cell>
          <cell r="O3143" t="str">
            <v>SDC Piston</v>
          </cell>
          <cell r="P3143">
            <v>380</v>
          </cell>
        </row>
        <row r="3144">
          <cell r="B3144" t="str">
            <v>2201-00</v>
          </cell>
          <cell r="C3144" t="str">
            <v>BASE VALVE</v>
          </cell>
          <cell r="D3144">
            <v>228</v>
          </cell>
          <cell r="N3144" t="str">
            <v>2201-00</v>
          </cell>
          <cell r="O3144" t="str">
            <v>BASE VALVE</v>
          </cell>
          <cell r="P3144">
            <v>380</v>
          </cell>
        </row>
        <row r="3145">
          <cell r="B3145" t="str">
            <v>2201-00</v>
          </cell>
          <cell r="C3145" t="str">
            <v>BASE VALVE</v>
          </cell>
          <cell r="D3145">
            <v>228</v>
          </cell>
          <cell r="N3145" t="str">
            <v>2201-00</v>
          </cell>
          <cell r="O3145" t="str">
            <v>BASE VALVE</v>
          </cell>
          <cell r="P3145">
            <v>380</v>
          </cell>
        </row>
        <row r="3146">
          <cell r="B3146" t="str">
            <v>464-27</v>
          </cell>
          <cell r="C3146" t="str">
            <v>PISTON</v>
          </cell>
          <cell r="D3146">
            <v>190</v>
          </cell>
          <cell r="N3146" t="str">
            <v>464-27</v>
          </cell>
          <cell r="O3146" t="str">
            <v>PISTON</v>
          </cell>
          <cell r="P3146">
            <v>380</v>
          </cell>
        </row>
        <row r="3147">
          <cell r="B3147" t="str">
            <v>464-27</v>
          </cell>
          <cell r="C3147" t="str">
            <v>PISTON</v>
          </cell>
          <cell r="D3147">
            <v>190</v>
          </cell>
          <cell r="N3147" t="str">
            <v>464-27</v>
          </cell>
          <cell r="O3147" t="str">
            <v>PISTON</v>
          </cell>
          <cell r="P3147">
            <v>380</v>
          </cell>
        </row>
        <row r="3148">
          <cell r="B3148" t="str">
            <v>661-13</v>
          </cell>
          <cell r="C3148" t="str">
            <v>BODY</v>
          </cell>
          <cell r="D3148">
            <v>88</v>
          </cell>
          <cell r="N3148" t="str">
            <v>661-13</v>
          </cell>
          <cell r="O3148" t="str">
            <v>BODY</v>
          </cell>
          <cell r="P3148">
            <v>176</v>
          </cell>
        </row>
        <row r="3149">
          <cell r="B3149" t="str">
            <v>661-13</v>
          </cell>
          <cell r="C3149" t="str">
            <v>BODY</v>
          </cell>
          <cell r="D3149">
            <v>88</v>
          </cell>
          <cell r="N3149" t="str">
            <v>661-13</v>
          </cell>
          <cell r="O3149" t="str">
            <v>BODY</v>
          </cell>
          <cell r="P3149">
            <v>176</v>
          </cell>
        </row>
        <row r="3150">
          <cell r="B3150" t="str">
            <v>785-06</v>
          </cell>
          <cell r="C3150" t="str">
            <v>BODY</v>
          </cell>
          <cell r="D3150">
            <v>190</v>
          </cell>
          <cell r="N3150" t="str">
            <v>785-06</v>
          </cell>
          <cell r="O3150" t="str">
            <v>BODY</v>
          </cell>
          <cell r="P3150">
            <v>380</v>
          </cell>
        </row>
        <row r="3151">
          <cell r="B3151" t="str">
            <v>817-00</v>
          </cell>
          <cell r="C3151" t="str">
            <v>RETAINER GUIDE ASS'Y</v>
          </cell>
          <cell r="D3151">
            <v>190</v>
          </cell>
          <cell r="N3151" t="str">
            <v>817-00</v>
          </cell>
          <cell r="O3151" t="str">
            <v>RETAINER GUIDE ASS'Y</v>
          </cell>
          <cell r="P3151">
            <v>380</v>
          </cell>
        </row>
        <row r="3152">
          <cell r="B3152" t="str">
            <v>878-07</v>
          </cell>
          <cell r="C3152" t="str">
            <v>BODY</v>
          </cell>
          <cell r="D3152">
            <v>190</v>
          </cell>
          <cell r="N3152" t="str">
            <v>878-07</v>
          </cell>
          <cell r="O3152" t="str">
            <v>BODY</v>
          </cell>
          <cell r="P3152">
            <v>380</v>
          </cell>
        </row>
        <row r="3153">
          <cell r="B3153" t="str">
            <v>878-07</v>
          </cell>
          <cell r="C3153" t="str">
            <v>BODY</v>
          </cell>
          <cell r="D3153">
            <v>190</v>
          </cell>
          <cell r="N3153" t="str">
            <v>878-07</v>
          </cell>
          <cell r="O3153" t="str">
            <v>BODY</v>
          </cell>
          <cell r="P3153">
            <v>380</v>
          </cell>
        </row>
        <row r="3154">
          <cell r="B3154" t="str">
            <v>1031-01</v>
          </cell>
          <cell r="C3154" t="str">
            <v>ROD GUIDE ASS'Y</v>
          </cell>
          <cell r="D3154">
            <v>190.5</v>
          </cell>
          <cell r="N3154" t="str">
            <v>1031-01</v>
          </cell>
          <cell r="O3154" t="str">
            <v>ROD GUIDE ASS'Y</v>
          </cell>
          <cell r="P3154">
            <v>381</v>
          </cell>
        </row>
        <row r="3155">
          <cell r="B3155" t="str">
            <v>1412-06</v>
          </cell>
          <cell r="C3155" t="str">
            <v>BODY</v>
          </cell>
          <cell r="D3155">
            <v>190.5</v>
          </cell>
          <cell r="N3155" t="str">
            <v>1412-06</v>
          </cell>
          <cell r="O3155" t="str">
            <v>BODY</v>
          </cell>
          <cell r="P3155">
            <v>381</v>
          </cell>
        </row>
        <row r="3156">
          <cell r="B3156" t="str">
            <v>1554-02</v>
          </cell>
          <cell r="C3156" t="str">
            <v>RS RETAINER</v>
          </cell>
          <cell r="D3156">
            <v>87.5</v>
          </cell>
          <cell r="N3156" t="str">
            <v>1554-02</v>
          </cell>
          <cell r="O3156" t="str">
            <v>RS RETAINER</v>
          </cell>
          <cell r="P3156">
            <v>175</v>
          </cell>
        </row>
        <row r="3157">
          <cell r="B3157" t="str">
            <v>1554-09</v>
          </cell>
          <cell r="C3157" t="str">
            <v>RS RETAINER</v>
          </cell>
          <cell r="D3157">
            <v>87.5</v>
          </cell>
          <cell r="N3157" t="str">
            <v>1554-09</v>
          </cell>
          <cell r="O3157" t="str">
            <v>RS RETAINER</v>
          </cell>
          <cell r="P3157">
            <v>175</v>
          </cell>
        </row>
        <row r="3158">
          <cell r="B3158" t="str">
            <v>1554-10</v>
          </cell>
          <cell r="C3158" t="str">
            <v>RS RETAINER</v>
          </cell>
          <cell r="D3158">
            <v>87</v>
          </cell>
          <cell r="N3158" t="str">
            <v>1554-10</v>
          </cell>
          <cell r="O3158" t="str">
            <v>RS RETAINER</v>
          </cell>
          <cell r="P3158">
            <v>174</v>
          </cell>
        </row>
        <row r="3159">
          <cell r="B3159" t="str">
            <v>1554-11</v>
          </cell>
          <cell r="C3159" t="str">
            <v>RS RETAINER</v>
          </cell>
          <cell r="D3159">
            <v>89</v>
          </cell>
          <cell r="N3159" t="str">
            <v>1554-11</v>
          </cell>
          <cell r="O3159" t="str">
            <v>RS RETAINER</v>
          </cell>
          <cell r="P3159">
            <v>178</v>
          </cell>
        </row>
        <row r="3160">
          <cell r="B3160" t="str">
            <v>1610-08</v>
          </cell>
          <cell r="C3160" t="str">
            <v>RS RETAINER</v>
          </cell>
          <cell r="D3160">
            <v>189.5</v>
          </cell>
          <cell r="N3160" t="str">
            <v>1610-08</v>
          </cell>
          <cell r="O3160" t="str">
            <v>RS RETAINER</v>
          </cell>
          <cell r="P3160">
            <v>379</v>
          </cell>
        </row>
        <row r="3161">
          <cell r="B3161" t="str">
            <v>1790-01</v>
          </cell>
          <cell r="C3161" t="str">
            <v>BODY</v>
          </cell>
          <cell r="D3161">
            <v>186.5</v>
          </cell>
          <cell r="N3161" t="str">
            <v>1790-01</v>
          </cell>
          <cell r="O3161" t="str">
            <v>BODY</v>
          </cell>
          <cell r="P3161">
            <v>373</v>
          </cell>
        </row>
        <row r="3162">
          <cell r="B3162" t="str">
            <v>1831-05</v>
          </cell>
          <cell r="C3162" t="str">
            <v>BODY RETAINER</v>
          </cell>
          <cell r="D3162">
            <v>156</v>
          </cell>
          <cell r="N3162" t="str">
            <v>1831-05</v>
          </cell>
          <cell r="O3162" t="str">
            <v>BODY RETAINER</v>
          </cell>
          <cell r="P3162">
            <v>312</v>
          </cell>
        </row>
        <row r="3163">
          <cell r="B3163" t="str">
            <v>588-26</v>
          </cell>
          <cell r="C3163" t="str">
            <v>PISTON</v>
          </cell>
          <cell r="D3163">
            <v>117.5</v>
          </cell>
          <cell r="N3163" t="str">
            <v>588-26</v>
          </cell>
          <cell r="O3163" t="str">
            <v>PISTON</v>
          </cell>
          <cell r="P3163">
            <v>235</v>
          </cell>
        </row>
        <row r="3164">
          <cell r="B3164" t="str">
            <v>832-00</v>
          </cell>
          <cell r="C3164" t="str">
            <v>RACK STOPPER</v>
          </cell>
          <cell r="D3164">
            <v>228.6</v>
          </cell>
          <cell r="N3164" t="str">
            <v>832-00</v>
          </cell>
          <cell r="O3164" t="str">
            <v>RACK STOPPER</v>
          </cell>
          <cell r="P3164">
            <v>381</v>
          </cell>
        </row>
        <row r="3165">
          <cell r="B3165" t="str">
            <v>861-21</v>
          </cell>
          <cell r="C3165" t="str">
            <v>BODY</v>
          </cell>
          <cell r="D3165">
            <v>184.5</v>
          </cell>
          <cell r="N3165" t="str">
            <v>861-21</v>
          </cell>
          <cell r="O3165" t="str">
            <v>BODY</v>
          </cell>
          <cell r="P3165">
            <v>369</v>
          </cell>
        </row>
        <row r="3166">
          <cell r="B3166" t="str">
            <v>1287-02</v>
          </cell>
          <cell r="C3166" t="str">
            <v>BODY</v>
          </cell>
          <cell r="D3166">
            <v>191</v>
          </cell>
          <cell r="N3166" t="str">
            <v>1287-02</v>
          </cell>
          <cell r="O3166" t="str">
            <v>BODY</v>
          </cell>
          <cell r="P3166">
            <v>382</v>
          </cell>
        </row>
        <row r="3167">
          <cell r="B3167" t="str">
            <v>1287-04</v>
          </cell>
          <cell r="C3167" t="str">
            <v>BODY</v>
          </cell>
          <cell r="D3167">
            <v>131.5</v>
          </cell>
          <cell r="N3167" t="str">
            <v>1287-04</v>
          </cell>
          <cell r="O3167" t="str">
            <v>BODY</v>
          </cell>
          <cell r="P3167">
            <v>263</v>
          </cell>
        </row>
        <row r="3168">
          <cell r="B3168" t="str">
            <v>1554-17</v>
          </cell>
          <cell r="C3168" t="str">
            <v>RS RETAINER</v>
          </cell>
          <cell r="D3168">
            <v>88</v>
          </cell>
          <cell r="N3168" t="str">
            <v>1554-17</v>
          </cell>
          <cell r="O3168" t="str">
            <v>RS RETAINER</v>
          </cell>
          <cell r="P3168">
            <v>176</v>
          </cell>
        </row>
        <row r="3169">
          <cell r="B3169" t="str">
            <v>1634-33</v>
          </cell>
          <cell r="C3169" t="str">
            <v>RS RETAINER</v>
          </cell>
          <cell r="D3169">
            <v>97</v>
          </cell>
          <cell r="N3169" t="str">
            <v>1634-33</v>
          </cell>
          <cell r="O3169" t="str">
            <v>RS RETAINER</v>
          </cell>
          <cell r="P3169">
            <v>194</v>
          </cell>
        </row>
        <row r="3170">
          <cell r="B3170" t="str">
            <v>1634-40</v>
          </cell>
          <cell r="C3170" t="str">
            <v>RS RETAINER</v>
          </cell>
          <cell r="D3170">
            <v>191</v>
          </cell>
          <cell r="N3170" t="str">
            <v>1634-40</v>
          </cell>
          <cell r="O3170" t="str">
            <v>RS RETAINER</v>
          </cell>
          <cell r="P3170">
            <v>382</v>
          </cell>
        </row>
        <row r="3171">
          <cell r="B3171" t="str">
            <v>1790-15</v>
          </cell>
          <cell r="C3171" t="str">
            <v>BODY</v>
          </cell>
          <cell r="D3171">
            <v>191</v>
          </cell>
          <cell r="N3171" t="str">
            <v>1790-15</v>
          </cell>
          <cell r="O3171" t="str">
            <v>BODY</v>
          </cell>
          <cell r="P3171">
            <v>382</v>
          </cell>
        </row>
        <row r="3172">
          <cell r="B3172" t="str">
            <v>1843-12</v>
          </cell>
          <cell r="C3172" t="str">
            <v>RS RETAINER</v>
          </cell>
          <cell r="D3172">
            <v>191</v>
          </cell>
          <cell r="N3172" t="str">
            <v>1843-12</v>
          </cell>
          <cell r="O3172" t="str">
            <v>RS RETAINER</v>
          </cell>
          <cell r="P3172">
            <v>382</v>
          </cell>
        </row>
        <row r="3173">
          <cell r="B3173" t="str">
            <v>2077-13</v>
          </cell>
          <cell r="C3173" t="str">
            <v>BODY RETAINER</v>
          </cell>
          <cell r="D3173">
            <v>83.5</v>
          </cell>
          <cell r="N3173" t="str">
            <v>2077-13</v>
          </cell>
          <cell r="O3173" t="str">
            <v>BODY RETAINER</v>
          </cell>
          <cell r="P3173">
            <v>167</v>
          </cell>
        </row>
        <row r="3174">
          <cell r="B3174" t="str">
            <v>661-23</v>
          </cell>
          <cell r="C3174" t="str">
            <v>BODY</v>
          </cell>
          <cell r="D3174">
            <v>123.5</v>
          </cell>
          <cell r="N3174" t="str">
            <v>661-23</v>
          </cell>
          <cell r="O3174" t="str">
            <v>BODY</v>
          </cell>
          <cell r="P3174">
            <v>247</v>
          </cell>
        </row>
        <row r="3175">
          <cell r="B3175" t="str">
            <v>661-33</v>
          </cell>
          <cell r="C3175" t="str">
            <v>BODY</v>
          </cell>
          <cell r="D3175">
            <v>191</v>
          </cell>
          <cell r="N3175" t="str">
            <v>661-33</v>
          </cell>
          <cell r="O3175" t="str">
            <v>BODY</v>
          </cell>
          <cell r="P3175">
            <v>382</v>
          </cell>
        </row>
        <row r="3176">
          <cell r="B3176" t="str">
            <v>1446-11</v>
          </cell>
          <cell r="C3176" t="str">
            <v>BODY</v>
          </cell>
          <cell r="D3176">
            <v>184.5</v>
          </cell>
          <cell r="N3176" t="str">
            <v>1446-11</v>
          </cell>
          <cell r="O3176" t="str">
            <v>BODY</v>
          </cell>
          <cell r="P3176">
            <v>369</v>
          </cell>
        </row>
        <row r="3177">
          <cell r="B3177" t="str">
            <v>1673-16</v>
          </cell>
          <cell r="C3177" t="str">
            <v>RS RETAINER</v>
          </cell>
          <cell r="D3177">
            <v>188.5</v>
          </cell>
          <cell r="N3177" t="str">
            <v>1673-16</v>
          </cell>
          <cell r="O3177" t="str">
            <v>RS RETAINER</v>
          </cell>
          <cell r="P3177">
            <v>377</v>
          </cell>
        </row>
        <row r="3178">
          <cell r="B3178" t="str">
            <v>2026-05</v>
          </cell>
          <cell r="C3178" t="str">
            <v>SOFT VALVE</v>
          </cell>
          <cell r="D3178">
            <v>191.5</v>
          </cell>
          <cell r="N3178" t="str">
            <v>2026-05</v>
          </cell>
          <cell r="O3178" t="str">
            <v>SOFT VALVE</v>
          </cell>
          <cell r="P3178">
            <v>383</v>
          </cell>
        </row>
        <row r="3179">
          <cell r="B3179" t="str">
            <v>2026-05</v>
          </cell>
          <cell r="C3179" t="str">
            <v>SOFT VALVE</v>
          </cell>
          <cell r="D3179">
            <v>191.5</v>
          </cell>
          <cell r="N3179" t="str">
            <v>2026-05</v>
          </cell>
          <cell r="O3179" t="str">
            <v>SOFT VALVE</v>
          </cell>
          <cell r="P3179">
            <v>383</v>
          </cell>
        </row>
        <row r="3180">
          <cell r="B3180" t="str">
            <v>598-10</v>
          </cell>
          <cell r="C3180" t="str">
            <v>PISTON</v>
          </cell>
          <cell r="D3180">
            <v>191.5</v>
          </cell>
          <cell r="N3180" t="str">
            <v>598-10</v>
          </cell>
          <cell r="O3180" t="str">
            <v>PISTON</v>
          </cell>
          <cell r="P3180">
            <v>383</v>
          </cell>
        </row>
        <row r="3181">
          <cell r="B3181" t="str">
            <v>598-10</v>
          </cell>
          <cell r="C3181" t="str">
            <v>PISTON</v>
          </cell>
          <cell r="D3181">
            <v>191.5</v>
          </cell>
          <cell r="N3181" t="str">
            <v>598-10</v>
          </cell>
          <cell r="O3181" t="str">
            <v>PISTON</v>
          </cell>
          <cell r="P3181">
            <v>383</v>
          </cell>
        </row>
        <row r="3182">
          <cell r="B3182" t="str">
            <v>861-13</v>
          </cell>
          <cell r="C3182" t="str">
            <v>BODY</v>
          </cell>
          <cell r="D3182">
            <v>191.5</v>
          </cell>
          <cell r="N3182" t="str">
            <v>861-13</v>
          </cell>
          <cell r="O3182" t="str">
            <v>BODY</v>
          </cell>
          <cell r="P3182">
            <v>383</v>
          </cell>
        </row>
        <row r="3183">
          <cell r="B3183" t="str">
            <v>1554-18</v>
          </cell>
          <cell r="C3183" t="str">
            <v>RS RETAINER</v>
          </cell>
          <cell r="D3183">
            <v>87.5</v>
          </cell>
          <cell r="N3183" t="str">
            <v>1554-18</v>
          </cell>
          <cell r="O3183" t="str">
            <v>RS RETAINER</v>
          </cell>
          <cell r="P3183">
            <v>175</v>
          </cell>
        </row>
        <row r="3184">
          <cell r="B3184" t="str">
            <v>1554-18</v>
          </cell>
          <cell r="C3184" t="str">
            <v>RS RETAINER</v>
          </cell>
          <cell r="D3184">
            <v>87.5</v>
          </cell>
          <cell r="N3184" t="str">
            <v>1554-18</v>
          </cell>
          <cell r="O3184" t="str">
            <v>RS RETAINER</v>
          </cell>
          <cell r="P3184">
            <v>175</v>
          </cell>
        </row>
        <row r="3185">
          <cell r="B3185" t="str">
            <v>1554-44</v>
          </cell>
          <cell r="C3185" t="str">
            <v>RS RETAINER</v>
          </cell>
          <cell r="D3185">
            <v>192</v>
          </cell>
          <cell r="N3185" t="str">
            <v>1554-44</v>
          </cell>
          <cell r="O3185" t="str">
            <v>RS RETAINER</v>
          </cell>
          <cell r="P3185">
            <v>384</v>
          </cell>
        </row>
        <row r="3186">
          <cell r="B3186" t="str">
            <v>1590-07</v>
          </cell>
          <cell r="C3186" t="str">
            <v>BODY</v>
          </cell>
          <cell r="D3186">
            <v>183.5</v>
          </cell>
          <cell r="N3186" t="str">
            <v>1590-07</v>
          </cell>
          <cell r="O3186" t="str">
            <v>BODY</v>
          </cell>
          <cell r="P3186">
            <v>367</v>
          </cell>
        </row>
        <row r="3187">
          <cell r="B3187" t="str">
            <v>1630-10</v>
          </cell>
          <cell r="C3187" t="str">
            <v>RS RETAINER</v>
          </cell>
          <cell r="D3187">
            <v>192</v>
          </cell>
          <cell r="N3187" t="str">
            <v>1630-10</v>
          </cell>
          <cell r="O3187" t="str">
            <v>RS RETAINER</v>
          </cell>
          <cell r="P3187">
            <v>384</v>
          </cell>
        </row>
        <row r="3188">
          <cell r="B3188" t="str">
            <v>1831-11</v>
          </cell>
          <cell r="C3188" t="str">
            <v>BODY RETAINER</v>
          </cell>
          <cell r="D3188">
            <v>90</v>
          </cell>
          <cell r="N3188" t="str">
            <v>1831-11</v>
          </cell>
          <cell r="O3188" t="str">
            <v>BODY RETAINER</v>
          </cell>
          <cell r="P3188">
            <v>180</v>
          </cell>
        </row>
        <row r="3189">
          <cell r="B3189" t="str">
            <v>1832-06</v>
          </cell>
          <cell r="C3189" t="str">
            <v>BODY RETAINER</v>
          </cell>
          <cell r="D3189">
            <v>90.5</v>
          </cell>
          <cell r="N3189" t="str">
            <v>1832-06</v>
          </cell>
          <cell r="O3189" t="str">
            <v>BODY RETAINER</v>
          </cell>
          <cell r="P3189">
            <v>181</v>
          </cell>
        </row>
        <row r="3190">
          <cell r="B3190" t="str">
            <v>1252-05</v>
          </cell>
          <cell r="C3190" t="str">
            <v>PISTON</v>
          </cell>
          <cell r="D3190">
            <v>192.5</v>
          </cell>
          <cell r="N3190" t="str">
            <v>1252-05</v>
          </cell>
          <cell r="O3190" t="str">
            <v>PISTON</v>
          </cell>
          <cell r="P3190">
            <v>385</v>
          </cell>
        </row>
        <row r="3191">
          <cell r="B3191" t="str">
            <v>1252-05</v>
          </cell>
          <cell r="C3191" t="str">
            <v>PISTON</v>
          </cell>
          <cell r="D3191">
            <v>192.5</v>
          </cell>
          <cell r="N3191" t="str">
            <v>1252-05</v>
          </cell>
          <cell r="O3191" t="str">
            <v>PISTON</v>
          </cell>
          <cell r="P3191">
            <v>385</v>
          </cell>
        </row>
        <row r="3192">
          <cell r="B3192" t="str">
            <v>588-29</v>
          </cell>
          <cell r="C3192" t="str">
            <v>PISTON</v>
          </cell>
          <cell r="D3192">
            <v>192.5</v>
          </cell>
          <cell r="N3192" t="str">
            <v>588-29</v>
          </cell>
          <cell r="O3192" t="str">
            <v>PISTON</v>
          </cell>
          <cell r="P3192">
            <v>385</v>
          </cell>
        </row>
        <row r="3193">
          <cell r="B3193" t="str">
            <v>1250-03</v>
          </cell>
          <cell r="C3193" t="str">
            <v>PISTON</v>
          </cell>
          <cell r="D3193">
            <v>180</v>
          </cell>
          <cell r="N3193" t="str">
            <v>1250-03</v>
          </cell>
          <cell r="O3193" t="str">
            <v>PISTON</v>
          </cell>
          <cell r="P3193">
            <v>360</v>
          </cell>
        </row>
        <row r="3194">
          <cell r="B3194" t="str">
            <v>1412-09</v>
          </cell>
          <cell r="C3194" t="str">
            <v>BODY</v>
          </cell>
          <cell r="D3194">
            <v>136.5</v>
          </cell>
          <cell r="N3194" t="str">
            <v>1412-09</v>
          </cell>
          <cell r="O3194" t="str">
            <v>BODY</v>
          </cell>
          <cell r="P3194">
            <v>273</v>
          </cell>
        </row>
        <row r="3195">
          <cell r="B3195" t="str">
            <v>1446-10</v>
          </cell>
          <cell r="C3195" t="str">
            <v>BODY</v>
          </cell>
          <cell r="D3195">
            <v>193</v>
          </cell>
          <cell r="N3195" t="str">
            <v>1446-10</v>
          </cell>
          <cell r="O3195" t="str">
            <v>BODY</v>
          </cell>
          <cell r="P3195">
            <v>386</v>
          </cell>
        </row>
        <row r="3196">
          <cell r="B3196" t="str">
            <v>1554-19</v>
          </cell>
          <cell r="C3196" t="str">
            <v>RS RETAINER</v>
          </cell>
          <cell r="D3196">
            <v>87.5</v>
          </cell>
          <cell r="N3196" t="str">
            <v>1554-19</v>
          </cell>
          <cell r="O3196" t="str">
            <v>RS RETAINER</v>
          </cell>
          <cell r="P3196">
            <v>175</v>
          </cell>
        </row>
        <row r="3197">
          <cell r="B3197" t="str">
            <v>1554-19</v>
          </cell>
          <cell r="C3197" t="str">
            <v>RS RETAINER</v>
          </cell>
          <cell r="D3197">
            <v>87.5</v>
          </cell>
          <cell r="N3197" t="str">
            <v>1554-19</v>
          </cell>
          <cell r="O3197" t="str">
            <v>RS RETAINER</v>
          </cell>
          <cell r="P3197">
            <v>175</v>
          </cell>
        </row>
        <row r="3198">
          <cell r="B3198" t="str">
            <v>1589-05</v>
          </cell>
          <cell r="C3198" t="str">
            <v>REB,RETAINER</v>
          </cell>
          <cell r="D3198">
            <v>187.5</v>
          </cell>
          <cell r="N3198" t="str">
            <v>1589-05</v>
          </cell>
          <cell r="O3198" t="str">
            <v>REB,RETAINER</v>
          </cell>
          <cell r="P3198">
            <v>375</v>
          </cell>
        </row>
        <row r="3199">
          <cell r="B3199" t="str">
            <v>1589-05</v>
          </cell>
          <cell r="C3199" t="str">
            <v>REB,RETAINER</v>
          </cell>
          <cell r="D3199">
            <v>187.5</v>
          </cell>
          <cell r="N3199" t="str">
            <v>1589-05</v>
          </cell>
          <cell r="O3199" t="str">
            <v>REB,RETAINER</v>
          </cell>
          <cell r="P3199">
            <v>375</v>
          </cell>
        </row>
        <row r="3200">
          <cell r="B3200" t="str">
            <v>598-18</v>
          </cell>
          <cell r="C3200" t="str">
            <v>PISTON</v>
          </cell>
          <cell r="D3200">
            <v>193</v>
          </cell>
          <cell r="N3200" t="str">
            <v>598-18</v>
          </cell>
          <cell r="O3200" t="str">
            <v>PISTON</v>
          </cell>
          <cell r="P3200">
            <v>386</v>
          </cell>
        </row>
        <row r="3201">
          <cell r="B3201" t="str">
            <v>598-18</v>
          </cell>
          <cell r="C3201" t="str">
            <v>PISTON</v>
          </cell>
          <cell r="D3201">
            <v>193</v>
          </cell>
          <cell r="N3201" t="str">
            <v>598-18</v>
          </cell>
          <cell r="O3201" t="str">
            <v>PISTON</v>
          </cell>
          <cell r="P3201">
            <v>386</v>
          </cell>
        </row>
        <row r="3202">
          <cell r="B3202" t="str">
            <v>831-01</v>
          </cell>
          <cell r="C3202" t="str">
            <v>RACK STOPPER</v>
          </cell>
          <cell r="D3202">
            <v>231.6</v>
          </cell>
          <cell r="N3202" t="str">
            <v>831-01</v>
          </cell>
          <cell r="O3202" t="str">
            <v>RACK STOPPER</v>
          </cell>
          <cell r="P3202">
            <v>386</v>
          </cell>
        </row>
        <row r="3203">
          <cell r="B3203" t="str">
            <v>1412-11</v>
          </cell>
          <cell r="C3203" t="str">
            <v>BODY</v>
          </cell>
          <cell r="D3203">
            <v>193.5</v>
          </cell>
          <cell r="N3203" t="str">
            <v>1412-11</v>
          </cell>
          <cell r="O3203" t="str">
            <v>BODY</v>
          </cell>
          <cell r="P3203">
            <v>387</v>
          </cell>
        </row>
        <row r="3204">
          <cell r="B3204" t="str">
            <v>1554-19</v>
          </cell>
          <cell r="C3204" t="str">
            <v>RS RETAINER</v>
          </cell>
          <cell r="D3204">
            <v>87.5</v>
          </cell>
          <cell r="N3204" t="str">
            <v>1554-19</v>
          </cell>
          <cell r="O3204" t="str">
            <v>RS RETAINER</v>
          </cell>
          <cell r="P3204">
            <v>175</v>
          </cell>
        </row>
        <row r="3205">
          <cell r="B3205" t="str">
            <v>1554-28</v>
          </cell>
          <cell r="C3205" t="str">
            <v>RS RETAINER</v>
          </cell>
          <cell r="D3205">
            <v>193.5</v>
          </cell>
          <cell r="N3205" t="str">
            <v>1554-28</v>
          </cell>
          <cell r="O3205" t="str">
            <v>RS RETAINER</v>
          </cell>
          <cell r="P3205">
            <v>387</v>
          </cell>
        </row>
        <row r="3206">
          <cell r="B3206" t="str">
            <v>1588-04</v>
          </cell>
          <cell r="C3206" t="str">
            <v>PISTON</v>
          </cell>
          <cell r="D3206">
            <v>193.5</v>
          </cell>
          <cell r="N3206" t="str">
            <v>1588-04</v>
          </cell>
          <cell r="O3206" t="str">
            <v>PISTON</v>
          </cell>
          <cell r="P3206">
            <v>387</v>
          </cell>
        </row>
        <row r="3207">
          <cell r="B3207" t="str">
            <v>1831-05</v>
          </cell>
          <cell r="C3207" t="str">
            <v>BODY RETAINER</v>
          </cell>
          <cell r="D3207">
            <v>156</v>
          </cell>
          <cell r="N3207" t="str">
            <v>1831-05</v>
          </cell>
          <cell r="O3207" t="str">
            <v>BODY RETAINER</v>
          </cell>
          <cell r="P3207">
            <v>312</v>
          </cell>
        </row>
        <row r="3208">
          <cell r="B3208" t="str">
            <v>588-29</v>
          </cell>
          <cell r="C3208" t="str">
            <v>PISTON</v>
          </cell>
          <cell r="D3208">
            <v>192.5</v>
          </cell>
          <cell r="N3208" t="str">
            <v>588-29</v>
          </cell>
          <cell r="O3208" t="str">
            <v>PISTON</v>
          </cell>
          <cell r="P3208">
            <v>385</v>
          </cell>
        </row>
        <row r="3209">
          <cell r="B3209" t="str">
            <v>588-58</v>
          </cell>
          <cell r="C3209" t="str">
            <v>PISTON</v>
          </cell>
          <cell r="D3209">
            <v>193.5</v>
          </cell>
          <cell r="N3209" t="str">
            <v>588-58</v>
          </cell>
          <cell r="O3209" t="str">
            <v>PISTON</v>
          </cell>
          <cell r="P3209">
            <v>387</v>
          </cell>
        </row>
        <row r="3210">
          <cell r="B3210" t="str">
            <v>598-18</v>
          </cell>
          <cell r="C3210" t="str">
            <v>PISTON</v>
          </cell>
          <cell r="D3210">
            <v>193</v>
          </cell>
          <cell r="N3210" t="str">
            <v>598-18</v>
          </cell>
          <cell r="O3210" t="str">
            <v>PISTON</v>
          </cell>
          <cell r="P3210">
            <v>386</v>
          </cell>
        </row>
        <row r="3211">
          <cell r="B3211" t="str">
            <v>659-08</v>
          </cell>
          <cell r="C3211" t="str">
            <v>ROD GUIDE ASS'Y</v>
          </cell>
          <cell r="D3211">
            <v>193.5</v>
          </cell>
          <cell r="N3211" t="str">
            <v>659-08</v>
          </cell>
          <cell r="O3211" t="str">
            <v>ROD GUIDE ASS'Y</v>
          </cell>
          <cell r="P3211">
            <v>387</v>
          </cell>
        </row>
        <row r="3212">
          <cell r="B3212" t="str">
            <v>785-05</v>
          </cell>
          <cell r="C3212" t="str">
            <v>BODY</v>
          </cell>
          <cell r="D3212">
            <v>193.5</v>
          </cell>
          <cell r="N3212" t="str">
            <v>785-05</v>
          </cell>
          <cell r="O3212" t="str">
            <v>BODY</v>
          </cell>
          <cell r="P3212">
            <v>387</v>
          </cell>
        </row>
        <row r="3213">
          <cell r="B3213" t="str">
            <v>861-11</v>
          </cell>
          <cell r="C3213" t="str">
            <v>BODY</v>
          </cell>
          <cell r="D3213">
            <v>156</v>
          </cell>
          <cell r="N3213" t="str">
            <v>861-11</v>
          </cell>
          <cell r="O3213" t="str">
            <v>BODY</v>
          </cell>
          <cell r="P3213">
            <v>312</v>
          </cell>
        </row>
        <row r="3214">
          <cell r="B3214" t="str">
            <v>1031-01</v>
          </cell>
          <cell r="C3214" t="str">
            <v>ROD GUIDE ASS'Y</v>
          </cell>
          <cell r="D3214">
            <v>190.5</v>
          </cell>
          <cell r="N3214" t="str">
            <v>1031-01</v>
          </cell>
          <cell r="O3214" t="str">
            <v>ROD GUIDE ASS'Y</v>
          </cell>
          <cell r="P3214">
            <v>381</v>
          </cell>
        </row>
        <row r="3215">
          <cell r="B3215" t="str">
            <v>1046-01</v>
          </cell>
          <cell r="C3215" t="str">
            <v>BODY</v>
          </cell>
          <cell r="D3215">
            <v>185</v>
          </cell>
          <cell r="N3215" t="str">
            <v>1046-01</v>
          </cell>
          <cell r="O3215" t="str">
            <v>BODY</v>
          </cell>
          <cell r="P3215">
            <v>370</v>
          </cell>
        </row>
        <row r="3216">
          <cell r="B3216" t="str">
            <v>1046-01</v>
          </cell>
          <cell r="C3216" t="str">
            <v>BODY</v>
          </cell>
          <cell r="D3216">
            <v>185</v>
          </cell>
          <cell r="N3216" t="str">
            <v>1046-01</v>
          </cell>
          <cell r="O3216" t="str">
            <v>BODY</v>
          </cell>
          <cell r="P3216">
            <v>370</v>
          </cell>
        </row>
        <row r="3217">
          <cell r="B3217" t="str">
            <v>1590-11</v>
          </cell>
          <cell r="C3217" t="str">
            <v>BODY</v>
          </cell>
          <cell r="D3217">
            <v>194</v>
          </cell>
          <cell r="N3217" t="str">
            <v>1590-11</v>
          </cell>
          <cell r="O3217" t="str">
            <v>BODY</v>
          </cell>
          <cell r="P3217">
            <v>388</v>
          </cell>
        </row>
        <row r="3218">
          <cell r="B3218" t="str">
            <v>1634-02</v>
          </cell>
          <cell r="C3218" t="str">
            <v>RS RETAINER</v>
          </cell>
          <cell r="D3218">
            <v>92</v>
          </cell>
          <cell r="N3218" t="str">
            <v>1634-02</v>
          </cell>
          <cell r="O3218" t="str">
            <v>RS RETAINER</v>
          </cell>
          <cell r="P3218">
            <v>184</v>
          </cell>
        </row>
        <row r="3219">
          <cell r="B3219" t="str">
            <v>1790-04</v>
          </cell>
          <cell r="C3219" t="str">
            <v>BODY</v>
          </cell>
          <cell r="D3219">
            <v>194</v>
          </cell>
          <cell r="N3219" t="str">
            <v>1790-04</v>
          </cell>
          <cell r="O3219" t="str">
            <v>BODY</v>
          </cell>
          <cell r="P3219">
            <v>388</v>
          </cell>
        </row>
        <row r="3220">
          <cell r="B3220" t="str">
            <v>1831-11</v>
          </cell>
          <cell r="C3220" t="str">
            <v>BODY RETAINER</v>
          </cell>
          <cell r="D3220">
            <v>90</v>
          </cell>
          <cell r="N3220" t="str">
            <v>1831-11</v>
          </cell>
          <cell r="O3220" t="str">
            <v>BODY RETAINER</v>
          </cell>
          <cell r="P3220">
            <v>180</v>
          </cell>
        </row>
        <row r="3221">
          <cell r="B3221" t="str">
            <v>2026-05</v>
          </cell>
          <cell r="C3221" t="str">
            <v>SOFT VALVE</v>
          </cell>
          <cell r="D3221">
            <v>191.5</v>
          </cell>
          <cell r="N3221" t="str">
            <v>2026-05</v>
          </cell>
          <cell r="O3221" t="str">
            <v>SOFT VALVE</v>
          </cell>
          <cell r="P3221">
            <v>383</v>
          </cell>
        </row>
        <row r="3222">
          <cell r="B3222" t="str">
            <v>2412-07</v>
          </cell>
          <cell r="C3222" t="str">
            <v>BODY</v>
          </cell>
          <cell r="D3222">
            <v>143</v>
          </cell>
          <cell r="N3222" t="str">
            <v>2412-07</v>
          </cell>
          <cell r="O3222" t="str">
            <v>BODY</v>
          </cell>
          <cell r="P3222">
            <v>286</v>
          </cell>
        </row>
        <row r="3223">
          <cell r="B3223" t="str">
            <v>588-20</v>
          </cell>
          <cell r="C3223" t="str">
            <v>PISTON</v>
          </cell>
          <cell r="D3223">
            <v>91</v>
          </cell>
          <cell r="N3223" t="str">
            <v>588-20</v>
          </cell>
          <cell r="O3223" t="str">
            <v>PISTON</v>
          </cell>
          <cell r="P3223">
            <v>182</v>
          </cell>
        </row>
        <row r="3224">
          <cell r="B3224" t="str">
            <v>673-01</v>
          </cell>
          <cell r="C3224" t="str">
            <v>PISTON</v>
          </cell>
          <cell r="D3224">
            <v>120</v>
          </cell>
          <cell r="N3224" t="str">
            <v>673-01</v>
          </cell>
          <cell r="O3224" t="str">
            <v>PISTON</v>
          </cell>
          <cell r="P3224">
            <v>240</v>
          </cell>
        </row>
        <row r="3225">
          <cell r="B3225" t="str">
            <v>1412-09</v>
          </cell>
          <cell r="C3225" t="str">
            <v>BODY</v>
          </cell>
          <cell r="D3225">
            <v>136.5</v>
          </cell>
          <cell r="N3225" t="str">
            <v>1412-09</v>
          </cell>
          <cell r="O3225" t="str">
            <v>BODY</v>
          </cell>
          <cell r="P3225">
            <v>273</v>
          </cell>
        </row>
        <row r="3226">
          <cell r="B3226" t="str">
            <v>1554-21</v>
          </cell>
          <cell r="C3226" t="str">
            <v>RS RETAINER</v>
          </cell>
          <cell r="D3226">
            <v>146.5</v>
          </cell>
          <cell r="N3226" t="str">
            <v>1554-21</v>
          </cell>
          <cell r="O3226" t="str">
            <v>RS RETAINER</v>
          </cell>
          <cell r="P3226">
            <v>293</v>
          </cell>
        </row>
        <row r="3227">
          <cell r="B3227" t="str">
            <v>1630-10</v>
          </cell>
          <cell r="C3227" t="str">
            <v>RS RETAINER</v>
          </cell>
          <cell r="D3227">
            <v>192</v>
          </cell>
          <cell r="N3227" t="str">
            <v>1630-10</v>
          </cell>
          <cell r="O3227" t="str">
            <v>RS RETAINER</v>
          </cell>
          <cell r="P3227">
            <v>384</v>
          </cell>
        </row>
        <row r="3228">
          <cell r="B3228" t="str">
            <v>1892-01</v>
          </cell>
          <cell r="C3228" t="str">
            <v>BODY</v>
          </cell>
          <cell r="D3228">
            <v>194.5</v>
          </cell>
          <cell r="N3228" t="str">
            <v>1892-01</v>
          </cell>
          <cell r="O3228" t="str">
            <v>BODY</v>
          </cell>
          <cell r="P3228">
            <v>389</v>
          </cell>
        </row>
        <row r="3229">
          <cell r="B3229" t="str">
            <v>1922-05</v>
          </cell>
          <cell r="C3229" t="str">
            <v>RS RETAINER</v>
          </cell>
          <cell r="D3229">
            <v>194.5</v>
          </cell>
          <cell r="N3229" t="str">
            <v>1922-05</v>
          </cell>
          <cell r="O3229" t="str">
            <v>RS RETAINER</v>
          </cell>
          <cell r="P3229">
            <v>389</v>
          </cell>
        </row>
        <row r="3230">
          <cell r="B3230" t="str">
            <v>239-02</v>
          </cell>
          <cell r="C3230" t="str">
            <v>ROD GUIDE ASS'Y</v>
          </cell>
          <cell r="D3230">
            <v>93</v>
          </cell>
          <cell r="N3230" t="str">
            <v>239-02</v>
          </cell>
          <cell r="O3230" t="str">
            <v>ROD GUIDE ASS'Y</v>
          </cell>
          <cell r="P3230">
            <v>186</v>
          </cell>
        </row>
        <row r="3231">
          <cell r="B3231" t="str">
            <v>2852-19</v>
          </cell>
          <cell r="C3231" t="str">
            <v>BODY</v>
          </cell>
          <cell r="D3231">
            <v>189</v>
          </cell>
          <cell r="N3231" t="str">
            <v>2852-19</v>
          </cell>
          <cell r="O3231" t="str">
            <v>BODY</v>
          </cell>
          <cell r="P3231">
            <v>378</v>
          </cell>
        </row>
        <row r="3232">
          <cell r="B3232" t="str">
            <v>592-03</v>
          </cell>
          <cell r="C3232" t="str">
            <v>PISTON</v>
          </cell>
          <cell r="D3232">
            <v>114.5</v>
          </cell>
          <cell r="N3232" t="str">
            <v>592-03</v>
          </cell>
          <cell r="O3232" t="str">
            <v>PISTON</v>
          </cell>
          <cell r="P3232">
            <v>229</v>
          </cell>
        </row>
        <row r="3233">
          <cell r="B3233" t="str">
            <v>1790-13</v>
          </cell>
          <cell r="C3233" t="str">
            <v>BODY</v>
          </cell>
          <cell r="D3233">
            <v>109.5</v>
          </cell>
          <cell r="N3233" t="str">
            <v>1790-13</v>
          </cell>
          <cell r="O3233" t="str">
            <v>BODY</v>
          </cell>
          <cell r="P3233">
            <v>219</v>
          </cell>
        </row>
        <row r="3234">
          <cell r="B3234" t="str">
            <v>1832-05</v>
          </cell>
          <cell r="C3234" t="str">
            <v>BODY RETAINER</v>
          </cell>
          <cell r="D3234">
            <v>94.5</v>
          </cell>
          <cell r="N3234" t="str">
            <v>1832-05</v>
          </cell>
          <cell r="O3234" t="str">
            <v>BODY RETAINER</v>
          </cell>
          <cell r="P3234">
            <v>189</v>
          </cell>
        </row>
        <row r="3235">
          <cell r="B3235" t="str">
            <v>1832-06</v>
          </cell>
          <cell r="C3235" t="str">
            <v>BODY RETAINER</v>
          </cell>
          <cell r="D3235">
            <v>90.5</v>
          </cell>
          <cell r="N3235" t="str">
            <v>1832-06</v>
          </cell>
          <cell r="O3235" t="str">
            <v>BODY RETAINER</v>
          </cell>
          <cell r="P3235">
            <v>181</v>
          </cell>
        </row>
        <row r="3236">
          <cell r="B3236" t="str">
            <v>2852-15</v>
          </cell>
          <cell r="C3236" t="str">
            <v>BODY</v>
          </cell>
          <cell r="D3236">
            <v>117</v>
          </cell>
          <cell r="N3236" t="str">
            <v>2852-15</v>
          </cell>
          <cell r="O3236" t="str">
            <v>BODY</v>
          </cell>
          <cell r="P3236">
            <v>234</v>
          </cell>
        </row>
        <row r="3237">
          <cell r="B3237" t="str">
            <v>2852-15</v>
          </cell>
          <cell r="C3237" t="str">
            <v>BODY</v>
          </cell>
          <cell r="D3237">
            <v>117</v>
          </cell>
          <cell r="N3237" t="str">
            <v>2852-15</v>
          </cell>
          <cell r="O3237" t="str">
            <v>BODY</v>
          </cell>
          <cell r="P3237">
            <v>234</v>
          </cell>
        </row>
        <row r="3238">
          <cell r="B3238" t="str">
            <v>447-01</v>
          </cell>
          <cell r="C3238" t="str">
            <v>SUPPORT YOKE ASS'Y</v>
          </cell>
          <cell r="D3238">
            <v>195</v>
          </cell>
          <cell r="N3238" t="str">
            <v>447-01</v>
          </cell>
          <cell r="O3238" t="str">
            <v>SUPPORT YOKE ASS'Y</v>
          </cell>
          <cell r="P3238">
            <v>390</v>
          </cell>
        </row>
        <row r="3239">
          <cell r="B3239" t="str">
            <v>671-06</v>
          </cell>
          <cell r="C3239" t="str">
            <v>PISTON</v>
          </cell>
          <cell r="D3239">
            <v>104</v>
          </cell>
          <cell r="N3239" t="str">
            <v>671-06</v>
          </cell>
          <cell r="O3239" t="str">
            <v>PISTON</v>
          </cell>
          <cell r="P3239">
            <v>208</v>
          </cell>
        </row>
        <row r="3240">
          <cell r="B3240" t="str">
            <v>673-06</v>
          </cell>
          <cell r="C3240" t="str">
            <v>PISTON</v>
          </cell>
          <cell r="D3240">
            <v>122</v>
          </cell>
          <cell r="N3240" t="str">
            <v>673-06</v>
          </cell>
          <cell r="O3240" t="str">
            <v>PISTON</v>
          </cell>
          <cell r="P3240">
            <v>244</v>
          </cell>
        </row>
        <row r="3241">
          <cell r="B3241" t="str">
            <v>1646-02</v>
          </cell>
          <cell r="C3241" t="str">
            <v>BODY</v>
          </cell>
          <cell r="D3241">
            <v>118</v>
          </cell>
          <cell r="N3241" t="str">
            <v>1646-02</v>
          </cell>
          <cell r="O3241" t="str">
            <v>BODY</v>
          </cell>
          <cell r="P3241">
            <v>236</v>
          </cell>
        </row>
        <row r="3242">
          <cell r="B3242" t="str">
            <v>1831-05</v>
          </cell>
          <cell r="C3242" t="str">
            <v>BODY RETAINER</v>
          </cell>
          <cell r="D3242">
            <v>156</v>
          </cell>
          <cell r="N3242" t="str">
            <v>1831-05</v>
          </cell>
          <cell r="O3242" t="str">
            <v>BODY RETAINER</v>
          </cell>
          <cell r="P3242">
            <v>312</v>
          </cell>
        </row>
        <row r="3243">
          <cell r="B3243" t="str">
            <v>598-27</v>
          </cell>
          <cell r="C3243" t="str">
            <v>PISTON</v>
          </cell>
          <cell r="D3243">
            <v>181.5</v>
          </cell>
          <cell r="N3243" t="str">
            <v>598-27</v>
          </cell>
          <cell r="O3243" t="str">
            <v>PISTON</v>
          </cell>
          <cell r="P3243">
            <v>363</v>
          </cell>
        </row>
        <row r="3244">
          <cell r="B3244" t="str">
            <v>861-13</v>
          </cell>
          <cell r="C3244" t="str">
            <v>BODY</v>
          </cell>
          <cell r="D3244">
            <v>191.5</v>
          </cell>
          <cell r="N3244" t="str">
            <v>861-13</v>
          </cell>
          <cell r="O3244" t="str">
            <v>BODY</v>
          </cell>
          <cell r="P3244">
            <v>383</v>
          </cell>
        </row>
        <row r="3245">
          <cell r="B3245" t="str">
            <v>954-00</v>
          </cell>
          <cell r="C3245" t="str">
            <v>RACK STOPPER</v>
          </cell>
          <cell r="D3245">
            <v>195.5</v>
          </cell>
          <cell r="N3245" t="str">
            <v>954-00</v>
          </cell>
          <cell r="O3245" t="str">
            <v>RACK STOPPER</v>
          </cell>
          <cell r="P3245">
            <v>391</v>
          </cell>
        </row>
        <row r="3246">
          <cell r="B3246" t="str">
            <v>1030-02</v>
          </cell>
          <cell r="C3246" t="str">
            <v>ROD GUIDE ASS'Y</v>
          </cell>
          <cell r="D3246">
            <v>196</v>
          </cell>
          <cell r="N3246" t="str">
            <v>1030-02</v>
          </cell>
          <cell r="O3246" t="str">
            <v>ROD GUIDE ASS'Y</v>
          </cell>
          <cell r="P3246">
            <v>392</v>
          </cell>
        </row>
        <row r="3247">
          <cell r="B3247" t="str">
            <v>1226-00</v>
          </cell>
          <cell r="C3247" t="str">
            <v>TONE WHEEL</v>
          </cell>
          <cell r="D3247">
            <v>196</v>
          </cell>
          <cell r="N3247" t="str">
            <v>1226-00</v>
          </cell>
          <cell r="O3247" t="str">
            <v>TONE WHEEL</v>
          </cell>
          <cell r="P3247">
            <v>392</v>
          </cell>
        </row>
        <row r="3248">
          <cell r="B3248" t="str">
            <v>1226-00</v>
          </cell>
          <cell r="C3248" t="str">
            <v>TONE WHEEL</v>
          </cell>
          <cell r="D3248">
            <v>196</v>
          </cell>
          <cell r="N3248" t="str">
            <v>1226-00</v>
          </cell>
          <cell r="O3248" t="str">
            <v>TONE WHEEL</v>
          </cell>
          <cell r="P3248">
            <v>392</v>
          </cell>
        </row>
        <row r="3249">
          <cell r="B3249" t="str">
            <v>1226-00</v>
          </cell>
          <cell r="C3249" t="str">
            <v>TONE WHEEL</v>
          </cell>
          <cell r="D3249">
            <v>196</v>
          </cell>
          <cell r="N3249" t="str">
            <v>1226-00</v>
          </cell>
          <cell r="O3249" t="str">
            <v>TONE WHEEL</v>
          </cell>
          <cell r="P3249">
            <v>392</v>
          </cell>
        </row>
        <row r="3250">
          <cell r="B3250" t="str">
            <v>1610-07</v>
          </cell>
          <cell r="C3250" t="str">
            <v>RS RETAINER</v>
          </cell>
          <cell r="D3250">
            <v>142.5</v>
          </cell>
          <cell r="N3250" t="str">
            <v>1610-07</v>
          </cell>
          <cell r="O3250" t="str">
            <v>RS RETAINER</v>
          </cell>
          <cell r="P3250">
            <v>285</v>
          </cell>
        </row>
        <row r="3251">
          <cell r="B3251" t="str">
            <v>1779-02</v>
          </cell>
          <cell r="C3251" t="str">
            <v>RS RETAINER</v>
          </cell>
          <cell r="D3251">
            <v>196</v>
          </cell>
          <cell r="N3251" t="str">
            <v>1779-02</v>
          </cell>
          <cell r="O3251" t="str">
            <v>RS RETAINER</v>
          </cell>
          <cell r="P3251">
            <v>392</v>
          </cell>
        </row>
        <row r="3252">
          <cell r="B3252" t="str">
            <v>1843-03</v>
          </cell>
          <cell r="C3252" t="str">
            <v>RS RETAINER</v>
          </cell>
          <cell r="D3252">
            <v>196</v>
          </cell>
          <cell r="N3252" t="str">
            <v>1843-03</v>
          </cell>
          <cell r="O3252" t="str">
            <v>RS RETAINER</v>
          </cell>
          <cell r="P3252">
            <v>392</v>
          </cell>
        </row>
        <row r="3253">
          <cell r="B3253" t="str">
            <v>1412-04</v>
          </cell>
          <cell r="C3253" t="str">
            <v>BODY</v>
          </cell>
          <cell r="D3253">
            <v>185</v>
          </cell>
          <cell r="N3253" t="str">
            <v>1412-04</v>
          </cell>
          <cell r="O3253" t="str">
            <v>BODY</v>
          </cell>
          <cell r="P3253">
            <v>370</v>
          </cell>
        </row>
        <row r="3254">
          <cell r="B3254" t="str">
            <v>1554-22</v>
          </cell>
          <cell r="C3254" t="str">
            <v>RS RETAINER</v>
          </cell>
          <cell r="D3254">
            <v>196.5</v>
          </cell>
          <cell r="N3254" t="str">
            <v>1554-22</v>
          </cell>
          <cell r="O3254" t="str">
            <v>RS RETAINER</v>
          </cell>
          <cell r="P3254">
            <v>393</v>
          </cell>
        </row>
        <row r="3255">
          <cell r="B3255" t="str">
            <v>1694-01</v>
          </cell>
          <cell r="C3255" t="str">
            <v>HOUSING</v>
          </cell>
          <cell r="D3255">
            <v>196.5</v>
          </cell>
          <cell r="N3255" t="str">
            <v>1694-01</v>
          </cell>
          <cell r="O3255" t="str">
            <v>HOUSING</v>
          </cell>
          <cell r="P3255">
            <v>393</v>
          </cell>
        </row>
        <row r="3256">
          <cell r="B3256" t="str">
            <v>1792-01</v>
          </cell>
          <cell r="C3256" t="str">
            <v>REB,RETAINER</v>
          </cell>
          <cell r="D3256">
            <v>89</v>
          </cell>
          <cell r="N3256" t="str">
            <v>1792-01</v>
          </cell>
          <cell r="O3256" t="str">
            <v>REB,RETAINER</v>
          </cell>
          <cell r="P3256">
            <v>178</v>
          </cell>
        </row>
        <row r="3257">
          <cell r="B3257" t="str">
            <v>1998-00</v>
          </cell>
          <cell r="C3257" t="str">
            <v>PISTON</v>
          </cell>
          <cell r="D3257">
            <v>196.5</v>
          </cell>
          <cell r="N3257" t="str">
            <v>1998-00</v>
          </cell>
          <cell r="O3257" t="str">
            <v>PISTON</v>
          </cell>
          <cell r="P3257">
            <v>393</v>
          </cell>
        </row>
        <row r="3258">
          <cell r="B3258" t="str">
            <v>724-09</v>
          </cell>
          <cell r="C3258" t="str">
            <v>PISTON</v>
          </cell>
          <cell r="D3258">
            <v>196.5</v>
          </cell>
          <cell r="N3258" t="str">
            <v>724-09</v>
          </cell>
          <cell r="O3258" t="str">
            <v>PISTON</v>
          </cell>
          <cell r="P3258">
            <v>393</v>
          </cell>
        </row>
        <row r="3259">
          <cell r="B3259" t="str">
            <v>1412-12</v>
          </cell>
          <cell r="C3259" t="str">
            <v>BODY</v>
          </cell>
          <cell r="D3259">
            <v>197</v>
          </cell>
          <cell r="N3259" t="str">
            <v>1412-12</v>
          </cell>
          <cell r="O3259" t="str">
            <v>BODY</v>
          </cell>
          <cell r="P3259">
            <v>394</v>
          </cell>
        </row>
        <row r="3260">
          <cell r="B3260" t="str">
            <v>1554-44</v>
          </cell>
          <cell r="C3260" t="str">
            <v>RS RETAINER</v>
          </cell>
          <cell r="D3260">
            <v>192</v>
          </cell>
          <cell r="N3260" t="str">
            <v>1554-44</v>
          </cell>
          <cell r="O3260" t="str">
            <v>RS RETAINER</v>
          </cell>
          <cell r="P3260">
            <v>384</v>
          </cell>
        </row>
        <row r="3261">
          <cell r="B3261" t="str">
            <v>1589-05</v>
          </cell>
          <cell r="C3261" t="str">
            <v>REB,RETAINER</v>
          </cell>
          <cell r="D3261">
            <v>187.5</v>
          </cell>
          <cell r="N3261" t="str">
            <v>1589-05</v>
          </cell>
          <cell r="O3261" t="str">
            <v>REB,RETAINER</v>
          </cell>
          <cell r="P3261">
            <v>375</v>
          </cell>
        </row>
        <row r="3262">
          <cell r="B3262" t="str">
            <v>1590-07</v>
          </cell>
          <cell r="C3262" t="str">
            <v>BODY</v>
          </cell>
          <cell r="D3262">
            <v>183.5</v>
          </cell>
          <cell r="N3262" t="str">
            <v>1590-07</v>
          </cell>
          <cell r="O3262" t="str">
            <v>BODY</v>
          </cell>
          <cell r="P3262">
            <v>367</v>
          </cell>
        </row>
        <row r="3263">
          <cell r="B3263" t="str">
            <v>1590-18</v>
          </cell>
          <cell r="C3263" t="str">
            <v>BODY</v>
          </cell>
          <cell r="D3263">
            <v>184</v>
          </cell>
          <cell r="N3263" t="str">
            <v>1590-18</v>
          </cell>
          <cell r="O3263" t="str">
            <v>BODY</v>
          </cell>
          <cell r="P3263">
            <v>368</v>
          </cell>
        </row>
        <row r="3264">
          <cell r="B3264" t="str">
            <v>1630-10</v>
          </cell>
          <cell r="C3264" t="str">
            <v>RS RETAINER</v>
          </cell>
          <cell r="D3264">
            <v>192</v>
          </cell>
          <cell r="N3264" t="str">
            <v>1630-10</v>
          </cell>
          <cell r="O3264" t="str">
            <v>RS RETAINER</v>
          </cell>
          <cell r="P3264">
            <v>384</v>
          </cell>
        </row>
        <row r="3265">
          <cell r="B3265" t="str">
            <v>1831-11</v>
          </cell>
          <cell r="C3265" t="str">
            <v>BODY RETAINER</v>
          </cell>
          <cell r="D3265">
            <v>90</v>
          </cell>
          <cell r="N3265" t="str">
            <v>1831-11</v>
          </cell>
          <cell r="O3265" t="str">
            <v>BODY RETAINER</v>
          </cell>
          <cell r="P3265">
            <v>180</v>
          </cell>
        </row>
        <row r="3266">
          <cell r="B3266" t="str">
            <v>1831-11</v>
          </cell>
          <cell r="C3266" t="str">
            <v>BODY RETAINER</v>
          </cell>
          <cell r="D3266">
            <v>90</v>
          </cell>
          <cell r="N3266" t="str">
            <v>1831-11</v>
          </cell>
          <cell r="O3266" t="str">
            <v>BODY RETAINER</v>
          </cell>
          <cell r="P3266">
            <v>180</v>
          </cell>
        </row>
        <row r="3267">
          <cell r="B3267" t="str">
            <v>2412-11</v>
          </cell>
          <cell r="C3267" t="str">
            <v>BODY</v>
          </cell>
          <cell r="D3267">
            <v>188</v>
          </cell>
          <cell r="N3267" t="str">
            <v>2412-11</v>
          </cell>
          <cell r="O3267" t="str">
            <v>BODY</v>
          </cell>
          <cell r="P3267">
            <v>376</v>
          </cell>
        </row>
        <row r="3268">
          <cell r="B3268" t="str">
            <v>588-38</v>
          </cell>
          <cell r="C3268" t="str">
            <v>PISTON</v>
          </cell>
          <cell r="D3268">
            <v>197</v>
          </cell>
          <cell r="N3268" t="str">
            <v>588-38</v>
          </cell>
          <cell r="O3268" t="str">
            <v>PISTON</v>
          </cell>
          <cell r="P3268">
            <v>394</v>
          </cell>
        </row>
        <row r="3269">
          <cell r="B3269" t="str">
            <v>1590-22</v>
          </cell>
          <cell r="C3269" t="str">
            <v>BODY</v>
          </cell>
          <cell r="D3269">
            <v>197.5</v>
          </cell>
          <cell r="N3269" t="str">
            <v>1590-22</v>
          </cell>
          <cell r="O3269" t="str">
            <v>BODY</v>
          </cell>
          <cell r="P3269">
            <v>395</v>
          </cell>
        </row>
        <row r="3270">
          <cell r="B3270" t="str">
            <v>1832-07</v>
          </cell>
          <cell r="C3270" t="str">
            <v>BODY RETAINER</v>
          </cell>
          <cell r="D3270">
            <v>158</v>
          </cell>
          <cell r="N3270" t="str">
            <v>1832-07</v>
          </cell>
          <cell r="O3270" t="str">
            <v>BODY RETAINER</v>
          </cell>
          <cell r="P3270">
            <v>316</v>
          </cell>
        </row>
        <row r="3271">
          <cell r="B3271" t="str">
            <v>2852-12</v>
          </cell>
          <cell r="C3271" t="str">
            <v>BODY</v>
          </cell>
          <cell r="D3271">
            <v>197.5</v>
          </cell>
          <cell r="N3271" t="str">
            <v>2852-12</v>
          </cell>
          <cell r="O3271" t="str">
            <v>BODY</v>
          </cell>
          <cell r="P3271">
            <v>395</v>
          </cell>
        </row>
        <row r="3272">
          <cell r="B3272" t="str">
            <v>2852-12</v>
          </cell>
          <cell r="C3272" t="str">
            <v>BODY</v>
          </cell>
          <cell r="D3272">
            <v>197.5</v>
          </cell>
          <cell r="N3272" t="str">
            <v>2852-12</v>
          </cell>
          <cell r="O3272" t="str">
            <v>BODY</v>
          </cell>
          <cell r="P3272">
            <v>395</v>
          </cell>
        </row>
        <row r="3273">
          <cell r="B3273" t="str">
            <v>588-30</v>
          </cell>
          <cell r="C3273" t="str">
            <v>PISTON</v>
          </cell>
          <cell r="D3273">
            <v>123.5</v>
          </cell>
          <cell r="N3273" t="str">
            <v>588-30</v>
          </cell>
          <cell r="O3273" t="str">
            <v>PISTON</v>
          </cell>
          <cell r="P3273">
            <v>247</v>
          </cell>
        </row>
        <row r="3274">
          <cell r="B3274" t="str">
            <v>861-08</v>
          </cell>
          <cell r="C3274" t="str">
            <v>BODY</v>
          </cell>
          <cell r="D3274">
            <v>90</v>
          </cell>
          <cell r="N3274" t="str">
            <v>861-08</v>
          </cell>
          <cell r="O3274" t="str">
            <v>BODY</v>
          </cell>
          <cell r="P3274">
            <v>180</v>
          </cell>
        </row>
        <row r="3275">
          <cell r="B3275" t="str">
            <v>1395-00</v>
          </cell>
          <cell r="C3275" t="str">
            <v>MOTOR PINION</v>
          </cell>
          <cell r="D3275">
            <v>237.6</v>
          </cell>
          <cell r="N3275" t="str">
            <v>1395-00</v>
          </cell>
          <cell r="O3275" t="str">
            <v>MOTOR PINION</v>
          </cell>
          <cell r="P3275">
            <v>396</v>
          </cell>
        </row>
        <row r="3276">
          <cell r="B3276" t="str">
            <v>1395-00</v>
          </cell>
          <cell r="C3276" t="str">
            <v>MOTOR PINION</v>
          </cell>
          <cell r="D3276">
            <v>237.6</v>
          </cell>
          <cell r="N3276" t="str">
            <v>1395-00</v>
          </cell>
          <cell r="O3276" t="str">
            <v>MOTOR PINION</v>
          </cell>
          <cell r="P3276">
            <v>396</v>
          </cell>
        </row>
        <row r="3277">
          <cell r="B3277" t="str">
            <v>1395-00</v>
          </cell>
          <cell r="C3277" t="str">
            <v>MOTOR PINION</v>
          </cell>
          <cell r="D3277">
            <v>237.6</v>
          </cell>
          <cell r="N3277" t="str">
            <v>1395-00</v>
          </cell>
          <cell r="O3277" t="str">
            <v>MOTOR PINION</v>
          </cell>
          <cell r="P3277">
            <v>396</v>
          </cell>
        </row>
        <row r="3278">
          <cell r="B3278" t="str">
            <v>1395-00</v>
          </cell>
          <cell r="C3278" t="str">
            <v>MOTOR PINION</v>
          </cell>
          <cell r="D3278">
            <v>237.6</v>
          </cell>
          <cell r="N3278" t="str">
            <v>1395-00</v>
          </cell>
          <cell r="O3278" t="str">
            <v>MOTOR PINION</v>
          </cell>
          <cell r="P3278">
            <v>396</v>
          </cell>
        </row>
        <row r="3279">
          <cell r="B3279" t="str">
            <v>1395-00</v>
          </cell>
          <cell r="C3279" t="str">
            <v>MOTOR PINION</v>
          </cell>
          <cell r="D3279">
            <v>237.6</v>
          </cell>
          <cell r="N3279" t="str">
            <v>1395-00</v>
          </cell>
          <cell r="O3279" t="str">
            <v>MOTOR PINION</v>
          </cell>
          <cell r="P3279">
            <v>396</v>
          </cell>
        </row>
        <row r="3280">
          <cell r="B3280" t="str">
            <v>1395-00</v>
          </cell>
          <cell r="C3280" t="str">
            <v>MOTOR PINION</v>
          </cell>
          <cell r="D3280">
            <v>237.6</v>
          </cell>
          <cell r="N3280" t="str">
            <v>1395-00</v>
          </cell>
          <cell r="O3280" t="str">
            <v>MOTOR PINION</v>
          </cell>
          <cell r="P3280">
            <v>396</v>
          </cell>
        </row>
        <row r="3281">
          <cell r="B3281" t="str">
            <v>1554-19</v>
          </cell>
          <cell r="C3281" t="str">
            <v>RS RETAINER</v>
          </cell>
          <cell r="D3281">
            <v>87.5</v>
          </cell>
          <cell r="N3281" t="str">
            <v>1554-19</v>
          </cell>
          <cell r="O3281" t="str">
            <v>RS RETAINER</v>
          </cell>
          <cell r="P3281">
            <v>175</v>
          </cell>
        </row>
        <row r="3282">
          <cell r="B3282" t="str">
            <v>1634-11</v>
          </cell>
          <cell r="C3282" t="str">
            <v>RS RETAINER</v>
          </cell>
          <cell r="D3282">
            <v>198</v>
          </cell>
          <cell r="N3282" t="str">
            <v>1634-11</v>
          </cell>
          <cell r="O3282" t="str">
            <v>RS RETAINER</v>
          </cell>
          <cell r="P3282">
            <v>396</v>
          </cell>
        </row>
        <row r="3283">
          <cell r="B3283" t="str">
            <v>1790-13</v>
          </cell>
          <cell r="C3283" t="str">
            <v>BODY</v>
          </cell>
          <cell r="D3283">
            <v>109.5</v>
          </cell>
          <cell r="N3283" t="str">
            <v>1790-13</v>
          </cell>
          <cell r="O3283" t="str">
            <v>BODY</v>
          </cell>
          <cell r="P3283">
            <v>219</v>
          </cell>
        </row>
        <row r="3284">
          <cell r="B3284" t="str">
            <v>1790-13</v>
          </cell>
          <cell r="C3284" t="str">
            <v>BODY</v>
          </cell>
          <cell r="D3284">
            <v>109.5</v>
          </cell>
          <cell r="N3284" t="str">
            <v>1790-13</v>
          </cell>
          <cell r="O3284" t="str">
            <v>BODY</v>
          </cell>
          <cell r="P3284">
            <v>219</v>
          </cell>
        </row>
        <row r="3285">
          <cell r="B3285" t="str">
            <v>2852-18</v>
          </cell>
          <cell r="C3285" t="str">
            <v>BODY</v>
          </cell>
          <cell r="D3285">
            <v>179.5</v>
          </cell>
          <cell r="N3285" t="str">
            <v>2852-18</v>
          </cell>
          <cell r="O3285" t="str">
            <v>BODY</v>
          </cell>
          <cell r="P3285">
            <v>359</v>
          </cell>
        </row>
        <row r="3286">
          <cell r="B3286" t="str">
            <v>588-18</v>
          </cell>
          <cell r="C3286" t="str">
            <v>PISTON</v>
          </cell>
          <cell r="D3286">
            <v>85</v>
          </cell>
          <cell r="N3286" t="str">
            <v>588-18</v>
          </cell>
          <cell r="O3286" t="str">
            <v>PISTON</v>
          </cell>
          <cell r="P3286">
            <v>170</v>
          </cell>
        </row>
        <row r="3287">
          <cell r="B3287" t="str">
            <v>598-31</v>
          </cell>
          <cell r="C3287" t="str">
            <v>PISTON</v>
          </cell>
          <cell r="D3287">
            <v>198</v>
          </cell>
          <cell r="N3287" t="str">
            <v>598-31</v>
          </cell>
          <cell r="O3287" t="str">
            <v>PISTON</v>
          </cell>
          <cell r="P3287">
            <v>396</v>
          </cell>
        </row>
        <row r="3288">
          <cell r="B3288" t="str">
            <v>661-23</v>
          </cell>
          <cell r="C3288" t="str">
            <v>BODY</v>
          </cell>
          <cell r="D3288">
            <v>123.5</v>
          </cell>
          <cell r="N3288" t="str">
            <v>661-23</v>
          </cell>
          <cell r="O3288" t="str">
            <v>BODY</v>
          </cell>
          <cell r="P3288">
            <v>247</v>
          </cell>
        </row>
        <row r="3289">
          <cell r="B3289" t="str">
            <v>831-00</v>
          </cell>
          <cell r="C3289" t="str">
            <v>RACK STOPPER</v>
          </cell>
          <cell r="D3289">
            <v>237.6</v>
          </cell>
          <cell r="N3289" t="str">
            <v>831-00</v>
          </cell>
          <cell r="O3289" t="str">
            <v>RACK STOPPER</v>
          </cell>
          <cell r="P3289">
            <v>396</v>
          </cell>
        </row>
        <row r="3290">
          <cell r="B3290" t="str">
            <v>861-13</v>
          </cell>
          <cell r="C3290" t="str">
            <v>BODY</v>
          </cell>
          <cell r="D3290">
            <v>191.5</v>
          </cell>
          <cell r="N3290" t="str">
            <v>861-13</v>
          </cell>
          <cell r="O3290" t="str">
            <v>BODY</v>
          </cell>
          <cell r="P3290">
            <v>383</v>
          </cell>
        </row>
        <row r="3291">
          <cell r="B3291" t="str">
            <v>1064-01</v>
          </cell>
          <cell r="C3291" t="str">
            <v>HOUSING PISTON</v>
          </cell>
          <cell r="D3291">
            <v>198.5</v>
          </cell>
          <cell r="N3291" t="str">
            <v>1064-01</v>
          </cell>
          <cell r="O3291" t="str">
            <v>HOUSING PISTON</v>
          </cell>
          <cell r="P3291">
            <v>397</v>
          </cell>
        </row>
        <row r="3292">
          <cell r="B3292" t="str">
            <v>1631-00</v>
          </cell>
          <cell r="C3292" t="str">
            <v>PISTON</v>
          </cell>
          <cell r="D3292">
            <v>198.5</v>
          </cell>
          <cell r="N3292" t="str">
            <v>1631-00</v>
          </cell>
          <cell r="O3292" t="str">
            <v>PISTON</v>
          </cell>
          <cell r="P3292">
            <v>397</v>
          </cell>
        </row>
        <row r="3293">
          <cell r="B3293" t="str">
            <v>1634-05</v>
          </cell>
          <cell r="C3293" t="str">
            <v>RS RETAINER</v>
          </cell>
          <cell r="D3293">
            <v>89.5</v>
          </cell>
          <cell r="N3293" t="str">
            <v>1634-05</v>
          </cell>
          <cell r="O3293" t="str">
            <v>RS RETAINER</v>
          </cell>
          <cell r="P3293">
            <v>179</v>
          </cell>
        </row>
        <row r="3294">
          <cell r="B3294" t="str">
            <v>1634-25</v>
          </cell>
          <cell r="C3294" t="str">
            <v>RS RETAINER</v>
          </cell>
          <cell r="D3294">
            <v>89.5</v>
          </cell>
          <cell r="N3294" t="str">
            <v>1634-25</v>
          </cell>
          <cell r="O3294" t="str">
            <v>RS RETAINER</v>
          </cell>
          <cell r="P3294">
            <v>179</v>
          </cell>
        </row>
        <row r="3295">
          <cell r="B3295" t="str">
            <v>1666-03</v>
          </cell>
          <cell r="C3295" t="str">
            <v>BODY</v>
          </cell>
          <cell r="D3295">
            <v>198.5</v>
          </cell>
          <cell r="N3295" t="str">
            <v>1666-03</v>
          </cell>
          <cell r="O3295" t="str">
            <v>BODY</v>
          </cell>
          <cell r="P3295">
            <v>397</v>
          </cell>
        </row>
        <row r="3296">
          <cell r="B3296" t="str">
            <v>1666-03</v>
          </cell>
          <cell r="C3296" t="str">
            <v>BODY</v>
          </cell>
          <cell r="D3296">
            <v>198.5</v>
          </cell>
          <cell r="N3296" t="str">
            <v>1666-03</v>
          </cell>
          <cell r="O3296" t="str">
            <v>BODY</v>
          </cell>
          <cell r="P3296">
            <v>397</v>
          </cell>
        </row>
        <row r="3297">
          <cell r="B3297" t="str">
            <v>1734-05</v>
          </cell>
          <cell r="C3297" t="str">
            <v>RS RETAINER</v>
          </cell>
          <cell r="D3297">
            <v>93</v>
          </cell>
          <cell r="N3297" t="str">
            <v>1734-05</v>
          </cell>
          <cell r="O3297" t="str">
            <v>RS RETAINER</v>
          </cell>
          <cell r="P3297">
            <v>186</v>
          </cell>
        </row>
        <row r="3298">
          <cell r="B3298" t="str">
            <v>1832-08</v>
          </cell>
          <cell r="C3298" t="str">
            <v>BODY RETAINER</v>
          </cell>
          <cell r="D3298">
            <v>92</v>
          </cell>
          <cell r="N3298" t="str">
            <v>1832-08</v>
          </cell>
          <cell r="O3298" t="str">
            <v>BODY RETAINER</v>
          </cell>
          <cell r="P3298">
            <v>184</v>
          </cell>
        </row>
        <row r="3299">
          <cell r="B3299" t="str">
            <v>2026-06</v>
          </cell>
          <cell r="C3299" t="str">
            <v>SOFT VALVE</v>
          </cell>
          <cell r="D3299">
            <v>167</v>
          </cell>
          <cell r="N3299" t="str">
            <v>2026-06</v>
          </cell>
          <cell r="O3299" t="str">
            <v>SOFT VALVE</v>
          </cell>
          <cell r="P3299">
            <v>334</v>
          </cell>
        </row>
        <row r="3300">
          <cell r="B3300" t="str">
            <v>588-31</v>
          </cell>
          <cell r="C3300" t="str">
            <v>PISTON</v>
          </cell>
          <cell r="D3300">
            <v>125.5</v>
          </cell>
          <cell r="N3300" t="str">
            <v>588-31</v>
          </cell>
          <cell r="O3300" t="str">
            <v>PISTON</v>
          </cell>
          <cell r="P3300">
            <v>251</v>
          </cell>
        </row>
        <row r="3301">
          <cell r="B3301" t="str">
            <v>588-59</v>
          </cell>
          <cell r="C3301" t="str">
            <v>PISTON</v>
          </cell>
          <cell r="D3301">
            <v>198.5</v>
          </cell>
          <cell r="N3301" t="str">
            <v>588-59</v>
          </cell>
          <cell r="O3301" t="str">
            <v>PISTON</v>
          </cell>
          <cell r="P3301">
            <v>397</v>
          </cell>
        </row>
        <row r="3302">
          <cell r="B3302" t="str">
            <v>846-00</v>
          </cell>
          <cell r="C3302" t="str">
            <v>COMP,GUIDE ASS'Y</v>
          </cell>
          <cell r="D3302">
            <v>175</v>
          </cell>
          <cell r="N3302" t="str">
            <v>846-00</v>
          </cell>
          <cell r="O3302" t="str">
            <v>COMP,GUIDE ASS'Y</v>
          </cell>
          <cell r="P3302">
            <v>350</v>
          </cell>
        </row>
        <row r="3303">
          <cell r="B3303" t="str">
            <v>1031-01</v>
          </cell>
          <cell r="C3303" t="str">
            <v>ROD GUIDE ASS'Y</v>
          </cell>
          <cell r="D3303">
            <v>190.5</v>
          </cell>
          <cell r="N3303" t="str">
            <v>1031-01</v>
          </cell>
          <cell r="O3303" t="str">
            <v>ROD GUIDE ASS'Y</v>
          </cell>
          <cell r="P3303">
            <v>381</v>
          </cell>
        </row>
        <row r="3304">
          <cell r="B3304" t="str">
            <v>1554-22</v>
          </cell>
          <cell r="C3304" t="str">
            <v>RS RETAINER</v>
          </cell>
          <cell r="D3304">
            <v>196.5</v>
          </cell>
          <cell r="N3304" t="str">
            <v>1554-22</v>
          </cell>
          <cell r="O3304" t="str">
            <v>RS RETAINER</v>
          </cell>
          <cell r="P3304">
            <v>393</v>
          </cell>
        </row>
        <row r="3305">
          <cell r="B3305" t="str">
            <v>1554-23</v>
          </cell>
          <cell r="C3305" t="str">
            <v>RS RETAINER</v>
          </cell>
          <cell r="D3305">
            <v>87.5</v>
          </cell>
          <cell r="N3305" t="str">
            <v>1554-23</v>
          </cell>
          <cell r="O3305" t="str">
            <v>RS RETAINER</v>
          </cell>
          <cell r="P3305">
            <v>175</v>
          </cell>
        </row>
        <row r="3306">
          <cell r="B3306" t="str">
            <v>1590-02</v>
          </cell>
          <cell r="C3306" t="str">
            <v>BODY</v>
          </cell>
          <cell r="D3306">
            <v>117.5</v>
          </cell>
          <cell r="N3306" t="str">
            <v>1590-02</v>
          </cell>
          <cell r="O3306" t="str">
            <v>BODY</v>
          </cell>
          <cell r="P3306">
            <v>235</v>
          </cell>
        </row>
        <row r="3307">
          <cell r="B3307" t="str">
            <v>1631-00</v>
          </cell>
          <cell r="C3307" t="str">
            <v>PISTON</v>
          </cell>
          <cell r="D3307">
            <v>198.5</v>
          </cell>
          <cell r="N3307" t="str">
            <v>1631-00</v>
          </cell>
          <cell r="O3307" t="str">
            <v>PISTON</v>
          </cell>
          <cell r="P3307">
            <v>397</v>
          </cell>
        </row>
        <row r="3308">
          <cell r="B3308" t="str">
            <v>1790-13</v>
          </cell>
          <cell r="C3308" t="str">
            <v>BODY</v>
          </cell>
          <cell r="D3308">
            <v>109.5</v>
          </cell>
          <cell r="N3308" t="str">
            <v>1790-13</v>
          </cell>
          <cell r="O3308" t="str">
            <v>BODY</v>
          </cell>
          <cell r="P3308">
            <v>219</v>
          </cell>
        </row>
        <row r="3309">
          <cell r="B3309" t="str">
            <v>1791-05</v>
          </cell>
          <cell r="C3309" t="str">
            <v>BODY</v>
          </cell>
          <cell r="D3309">
            <v>109.5</v>
          </cell>
          <cell r="N3309" t="str">
            <v>1791-05</v>
          </cell>
          <cell r="O3309" t="str">
            <v>BODY</v>
          </cell>
          <cell r="P3309">
            <v>219</v>
          </cell>
        </row>
        <row r="3310">
          <cell r="B3310" t="str">
            <v>1831-12</v>
          </cell>
          <cell r="C3310" t="str">
            <v>BODY RETAINER</v>
          </cell>
          <cell r="D3310">
            <v>199</v>
          </cell>
          <cell r="N3310" t="str">
            <v>1831-12</v>
          </cell>
          <cell r="O3310" t="str">
            <v>BODY RETAINER</v>
          </cell>
          <cell r="P3310">
            <v>398</v>
          </cell>
        </row>
        <row r="3311">
          <cell r="B3311" t="str">
            <v>1030-02</v>
          </cell>
          <cell r="C3311" t="str">
            <v>ROD GUIDE ASS'Y</v>
          </cell>
          <cell r="D3311">
            <v>196</v>
          </cell>
          <cell r="N3311" t="str">
            <v>1030-02</v>
          </cell>
          <cell r="O3311" t="str">
            <v>ROD GUIDE ASS'Y</v>
          </cell>
          <cell r="P3311">
            <v>392</v>
          </cell>
        </row>
        <row r="3312">
          <cell r="B3312" t="str">
            <v>1554-28</v>
          </cell>
          <cell r="C3312" t="str">
            <v>RS RETAINER</v>
          </cell>
          <cell r="D3312">
            <v>193.5</v>
          </cell>
          <cell r="N3312" t="str">
            <v>1554-28</v>
          </cell>
          <cell r="O3312" t="str">
            <v>RS RETAINER</v>
          </cell>
          <cell r="P3312">
            <v>387</v>
          </cell>
        </row>
        <row r="3313">
          <cell r="B3313" t="str">
            <v>1791-07</v>
          </cell>
          <cell r="C3313" t="str">
            <v>BODY</v>
          </cell>
          <cell r="D3313">
            <v>199.5</v>
          </cell>
          <cell r="N3313" t="str">
            <v>1791-07</v>
          </cell>
          <cell r="O3313" t="str">
            <v>BODY</v>
          </cell>
          <cell r="P3313">
            <v>399</v>
          </cell>
        </row>
        <row r="3314">
          <cell r="B3314" t="str">
            <v>797-14</v>
          </cell>
          <cell r="C3314" t="str">
            <v>BODY</v>
          </cell>
          <cell r="D3314">
            <v>199.5</v>
          </cell>
          <cell r="N3314" t="str">
            <v>797-14</v>
          </cell>
          <cell r="O3314" t="str">
            <v>BODY</v>
          </cell>
          <cell r="P3314">
            <v>399</v>
          </cell>
        </row>
        <row r="3315">
          <cell r="B3315" t="str">
            <v>1176-05</v>
          </cell>
          <cell r="C3315" t="str">
            <v>BASE VALVE</v>
          </cell>
          <cell r="D3315">
            <v>200</v>
          </cell>
          <cell r="N3315" t="str">
            <v>1176-05</v>
          </cell>
          <cell r="O3315" t="str">
            <v>BASE VALVE</v>
          </cell>
          <cell r="P3315">
            <v>400</v>
          </cell>
        </row>
        <row r="3316">
          <cell r="B3316" t="str">
            <v>1412-07</v>
          </cell>
          <cell r="C3316" t="str">
            <v>BODY</v>
          </cell>
          <cell r="D3316">
            <v>153</v>
          </cell>
          <cell r="N3316" t="str">
            <v>1412-07</v>
          </cell>
          <cell r="O3316" t="str">
            <v>BODY</v>
          </cell>
          <cell r="P3316">
            <v>306</v>
          </cell>
        </row>
        <row r="3317">
          <cell r="B3317" t="str">
            <v>1412-07</v>
          </cell>
          <cell r="C3317" t="str">
            <v>BODY</v>
          </cell>
          <cell r="D3317">
            <v>153</v>
          </cell>
          <cell r="N3317" t="str">
            <v>1412-07</v>
          </cell>
          <cell r="O3317" t="str">
            <v>BODY</v>
          </cell>
          <cell r="P3317">
            <v>306</v>
          </cell>
        </row>
        <row r="3318">
          <cell r="B3318" t="str">
            <v>1412-17</v>
          </cell>
          <cell r="C3318" t="str">
            <v>BODY</v>
          </cell>
          <cell r="D3318">
            <v>200</v>
          </cell>
          <cell r="N3318" t="str">
            <v>1412-17</v>
          </cell>
          <cell r="O3318" t="str">
            <v>BODY</v>
          </cell>
          <cell r="P3318">
            <v>400</v>
          </cell>
        </row>
        <row r="3319">
          <cell r="B3319" t="str">
            <v>1551-02</v>
          </cell>
          <cell r="C3319" t="str">
            <v>BODY</v>
          </cell>
          <cell r="D3319">
            <v>200</v>
          </cell>
          <cell r="N3319" t="str">
            <v>1551-02</v>
          </cell>
          <cell r="O3319" t="str">
            <v>BODY</v>
          </cell>
          <cell r="P3319">
            <v>400</v>
          </cell>
        </row>
        <row r="3320">
          <cell r="B3320" t="str">
            <v>1590-02</v>
          </cell>
          <cell r="C3320" t="str">
            <v>BODY</v>
          </cell>
          <cell r="D3320">
            <v>117.5</v>
          </cell>
          <cell r="N3320" t="str">
            <v>1590-02</v>
          </cell>
          <cell r="O3320" t="str">
            <v>BODY</v>
          </cell>
          <cell r="P3320">
            <v>235</v>
          </cell>
        </row>
        <row r="3321">
          <cell r="B3321" t="str">
            <v>1792-02</v>
          </cell>
          <cell r="C3321" t="str">
            <v>REB,RETAINER</v>
          </cell>
          <cell r="D3321">
            <v>86.5</v>
          </cell>
          <cell r="N3321" t="str">
            <v>1792-02</v>
          </cell>
          <cell r="O3321" t="str">
            <v>REB,RETAINER</v>
          </cell>
          <cell r="P3321">
            <v>173</v>
          </cell>
        </row>
        <row r="3322">
          <cell r="B3322" t="str">
            <v>1830-02</v>
          </cell>
          <cell r="C3322" t="str">
            <v>BODY</v>
          </cell>
          <cell r="D3322">
            <v>200</v>
          </cell>
          <cell r="N3322" t="str">
            <v>1830-02</v>
          </cell>
          <cell r="O3322" t="str">
            <v>BODY</v>
          </cell>
          <cell r="P3322">
            <v>400</v>
          </cell>
        </row>
        <row r="3323">
          <cell r="B3323" t="str">
            <v>1832-05</v>
          </cell>
          <cell r="C3323" t="str">
            <v>BODY RETAINER</v>
          </cell>
          <cell r="D3323">
            <v>94.5</v>
          </cell>
          <cell r="N3323" t="str">
            <v>1832-05</v>
          </cell>
          <cell r="O3323" t="str">
            <v>BODY RETAINER</v>
          </cell>
          <cell r="P3323">
            <v>189</v>
          </cell>
        </row>
        <row r="3324">
          <cell r="B3324" t="str">
            <v>2412-17</v>
          </cell>
          <cell r="C3324" t="str">
            <v>BODY</v>
          </cell>
          <cell r="D3324">
            <v>200</v>
          </cell>
          <cell r="N3324" t="str">
            <v>2412-17</v>
          </cell>
          <cell r="O3324" t="str">
            <v>BODY</v>
          </cell>
          <cell r="P3324">
            <v>400</v>
          </cell>
        </row>
        <row r="3325">
          <cell r="B3325" t="str">
            <v>2852-17</v>
          </cell>
          <cell r="C3325" t="str">
            <v>BODY</v>
          </cell>
          <cell r="D3325">
            <v>123.5</v>
          </cell>
          <cell r="N3325" t="str">
            <v>2852-17</v>
          </cell>
          <cell r="O3325" t="str">
            <v>BODY</v>
          </cell>
          <cell r="P3325">
            <v>247</v>
          </cell>
        </row>
        <row r="3326">
          <cell r="B3326" t="str">
            <v>2852-17</v>
          </cell>
          <cell r="C3326" t="str">
            <v>BODY</v>
          </cell>
          <cell r="D3326">
            <v>123.5</v>
          </cell>
          <cell r="N3326" t="str">
            <v>2852-17</v>
          </cell>
          <cell r="O3326" t="str">
            <v>BODY</v>
          </cell>
          <cell r="P3326">
            <v>247</v>
          </cell>
        </row>
        <row r="3327">
          <cell r="B3327" t="str">
            <v>588-06</v>
          </cell>
          <cell r="C3327" t="str">
            <v>PISTON</v>
          </cell>
          <cell r="D3327">
            <v>200</v>
          </cell>
          <cell r="N3327" t="str">
            <v>588-06</v>
          </cell>
          <cell r="O3327" t="str">
            <v>PISTON</v>
          </cell>
          <cell r="P3327">
            <v>400</v>
          </cell>
        </row>
        <row r="3328">
          <cell r="B3328" t="str">
            <v>592-04</v>
          </cell>
          <cell r="C3328" t="str">
            <v>PISTON</v>
          </cell>
          <cell r="D3328">
            <v>119</v>
          </cell>
          <cell r="N3328" t="str">
            <v>592-04</v>
          </cell>
          <cell r="O3328" t="str">
            <v>PISTON</v>
          </cell>
          <cell r="P3328">
            <v>238</v>
          </cell>
        </row>
        <row r="3329">
          <cell r="B3329" t="str">
            <v>598-10</v>
          </cell>
          <cell r="C3329" t="str">
            <v>PISTON</v>
          </cell>
          <cell r="D3329">
            <v>191.5</v>
          </cell>
          <cell r="N3329" t="str">
            <v>598-10</v>
          </cell>
          <cell r="O3329" t="str">
            <v>PISTON</v>
          </cell>
          <cell r="P3329">
            <v>383</v>
          </cell>
        </row>
        <row r="3330">
          <cell r="B3330" t="str">
            <v>786-08</v>
          </cell>
          <cell r="C3330" t="str">
            <v>BODY</v>
          </cell>
          <cell r="D3330">
            <v>85</v>
          </cell>
          <cell r="N3330" t="str">
            <v>786-08</v>
          </cell>
          <cell r="O3330" t="str">
            <v>BODY</v>
          </cell>
          <cell r="P3330">
            <v>170</v>
          </cell>
        </row>
        <row r="3331">
          <cell r="B3331" t="str">
            <v>786-08</v>
          </cell>
          <cell r="C3331" t="str">
            <v>BODY</v>
          </cell>
          <cell r="D3331">
            <v>85</v>
          </cell>
          <cell r="N3331" t="str">
            <v>786-08</v>
          </cell>
          <cell r="O3331" t="str">
            <v>BODY</v>
          </cell>
          <cell r="P3331">
            <v>170</v>
          </cell>
        </row>
        <row r="3332">
          <cell r="B3332" t="str">
            <v>861-13</v>
          </cell>
          <cell r="C3332" t="str">
            <v>BODY</v>
          </cell>
          <cell r="D3332">
            <v>191.5</v>
          </cell>
          <cell r="N3332" t="str">
            <v>861-13</v>
          </cell>
          <cell r="O3332" t="str">
            <v>BODY</v>
          </cell>
          <cell r="P3332">
            <v>383</v>
          </cell>
        </row>
        <row r="3333">
          <cell r="B3333" t="str">
            <v>1011-00</v>
          </cell>
          <cell r="C3333" t="str">
            <v>BODY</v>
          </cell>
          <cell r="D3333">
            <v>200.5</v>
          </cell>
          <cell r="N3333" t="str">
            <v>1011-00</v>
          </cell>
          <cell r="O3333" t="str">
            <v>BODY</v>
          </cell>
          <cell r="P3333">
            <v>401</v>
          </cell>
        </row>
        <row r="3334">
          <cell r="B3334" t="str">
            <v>1412-09</v>
          </cell>
          <cell r="C3334" t="str">
            <v>BODY</v>
          </cell>
          <cell r="D3334">
            <v>136.5</v>
          </cell>
          <cell r="N3334" t="str">
            <v>1412-09</v>
          </cell>
          <cell r="O3334" t="str">
            <v>BODY</v>
          </cell>
          <cell r="P3334">
            <v>273</v>
          </cell>
        </row>
        <row r="3335">
          <cell r="B3335" t="str">
            <v>1634-26</v>
          </cell>
          <cell r="C3335" t="str">
            <v>RS RETAINER</v>
          </cell>
          <cell r="D3335">
            <v>90.5</v>
          </cell>
          <cell r="N3335" t="str">
            <v>1634-26</v>
          </cell>
          <cell r="O3335" t="str">
            <v>RS RETAINER</v>
          </cell>
          <cell r="P3335">
            <v>181</v>
          </cell>
        </row>
        <row r="3336">
          <cell r="B3336" t="str">
            <v>1779-02</v>
          </cell>
          <cell r="C3336" t="str">
            <v>RS RETAINER</v>
          </cell>
          <cell r="D3336">
            <v>196</v>
          </cell>
          <cell r="N3336" t="str">
            <v>1779-02</v>
          </cell>
          <cell r="O3336" t="str">
            <v>RS RETAINER</v>
          </cell>
          <cell r="P3336">
            <v>392</v>
          </cell>
        </row>
        <row r="3337">
          <cell r="B3337" t="str">
            <v>1792-06</v>
          </cell>
          <cell r="C3337" t="str">
            <v>REB,RETAINER</v>
          </cell>
          <cell r="D3337">
            <v>200.5</v>
          </cell>
          <cell r="N3337" t="str">
            <v>1792-06</v>
          </cell>
          <cell r="O3337" t="str">
            <v>REB,RETAINER</v>
          </cell>
          <cell r="P3337">
            <v>401</v>
          </cell>
        </row>
        <row r="3338">
          <cell r="B3338" t="str">
            <v>2412-06</v>
          </cell>
          <cell r="C3338" t="str">
            <v>BODY</v>
          </cell>
          <cell r="D3338">
            <v>143</v>
          </cell>
          <cell r="N3338" t="str">
            <v>2412-06</v>
          </cell>
          <cell r="O3338" t="str">
            <v>BODY</v>
          </cell>
          <cell r="P3338">
            <v>286</v>
          </cell>
        </row>
        <row r="3339">
          <cell r="B3339" t="str">
            <v>2412-16</v>
          </cell>
          <cell r="C3339" t="str">
            <v>BODY</v>
          </cell>
          <cell r="D3339">
            <v>200.5</v>
          </cell>
          <cell r="N3339" t="str">
            <v>2412-16</v>
          </cell>
          <cell r="O3339" t="str">
            <v>BODY</v>
          </cell>
          <cell r="P3339">
            <v>401</v>
          </cell>
        </row>
        <row r="3340">
          <cell r="B3340" t="str">
            <v>592-05</v>
          </cell>
          <cell r="C3340" t="str">
            <v>PISTON</v>
          </cell>
          <cell r="D3340">
            <v>119</v>
          </cell>
          <cell r="N3340" t="str">
            <v>592-05</v>
          </cell>
          <cell r="O3340" t="str">
            <v>PISTON</v>
          </cell>
          <cell r="P3340">
            <v>238</v>
          </cell>
        </row>
        <row r="3341">
          <cell r="B3341" t="str">
            <v>1590-11</v>
          </cell>
          <cell r="C3341" t="str">
            <v>BODY</v>
          </cell>
          <cell r="D3341">
            <v>194</v>
          </cell>
          <cell r="N3341" t="str">
            <v>1590-11</v>
          </cell>
          <cell r="O3341" t="str">
            <v>BODY</v>
          </cell>
          <cell r="P3341">
            <v>388</v>
          </cell>
        </row>
        <row r="3342">
          <cell r="B3342" t="str">
            <v>1792-03</v>
          </cell>
          <cell r="C3342" t="str">
            <v>REB,RETAINER</v>
          </cell>
          <cell r="D3342">
            <v>201</v>
          </cell>
          <cell r="N3342" t="str">
            <v>1792-03</v>
          </cell>
          <cell r="O3342" t="str">
            <v>REB,RETAINER</v>
          </cell>
          <cell r="P3342">
            <v>402</v>
          </cell>
        </row>
        <row r="3343">
          <cell r="B3343" t="str">
            <v>1792-04</v>
          </cell>
          <cell r="C3343" t="str">
            <v>REB,RETAINER</v>
          </cell>
          <cell r="D3343">
            <v>201</v>
          </cell>
          <cell r="N3343" t="str">
            <v>1792-04</v>
          </cell>
          <cell r="O3343" t="str">
            <v>REB,RETAINER</v>
          </cell>
          <cell r="P3343">
            <v>402</v>
          </cell>
        </row>
        <row r="3344">
          <cell r="B3344" t="str">
            <v>1831-12</v>
          </cell>
          <cell r="C3344" t="str">
            <v>BODY RETAINER</v>
          </cell>
          <cell r="D3344">
            <v>199</v>
          </cell>
          <cell r="N3344" t="str">
            <v>1831-12</v>
          </cell>
          <cell r="O3344" t="str">
            <v>BODY RETAINER</v>
          </cell>
          <cell r="P3344">
            <v>398</v>
          </cell>
        </row>
        <row r="3345">
          <cell r="B3345" t="str">
            <v>1922-09</v>
          </cell>
          <cell r="C3345" t="str">
            <v>RS RETAINER</v>
          </cell>
          <cell r="D3345">
            <v>201</v>
          </cell>
          <cell r="N3345" t="str">
            <v>1922-09</v>
          </cell>
          <cell r="O3345" t="str">
            <v>RS RETAINER</v>
          </cell>
          <cell r="P3345">
            <v>402</v>
          </cell>
        </row>
        <row r="3346">
          <cell r="B3346" t="str">
            <v>2026-06</v>
          </cell>
          <cell r="C3346" t="str">
            <v>SOFT VALVE</v>
          </cell>
          <cell r="D3346">
            <v>167</v>
          </cell>
          <cell r="N3346" t="str">
            <v>2026-06</v>
          </cell>
          <cell r="O3346" t="str">
            <v>SOFT VALVE</v>
          </cell>
          <cell r="P3346">
            <v>334</v>
          </cell>
        </row>
        <row r="3347">
          <cell r="B3347" t="str">
            <v>1031-01</v>
          </cell>
          <cell r="C3347" t="str">
            <v>ROD GUIDE ASS'Y</v>
          </cell>
          <cell r="D3347">
            <v>190.5</v>
          </cell>
          <cell r="N3347" t="str">
            <v>1031-01</v>
          </cell>
          <cell r="O3347" t="str">
            <v>ROD GUIDE ASS'Y</v>
          </cell>
          <cell r="P3347">
            <v>381</v>
          </cell>
        </row>
        <row r="3348">
          <cell r="B3348" t="str">
            <v>1634-08</v>
          </cell>
          <cell r="C3348" t="str">
            <v>RS RETAINER</v>
          </cell>
          <cell r="D3348">
            <v>201.5</v>
          </cell>
          <cell r="N3348" t="str">
            <v>1634-08</v>
          </cell>
          <cell r="O3348" t="str">
            <v>RS RETAINER</v>
          </cell>
          <cell r="P3348">
            <v>403</v>
          </cell>
        </row>
        <row r="3349">
          <cell r="B3349" t="str">
            <v>1666-09</v>
          </cell>
          <cell r="C3349" t="str">
            <v>BODY</v>
          </cell>
          <cell r="D3349">
            <v>201.5</v>
          </cell>
          <cell r="N3349" t="str">
            <v>1666-09</v>
          </cell>
          <cell r="O3349" t="str">
            <v>BODY</v>
          </cell>
          <cell r="P3349">
            <v>403</v>
          </cell>
        </row>
        <row r="3350">
          <cell r="B3350" t="str">
            <v>464-06</v>
          </cell>
          <cell r="C3350" t="str">
            <v>PISTON</v>
          </cell>
          <cell r="D3350">
            <v>201.5</v>
          </cell>
          <cell r="N3350" t="str">
            <v>464-06</v>
          </cell>
          <cell r="O3350" t="str">
            <v>PISTON</v>
          </cell>
          <cell r="P3350">
            <v>403</v>
          </cell>
        </row>
        <row r="3351">
          <cell r="B3351" t="str">
            <v>5007-00</v>
          </cell>
          <cell r="C3351" t="str">
            <v>PLATE 4-5-6 CLU BKG</v>
          </cell>
          <cell r="D3351">
            <v>241.79999999999998</v>
          </cell>
          <cell r="N3351" t="str">
            <v>5007-00</v>
          </cell>
          <cell r="O3351" t="str">
            <v>PLATE 4-5-6 CLU BKG</v>
          </cell>
          <cell r="P3351">
            <v>403</v>
          </cell>
        </row>
        <row r="3352">
          <cell r="B3352" t="str">
            <v>588-22</v>
          </cell>
          <cell r="C3352" t="str">
            <v>PISTON</v>
          </cell>
          <cell r="D3352">
            <v>117.5</v>
          </cell>
          <cell r="N3352" t="str">
            <v>588-22</v>
          </cell>
          <cell r="O3352" t="str">
            <v>PISTON</v>
          </cell>
          <cell r="P3352">
            <v>235</v>
          </cell>
        </row>
        <row r="3353">
          <cell r="B3353" t="str">
            <v>659-08</v>
          </cell>
          <cell r="C3353" t="str">
            <v>ROD GUIDE ASS'Y</v>
          </cell>
          <cell r="D3353">
            <v>193.5</v>
          </cell>
          <cell r="N3353" t="str">
            <v>659-08</v>
          </cell>
          <cell r="O3353" t="str">
            <v>ROD GUIDE ASS'Y</v>
          </cell>
          <cell r="P3353">
            <v>387</v>
          </cell>
        </row>
        <row r="3354">
          <cell r="B3354" t="str">
            <v>1250-03</v>
          </cell>
          <cell r="C3354" t="str">
            <v>PISTON</v>
          </cell>
          <cell r="D3354">
            <v>180</v>
          </cell>
          <cell r="N3354" t="str">
            <v>1250-03</v>
          </cell>
          <cell r="O3354" t="str">
            <v>PISTON</v>
          </cell>
          <cell r="P3354">
            <v>360</v>
          </cell>
        </row>
        <row r="3355">
          <cell r="B3355" t="str">
            <v>1554-15</v>
          </cell>
          <cell r="C3355" t="str">
            <v>RS RETAINER</v>
          </cell>
          <cell r="D3355">
            <v>202</v>
          </cell>
          <cell r="N3355" t="str">
            <v>1554-15</v>
          </cell>
          <cell r="O3355" t="str">
            <v>RS RETAINER</v>
          </cell>
          <cell r="P3355">
            <v>404</v>
          </cell>
        </row>
        <row r="3356">
          <cell r="B3356" t="str">
            <v>1554-22</v>
          </cell>
          <cell r="C3356" t="str">
            <v>RS RETAINER</v>
          </cell>
          <cell r="D3356">
            <v>196.5</v>
          </cell>
          <cell r="N3356" t="str">
            <v>1554-22</v>
          </cell>
          <cell r="O3356" t="str">
            <v>RS RETAINER</v>
          </cell>
          <cell r="P3356">
            <v>393</v>
          </cell>
        </row>
        <row r="3357">
          <cell r="B3357" t="str">
            <v>1554-34</v>
          </cell>
          <cell r="C3357" t="str">
            <v>RS RETAINER</v>
          </cell>
          <cell r="D3357">
            <v>202</v>
          </cell>
          <cell r="N3357" t="str">
            <v>1554-34</v>
          </cell>
          <cell r="O3357" t="str">
            <v>RS RETAINER</v>
          </cell>
          <cell r="P3357">
            <v>404</v>
          </cell>
        </row>
        <row r="3358">
          <cell r="B3358" t="str">
            <v>588-19</v>
          </cell>
          <cell r="C3358" t="str">
            <v>PISTON</v>
          </cell>
          <cell r="D3358">
            <v>94</v>
          </cell>
          <cell r="N3358" t="str">
            <v>588-19</v>
          </cell>
          <cell r="O3358" t="str">
            <v>PISTON</v>
          </cell>
          <cell r="P3358">
            <v>188</v>
          </cell>
        </row>
        <row r="3359">
          <cell r="B3359" t="str">
            <v>588-60</v>
          </cell>
          <cell r="C3359" t="str">
            <v>PISTON</v>
          </cell>
          <cell r="D3359">
            <v>202</v>
          </cell>
          <cell r="N3359" t="str">
            <v>588-60</v>
          </cell>
          <cell r="O3359" t="str">
            <v>PISTON</v>
          </cell>
          <cell r="P3359">
            <v>404</v>
          </cell>
        </row>
        <row r="3360">
          <cell r="B3360" t="str">
            <v>659-08</v>
          </cell>
          <cell r="C3360" t="str">
            <v>ROD GUIDE ASS'Y</v>
          </cell>
          <cell r="D3360">
            <v>193.5</v>
          </cell>
          <cell r="N3360" t="str">
            <v>659-08</v>
          </cell>
          <cell r="O3360" t="str">
            <v>ROD GUIDE ASS'Y</v>
          </cell>
          <cell r="P3360">
            <v>387</v>
          </cell>
        </row>
        <row r="3361">
          <cell r="B3361" t="str">
            <v>659-08</v>
          </cell>
          <cell r="C3361" t="str">
            <v>ROD GUIDE ASS'Y</v>
          </cell>
          <cell r="D3361">
            <v>193.5</v>
          </cell>
          <cell r="N3361" t="str">
            <v>659-08</v>
          </cell>
          <cell r="O3361" t="str">
            <v>ROD GUIDE ASS'Y</v>
          </cell>
          <cell r="P3361">
            <v>387</v>
          </cell>
        </row>
        <row r="3362">
          <cell r="B3362" t="str">
            <v>661-18</v>
          </cell>
          <cell r="C3362" t="str">
            <v>BODY</v>
          </cell>
          <cell r="D3362">
            <v>144</v>
          </cell>
          <cell r="N3362" t="str">
            <v>661-18</v>
          </cell>
          <cell r="O3362" t="str">
            <v>BODY</v>
          </cell>
          <cell r="P3362">
            <v>288</v>
          </cell>
        </row>
        <row r="3363">
          <cell r="B3363" t="str">
            <v>661-18</v>
          </cell>
          <cell r="C3363" t="str">
            <v>BODY</v>
          </cell>
          <cell r="D3363">
            <v>144</v>
          </cell>
          <cell r="N3363" t="str">
            <v>661-18</v>
          </cell>
          <cell r="O3363" t="str">
            <v>BODY</v>
          </cell>
          <cell r="P3363">
            <v>288</v>
          </cell>
        </row>
        <row r="3364">
          <cell r="B3364" t="str">
            <v>861-14</v>
          </cell>
          <cell r="C3364" t="str">
            <v>BODY</v>
          </cell>
          <cell r="D3364">
            <v>171.5</v>
          </cell>
          <cell r="N3364" t="str">
            <v>861-14</v>
          </cell>
          <cell r="O3364" t="str">
            <v>BODY</v>
          </cell>
          <cell r="P3364">
            <v>343</v>
          </cell>
        </row>
        <row r="3365">
          <cell r="B3365" t="str">
            <v>1176-05</v>
          </cell>
          <cell r="C3365" t="str">
            <v>BASE VALVE</v>
          </cell>
          <cell r="D3365">
            <v>200</v>
          </cell>
          <cell r="N3365" t="str">
            <v>1176-05</v>
          </cell>
          <cell r="O3365" t="str">
            <v>BASE VALVE</v>
          </cell>
          <cell r="P3365">
            <v>400</v>
          </cell>
        </row>
        <row r="3366">
          <cell r="B3366" t="str">
            <v>1750-05</v>
          </cell>
          <cell r="C3366" t="str">
            <v>PISTON</v>
          </cell>
          <cell r="D3366">
            <v>202.5</v>
          </cell>
          <cell r="N3366" t="str">
            <v>1750-05</v>
          </cell>
          <cell r="O3366" t="str">
            <v>PISTON</v>
          </cell>
          <cell r="P3366">
            <v>405</v>
          </cell>
        </row>
        <row r="3367">
          <cell r="B3367" t="str">
            <v>1750-05</v>
          </cell>
          <cell r="C3367" t="str">
            <v>PISTON</v>
          </cell>
          <cell r="D3367">
            <v>202.5</v>
          </cell>
          <cell r="N3367" t="str">
            <v>1750-05</v>
          </cell>
          <cell r="O3367" t="str">
            <v>PISTON</v>
          </cell>
          <cell r="P3367">
            <v>405</v>
          </cell>
        </row>
        <row r="3368">
          <cell r="B3368" t="str">
            <v>195-00</v>
          </cell>
          <cell r="C3368" t="str">
            <v>REB,RETAINER</v>
          </cell>
          <cell r="D3368">
            <v>160</v>
          </cell>
          <cell r="N3368" t="str">
            <v>195-00</v>
          </cell>
          <cell r="O3368" t="str">
            <v>REB,RETAINER</v>
          </cell>
          <cell r="P3368">
            <v>320</v>
          </cell>
        </row>
        <row r="3369">
          <cell r="B3369" t="str">
            <v>591-06</v>
          </cell>
          <cell r="C3369" t="str">
            <v>PISTON</v>
          </cell>
          <cell r="D3369">
            <v>202.5</v>
          </cell>
          <cell r="N3369" t="str">
            <v>591-06</v>
          </cell>
          <cell r="O3369" t="str">
            <v>PISTON</v>
          </cell>
          <cell r="P3369">
            <v>405</v>
          </cell>
        </row>
        <row r="3370">
          <cell r="B3370" t="str">
            <v>591-06</v>
          </cell>
          <cell r="C3370" t="str">
            <v>PISTON</v>
          </cell>
          <cell r="D3370">
            <v>202.5</v>
          </cell>
          <cell r="N3370" t="str">
            <v>591-06</v>
          </cell>
          <cell r="O3370" t="str">
            <v>PISTON</v>
          </cell>
          <cell r="P3370">
            <v>405</v>
          </cell>
        </row>
        <row r="3371">
          <cell r="B3371" t="str">
            <v>1069-01</v>
          </cell>
          <cell r="C3371" t="str">
            <v>PISTON</v>
          </cell>
          <cell r="D3371">
            <v>99</v>
          </cell>
          <cell r="N3371" t="str">
            <v>1069-01</v>
          </cell>
          <cell r="O3371" t="str">
            <v>PISTON</v>
          </cell>
          <cell r="P3371">
            <v>198</v>
          </cell>
        </row>
        <row r="3372">
          <cell r="B3372" t="str">
            <v>1412-06</v>
          </cell>
          <cell r="C3372" t="str">
            <v>BODY</v>
          </cell>
          <cell r="D3372">
            <v>190.5</v>
          </cell>
          <cell r="N3372" t="str">
            <v>1412-06</v>
          </cell>
          <cell r="O3372" t="str">
            <v>BODY</v>
          </cell>
          <cell r="P3372">
            <v>381</v>
          </cell>
        </row>
        <row r="3373">
          <cell r="B3373" t="str">
            <v>1412-14</v>
          </cell>
          <cell r="C3373" t="str">
            <v>BODY</v>
          </cell>
          <cell r="D3373">
            <v>158</v>
          </cell>
          <cell r="N3373" t="str">
            <v>1412-14</v>
          </cell>
          <cell r="O3373" t="str">
            <v>BODY</v>
          </cell>
          <cell r="P3373">
            <v>316</v>
          </cell>
        </row>
        <row r="3374">
          <cell r="B3374" t="str">
            <v>1634-11</v>
          </cell>
          <cell r="C3374" t="str">
            <v>RS RETAINER</v>
          </cell>
          <cell r="D3374">
            <v>198</v>
          </cell>
          <cell r="N3374" t="str">
            <v>1634-11</v>
          </cell>
          <cell r="O3374" t="str">
            <v>RS RETAINER</v>
          </cell>
          <cell r="P3374">
            <v>396</v>
          </cell>
        </row>
        <row r="3375">
          <cell r="B3375" t="str">
            <v>1666-02</v>
          </cell>
          <cell r="C3375" t="str">
            <v>BODY</v>
          </cell>
          <cell r="D3375">
            <v>203</v>
          </cell>
          <cell r="N3375" t="str">
            <v>1666-02</v>
          </cell>
          <cell r="O3375" t="str">
            <v>BODY</v>
          </cell>
          <cell r="P3375">
            <v>406</v>
          </cell>
        </row>
        <row r="3376">
          <cell r="B3376" t="str">
            <v>1922-09</v>
          </cell>
          <cell r="C3376" t="str">
            <v>RS RETAINER</v>
          </cell>
          <cell r="D3376">
            <v>201</v>
          </cell>
          <cell r="N3376" t="str">
            <v>1922-09</v>
          </cell>
          <cell r="O3376" t="str">
            <v>RS RETAINER</v>
          </cell>
          <cell r="P3376">
            <v>402</v>
          </cell>
        </row>
        <row r="3377">
          <cell r="B3377" t="str">
            <v>1931-03</v>
          </cell>
          <cell r="C3377" t="str">
            <v>RS RETAINER</v>
          </cell>
          <cell r="D3377">
            <v>203</v>
          </cell>
          <cell r="N3377" t="str">
            <v>1931-03</v>
          </cell>
          <cell r="O3377" t="str">
            <v>RS RETAINER</v>
          </cell>
          <cell r="P3377">
            <v>406</v>
          </cell>
        </row>
        <row r="3378">
          <cell r="B3378" t="str">
            <v>1931-03</v>
          </cell>
          <cell r="C3378" t="str">
            <v>RS RETAINER</v>
          </cell>
          <cell r="D3378">
            <v>203</v>
          </cell>
          <cell r="N3378" t="str">
            <v>1931-03</v>
          </cell>
          <cell r="O3378" t="str">
            <v>RS RETAINER</v>
          </cell>
          <cell r="P3378">
            <v>406</v>
          </cell>
        </row>
        <row r="3379">
          <cell r="B3379" t="str">
            <v>588-25</v>
          </cell>
          <cell r="C3379" t="str">
            <v>PISTON</v>
          </cell>
          <cell r="D3379">
            <v>129</v>
          </cell>
          <cell r="N3379" t="str">
            <v>588-25</v>
          </cell>
          <cell r="O3379" t="str">
            <v>PISTON</v>
          </cell>
          <cell r="P3379">
            <v>258</v>
          </cell>
        </row>
        <row r="3380">
          <cell r="B3380" t="str">
            <v>861-13</v>
          </cell>
          <cell r="C3380" t="str">
            <v>BODY</v>
          </cell>
          <cell r="D3380">
            <v>191.5</v>
          </cell>
          <cell r="N3380" t="str">
            <v>861-13</v>
          </cell>
          <cell r="O3380" t="str">
            <v>BODY</v>
          </cell>
          <cell r="P3380">
            <v>383</v>
          </cell>
        </row>
        <row r="3381">
          <cell r="B3381" t="str">
            <v>861-13</v>
          </cell>
          <cell r="C3381" t="str">
            <v>BODY</v>
          </cell>
          <cell r="D3381">
            <v>191.5</v>
          </cell>
          <cell r="N3381" t="str">
            <v>861-13</v>
          </cell>
          <cell r="O3381" t="str">
            <v>BODY</v>
          </cell>
          <cell r="P3381">
            <v>383</v>
          </cell>
        </row>
        <row r="3382">
          <cell r="B3382" t="str">
            <v>1030-02</v>
          </cell>
          <cell r="C3382" t="str">
            <v>ROD GUIDE ASS'Y</v>
          </cell>
          <cell r="D3382">
            <v>196</v>
          </cell>
          <cell r="N3382" t="str">
            <v>1030-02</v>
          </cell>
          <cell r="O3382" t="str">
            <v>ROD GUIDE ASS'Y</v>
          </cell>
          <cell r="P3382">
            <v>392</v>
          </cell>
        </row>
        <row r="3383">
          <cell r="B3383" t="str">
            <v>1388-00</v>
          </cell>
          <cell r="C3383" t="str">
            <v>INSERT CAM</v>
          </cell>
          <cell r="D3383">
            <v>244.2</v>
          </cell>
          <cell r="N3383" t="str">
            <v>1388-00</v>
          </cell>
          <cell r="O3383" t="str">
            <v>INSERT CAM</v>
          </cell>
          <cell r="P3383">
            <v>407</v>
          </cell>
        </row>
        <row r="3384">
          <cell r="B3384" t="str">
            <v>1666-02</v>
          </cell>
          <cell r="C3384" t="str">
            <v>BODY</v>
          </cell>
          <cell r="D3384">
            <v>203</v>
          </cell>
          <cell r="N3384" t="str">
            <v>1666-02</v>
          </cell>
          <cell r="O3384" t="str">
            <v>BODY</v>
          </cell>
          <cell r="P3384">
            <v>406</v>
          </cell>
        </row>
        <row r="3385">
          <cell r="B3385" t="str">
            <v>1734-05</v>
          </cell>
          <cell r="C3385" t="str">
            <v>RS RETAINER</v>
          </cell>
          <cell r="D3385">
            <v>93</v>
          </cell>
          <cell r="N3385" t="str">
            <v>1734-05</v>
          </cell>
          <cell r="O3385" t="str">
            <v>RS RETAINER</v>
          </cell>
          <cell r="P3385">
            <v>186</v>
          </cell>
        </row>
        <row r="3386">
          <cell r="B3386" t="str">
            <v>1832-08</v>
          </cell>
          <cell r="C3386" t="str">
            <v>BODY RETAINER</v>
          </cell>
          <cell r="D3386">
            <v>92</v>
          </cell>
          <cell r="N3386" t="str">
            <v>1832-08</v>
          </cell>
          <cell r="O3386" t="str">
            <v>BODY RETAINER</v>
          </cell>
          <cell r="P3386">
            <v>184</v>
          </cell>
        </row>
        <row r="3387">
          <cell r="B3387" t="str">
            <v>1832-08</v>
          </cell>
          <cell r="C3387" t="str">
            <v>BODY RETAINER</v>
          </cell>
          <cell r="D3387">
            <v>92</v>
          </cell>
          <cell r="N3387" t="str">
            <v>1832-08</v>
          </cell>
          <cell r="O3387" t="str">
            <v>BODY RETAINER</v>
          </cell>
          <cell r="P3387">
            <v>184</v>
          </cell>
        </row>
        <row r="3388">
          <cell r="B3388" t="str">
            <v>1836-04</v>
          </cell>
          <cell r="C3388" t="str">
            <v>RS RETAINER</v>
          </cell>
          <cell r="D3388">
            <v>102.5</v>
          </cell>
          <cell r="N3388" t="str">
            <v>1836-04</v>
          </cell>
          <cell r="O3388" t="str">
            <v>RS RETAINER</v>
          </cell>
          <cell r="P3388">
            <v>205</v>
          </cell>
        </row>
        <row r="3389">
          <cell r="B3389" t="str">
            <v>2412-01</v>
          </cell>
          <cell r="C3389" t="str">
            <v>BODY</v>
          </cell>
          <cell r="D3389">
            <v>203.5</v>
          </cell>
          <cell r="N3389" t="str">
            <v>2412-01</v>
          </cell>
          <cell r="O3389" t="str">
            <v>BODY</v>
          </cell>
          <cell r="P3389">
            <v>407</v>
          </cell>
        </row>
        <row r="3390">
          <cell r="B3390" t="str">
            <v>464-18</v>
          </cell>
          <cell r="C3390" t="str">
            <v>PISTON</v>
          </cell>
          <cell r="D3390">
            <v>203.5</v>
          </cell>
          <cell r="N3390" t="str">
            <v>464-18</v>
          </cell>
          <cell r="O3390" t="str">
            <v>PISTON</v>
          </cell>
          <cell r="P3390">
            <v>407</v>
          </cell>
        </row>
        <row r="3391">
          <cell r="B3391" t="str">
            <v>1554-23</v>
          </cell>
          <cell r="C3391" t="str">
            <v>RS RETAINER</v>
          </cell>
          <cell r="D3391">
            <v>87.5</v>
          </cell>
          <cell r="N3391" t="str">
            <v>1554-23</v>
          </cell>
          <cell r="O3391" t="str">
            <v>RS RETAINER</v>
          </cell>
          <cell r="P3391">
            <v>175</v>
          </cell>
        </row>
        <row r="3392">
          <cell r="B3392" t="str">
            <v>1634-10</v>
          </cell>
          <cell r="C3392" t="str">
            <v>RS RETAINER</v>
          </cell>
          <cell r="D3392">
            <v>90.5</v>
          </cell>
          <cell r="N3392" t="str">
            <v>1634-10</v>
          </cell>
          <cell r="O3392" t="str">
            <v>RS RETAINER</v>
          </cell>
          <cell r="P3392">
            <v>181</v>
          </cell>
        </row>
        <row r="3393">
          <cell r="B3393" t="str">
            <v>1666-04</v>
          </cell>
          <cell r="C3393" t="str">
            <v>BODY</v>
          </cell>
          <cell r="D3393">
            <v>204</v>
          </cell>
          <cell r="N3393" t="str">
            <v>1666-04</v>
          </cell>
          <cell r="O3393" t="str">
            <v>BODY</v>
          </cell>
          <cell r="P3393">
            <v>408</v>
          </cell>
        </row>
        <row r="3394">
          <cell r="B3394" t="str">
            <v>1790-04</v>
          </cell>
          <cell r="C3394" t="str">
            <v>BODY</v>
          </cell>
          <cell r="D3394">
            <v>194</v>
          </cell>
          <cell r="N3394" t="str">
            <v>1790-04</v>
          </cell>
          <cell r="O3394" t="str">
            <v>BODY</v>
          </cell>
          <cell r="P3394">
            <v>388</v>
          </cell>
        </row>
        <row r="3395">
          <cell r="B3395" t="str">
            <v>1831-12</v>
          </cell>
          <cell r="C3395" t="str">
            <v>BODY RETAINER</v>
          </cell>
          <cell r="D3395">
            <v>199</v>
          </cell>
          <cell r="N3395" t="str">
            <v>1831-12</v>
          </cell>
          <cell r="O3395" t="str">
            <v>BODY RETAINER</v>
          </cell>
          <cell r="P3395">
            <v>398</v>
          </cell>
        </row>
        <row r="3396">
          <cell r="B3396" t="str">
            <v>1851-03</v>
          </cell>
          <cell r="C3396" t="str">
            <v>VALVE RETAINER</v>
          </cell>
          <cell r="D3396">
            <v>204</v>
          </cell>
          <cell r="N3396" t="str">
            <v>1851-03</v>
          </cell>
          <cell r="O3396" t="str">
            <v>VALVE RETAINER</v>
          </cell>
          <cell r="P3396">
            <v>408</v>
          </cell>
        </row>
        <row r="3397">
          <cell r="B3397" t="str">
            <v>1851-04</v>
          </cell>
          <cell r="C3397" t="str">
            <v>VALVE RETAINER</v>
          </cell>
          <cell r="D3397">
            <v>204</v>
          </cell>
          <cell r="N3397" t="str">
            <v>1851-04</v>
          </cell>
          <cell r="O3397" t="str">
            <v>VALVE RETAINER</v>
          </cell>
          <cell r="P3397">
            <v>408</v>
          </cell>
        </row>
        <row r="3398">
          <cell r="B3398" t="str">
            <v>2852-20</v>
          </cell>
          <cell r="C3398" t="str">
            <v>BODY</v>
          </cell>
          <cell r="D3398">
            <v>204</v>
          </cell>
          <cell r="N3398" t="str">
            <v>2852-20</v>
          </cell>
          <cell r="O3398" t="str">
            <v>BODY</v>
          </cell>
          <cell r="P3398">
            <v>408</v>
          </cell>
        </row>
        <row r="3399">
          <cell r="B3399" t="str">
            <v>861-16</v>
          </cell>
          <cell r="C3399" t="str">
            <v>BODY</v>
          </cell>
          <cell r="D3399">
            <v>119</v>
          </cell>
          <cell r="N3399" t="str">
            <v>861-16</v>
          </cell>
          <cell r="O3399" t="str">
            <v>BODY</v>
          </cell>
          <cell r="P3399">
            <v>238</v>
          </cell>
        </row>
        <row r="3400">
          <cell r="B3400" t="str">
            <v>1554-03</v>
          </cell>
          <cell r="C3400" t="str">
            <v>RS RETAINER</v>
          </cell>
          <cell r="D3400">
            <v>87.5</v>
          </cell>
          <cell r="N3400" t="str">
            <v>1554-03</v>
          </cell>
          <cell r="O3400" t="str">
            <v>RS RETAINER</v>
          </cell>
          <cell r="P3400">
            <v>175</v>
          </cell>
        </row>
        <row r="3401">
          <cell r="B3401" t="str">
            <v>1554-03</v>
          </cell>
          <cell r="C3401" t="str">
            <v>RS RETAINER</v>
          </cell>
          <cell r="D3401">
            <v>87.5</v>
          </cell>
          <cell r="N3401" t="str">
            <v>1554-03</v>
          </cell>
          <cell r="O3401" t="str">
            <v>RS RETAINER</v>
          </cell>
          <cell r="P3401">
            <v>175</v>
          </cell>
        </row>
        <row r="3402">
          <cell r="B3402" t="str">
            <v>1554-03</v>
          </cell>
          <cell r="C3402" t="str">
            <v>RS RETAINER</v>
          </cell>
          <cell r="D3402">
            <v>87.5</v>
          </cell>
          <cell r="N3402" t="str">
            <v>1554-03</v>
          </cell>
          <cell r="O3402" t="str">
            <v>RS RETAINER</v>
          </cell>
          <cell r="P3402">
            <v>175</v>
          </cell>
        </row>
        <row r="3403">
          <cell r="B3403" t="str">
            <v>1554-28</v>
          </cell>
          <cell r="C3403" t="str">
            <v>RS RETAINER</v>
          </cell>
          <cell r="D3403">
            <v>193.5</v>
          </cell>
          <cell r="N3403" t="str">
            <v>1554-28</v>
          </cell>
          <cell r="O3403" t="str">
            <v>RS RETAINER</v>
          </cell>
          <cell r="P3403">
            <v>387</v>
          </cell>
        </row>
        <row r="3404">
          <cell r="B3404" t="str">
            <v>2076-12</v>
          </cell>
          <cell r="C3404" t="str">
            <v>BODY RETAINER</v>
          </cell>
          <cell r="D3404">
            <v>82.5</v>
          </cell>
          <cell r="N3404" t="str">
            <v>2076-12</v>
          </cell>
          <cell r="O3404" t="str">
            <v>BODY RETAINER</v>
          </cell>
          <cell r="P3404">
            <v>165</v>
          </cell>
        </row>
        <row r="3405">
          <cell r="B3405" t="str">
            <v>464-09</v>
          </cell>
          <cell r="C3405" t="str">
            <v>PISTON</v>
          </cell>
          <cell r="D3405">
            <v>204.5</v>
          </cell>
          <cell r="N3405" t="str">
            <v>464-09</v>
          </cell>
          <cell r="O3405" t="str">
            <v>PISTON</v>
          </cell>
          <cell r="P3405">
            <v>409</v>
          </cell>
        </row>
        <row r="3406">
          <cell r="B3406" t="str">
            <v>1079-02</v>
          </cell>
          <cell r="C3406" t="str">
            <v>BODY</v>
          </cell>
          <cell r="D3406">
            <v>118</v>
          </cell>
          <cell r="N3406" t="str">
            <v>1079-02</v>
          </cell>
          <cell r="O3406" t="str">
            <v>BODY</v>
          </cell>
          <cell r="P3406">
            <v>236</v>
          </cell>
        </row>
        <row r="3407">
          <cell r="B3407" t="str">
            <v>1610-10</v>
          </cell>
          <cell r="C3407" t="str">
            <v>RS RETAINER</v>
          </cell>
          <cell r="D3407">
            <v>162</v>
          </cell>
          <cell r="N3407" t="str">
            <v>1610-10</v>
          </cell>
          <cell r="O3407" t="str">
            <v>RS RETAINER</v>
          </cell>
          <cell r="P3407">
            <v>324</v>
          </cell>
        </row>
        <row r="3408">
          <cell r="B3408" t="str">
            <v>1610-11</v>
          </cell>
          <cell r="C3408" t="str">
            <v>RS RETAINER</v>
          </cell>
          <cell r="D3408">
            <v>205</v>
          </cell>
          <cell r="N3408" t="str">
            <v>1610-11</v>
          </cell>
          <cell r="O3408" t="str">
            <v>RS RETAINER</v>
          </cell>
          <cell r="P3408">
            <v>410</v>
          </cell>
        </row>
        <row r="3409">
          <cell r="B3409" t="str">
            <v>1631-00</v>
          </cell>
          <cell r="C3409" t="str">
            <v>PISTON</v>
          </cell>
          <cell r="D3409">
            <v>198.5</v>
          </cell>
          <cell r="N3409" t="str">
            <v>1631-00</v>
          </cell>
          <cell r="O3409" t="str">
            <v>PISTON</v>
          </cell>
          <cell r="P3409">
            <v>397</v>
          </cell>
        </row>
        <row r="3410">
          <cell r="B3410" t="str">
            <v>1792-02</v>
          </cell>
          <cell r="C3410" t="str">
            <v>REB,RETAINER</v>
          </cell>
          <cell r="D3410">
            <v>86.5</v>
          </cell>
          <cell r="N3410" t="str">
            <v>1792-02</v>
          </cell>
          <cell r="O3410" t="str">
            <v>REB,RETAINER</v>
          </cell>
          <cell r="P3410">
            <v>173</v>
          </cell>
        </row>
        <row r="3411">
          <cell r="B3411" t="str">
            <v>1881-01</v>
          </cell>
          <cell r="C3411" t="str">
            <v>PISTON</v>
          </cell>
          <cell r="D3411">
            <v>205</v>
          </cell>
          <cell r="N3411" t="str">
            <v>1881-01</v>
          </cell>
          <cell r="O3411" t="str">
            <v>PISTON</v>
          </cell>
          <cell r="P3411">
            <v>410</v>
          </cell>
        </row>
        <row r="3412">
          <cell r="B3412" t="str">
            <v>588-05</v>
          </cell>
          <cell r="C3412" t="str">
            <v>PISTON</v>
          </cell>
          <cell r="D3412">
            <v>110.5</v>
          </cell>
          <cell r="N3412" t="str">
            <v>588-05</v>
          </cell>
          <cell r="O3412" t="str">
            <v>PISTON</v>
          </cell>
          <cell r="P3412">
            <v>221</v>
          </cell>
        </row>
        <row r="3413">
          <cell r="B3413" t="str">
            <v>588-43</v>
          </cell>
          <cell r="C3413" t="str">
            <v>PISTON</v>
          </cell>
          <cell r="D3413">
            <v>132</v>
          </cell>
          <cell r="N3413" t="str">
            <v>588-43</v>
          </cell>
          <cell r="O3413" t="str">
            <v>PISTON</v>
          </cell>
          <cell r="P3413">
            <v>264</v>
          </cell>
        </row>
        <row r="3414">
          <cell r="B3414" t="str">
            <v>659-07</v>
          </cell>
          <cell r="C3414" t="str">
            <v>ROD GUIDE ASS'Y</v>
          </cell>
          <cell r="D3414">
            <v>205</v>
          </cell>
          <cell r="N3414" t="str">
            <v>659-07</v>
          </cell>
          <cell r="O3414" t="str">
            <v>ROD GUIDE ASS'Y</v>
          </cell>
          <cell r="P3414">
            <v>410</v>
          </cell>
        </row>
        <row r="3415">
          <cell r="B3415" t="str">
            <v>1336-01</v>
          </cell>
          <cell r="C3415" t="str">
            <v>BODY</v>
          </cell>
          <cell r="D3415">
            <v>205.5</v>
          </cell>
          <cell r="N3415" t="str">
            <v>1336-01</v>
          </cell>
          <cell r="O3415" t="str">
            <v>BODY</v>
          </cell>
          <cell r="P3415">
            <v>411</v>
          </cell>
        </row>
        <row r="3416">
          <cell r="B3416" t="str">
            <v>1554-20</v>
          </cell>
          <cell r="C3416" t="str">
            <v>RS RETAINER</v>
          </cell>
          <cell r="D3416">
            <v>170.5</v>
          </cell>
          <cell r="N3416" t="str">
            <v>1554-20</v>
          </cell>
          <cell r="O3416" t="str">
            <v>RS RETAINER</v>
          </cell>
          <cell r="P3416">
            <v>341</v>
          </cell>
        </row>
        <row r="3417">
          <cell r="B3417" t="str">
            <v>1554-23</v>
          </cell>
          <cell r="C3417" t="str">
            <v>RS RETAINER</v>
          </cell>
          <cell r="D3417">
            <v>87.5</v>
          </cell>
          <cell r="N3417" t="str">
            <v>1554-23</v>
          </cell>
          <cell r="O3417" t="str">
            <v>RS RETAINER</v>
          </cell>
          <cell r="P3417">
            <v>175</v>
          </cell>
        </row>
        <row r="3418">
          <cell r="B3418" t="str">
            <v>1588-03</v>
          </cell>
          <cell r="C3418" t="str">
            <v>PISTON</v>
          </cell>
          <cell r="D3418">
            <v>205.5</v>
          </cell>
          <cell r="N3418" t="str">
            <v>1588-03</v>
          </cell>
          <cell r="O3418" t="str">
            <v>PISTON</v>
          </cell>
          <cell r="P3418">
            <v>411</v>
          </cell>
        </row>
        <row r="3419">
          <cell r="B3419" t="str">
            <v>1630-05</v>
          </cell>
          <cell r="C3419" t="str">
            <v>RS RETAINER</v>
          </cell>
          <cell r="D3419">
            <v>205.5</v>
          </cell>
          <cell r="N3419" t="str">
            <v>1630-05</v>
          </cell>
          <cell r="O3419" t="str">
            <v>RS RETAINER</v>
          </cell>
          <cell r="P3419">
            <v>411</v>
          </cell>
        </row>
        <row r="3420">
          <cell r="B3420" t="str">
            <v>1634-26</v>
          </cell>
          <cell r="C3420" t="str">
            <v>RS RETAINER</v>
          </cell>
          <cell r="D3420">
            <v>90.5</v>
          </cell>
          <cell r="N3420" t="str">
            <v>1634-26</v>
          </cell>
          <cell r="O3420" t="str">
            <v>RS RETAINER</v>
          </cell>
          <cell r="P3420">
            <v>181</v>
          </cell>
        </row>
        <row r="3421">
          <cell r="B3421" t="str">
            <v>1734-07</v>
          </cell>
          <cell r="C3421" t="str">
            <v>RS RETAINER</v>
          </cell>
          <cell r="D3421">
            <v>90</v>
          </cell>
          <cell r="N3421" t="str">
            <v>1734-07</v>
          </cell>
          <cell r="O3421" t="str">
            <v>RS RETAINER</v>
          </cell>
          <cell r="P3421">
            <v>180</v>
          </cell>
        </row>
        <row r="3422">
          <cell r="B3422" t="str">
            <v>1790-06</v>
          </cell>
          <cell r="C3422" t="str">
            <v>BODY</v>
          </cell>
          <cell r="D3422">
            <v>205.5</v>
          </cell>
          <cell r="N3422" t="str">
            <v>1790-06</v>
          </cell>
          <cell r="O3422" t="str">
            <v>BODY</v>
          </cell>
          <cell r="P3422">
            <v>411</v>
          </cell>
        </row>
        <row r="3423">
          <cell r="B3423" t="str">
            <v>1832-10</v>
          </cell>
          <cell r="C3423" t="str">
            <v>BODY RETAINER</v>
          </cell>
          <cell r="D3423">
            <v>95.5</v>
          </cell>
          <cell r="N3423" t="str">
            <v>1832-10</v>
          </cell>
          <cell r="O3423" t="str">
            <v>BODY RETAINER</v>
          </cell>
          <cell r="P3423">
            <v>191</v>
          </cell>
        </row>
        <row r="3424">
          <cell r="B3424" t="str">
            <v>592-08</v>
          </cell>
          <cell r="C3424" t="str">
            <v>PISTON</v>
          </cell>
          <cell r="D3424">
            <v>205.5</v>
          </cell>
          <cell r="N3424" t="str">
            <v>592-08</v>
          </cell>
          <cell r="O3424" t="str">
            <v>PISTON</v>
          </cell>
          <cell r="P3424">
            <v>411</v>
          </cell>
        </row>
        <row r="3425">
          <cell r="B3425" t="str">
            <v>1010-00</v>
          </cell>
          <cell r="C3425" t="str">
            <v>PISTON</v>
          </cell>
          <cell r="D3425">
            <v>206</v>
          </cell>
          <cell r="N3425" t="str">
            <v>1010-00</v>
          </cell>
          <cell r="O3425" t="str">
            <v>PISTON</v>
          </cell>
          <cell r="P3425">
            <v>412</v>
          </cell>
        </row>
        <row r="3426">
          <cell r="B3426" t="str">
            <v>1590-03</v>
          </cell>
          <cell r="C3426" t="str">
            <v>BODY</v>
          </cell>
          <cell r="D3426">
            <v>122</v>
          </cell>
          <cell r="N3426" t="str">
            <v>1590-03</v>
          </cell>
          <cell r="O3426" t="str">
            <v>BODY</v>
          </cell>
          <cell r="P3426">
            <v>244</v>
          </cell>
        </row>
        <row r="3427">
          <cell r="B3427" t="str">
            <v>1634-29</v>
          </cell>
          <cell r="C3427" t="str">
            <v>RS RETAINER</v>
          </cell>
          <cell r="D3427">
            <v>89.5</v>
          </cell>
          <cell r="N3427" t="str">
            <v>1634-29</v>
          </cell>
          <cell r="O3427" t="str">
            <v>RS RETAINER</v>
          </cell>
          <cell r="P3427">
            <v>179</v>
          </cell>
        </row>
        <row r="3428">
          <cell r="B3428" t="str">
            <v>1790-05</v>
          </cell>
          <cell r="C3428" t="str">
            <v>BODY</v>
          </cell>
          <cell r="D3428">
            <v>109.5</v>
          </cell>
          <cell r="N3428" t="str">
            <v>1790-05</v>
          </cell>
          <cell r="O3428" t="str">
            <v>BODY</v>
          </cell>
          <cell r="P3428">
            <v>219</v>
          </cell>
        </row>
        <row r="3429">
          <cell r="B3429" t="str">
            <v>1843-09</v>
          </cell>
          <cell r="C3429" t="str">
            <v>RS RETAINER</v>
          </cell>
          <cell r="D3429">
            <v>96</v>
          </cell>
          <cell r="N3429" t="str">
            <v>1843-09</v>
          </cell>
          <cell r="O3429" t="str">
            <v>RS RETAINER</v>
          </cell>
          <cell r="P3429">
            <v>192</v>
          </cell>
        </row>
        <row r="3430">
          <cell r="B3430" t="str">
            <v>2671-01</v>
          </cell>
          <cell r="C3430" t="str">
            <v>PISTON</v>
          </cell>
          <cell r="D3430">
            <v>104</v>
          </cell>
          <cell r="N3430" t="str">
            <v>2671-01</v>
          </cell>
          <cell r="O3430" t="str">
            <v>PISTON</v>
          </cell>
          <cell r="P3430">
            <v>208</v>
          </cell>
        </row>
        <row r="3431">
          <cell r="B3431" t="str">
            <v>588-71</v>
          </cell>
          <cell r="C3431" t="str">
            <v>PISTON</v>
          </cell>
          <cell r="D3431">
            <v>188.5</v>
          </cell>
          <cell r="N3431" t="str">
            <v>588-71</v>
          </cell>
          <cell r="O3431" t="str">
            <v>PISTON</v>
          </cell>
          <cell r="P3431">
            <v>377</v>
          </cell>
        </row>
        <row r="3432">
          <cell r="B3432" t="str">
            <v>861-13</v>
          </cell>
          <cell r="C3432" t="str">
            <v>BODY</v>
          </cell>
          <cell r="D3432">
            <v>191.5</v>
          </cell>
          <cell r="N3432" t="str">
            <v>861-13</v>
          </cell>
          <cell r="O3432" t="str">
            <v>BODY</v>
          </cell>
          <cell r="P3432">
            <v>383</v>
          </cell>
        </row>
        <row r="3433">
          <cell r="B3433" t="str">
            <v>1227-00</v>
          </cell>
          <cell r="C3433" t="str">
            <v>TONE WHEEL</v>
          </cell>
          <cell r="D3433">
            <v>206.5</v>
          </cell>
          <cell r="N3433" t="str">
            <v>1227-00</v>
          </cell>
          <cell r="O3433" t="str">
            <v>TONE WHEEL</v>
          </cell>
          <cell r="P3433">
            <v>413</v>
          </cell>
        </row>
        <row r="3434">
          <cell r="B3434" t="str">
            <v>1227-00</v>
          </cell>
          <cell r="C3434" t="str">
            <v>TONE WHEEL</v>
          </cell>
          <cell r="D3434">
            <v>206.5</v>
          </cell>
          <cell r="N3434" t="str">
            <v>1227-00</v>
          </cell>
          <cell r="O3434" t="str">
            <v>TONE WHEEL</v>
          </cell>
          <cell r="P3434">
            <v>413</v>
          </cell>
        </row>
        <row r="3435">
          <cell r="B3435" t="str">
            <v>1227-00</v>
          </cell>
          <cell r="C3435" t="str">
            <v>TONE WHEEL</v>
          </cell>
          <cell r="D3435">
            <v>206.5</v>
          </cell>
          <cell r="N3435" t="str">
            <v>1227-00</v>
          </cell>
          <cell r="O3435" t="str">
            <v>TONE WHEEL</v>
          </cell>
          <cell r="P3435">
            <v>413</v>
          </cell>
        </row>
        <row r="3436">
          <cell r="B3436" t="str">
            <v>1738-01</v>
          </cell>
          <cell r="C3436" t="str">
            <v>RS RETAINER</v>
          </cell>
          <cell r="D3436">
            <v>95</v>
          </cell>
          <cell r="N3436" t="str">
            <v>1738-01</v>
          </cell>
          <cell r="O3436" t="str">
            <v>RS RETAINER</v>
          </cell>
          <cell r="P3436">
            <v>190</v>
          </cell>
        </row>
        <row r="3437">
          <cell r="B3437" t="str">
            <v>1790-09</v>
          </cell>
          <cell r="C3437" t="str">
            <v>BODY</v>
          </cell>
          <cell r="D3437">
            <v>206.5</v>
          </cell>
          <cell r="N3437" t="str">
            <v>1790-09</v>
          </cell>
          <cell r="O3437" t="str">
            <v>BODY</v>
          </cell>
          <cell r="P3437">
            <v>413</v>
          </cell>
        </row>
        <row r="3438">
          <cell r="B3438" t="str">
            <v>1832-08</v>
          </cell>
          <cell r="C3438" t="str">
            <v>BODY RETAINER</v>
          </cell>
          <cell r="D3438">
            <v>92</v>
          </cell>
          <cell r="N3438" t="str">
            <v>1832-08</v>
          </cell>
          <cell r="O3438" t="str">
            <v>BODY RETAINER</v>
          </cell>
          <cell r="P3438">
            <v>184</v>
          </cell>
        </row>
        <row r="3439">
          <cell r="B3439" t="str">
            <v>966-00</v>
          </cell>
          <cell r="C3439" t="str">
            <v>COMP,GUIDE ASS'Y</v>
          </cell>
          <cell r="D3439">
            <v>206.5</v>
          </cell>
          <cell r="N3439" t="str">
            <v>966-00</v>
          </cell>
          <cell r="O3439" t="str">
            <v>COMP,GUIDE ASS'Y</v>
          </cell>
          <cell r="P3439">
            <v>413</v>
          </cell>
        </row>
        <row r="3440">
          <cell r="B3440" t="str">
            <v>1303-00</v>
          </cell>
          <cell r="C3440" t="str">
            <v>INSERT CAM</v>
          </cell>
          <cell r="D3440">
            <v>248.39999999999998</v>
          </cell>
          <cell r="N3440" t="str">
            <v>1303-00</v>
          </cell>
          <cell r="O3440" t="str">
            <v>INSERT CAM</v>
          </cell>
          <cell r="P3440">
            <v>414</v>
          </cell>
        </row>
        <row r="3441">
          <cell r="B3441" t="str">
            <v>1412-18</v>
          </cell>
          <cell r="C3441" t="str">
            <v>BODY</v>
          </cell>
          <cell r="D3441">
            <v>207</v>
          </cell>
          <cell r="N3441" t="str">
            <v>1412-18</v>
          </cell>
          <cell r="O3441" t="str">
            <v>BODY</v>
          </cell>
          <cell r="P3441">
            <v>414</v>
          </cell>
        </row>
        <row r="3442">
          <cell r="B3442" t="str">
            <v>1590-03</v>
          </cell>
          <cell r="C3442" t="str">
            <v>BODY</v>
          </cell>
          <cell r="D3442">
            <v>122</v>
          </cell>
          <cell r="N3442" t="str">
            <v>1590-03</v>
          </cell>
          <cell r="O3442" t="str">
            <v>BODY</v>
          </cell>
          <cell r="P3442">
            <v>244</v>
          </cell>
        </row>
        <row r="3443">
          <cell r="B3443" t="str">
            <v>1590-13</v>
          </cell>
          <cell r="C3443" t="str">
            <v>BODY</v>
          </cell>
          <cell r="D3443">
            <v>207</v>
          </cell>
          <cell r="N3443" t="str">
            <v>1590-13</v>
          </cell>
          <cell r="O3443" t="str">
            <v>BODY</v>
          </cell>
          <cell r="P3443">
            <v>414</v>
          </cell>
        </row>
        <row r="3444">
          <cell r="B3444" t="str">
            <v>1631-00</v>
          </cell>
          <cell r="C3444" t="str">
            <v>PISTON</v>
          </cell>
          <cell r="D3444">
            <v>198.5</v>
          </cell>
          <cell r="N3444" t="str">
            <v>1631-00</v>
          </cell>
          <cell r="O3444" t="str">
            <v>PISTON</v>
          </cell>
          <cell r="P3444">
            <v>397</v>
          </cell>
        </row>
        <row r="3445">
          <cell r="B3445" t="str">
            <v>1790-05</v>
          </cell>
          <cell r="C3445" t="str">
            <v>BODY</v>
          </cell>
          <cell r="D3445">
            <v>109.5</v>
          </cell>
          <cell r="N3445" t="str">
            <v>1790-05</v>
          </cell>
          <cell r="O3445" t="str">
            <v>BODY</v>
          </cell>
          <cell r="P3445">
            <v>219</v>
          </cell>
        </row>
        <row r="3446">
          <cell r="B3446" t="str">
            <v>2852-25</v>
          </cell>
          <cell r="C3446" t="str">
            <v>BODY</v>
          </cell>
          <cell r="D3446">
            <v>123.5</v>
          </cell>
          <cell r="N3446" t="str">
            <v>2852-25</v>
          </cell>
          <cell r="O3446" t="str">
            <v>BODY</v>
          </cell>
          <cell r="P3446">
            <v>247</v>
          </cell>
        </row>
        <row r="3447">
          <cell r="B3447" t="str">
            <v>598-19</v>
          </cell>
          <cell r="C3447" t="str">
            <v>PISTON</v>
          </cell>
          <cell r="D3447">
            <v>207</v>
          </cell>
          <cell r="N3447" t="str">
            <v>598-19</v>
          </cell>
          <cell r="O3447" t="str">
            <v>PISTON</v>
          </cell>
          <cell r="P3447">
            <v>414</v>
          </cell>
        </row>
        <row r="3448">
          <cell r="B3448" t="str">
            <v>598-31</v>
          </cell>
          <cell r="C3448" t="str">
            <v>PISTON</v>
          </cell>
          <cell r="D3448">
            <v>198</v>
          </cell>
          <cell r="N3448" t="str">
            <v>598-31</v>
          </cell>
          <cell r="O3448" t="str">
            <v>PISTON</v>
          </cell>
          <cell r="P3448">
            <v>396</v>
          </cell>
        </row>
        <row r="3449">
          <cell r="B3449" t="str">
            <v>1069-02</v>
          </cell>
          <cell r="C3449" t="str">
            <v>PISTON</v>
          </cell>
          <cell r="D3449">
            <v>126</v>
          </cell>
          <cell r="N3449" t="str">
            <v>1069-02</v>
          </cell>
          <cell r="O3449" t="str">
            <v>PISTON</v>
          </cell>
          <cell r="P3449">
            <v>252</v>
          </cell>
        </row>
        <row r="3450">
          <cell r="B3450" t="str">
            <v>1589-04</v>
          </cell>
          <cell r="C3450" t="str">
            <v>REB,RETAINER</v>
          </cell>
          <cell r="D3450">
            <v>207.5</v>
          </cell>
          <cell r="N3450" t="str">
            <v>1589-04</v>
          </cell>
          <cell r="O3450" t="str">
            <v>REB,RETAINER</v>
          </cell>
          <cell r="P3450">
            <v>415</v>
          </cell>
        </row>
        <row r="3451">
          <cell r="B3451" t="str">
            <v>357-04</v>
          </cell>
          <cell r="C3451" t="str">
            <v>ROD GUIDE ASS'Y</v>
          </cell>
          <cell r="D3451">
            <v>160.5</v>
          </cell>
          <cell r="N3451" t="str">
            <v>357-04</v>
          </cell>
          <cell r="O3451" t="str">
            <v>ROD GUIDE ASS'Y</v>
          </cell>
          <cell r="P3451">
            <v>321</v>
          </cell>
        </row>
        <row r="3452">
          <cell r="B3452" t="str">
            <v>861-08</v>
          </cell>
          <cell r="C3452" t="str">
            <v>BODY</v>
          </cell>
          <cell r="D3452">
            <v>90</v>
          </cell>
          <cell r="N3452" t="str">
            <v>861-08</v>
          </cell>
          <cell r="O3452" t="str">
            <v>BODY</v>
          </cell>
          <cell r="P3452">
            <v>180</v>
          </cell>
        </row>
        <row r="3453">
          <cell r="B3453" t="str">
            <v>878-08</v>
          </cell>
          <cell r="C3453" t="str">
            <v>BODY</v>
          </cell>
          <cell r="D3453">
            <v>207.5</v>
          </cell>
          <cell r="N3453" t="str">
            <v>878-08</v>
          </cell>
          <cell r="O3453" t="str">
            <v>BODY</v>
          </cell>
          <cell r="P3453">
            <v>415</v>
          </cell>
        </row>
        <row r="3454">
          <cell r="B3454" t="str">
            <v>1554-24</v>
          </cell>
          <cell r="C3454" t="str">
            <v>RS RETAINER</v>
          </cell>
          <cell r="D3454">
            <v>208</v>
          </cell>
          <cell r="N3454" t="str">
            <v>1554-24</v>
          </cell>
          <cell r="O3454" t="str">
            <v>RS RETAINER</v>
          </cell>
          <cell r="P3454">
            <v>416</v>
          </cell>
        </row>
        <row r="3455">
          <cell r="B3455" t="str">
            <v>1581-02</v>
          </cell>
          <cell r="C3455" t="str">
            <v>BODY</v>
          </cell>
          <cell r="D3455">
            <v>208</v>
          </cell>
          <cell r="N3455" t="str">
            <v>1581-02</v>
          </cell>
          <cell r="O3455" t="str">
            <v>BODY</v>
          </cell>
          <cell r="P3455">
            <v>416</v>
          </cell>
        </row>
        <row r="3456">
          <cell r="B3456" t="str">
            <v>1631-00</v>
          </cell>
          <cell r="C3456" t="str">
            <v>PISTON</v>
          </cell>
          <cell r="D3456">
            <v>198.5</v>
          </cell>
          <cell r="N3456" t="str">
            <v>1631-00</v>
          </cell>
          <cell r="O3456" t="str">
            <v>PISTON</v>
          </cell>
          <cell r="P3456">
            <v>397</v>
          </cell>
        </row>
        <row r="3457">
          <cell r="B3457" t="str">
            <v>1666-05</v>
          </cell>
          <cell r="C3457" t="str">
            <v>BODY</v>
          </cell>
          <cell r="D3457">
            <v>208</v>
          </cell>
          <cell r="N3457" t="str">
            <v>1666-05</v>
          </cell>
          <cell r="O3457" t="str">
            <v>BODY</v>
          </cell>
          <cell r="P3457">
            <v>416</v>
          </cell>
        </row>
        <row r="3458">
          <cell r="B3458" t="str">
            <v>1922-11</v>
          </cell>
          <cell r="C3458" t="str">
            <v>RS RETAINER</v>
          </cell>
          <cell r="D3458">
            <v>208</v>
          </cell>
          <cell r="N3458" t="str">
            <v>1922-11</v>
          </cell>
          <cell r="O3458" t="str">
            <v>RS RETAINER</v>
          </cell>
          <cell r="P3458">
            <v>416</v>
          </cell>
        </row>
        <row r="3459">
          <cell r="B3459" t="str">
            <v>530-01</v>
          </cell>
          <cell r="C3459" t="str">
            <v>ROD GUIDE ASS'Y</v>
          </cell>
          <cell r="D3459">
            <v>208</v>
          </cell>
          <cell r="N3459" t="str">
            <v>530-01</v>
          </cell>
          <cell r="O3459" t="str">
            <v>ROD GUIDE ASS'Y</v>
          </cell>
          <cell r="P3459">
            <v>416</v>
          </cell>
        </row>
        <row r="3460">
          <cell r="B3460" t="str">
            <v>671-05</v>
          </cell>
          <cell r="C3460" t="str">
            <v>PISTON</v>
          </cell>
          <cell r="D3460">
            <v>106</v>
          </cell>
          <cell r="N3460" t="str">
            <v>671-05</v>
          </cell>
          <cell r="O3460" t="str">
            <v>PISTON</v>
          </cell>
          <cell r="P3460">
            <v>212</v>
          </cell>
        </row>
        <row r="3461">
          <cell r="B3461" t="str">
            <v>797-19</v>
          </cell>
          <cell r="C3461" t="str">
            <v>BODY</v>
          </cell>
          <cell r="D3461">
            <v>143</v>
          </cell>
          <cell r="N3461" t="str">
            <v>797-19</v>
          </cell>
          <cell r="O3461" t="str">
            <v>BODY</v>
          </cell>
          <cell r="P3461">
            <v>286</v>
          </cell>
        </row>
        <row r="3462">
          <cell r="B3462" t="str">
            <v>797-19</v>
          </cell>
          <cell r="C3462" t="str">
            <v>BODY</v>
          </cell>
          <cell r="D3462">
            <v>143</v>
          </cell>
          <cell r="N3462" t="str">
            <v>797-19</v>
          </cell>
          <cell r="O3462" t="str">
            <v>BODY</v>
          </cell>
          <cell r="P3462">
            <v>286</v>
          </cell>
        </row>
        <row r="3463">
          <cell r="B3463" t="str">
            <v>861-19</v>
          </cell>
          <cell r="C3463" t="str">
            <v>BODY</v>
          </cell>
          <cell r="D3463">
            <v>176.5</v>
          </cell>
          <cell r="N3463" t="str">
            <v>861-19</v>
          </cell>
          <cell r="O3463" t="str">
            <v>BODY</v>
          </cell>
          <cell r="P3463">
            <v>353</v>
          </cell>
        </row>
        <row r="3464">
          <cell r="B3464" t="str">
            <v>861-21</v>
          </cell>
          <cell r="C3464" t="str">
            <v>BODY</v>
          </cell>
          <cell r="D3464">
            <v>184.5</v>
          </cell>
          <cell r="N3464" t="str">
            <v>861-21</v>
          </cell>
          <cell r="O3464" t="str">
            <v>BODY</v>
          </cell>
          <cell r="P3464">
            <v>369</v>
          </cell>
        </row>
        <row r="3465">
          <cell r="B3465" t="str">
            <v>1554-22</v>
          </cell>
          <cell r="C3465" t="str">
            <v>RS RETAINER</v>
          </cell>
          <cell r="D3465">
            <v>196.5</v>
          </cell>
          <cell r="N3465" t="str">
            <v>1554-22</v>
          </cell>
          <cell r="O3465" t="str">
            <v>RS RETAINER</v>
          </cell>
          <cell r="P3465">
            <v>393</v>
          </cell>
        </row>
        <row r="3466">
          <cell r="B3466" t="str">
            <v>1646-03</v>
          </cell>
          <cell r="C3466" t="str">
            <v>BODY</v>
          </cell>
          <cell r="D3466">
            <v>208.5</v>
          </cell>
          <cell r="N3466" t="str">
            <v>1646-03</v>
          </cell>
          <cell r="O3466" t="str">
            <v>BODY</v>
          </cell>
          <cell r="P3466">
            <v>417</v>
          </cell>
        </row>
        <row r="3467">
          <cell r="B3467" t="str">
            <v>1832-10</v>
          </cell>
          <cell r="C3467" t="str">
            <v>BODY RETAINER</v>
          </cell>
          <cell r="D3467">
            <v>95.5</v>
          </cell>
          <cell r="N3467" t="str">
            <v>1832-10</v>
          </cell>
          <cell r="O3467" t="str">
            <v>BODY RETAINER</v>
          </cell>
          <cell r="P3467">
            <v>191</v>
          </cell>
        </row>
        <row r="3468">
          <cell r="B3468" t="str">
            <v>1931-02</v>
          </cell>
          <cell r="C3468" t="str">
            <v>RS RETAINER</v>
          </cell>
          <cell r="D3468">
            <v>109</v>
          </cell>
          <cell r="N3468" t="str">
            <v>1931-02</v>
          </cell>
          <cell r="O3468" t="str">
            <v>RS RETAINER</v>
          </cell>
          <cell r="P3468">
            <v>218</v>
          </cell>
        </row>
        <row r="3469">
          <cell r="B3469" t="str">
            <v>659-08</v>
          </cell>
          <cell r="C3469" t="str">
            <v>ROD GUIDE ASS'Y</v>
          </cell>
          <cell r="D3469">
            <v>193.5</v>
          </cell>
          <cell r="N3469" t="str">
            <v>659-08</v>
          </cell>
          <cell r="O3469" t="str">
            <v>ROD GUIDE ASS'Y</v>
          </cell>
          <cell r="P3469">
            <v>387</v>
          </cell>
        </row>
        <row r="3470">
          <cell r="B3470" t="str">
            <v>714-01</v>
          </cell>
          <cell r="C3470" t="str">
            <v>PISTON</v>
          </cell>
          <cell r="D3470">
            <v>129.5</v>
          </cell>
          <cell r="N3470" t="str">
            <v>714-01</v>
          </cell>
          <cell r="O3470" t="str">
            <v>PISTON</v>
          </cell>
          <cell r="P3470">
            <v>259</v>
          </cell>
        </row>
        <row r="3471">
          <cell r="B3471" t="str">
            <v>714-01</v>
          </cell>
          <cell r="C3471" t="str">
            <v>PISTON</v>
          </cell>
          <cell r="D3471">
            <v>129.5</v>
          </cell>
          <cell r="N3471" t="str">
            <v>714-01</v>
          </cell>
          <cell r="O3471" t="str">
            <v>PISTON</v>
          </cell>
          <cell r="P3471">
            <v>259</v>
          </cell>
        </row>
        <row r="3472">
          <cell r="B3472" t="str">
            <v>1024-01</v>
          </cell>
          <cell r="C3472" t="str">
            <v>ROD GUIDE</v>
          </cell>
          <cell r="D3472">
            <v>209</v>
          </cell>
          <cell r="N3472" t="str">
            <v>1024-01</v>
          </cell>
          <cell r="O3472" t="str">
            <v>ROD GUIDE</v>
          </cell>
          <cell r="P3472">
            <v>418</v>
          </cell>
        </row>
        <row r="3473">
          <cell r="B3473" t="str">
            <v>659-08</v>
          </cell>
          <cell r="C3473" t="str">
            <v>ROD GUIDE ASS'Y</v>
          </cell>
          <cell r="D3473">
            <v>193.5</v>
          </cell>
          <cell r="N3473" t="str">
            <v>659-08</v>
          </cell>
          <cell r="O3473" t="str">
            <v>ROD GUIDE ASS'Y</v>
          </cell>
          <cell r="P3473">
            <v>387</v>
          </cell>
        </row>
        <row r="3474">
          <cell r="B3474" t="str">
            <v>673-05</v>
          </cell>
          <cell r="C3474" t="str">
            <v>PISTON</v>
          </cell>
          <cell r="D3474">
            <v>121</v>
          </cell>
          <cell r="N3474" t="str">
            <v>673-05</v>
          </cell>
          <cell r="O3474" t="str">
            <v>PISTON</v>
          </cell>
          <cell r="P3474">
            <v>242</v>
          </cell>
        </row>
        <row r="3475">
          <cell r="B3475" t="str">
            <v>714-01</v>
          </cell>
          <cell r="C3475" t="str">
            <v>PISTON</v>
          </cell>
          <cell r="D3475">
            <v>129.5</v>
          </cell>
          <cell r="N3475" t="str">
            <v>714-01</v>
          </cell>
          <cell r="O3475" t="str">
            <v>PISTON</v>
          </cell>
          <cell r="P3475">
            <v>259</v>
          </cell>
        </row>
        <row r="3476">
          <cell r="B3476" t="str">
            <v>786-10</v>
          </cell>
          <cell r="C3476" t="str">
            <v>BODY</v>
          </cell>
          <cell r="D3476">
            <v>150.5</v>
          </cell>
          <cell r="N3476" t="str">
            <v>786-10</v>
          </cell>
          <cell r="O3476" t="str">
            <v>BODY</v>
          </cell>
          <cell r="P3476">
            <v>301</v>
          </cell>
        </row>
        <row r="3477">
          <cell r="B3477" t="str">
            <v>800-02</v>
          </cell>
          <cell r="C3477" t="str">
            <v>PISTON</v>
          </cell>
          <cell r="D3477">
            <v>129.5</v>
          </cell>
          <cell r="N3477" t="str">
            <v>800-02</v>
          </cell>
          <cell r="O3477" t="str">
            <v>PISTON</v>
          </cell>
          <cell r="P3477">
            <v>259</v>
          </cell>
        </row>
        <row r="3478">
          <cell r="B3478" t="str">
            <v>861-13</v>
          </cell>
          <cell r="C3478" t="str">
            <v>BODY</v>
          </cell>
          <cell r="D3478">
            <v>191.5</v>
          </cell>
          <cell r="N3478" t="str">
            <v>861-13</v>
          </cell>
          <cell r="O3478" t="str">
            <v>BODY</v>
          </cell>
          <cell r="P3478">
            <v>383</v>
          </cell>
        </row>
        <row r="3479">
          <cell r="B3479" t="str">
            <v>1023-17</v>
          </cell>
          <cell r="C3479" t="str">
            <v>PISTON</v>
          </cell>
          <cell r="D3479">
            <v>209.5</v>
          </cell>
          <cell r="N3479" t="str">
            <v>1023-17</v>
          </cell>
          <cell r="O3479" t="str">
            <v>PISTON</v>
          </cell>
          <cell r="P3479">
            <v>419</v>
          </cell>
        </row>
        <row r="3480">
          <cell r="B3480" t="str">
            <v>1024-00</v>
          </cell>
          <cell r="C3480" t="str">
            <v>ROD GUIDE</v>
          </cell>
          <cell r="D3480">
            <v>209.5</v>
          </cell>
          <cell r="N3480" t="str">
            <v>1024-00</v>
          </cell>
          <cell r="O3480" t="str">
            <v>ROD GUIDE</v>
          </cell>
          <cell r="P3480">
            <v>419</v>
          </cell>
        </row>
        <row r="3481">
          <cell r="B3481" t="str">
            <v>1069-02</v>
          </cell>
          <cell r="C3481" t="str">
            <v>PISTON</v>
          </cell>
          <cell r="D3481">
            <v>126</v>
          </cell>
          <cell r="N3481" t="str">
            <v>1069-02</v>
          </cell>
          <cell r="O3481" t="str">
            <v>PISTON</v>
          </cell>
          <cell r="P3481">
            <v>252</v>
          </cell>
        </row>
        <row r="3482">
          <cell r="B3482" t="str">
            <v>1069-03</v>
          </cell>
          <cell r="C3482" t="str">
            <v>PISTON</v>
          </cell>
          <cell r="D3482">
            <v>93.5</v>
          </cell>
          <cell r="N3482" t="str">
            <v>1069-03</v>
          </cell>
          <cell r="O3482" t="str">
            <v>PISTON</v>
          </cell>
          <cell r="P3482">
            <v>187</v>
          </cell>
        </row>
        <row r="3483">
          <cell r="B3483" t="str">
            <v>1079-08</v>
          </cell>
          <cell r="C3483" t="str">
            <v>BODY</v>
          </cell>
          <cell r="D3483">
            <v>127.5</v>
          </cell>
          <cell r="N3483" t="str">
            <v>1079-08</v>
          </cell>
          <cell r="O3483" t="str">
            <v>BODY</v>
          </cell>
          <cell r="P3483">
            <v>255</v>
          </cell>
        </row>
        <row r="3484">
          <cell r="B3484" t="str">
            <v>1412-05</v>
          </cell>
          <cell r="C3484" t="str">
            <v>BODY</v>
          </cell>
          <cell r="D3484">
            <v>124.5</v>
          </cell>
          <cell r="N3484" t="str">
            <v>1412-05</v>
          </cell>
          <cell r="O3484" t="str">
            <v>BODY</v>
          </cell>
          <cell r="P3484">
            <v>249</v>
          </cell>
        </row>
        <row r="3485">
          <cell r="B3485" t="str">
            <v>1554-03</v>
          </cell>
          <cell r="C3485" t="str">
            <v>RS RETAINER</v>
          </cell>
          <cell r="D3485">
            <v>87.5</v>
          </cell>
          <cell r="N3485" t="str">
            <v>1554-03</v>
          </cell>
          <cell r="O3485" t="str">
            <v>RS RETAINER</v>
          </cell>
          <cell r="P3485">
            <v>175</v>
          </cell>
        </row>
        <row r="3486">
          <cell r="B3486" t="str">
            <v>1554-03</v>
          </cell>
          <cell r="C3486" t="str">
            <v>RS RETAINER</v>
          </cell>
          <cell r="D3486">
            <v>87.5</v>
          </cell>
          <cell r="N3486" t="str">
            <v>1554-03</v>
          </cell>
          <cell r="O3486" t="str">
            <v>RS RETAINER</v>
          </cell>
          <cell r="P3486">
            <v>175</v>
          </cell>
        </row>
        <row r="3487">
          <cell r="B3487" t="str">
            <v>1554-03</v>
          </cell>
          <cell r="C3487" t="str">
            <v>RS RETAINER</v>
          </cell>
          <cell r="D3487">
            <v>87.5</v>
          </cell>
          <cell r="N3487" t="str">
            <v>1554-03</v>
          </cell>
          <cell r="O3487" t="str">
            <v>RS RETAINER</v>
          </cell>
          <cell r="P3487">
            <v>175</v>
          </cell>
        </row>
        <row r="3488">
          <cell r="B3488" t="str">
            <v>1630-11</v>
          </cell>
          <cell r="C3488" t="str">
            <v>RS RETAINER</v>
          </cell>
          <cell r="D3488">
            <v>209.5</v>
          </cell>
          <cell r="N3488" t="str">
            <v>1630-11</v>
          </cell>
          <cell r="O3488" t="str">
            <v>RS RETAINER</v>
          </cell>
          <cell r="P3488">
            <v>419</v>
          </cell>
        </row>
        <row r="3489">
          <cell r="B3489" t="str">
            <v>1631-00</v>
          </cell>
          <cell r="C3489" t="str">
            <v>PISTON</v>
          </cell>
          <cell r="D3489">
            <v>198.5</v>
          </cell>
          <cell r="N3489" t="str">
            <v>1631-00</v>
          </cell>
          <cell r="O3489" t="str">
            <v>PISTON</v>
          </cell>
          <cell r="P3489">
            <v>397</v>
          </cell>
        </row>
        <row r="3490">
          <cell r="B3490" t="str">
            <v>1634-11</v>
          </cell>
          <cell r="C3490" t="str">
            <v>RS RETAINER</v>
          </cell>
          <cell r="D3490">
            <v>198</v>
          </cell>
          <cell r="N3490" t="str">
            <v>1634-11</v>
          </cell>
          <cell r="O3490" t="str">
            <v>RS RETAINER</v>
          </cell>
          <cell r="P3490">
            <v>396</v>
          </cell>
        </row>
        <row r="3491">
          <cell r="B3491" t="str">
            <v>1634-11</v>
          </cell>
          <cell r="C3491" t="str">
            <v>RS RETAINER</v>
          </cell>
          <cell r="D3491">
            <v>198</v>
          </cell>
          <cell r="N3491" t="str">
            <v>1634-11</v>
          </cell>
          <cell r="O3491" t="str">
            <v>RS RETAINER</v>
          </cell>
          <cell r="P3491">
            <v>396</v>
          </cell>
        </row>
        <row r="3492">
          <cell r="B3492" t="str">
            <v>1791-07</v>
          </cell>
          <cell r="C3492" t="str">
            <v>BODY</v>
          </cell>
          <cell r="D3492">
            <v>199.5</v>
          </cell>
          <cell r="N3492" t="str">
            <v>1791-07</v>
          </cell>
          <cell r="O3492" t="str">
            <v>BODY</v>
          </cell>
          <cell r="P3492">
            <v>399</v>
          </cell>
        </row>
        <row r="3493">
          <cell r="B3493" t="str">
            <v>1799-02</v>
          </cell>
          <cell r="C3493" t="str">
            <v>PISTON</v>
          </cell>
          <cell r="D3493">
            <v>209.5</v>
          </cell>
          <cell r="N3493" t="str">
            <v>1799-02</v>
          </cell>
          <cell r="O3493" t="str">
            <v>PISTON</v>
          </cell>
          <cell r="P3493">
            <v>419</v>
          </cell>
        </row>
        <row r="3494">
          <cell r="B3494" t="str">
            <v>588-28</v>
          </cell>
          <cell r="C3494" t="str">
            <v>PISTON</v>
          </cell>
          <cell r="D3494">
            <v>130</v>
          </cell>
          <cell r="N3494" t="str">
            <v>588-28</v>
          </cell>
          <cell r="O3494" t="str">
            <v>PISTON</v>
          </cell>
          <cell r="P3494">
            <v>260</v>
          </cell>
        </row>
        <row r="3495">
          <cell r="B3495" t="str">
            <v>797-14</v>
          </cell>
          <cell r="C3495" t="str">
            <v>BODY</v>
          </cell>
          <cell r="D3495">
            <v>199.5</v>
          </cell>
          <cell r="N3495" t="str">
            <v>797-14</v>
          </cell>
          <cell r="O3495" t="str">
            <v>BODY</v>
          </cell>
          <cell r="P3495">
            <v>399</v>
          </cell>
        </row>
        <row r="3496">
          <cell r="B3496" t="str">
            <v>1176-06</v>
          </cell>
          <cell r="C3496" t="str">
            <v>BASE VALVE</v>
          </cell>
          <cell r="D3496">
            <v>210</v>
          </cell>
          <cell r="N3496" t="str">
            <v>1176-06</v>
          </cell>
          <cell r="O3496" t="str">
            <v>BASE VALVE</v>
          </cell>
          <cell r="P3496">
            <v>420</v>
          </cell>
        </row>
        <row r="3497">
          <cell r="B3497" t="str">
            <v>1666-01</v>
          </cell>
          <cell r="C3497" t="str">
            <v>BODY</v>
          </cell>
          <cell r="D3497">
            <v>140</v>
          </cell>
          <cell r="N3497" t="str">
            <v>1666-01</v>
          </cell>
          <cell r="O3497" t="str">
            <v>BODY</v>
          </cell>
          <cell r="P3497">
            <v>280</v>
          </cell>
        </row>
        <row r="3498">
          <cell r="B3498" t="str">
            <v>1668-00</v>
          </cell>
          <cell r="C3498" t="str">
            <v>CAM</v>
          </cell>
          <cell r="D3498">
            <v>252</v>
          </cell>
          <cell r="N3498" t="str">
            <v>1668-00</v>
          </cell>
          <cell r="O3498" t="str">
            <v>CAM</v>
          </cell>
          <cell r="P3498">
            <v>420</v>
          </cell>
        </row>
        <row r="3499">
          <cell r="B3499" t="str">
            <v>1668-00</v>
          </cell>
          <cell r="C3499" t="str">
            <v>CAM</v>
          </cell>
          <cell r="D3499">
            <v>252</v>
          </cell>
          <cell r="N3499" t="str">
            <v>1668-00</v>
          </cell>
          <cell r="O3499" t="str">
            <v>CAM</v>
          </cell>
          <cell r="P3499">
            <v>420</v>
          </cell>
        </row>
        <row r="3500">
          <cell r="B3500" t="str">
            <v>1779-12</v>
          </cell>
          <cell r="C3500" t="str">
            <v>RS RETAINER</v>
          </cell>
          <cell r="D3500">
            <v>188.5</v>
          </cell>
          <cell r="N3500" t="str">
            <v>1779-12</v>
          </cell>
          <cell r="O3500" t="str">
            <v>RS RETAINER</v>
          </cell>
          <cell r="P3500">
            <v>377</v>
          </cell>
        </row>
        <row r="3501">
          <cell r="B3501" t="str">
            <v>1832-11</v>
          </cell>
          <cell r="C3501" t="str">
            <v>BODY RETAINER</v>
          </cell>
          <cell r="D3501">
            <v>210</v>
          </cell>
          <cell r="N3501" t="str">
            <v>1832-11</v>
          </cell>
          <cell r="O3501" t="str">
            <v>BODY RETAINER</v>
          </cell>
          <cell r="P3501">
            <v>420</v>
          </cell>
        </row>
        <row r="3502">
          <cell r="B3502" t="str">
            <v>2009-00</v>
          </cell>
          <cell r="C3502" t="str">
            <v>FIXED GEAR</v>
          </cell>
          <cell r="D3502">
            <v>252</v>
          </cell>
          <cell r="N3502" t="str">
            <v>2009-00</v>
          </cell>
          <cell r="O3502" t="str">
            <v>FIXED GEAR</v>
          </cell>
          <cell r="P3502">
            <v>420</v>
          </cell>
        </row>
        <row r="3503">
          <cell r="B3503" t="str">
            <v>835-00</v>
          </cell>
          <cell r="C3503" t="str">
            <v>SUPPORT YOKE ASS'Y</v>
          </cell>
          <cell r="D3503">
            <v>210</v>
          </cell>
          <cell r="N3503" t="str">
            <v>835-00</v>
          </cell>
          <cell r="O3503" t="str">
            <v>SUPPORT YOKE ASS'Y</v>
          </cell>
          <cell r="P3503">
            <v>420</v>
          </cell>
        </row>
        <row r="3504">
          <cell r="B3504" t="str">
            <v>1064-02</v>
          </cell>
          <cell r="C3504" t="str">
            <v>HOUSING PISTON</v>
          </cell>
          <cell r="D3504">
            <v>210.5</v>
          </cell>
          <cell r="N3504" t="str">
            <v>1064-02</v>
          </cell>
          <cell r="O3504" t="str">
            <v>HOUSING PISTON</v>
          </cell>
          <cell r="P3504">
            <v>421</v>
          </cell>
        </row>
        <row r="3505">
          <cell r="B3505" t="str">
            <v>1554-24</v>
          </cell>
          <cell r="C3505" t="str">
            <v>RS RETAINER</v>
          </cell>
          <cell r="D3505">
            <v>208</v>
          </cell>
          <cell r="N3505" t="str">
            <v>1554-24</v>
          </cell>
          <cell r="O3505" t="str">
            <v>RS RETAINER</v>
          </cell>
          <cell r="P3505">
            <v>416</v>
          </cell>
        </row>
        <row r="3506">
          <cell r="B3506" t="str">
            <v>1554-34</v>
          </cell>
          <cell r="C3506" t="str">
            <v>RS RETAINER</v>
          </cell>
          <cell r="D3506">
            <v>202</v>
          </cell>
          <cell r="N3506" t="str">
            <v>1554-34</v>
          </cell>
          <cell r="O3506" t="str">
            <v>RS RETAINER</v>
          </cell>
          <cell r="P3506">
            <v>404</v>
          </cell>
        </row>
        <row r="3507">
          <cell r="B3507" t="str">
            <v>1666-05</v>
          </cell>
          <cell r="C3507" t="str">
            <v>BODY</v>
          </cell>
          <cell r="D3507">
            <v>208</v>
          </cell>
          <cell r="N3507" t="str">
            <v>1666-05</v>
          </cell>
          <cell r="O3507" t="str">
            <v>BODY</v>
          </cell>
          <cell r="P3507">
            <v>416</v>
          </cell>
        </row>
        <row r="3508">
          <cell r="B3508" t="str">
            <v>1666-10</v>
          </cell>
          <cell r="C3508" t="str">
            <v>BODY</v>
          </cell>
          <cell r="D3508">
            <v>210.5</v>
          </cell>
          <cell r="N3508" t="str">
            <v>1666-10</v>
          </cell>
          <cell r="O3508" t="str">
            <v>BODY</v>
          </cell>
          <cell r="P3508">
            <v>421</v>
          </cell>
        </row>
        <row r="3509">
          <cell r="B3509" t="str">
            <v>1734-07</v>
          </cell>
          <cell r="C3509" t="str">
            <v>RS RETAINER</v>
          </cell>
          <cell r="D3509">
            <v>90</v>
          </cell>
          <cell r="N3509" t="str">
            <v>1734-07</v>
          </cell>
          <cell r="O3509" t="str">
            <v>RS RETAINER</v>
          </cell>
          <cell r="P3509">
            <v>180</v>
          </cell>
        </row>
        <row r="3510">
          <cell r="B3510" t="str">
            <v>1832-10</v>
          </cell>
          <cell r="C3510" t="str">
            <v>BODY RETAINER</v>
          </cell>
          <cell r="D3510">
            <v>95.5</v>
          </cell>
          <cell r="N3510" t="str">
            <v>1832-10</v>
          </cell>
          <cell r="O3510" t="str">
            <v>BODY RETAINER</v>
          </cell>
          <cell r="P3510">
            <v>191</v>
          </cell>
        </row>
        <row r="3511">
          <cell r="B3511" t="str">
            <v>2412-08</v>
          </cell>
          <cell r="C3511" t="str">
            <v>BODY</v>
          </cell>
          <cell r="D3511">
            <v>210.5</v>
          </cell>
          <cell r="N3511" t="str">
            <v>2412-08</v>
          </cell>
          <cell r="O3511" t="str">
            <v>BODY</v>
          </cell>
          <cell r="P3511">
            <v>421</v>
          </cell>
        </row>
        <row r="3512">
          <cell r="B3512" t="str">
            <v>671-05</v>
          </cell>
          <cell r="C3512" t="str">
            <v>PISTON</v>
          </cell>
          <cell r="D3512">
            <v>106</v>
          </cell>
          <cell r="N3512" t="str">
            <v>671-05</v>
          </cell>
          <cell r="O3512" t="str">
            <v>PISTON</v>
          </cell>
          <cell r="P3512">
            <v>212</v>
          </cell>
        </row>
        <row r="3513">
          <cell r="B3513" t="str">
            <v>797-20</v>
          </cell>
          <cell r="C3513" t="str">
            <v>BODY</v>
          </cell>
          <cell r="D3513">
            <v>141.5</v>
          </cell>
          <cell r="N3513" t="str">
            <v>797-20</v>
          </cell>
          <cell r="O3513" t="str">
            <v>BODY</v>
          </cell>
          <cell r="P3513">
            <v>283</v>
          </cell>
        </row>
        <row r="3514">
          <cell r="B3514" t="str">
            <v>1031-01</v>
          </cell>
          <cell r="C3514" t="str">
            <v>ROD GUIDE ASS'Y</v>
          </cell>
          <cell r="D3514">
            <v>190.5</v>
          </cell>
          <cell r="N3514" t="str">
            <v>1031-01</v>
          </cell>
          <cell r="O3514" t="str">
            <v>ROD GUIDE ASS'Y</v>
          </cell>
          <cell r="P3514">
            <v>381</v>
          </cell>
        </row>
        <row r="3515">
          <cell r="B3515" t="str">
            <v>1548-00</v>
          </cell>
          <cell r="C3515" t="str">
            <v>CAM</v>
          </cell>
          <cell r="D3515">
            <v>253.2</v>
          </cell>
          <cell r="N3515" t="str">
            <v>1548-00</v>
          </cell>
          <cell r="O3515" t="str">
            <v>CAM</v>
          </cell>
          <cell r="P3515">
            <v>422</v>
          </cell>
        </row>
        <row r="3516">
          <cell r="B3516" t="str">
            <v>1548-00</v>
          </cell>
          <cell r="C3516" t="str">
            <v>CAM</v>
          </cell>
          <cell r="D3516">
            <v>253.2</v>
          </cell>
          <cell r="N3516" t="str">
            <v>1548-00</v>
          </cell>
          <cell r="O3516" t="str">
            <v>CAM</v>
          </cell>
          <cell r="P3516">
            <v>422</v>
          </cell>
        </row>
        <row r="3517">
          <cell r="B3517" t="str">
            <v>1589-04</v>
          </cell>
          <cell r="C3517" t="str">
            <v>REB,RETAINER</v>
          </cell>
          <cell r="D3517">
            <v>207.5</v>
          </cell>
          <cell r="N3517" t="str">
            <v>1589-04</v>
          </cell>
          <cell r="O3517" t="str">
            <v>REB,RETAINER</v>
          </cell>
          <cell r="P3517">
            <v>415</v>
          </cell>
        </row>
        <row r="3518">
          <cell r="B3518" t="str">
            <v>1634-29</v>
          </cell>
          <cell r="C3518" t="str">
            <v>RS RETAINER</v>
          </cell>
          <cell r="D3518">
            <v>89.5</v>
          </cell>
          <cell r="N3518" t="str">
            <v>1634-29</v>
          </cell>
          <cell r="O3518" t="str">
            <v>RS RETAINER</v>
          </cell>
          <cell r="P3518">
            <v>179</v>
          </cell>
        </row>
        <row r="3519">
          <cell r="B3519" t="str">
            <v>1791-07</v>
          </cell>
          <cell r="C3519" t="str">
            <v>BODY</v>
          </cell>
          <cell r="D3519">
            <v>199.5</v>
          </cell>
          <cell r="N3519" t="str">
            <v>1791-07</v>
          </cell>
          <cell r="O3519" t="str">
            <v>BODY</v>
          </cell>
          <cell r="P3519">
            <v>399</v>
          </cell>
        </row>
        <row r="3520">
          <cell r="B3520" t="str">
            <v>1792-03</v>
          </cell>
          <cell r="C3520" t="str">
            <v>REB,RETAINER</v>
          </cell>
          <cell r="D3520">
            <v>201</v>
          </cell>
          <cell r="N3520" t="str">
            <v>1792-03</v>
          </cell>
          <cell r="O3520" t="str">
            <v>REB,RETAINER</v>
          </cell>
          <cell r="P3520">
            <v>402</v>
          </cell>
        </row>
        <row r="3521">
          <cell r="B3521" t="str">
            <v>1799-01</v>
          </cell>
          <cell r="C3521" t="str">
            <v>PISTON</v>
          </cell>
          <cell r="D3521">
            <v>175</v>
          </cell>
          <cell r="N3521" t="str">
            <v>1799-01</v>
          </cell>
          <cell r="O3521" t="str">
            <v>PISTON</v>
          </cell>
          <cell r="P3521">
            <v>350</v>
          </cell>
        </row>
        <row r="3522">
          <cell r="B3522" t="str">
            <v>1799-01</v>
          </cell>
          <cell r="C3522" t="str">
            <v>PISTON</v>
          </cell>
          <cell r="D3522">
            <v>175</v>
          </cell>
          <cell r="N3522" t="str">
            <v>1799-01</v>
          </cell>
          <cell r="O3522" t="str">
            <v>PISTON</v>
          </cell>
          <cell r="P3522">
            <v>350</v>
          </cell>
        </row>
        <row r="3523">
          <cell r="B3523" t="str">
            <v>1799-01</v>
          </cell>
          <cell r="C3523" t="str">
            <v>PISTON</v>
          </cell>
          <cell r="D3523">
            <v>175</v>
          </cell>
          <cell r="N3523" t="str">
            <v>1799-01</v>
          </cell>
          <cell r="O3523" t="str">
            <v>PISTON</v>
          </cell>
          <cell r="P3523">
            <v>350</v>
          </cell>
        </row>
        <row r="3524">
          <cell r="B3524" t="str">
            <v>1904-02</v>
          </cell>
          <cell r="C3524" t="str">
            <v>BODY</v>
          </cell>
          <cell r="D3524">
            <v>211</v>
          </cell>
          <cell r="N3524" t="str">
            <v>1904-02</v>
          </cell>
          <cell r="O3524" t="str">
            <v>BODY</v>
          </cell>
          <cell r="P3524">
            <v>422</v>
          </cell>
        </row>
        <row r="3525">
          <cell r="B3525" t="str">
            <v>2412-06</v>
          </cell>
          <cell r="C3525" t="str">
            <v>BODY</v>
          </cell>
          <cell r="D3525">
            <v>143</v>
          </cell>
          <cell r="N3525" t="str">
            <v>2412-06</v>
          </cell>
          <cell r="O3525" t="str">
            <v>BODY</v>
          </cell>
          <cell r="P3525">
            <v>286</v>
          </cell>
        </row>
        <row r="3526">
          <cell r="B3526" t="str">
            <v>1069-03</v>
          </cell>
          <cell r="C3526" t="str">
            <v>PISTON</v>
          </cell>
          <cell r="D3526">
            <v>93.5</v>
          </cell>
          <cell r="N3526" t="str">
            <v>1069-03</v>
          </cell>
          <cell r="O3526" t="str">
            <v>PISTON</v>
          </cell>
          <cell r="P3526">
            <v>187</v>
          </cell>
        </row>
        <row r="3527">
          <cell r="B3527" t="str">
            <v>1412-10</v>
          </cell>
          <cell r="C3527" t="str">
            <v>BODY</v>
          </cell>
          <cell r="D3527">
            <v>146.5</v>
          </cell>
          <cell r="N3527" t="str">
            <v>1412-10</v>
          </cell>
          <cell r="O3527" t="str">
            <v>BODY</v>
          </cell>
          <cell r="P3527">
            <v>293</v>
          </cell>
        </row>
        <row r="3528">
          <cell r="B3528" t="str">
            <v>1554-22</v>
          </cell>
          <cell r="C3528" t="str">
            <v>RS RETAINER</v>
          </cell>
          <cell r="D3528">
            <v>196.5</v>
          </cell>
          <cell r="N3528" t="str">
            <v>1554-22</v>
          </cell>
          <cell r="O3528" t="str">
            <v>RS RETAINER</v>
          </cell>
          <cell r="P3528">
            <v>393</v>
          </cell>
        </row>
        <row r="3529">
          <cell r="B3529" t="str">
            <v>1590-04</v>
          </cell>
          <cell r="C3529" t="str">
            <v>BODY</v>
          </cell>
          <cell r="D3529">
            <v>117.5</v>
          </cell>
          <cell r="N3529" t="str">
            <v>1590-04</v>
          </cell>
          <cell r="O3529" t="str">
            <v>BODY</v>
          </cell>
          <cell r="P3529">
            <v>235</v>
          </cell>
        </row>
        <row r="3530">
          <cell r="B3530" t="str">
            <v>1631-00</v>
          </cell>
          <cell r="C3530" t="str">
            <v>PISTON</v>
          </cell>
          <cell r="D3530">
            <v>198.5</v>
          </cell>
          <cell r="N3530" t="str">
            <v>1631-00</v>
          </cell>
          <cell r="O3530" t="str">
            <v>PISTON</v>
          </cell>
          <cell r="P3530">
            <v>397</v>
          </cell>
        </row>
        <row r="3531">
          <cell r="B3531" t="str">
            <v>1681-05</v>
          </cell>
          <cell r="C3531" t="str">
            <v>BODY</v>
          </cell>
          <cell r="D3531">
            <v>138</v>
          </cell>
          <cell r="N3531" t="str">
            <v>1681-05</v>
          </cell>
          <cell r="O3531" t="str">
            <v>BODY</v>
          </cell>
          <cell r="P3531">
            <v>276</v>
          </cell>
        </row>
        <row r="3532">
          <cell r="B3532" t="str">
            <v>588-07</v>
          </cell>
          <cell r="C3532" t="str">
            <v>PISTON</v>
          </cell>
          <cell r="D3532">
            <v>107</v>
          </cell>
          <cell r="N3532" t="str">
            <v>588-07</v>
          </cell>
          <cell r="O3532" t="str">
            <v>PISTON</v>
          </cell>
          <cell r="P3532">
            <v>214</v>
          </cell>
        </row>
        <row r="3533">
          <cell r="B3533" t="str">
            <v>673-06</v>
          </cell>
          <cell r="C3533" t="str">
            <v>PISTON</v>
          </cell>
          <cell r="D3533">
            <v>122</v>
          </cell>
          <cell r="N3533" t="str">
            <v>673-06</v>
          </cell>
          <cell r="O3533" t="str">
            <v>PISTON</v>
          </cell>
          <cell r="P3533">
            <v>244</v>
          </cell>
        </row>
        <row r="3534">
          <cell r="B3534" t="str">
            <v>1030-02</v>
          </cell>
          <cell r="C3534" t="str">
            <v>ROD GUIDE ASS'Y</v>
          </cell>
          <cell r="D3534">
            <v>196</v>
          </cell>
          <cell r="N3534" t="str">
            <v>1030-02</v>
          </cell>
          <cell r="O3534" t="str">
            <v>ROD GUIDE ASS'Y</v>
          </cell>
          <cell r="P3534">
            <v>392</v>
          </cell>
        </row>
        <row r="3535">
          <cell r="B3535" t="str">
            <v>1666-02</v>
          </cell>
          <cell r="C3535" t="str">
            <v>BODY</v>
          </cell>
          <cell r="D3535">
            <v>203</v>
          </cell>
          <cell r="N3535" t="str">
            <v>1666-02</v>
          </cell>
          <cell r="O3535" t="str">
            <v>BODY</v>
          </cell>
          <cell r="P3535">
            <v>406</v>
          </cell>
        </row>
        <row r="3536">
          <cell r="B3536" t="str">
            <v>1791-04</v>
          </cell>
          <cell r="C3536" t="str">
            <v>BODY</v>
          </cell>
          <cell r="D3536">
            <v>169.5</v>
          </cell>
          <cell r="N3536" t="str">
            <v>1791-04</v>
          </cell>
          <cell r="O3536" t="str">
            <v>BODY</v>
          </cell>
          <cell r="P3536">
            <v>339</v>
          </cell>
        </row>
        <row r="3537">
          <cell r="B3537" t="str">
            <v>1891-01</v>
          </cell>
          <cell r="C3537" t="str">
            <v>BODY</v>
          </cell>
          <cell r="D3537">
            <v>212</v>
          </cell>
          <cell r="N3537" t="str">
            <v>1891-01</v>
          </cell>
          <cell r="O3537" t="str">
            <v>BODY</v>
          </cell>
          <cell r="P3537">
            <v>424</v>
          </cell>
        </row>
        <row r="3538">
          <cell r="B3538" t="str">
            <v>1891-01</v>
          </cell>
          <cell r="C3538" t="str">
            <v>BODY</v>
          </cell>
          <cell r="D3538">
            <v>212</v>
          </cell>
          <cell r="N3538" t="str">
            <v>1891-01</v>
          </cell>
          <cell r="O3538" t="str">
            <v>BODY</v>
          </cell>
          <cell r="P3538">
            <v>424</v>
          </cell>
        </row>
        <row r="3539">
          <cell r="B3539" t="str">
            <v>1922-09</v>
          </cell>
          <cell r="C3539" t="str">
            <v>RS RETAINER</v>
          </cell>
          <cell r="D3539">
            <v>201</v>
          </cell>
          <cell r="N3539" t="str">
            <v>1922-09</v>
          </cell>
          <cell r="O3539" t="str">
            <v>RS RETAINER</v>
          </cell>
          <cell r="P3539">
            <v>402</v>
          </cell>
        </row>
        <row r="3540">
          <cell r="B3540" t="str">
            <v>588-09</v>
          </cell>
          <cell r="C3540" t="str">
            <v>PISTON</v>
          </cell>
          <cell r="D3540">
            <v>103</v>
          </cell>
          <cell r="N3540" t="str">
            <v>588-09</v>
          </cell>
          <cell r="O3540" t="str">
            <v>PISTON</v>
          </cell>
          <cell r="P3540">
            <v>206</v>
          </cell>
        </row>
        <row r="3541">
          <cell r="B3541" t="str">
            <v>861-15</v>
          </cell>
          <cell r="C3541" t="str">
            <v>BODY</v>
          </cell>
          <cell r="D3541">
            <v>91</v>
          </cell>
          <cell r="N3541" t="str">
            <v>861-15</v>
          </cell>
          <cell r="O3541" t="str">
            <v>BODY</v>
          </cell>
          <cell r="P3541">
            <v>182</v>
          </cell>
        </row>
        <row r="3542">
          <cell r="B3542" t="str">
            <v>861-16</v>
          </cell>
          <cell r="C3542" t="str">
            <v>BODY</v>
          </cell>
          <cell r="D3542">
            <v>119</v>
          </cell>
          <cell r="N3542" t="str">
            <v>861-16</v>
          </cell>
          <cell r="O3542" t="str">
            <v>BODY</v>
          </cell>
          <cell r="P3542">
            <v>238</v>
          </cell>
        </row>
        <row r="3543">
          <cell r="B3543" t="str">
            <v>062-01</v>
          </cell>
          <cell r="C3543" t="str">
            <v>ROD GUIDE ASS'Y</v>
          </cell>
          <cell r="D3543">
            <v>212.5</v>
          </cell>
          <cell r="N3543" t="str">
            <v>062-01</v>
          </cell>
          <cell r="O3543" t="str">
            <v>ROD GUIDE ASS'Y</v>
          </cell>
          <cell r="P3543">
            <v>425</v>
          </cell>
        </row>
        <row r="3544">
          <cell r="B3544" t="str">
            <v>1023-12</v>
          </cell>
          <cell r="C3544" t="str">
            <v>PISTON</v>
          </cell>
          <cell r="D3544">
            <v>212.5</v>
          </cell>
          <cell r="N3544" t="str">
            <v>1023-12</v>
          </cell>
          <cell r="O3544" t="str">
            <v>PISTON</v>
          </cell>
          <cell r="P3544">
            <v>425</v>
          </cell>
        </row>
        <row r="3545">
          <cell r="B3545" t="str">
            <v>1634-11</v>
          </cell>
          <cell r="C3545" t="str">
            <v>RS RETAINER</v>
          </cell>
          <cell r="D3545">
            <v>198</v>
          </cell>
          <cell r="N3545" t="str">
            <v>1634-11</v>
          </cell>
          <cell r="O3545" t="str">
            <v>RS RETAINER</v>
          </cell>
          <cell r="P3545">
            <v>396</v>
          </cell>
        </row>
        <row r="3546">
          <cell r="B3546" t="str">
            <v>1634-29</v>
          </cell>
          <cell r="C3546" t="str">
            <v>RS RETAINER</v>
          </cell>
          <cell r="D3546">
            <v>89.5</v>
          </cell>
          <cell r="N3546" t="str">
            <v>1634-29</v>
          </cell>
          <cell r="O3546" t="str">
            <v>RS RETAINER</v>
          </cell>
          <cell r="P3546">
            <v>179</v>
          </cell>
        </row>
        <row r="3547">
          <cell r="B3547" t="str">
            <v>1734-18</v>
          </cell>
          <cell r="C3547" t="str">
            <v>RS RETAINER</v>
          </cell>
          <cell r="D3547">
            <v>212.5</v>
          </cell>
          <cell r="N3547" t="str">
            <v>1734-18</v>
          </cell>
          <cell r="O3547" t="str">
            <v>RS RETAINER</v>
          </cell>
          <cell r="P3547">
            <v>425</v>
          </cell>
        </row>
        <row r="3548">
          <cell r="B3548" t="str">
            <v>1779-12</v>
          </cell>
          <cell r="C3548" t="str">
            <v>RS RETAINER</v>
          </cell>
          <cell r="D3548">
            <v>188.5</v>
          </cell>
          <cell r="N3548" t="str">
            <v>1779-12</v>
          </cell>
          <cell r="O3548" t="str">
            <v>RS RETAINER</v>
          </cell>
          <cell r="P3548">
            <v>377</v>
          </cell>
        </row>
        <row r="3549">
          <cell r="B3549" t="str">
            <v>1891-01</v>
          </cell>
          <cell r="C3549" t="str">
            <v>BODY</v>
          </cell>
          <cell r="D3549">
            <v>212</v>
          </cell>
          <cell r="N3549" t="str">
            <v>1891-01</v>
          </cell>
          <cell r="O3549" t="str">
            <v>BODY</v>
          </cell>
          <cell r="P3549">
            <v>424</v>
          </cell>
        </row>
        <row r="3550">
          <cell r="B3550" t="str">
            <v>2009-00</v>
          </cell>
          <cell r="C3550" t="str">
            <v>FIXED GEAR</v>
          </cell>
          <cell r="D3550">
            <v>252</v>
          </cell>
          <cell r="N3550" t="str">
            <v>2009-00</v>
          </cell>
          <cell r="O3550" t="str">
            <v>FIXED GEAR</v>
          </cell>
          <cell r="P3550">
            <v>420</v>
          </cell>
        </row>
        <row r="3551">
          <cell r="B3551" t="str">
            <v>1023-19</v>
          </cell>
          <cell r="C3551" t="str">
            <v>PISTON</v>
          </cell>
          <cell r="D3551">
            <v>213</v>
          </cell>
          <cell r="N3551" t="str">
            <v>1023-19</v>
          </cell>
          <cell r="O3551" t="str">
            <v>PISTON</v>
          </cell>
          <cell r="P3551">
            <v>426</v>
          </cell>
        </row>
        <row r="3552">
          <cell r="B3552" t="str">
            <v>1031-01</v>
          </cell>
          <cell r="C3552" t="str">
            <v>ROD GUIDE ASS'Y</v>
          </cell>
          <cell r="D3552">
            <v>190.5</v>
          </cell>
          <cell r="N3552" t="str">
            <v>1031-01</v>
          </cell>
          <cell r="O3552" t="str">
            <v>ROD GUIDE ASS'Y</v>
          </cell>
          <cell r="P3552">
            <v>381</v>
          </cell>
        </row>
        <row r="3553">
          <cell r="B3553" t="str">
            <v>1069-01</v>
          </cell>
          <cell r="C3553" t="str">
            <v>PISTON</v>
          </cell>
          <cell r="D3553">
            <v>99</v>
          </cell>
          <cell r="N3553" t="str">
            <v>1069-01</v>
          </cell>
          <cell r="O3553" t="str">
            <v>PISTON</v>
          </cell>
          <cell r="P3553">
            <v>198</v>
          </cell>
        </row>
        <row r="3554">
          <cell r="B3554" t="str">
            <v>1554-25</v>
          </cell>
          <cell r="C3554" t="str">
            <v>RS RETAINER</v>
          </cell>
          <cell r="D3554">
            <v>213</v>
          </cell>
          <cell r="N3554" t="str">
            <v>1554-25</v>
          </cell>
          <cell r="O3554" t="str">
            <v>RS RETAINER</v>
          </cell>
          <cell r="P3554">
            <v>426</v>
          </cell>
        </row>
        <row r="3555">
          <cell r="B3555" t="str">
            <v>1634-24</v>
          </cell>
          <cell r="C3555" t="str">
            <v>RS RETAINER</v>
          </cell>
          <cell r="D3555">
            <v>213</v>
          </cell>
          <cell r="N3555" t="str">
            <v>1634-24</v>
          </cell>
          <cell r="O3555" t="str">
            <v>RS RETAINER</v>
          </cell>
          <cell r="P3555">
            <v>426</v>
          </cell>
        </row>
        <row r="3556">
          <cell r="B3556" t="str">
            <v>1634-30</v>
          </cell>
          <cell r="C3556" t="str">
            <v>RS RETAINER</v>
          </cell>
          <cell r="D3556">
            <v>91</v>
          </cell>
          <cell r="N3556" t="str">
            <v>1634-30</v>
          </cell>
          <cell r="O3556" t="str">
            <v>RS RETAINER</v>
          </cell>
          <cell r="P3556">
            <v>182</v>
          </cell>
        </row>
        <row r="3557">
          <cell r="B3557" t="str">
            <v>1931-04</v>
          </cell>
          <cell r="C3557" t="str">
            <v>RS RETAINER</v>
          </cell>
          <cell r="D3557">
            <v>213</v>
          </cell>
          <cell r="N3557" t="str">
            <v>1931-04</v>
          </cell>
          <cell r="O3557" t="str">
            <v>RS RETAINER</v>
          </cell>
          <cell r="P3557">
            <v>426</v>
          </cell>
        </row>
        <row r="3558">
          <cell r="B3558" t="str">
            <v>1069-01</v>
          </cell>
          <cell r="C3558" t="str">
            <v>PISTON</v>
          </cell>
          <cell r="D3558">
            <v>99</v>
          </cell>
          <cell r="N3558" t="str">
            <v>1069-01</v>
          </cell>
          <cell r="O3558" t="str">
            <v>PISTON</v>
          </cell>
          <cell r="P3558">
            <v>198</v>
          </cell>
        </row>
        <row r="3559">
          <cell r="B3559" t="str">
            <v>1069-01</v>
          </cell>
          <cell r="C3559" t="str">
            <v>PISTON</v>
          </cell>
          <cell r="D3559">
            <v>99</v>
          </cell>
          <cell r="N3559" t="str">
            <v>1069-01</v>
          </cell>
          <cell r="O3559" t="str">
            <v>PISTON</v>
          </cell>
          <cell r="P3559">
            <v>198</v>
          </cell>
        </row>
        <row r="3560">
          <cell r="B3560" t="str">
            <v>1069-03</v>
          </cell>
          <cell r="C3560" t="str">
            <v>PISTON</v>
          </cell>
          <cell r="D3560">
            <v>93.5</v>
          </cell>
          <cell r="N3560" t="str">
            <v>1069-03</v>
          </cell>
          <cell r="O3560" t="str">
            <v>PISTON</v>
          </cell>
          <cell r="P3560">
            <v>187</v>
          </cell>
        </row>
        <row r="3561">
          <cell r="B3561" t="str">
            <v>1275-02</v>
          </cell>
          <cell r="C3561" t="str">
            <v>BODY</v>
          </cell>
          <cell r="D3561">
            <v>213.5</v>
          </cell>
          <cell r="N3561" t="str">
            <v>1275-02</v>
          </cell>
          <cell r="O3561" t="str">
            <v>BODY</v>
          </cell>
          <cell r="P3561">
            <v>427</v>
          </cell>
        </row>
        <row r="3562">
          <cell r="B3562" t="str">
            <v>1554-24</v>
          </cell>
          <cell r="C3562" t="str">
            <v>RS RETAINER</v>
          </cell>
          <cell r="D3562">
            <v>208</v>
          </cell>
          <cell r="N3562" t="str">
            <v>1554-24</v>
          </cell>
          <cell r="O3562" t="str">
            <v>RS RETAINER</v>
          </cell>
          <cell r="P3562">
            <v>416</v>
          </cell>
        </row>
        <row r="3563">
          <cell r="B3563" t="str">
            <v>1554-31</v>
          </cell>
          <cell r="C3563" t="str">
            <v>RS RETAINER</v>
          </cell>
          <cell r="D3563">
            <v>88</v>
          </cell>
          <cell r="N3563" t="str">
            <v>1554-31</v>
          </cell>
          <cell r="O3563" t="str">
            <v>RS RETAINER</v>
          </cell>
          <cell r="P3563">
            <v>176</v>
          </cell>
        </row>
        <row r="3564">
          <cell r="B3564" t="str">
            <v>1554-32</v>
          </cell>
          <cell r="C3564" t="str">
            <v>RS RETAINER</v>
          </cell>
          <cell r="D3564">
            <v>213.5</v>
          </cell>
          <cell r="N3564" t="str">
            <v>1554-32</v>
          </cell>
          <cell r="O3564" t="str">
            <v>RS RETAINER</v>
          </cell>
          <cell r="P3564">
            <v>427</v>
          </cell>
        </row>
        <row r="3565">
          <cell r="B3565" t="str">
            <v>1566-03</v>
          </cell>
          <cell r="C3565" t="str">
            <v>BODY</v>
          </cell>
          <cell r="D3565">
            <v>213.5</v>
          </cell>
          <cell r="N3565" t="str">
            <v>1566-03</v>
          </cell>
          <cell r="O3565" t="str">
            <v>BODY</v>
          </cell>
          <cell r="P3565">
            <v>427</v>
          </cell>
        </row>
        <row r="3566">
          <cell r="B3566" t="str">
            <v>1666-06</v>
          </cell>
          <cell r="C3566" t="str">
            <v>BODY</v>
          </cell>
          <cell r="D3566">
            <v>213.5</v>
          </cell>
          <cell r="N3566" t="str">
            <v>1666-06</v>
          </cell>
          <cell r="O3566" t="str">
            <v>BODY</v>
          </cell>
          <cell r="P3566">
            <v>427</v>
          </cell>
        </row>
        <row r="3567">
          <cell r="B3567" t="str">
            <v>1790-07</v>
          </cell>
          <cell r="C3567" t="str">
            <v>BODY</v>
          </cell>
          <cell r="D3567">
            <v>213.5</v>
          </cell>
          <cell r="N3567" t="str">
            <v>1790-07</v>
          </cell>
          <cell r="O3567" t="str">
            <v>BODY</v>
          </cell>
          <cell r="P3567">
            <v>427</v>
          </cell>
        </row>
        <row r="3568">
          <cell r="B3568" t="str">
            <v>1791-08</v>
          </cell>
          <cell r="C3568" t="str">
            <v>BODY</v>
          </cell>
          <cell r="D3568">
            <v>213.5</v>
          </cell>
          <cell r="N3568" t="str">
            <v>1791-08</v>
          </cell>
          <cell r="O3568" t="str">
            <v>BODY</v>
          </cell>
          <cell r="P3568">
            <v>427</v>
          </cell>
        </row>
        <row r="3569">
          <cell r="B3569" t="str">
            <v>1832-10</v>
          </cell>
          <cell r="C3569" t="str">
            <v>BODY RETAINER</v>
          </cell>
          <cell r="D3569">
            <v>95.5</v>
          </cell>
          <cell r="N3569" t="str">
            <v>1832-10</v>
          </cell>
          <cell r="O3569" t="str">
            <v>BODY RETAINER</v>
          </cell>
          <cell r="P3569">
            <v>191</v>
          </cell>
        </row>
        <row r="3570">
          <cell r="B3570" t="str">
            <v>1832-10</v>
          </cell>
          <cell r="C3570" t="str">
            <v>BODY RETAINER</v>
          </cell>
          <cell r="D3570">
            <v>95.5</v>
          </cell>
          <cell r="N3570" t="str">
            <v>1832-10</v>
          </cell>
          <cell r="O3570" t="str">
            <v>BODY RETAINER</v>
          </cell>
          <cell r="P3570">
            <v>191</v>
          </cell>
        </row>
        <row r="3571">
          <cell r="B3571" t="str">
            <v>1832-10</v>
          </cell>
          <cell r="C3571" t="str">
            <v>BODY RETAINER</v>
          </cell>
          <cell r="D3571">
            <v>95.5</v>
          </cell>
          <cell r="N3571" t="str">
            <v>1832-10</v>
          </cell>
          <cell r="O3571" t="str">
            <v>BODY RETAINER</v>
          </cell>
          <cell r="P3571">
            <v>191</v>
          </cell>
        </row>
        <row r="3572">
          <cell r="B3572" t="str">
            <v>1832-12</v>
          </cell>
          <cell r="C3572" t="str">
            <v>BODY RETAINER</v>
          </cell>
          <cell r="D3572">
            <v>213.5</v>
          </cell>
          <cell r="N3572" t="str">
            <v>1832-12</v>
          </cell>
          <cell r="O3572" t="str">
            <v>BODY RETAINER</v>
          </cell>
          <cell r="P3572">
            <v>427</v>
          </cell>
        </row>
        <row r="3573">
          <cell r="B3573" t="str">
            <v>598-16</v>
          </cell>
          <cell r="C3573" t="str">
            <v>PISTON</v>
          </cell>
          <cell r="D3573">
            <v>213.5</v>
          </cell>
          <cell r="N3573" t="str">
            <v>598-16</v>
          </cell>
          <cell r="O3573" t="str">
            <v>PISTON</v>
          </cell>
          <cell r="P3573">
            <v>427</v>
          </cell>
        </row>
        <row r="3574">
          <cell r="B3574" t="str">
            <v>1634-11</v>
          </cell>
          <cell r="C3574" t="str">
            <v>RS RETAINER</v>
          </cell>
          <cell r="D3574">
            <v>198</v>
          </cell>
          <cell r="N3574" t="str">
            <v>1634-11</v>
          </cell>
          <cell r="O3574" t="str">
            <v>RS RETAINER</v>
          </cell>
          <cell r="P3574">
            <v>396</v>
          </cell>
        </row>
        <row r="3575">
          <cell r="B3575" t="str">
            <v>1666-06</v>
          </cell>
          <cell r="C3575" t="str">
            <v>BODY</v>
          </cell>
          <cell r="D3575">
            <v>213.5</v>
          </cell>
          <cell r="N3575" t="str">
            <v>1666-06</v>
          </cell>
          <cell r="O3575" t="str">
            <v>BODY</v>
          </cell>
          <cell r="P3575">
            <v>427</v>
          </cell>
        </row>
        <row r="3576">
          <cell r="B3576" t="str">
            <v>783-01</v>
          </cell>
          <cell r="C3576" t="str">
            <v>ROD GUIDE ASS'Y</v>
          </cell>
          <cell r="D3576">
            <v>214</v>
          </cell>
          <cell r="N3576" t="str">
            <v>783-01</v>
          </cell>
          <cell r="O3576" t="str">
            <v>ROD GUIDE ASS'Y</v>
          </cell>
          <cell r="P3576">
            <v>428</v>
          </cell>
        </row>
        <row r="3577">
          <cell r="B3577" t="str">
            <v>1634-30</v>
          </cell>
          <cell r="C3577" t="str">
            <v>RS RETAINER</v>
          </cell>
          <cell r="D3577">
            <v>91</v>
          </cell>
          <cell r="N3577" t="str">
            <v>1634-30</v>
          </cell>
          <cell r="O3577" t="str">
            <v>RS RETAINER</v>
          </cell>
          <cell r="P3577">
            <v>182</v>
          </cell>
        </row>
        <row r="3578">
          <cell r="B3578" t="str">
            <v>1634-30</v>
          </cell>
          <cell r="C3578" t="str">
            <v>RS RETAINER</v>
          </cell>
          <cell r="D3578">
            <v>91</v>
          </cell>
          <cell r="N3578" t="str">
            <v>1634-30</v>
          </cell>
          <cell r="O3578" t="str">
            <v>RS RETAINER</v>
          </cell>
          <cell r="P3578">
            <v>182</v>
          </cell>
        </row>
        <row r="3579">
          <cell r="B3579" t="str">
            <v>1665-06</v>
          </cell>
          <cell r="C3579" t="str">
            <v>BODY</v>
          </cell>
          <cell r="D3579">
            <v>214.5</v>
          </cell>
          <cell r="N3579" t="str">
            <v>1665-06</v>
          </cell>
          <cell r="O3579" t="str">
            <v>BODY</v>
          </cell>
          <cell r="P3579">
            <v>429</v>
          </cell>
        </row>
        <row r="3580">
          <cell r="B3580" t="str">
            <v>1665-06</v>
          </cell>
          <cell r="C3580" t="str">
            <v>BODY</v>
          </cell>
          <cell r="D3580">
            <v>214.5</v>
          </cell>
          <cell r="N3580" t="str">
            <v>1665-06</v>
          </cell>
          <cell r="O3580" t="str">
            <v>BODY</v>
          </cell>
          <cell r="P3580">
            <v>429</v>
          </cell>
        </row>
        <row r="3581">
          <cell r="B3581" t="str">
            <v>1665-06</v>
          </cell>
          <cell r="C3581" t="str">
            <v>BODY</v>
          </cell>
          <cell r="D3581">
            <v>214.5</v>
          </cell>
          <cell r="N3581" t="str">
            <v>1665-06</v>
          </cell>
          <cell r="O3581" t="str">
            <v>BODY</v>
          </cell>
          <cell r="P3581">
            <v>429</v>
          </cell>
        </row>
        <row r="3582">
          <cell r="B3582" t="str">
            <v>1770-04</v>
          </cell>
          <cell r="C3582" t="str">
            <v>VALVE RETAINER</v>
          </cell>
          <cell r="D3582">
            <v>214.5</v>
          </cell>
          <cell r="N3582" t="str">
            <v>1770-04</v>
          </cell>
          <cell r="O3582" t="str">
            <v>VALVE RETAINER</v>
          </cell>
          <cell r="P3582">
            <v>429</v>
          </cell>
        </row>
        <row r="3583">
          <cell r="B3583" t="str">
            <v>1770-05</v>
          </cell>
          <cell r="C3583" t="str">
            <v>VALVE RETAINER</v>
          </cell>
          <cell r="D3583">
            <v>214.5</v>
          </cell>
          <cell r="N3583" t="str">
            <v>1770-05</v>
          </cell>
          <cell r="O3583" t="str">
            <v>VALVE RETAINER</v>
          </cell>
          <cell r="P3583">
            <v>429</v>
          </cell>
        </row>
        <row r="3584">
          <cell r="B3584" t="str">
            <v>1770-06</v>
          </cell>
          <cell r="C3584" t="str">
            <v>VALVE RETAINER</v>
          </cell>
          <cell r="D3584">
            <v>214.5</v>
          </cell>
          <cell r="N3584" t="str">
            <v>1770-06</v>
          </cell>
          <cell r="O3584" t="str">
            <v>VALVE RETAINER</v>
          </cell>
          <cell r="P3584">
            <v>429</v>
          </cell>
        </row>
        <row r="3585">
          <cell r="B3585" t="str">
            <v>1770-07</v>
          </cell>
          <cell r="C3585" t="str">
            <v>VALVE RETAINER</v>
          </cell>
          <cell r="D3585">
            <v>214.5</v>
          </cell>
          <cell r="N3585" t="str">
            <v>1770-07</v>
          </cell>
          <cell r="O3585" t="str">
            <v>VALVE RETAINER</v>
          </cell>
          <cell r="P3585">
            <v>429</v>
          </cell>
        </row>
        <row r="3586">
          <cell r="B3586" t="str">
            <v>1843-10</v>
          </cell>
          <cell r="C3586" t="str">
            <v>RS RETAINER</v>
          </cell>
          <cell r="D3586">
            <v>90.5</v>
          </cell>
          <cell r="N3586" t="str">
            <v>1843-10</v>
          </cell>
          <cell r="O3586" t="str">
            <v>RS RETAINER</v>
          </cell>
          <cell r="P3586">
            <v>181</v>
          </cell>
        </row>
        <row r="3587">
          <cell r="B3587" t="str">
            <v>1900-01</v>
          </cell>
          <cell r="C3587" t="str">
            <v>VALVE PISTON</v>
          </cell>
          <cell r="D3587">
            <v>214.5</v>
          </cell>
          <cell r="N3587" t="str">
            <v>1900-01</v>
          </cell>
          <cell r="O3587" t="str">
            <v>VALVE PISTON</v>
          </cell>
          <cell r="P3587">
            <v>429</v>
          </cell>
        </row>
        <row r="3588">
          <cell r="B3588" t="str">
            <v>1900-02</v>
          </cell>
          <cell r="C3588" t="str">
            <v>VALVE PISTON</v>
          </cell>
          <cell r="D3588">
            <v>214.5</v>
          </cell>
          <cell r="N3588" t="str">
            <v>1900-02</v>
          </cell>
          <cell r="O3588" t="str">
            <v>VALVE PISTON</v>
          </cell>
          <cell r="P3588">
            <v>429</v>
          </cell>
        </row>
        <row r="3589">
          <cell r="B3589" t="str">
            <v>464-25</v>
          </cell>
          <cell r="C3589" t="str">
            <v>PISTON</v>
          </cell>
          <cell r="D3589">
            <v>214.5</v>
          </cell>
          <cell r="N3589" t="str">
            <v>464-25</v>
          </cell>
          <cell r="O3589" t="str">
            <v>PISTON</v>
          </cell>
          <cell r="P3589">
            <v>429</v>
          </cell>
        </row>
        <row r="3590">
          <cell r="B3590" t="str">
            <v>661-23</v>
          </cell>
          <cell r="C3590" t="str">
            <v>BODY</v>
          </cell>
          <cell r="D3590">
            <v>123.5</v>
          </cell>
          <cell r="N3590" t="str">
            <v>661-23</v>
          </cell>
          <cell r="O3590" t="str">
            <v>BODY</v>
          </cell>
          <cell r="P3590">
            <v>247</v>
          </cell>
        </row>
        <row r="3591">
          <cell r="B3591" t="str">
            <v>671-05</v>
          </cell>
          <cell r="C3591" t="str">
            <v>PISTON</v>
          </cell>
          <cell r="D3591">
            <v>106</v>
          </cell>
          <cell r="N3591" t="str">
            <v>671-05</v>
          </cell>
          <cell r="O3591" t="str">
            <v>PISTON</v>
          </cell>
          <cell r="P3591">
            <v>212</v>
          </cell>
        </row>
        <row r="3592">
          <cell r="B3592" t="str">
            <v>787-22</v>
          </cell>
          <cell r="C3592" t="str">
            <v>BODY</v>
          </cell>
          <cell r="D3592">
            <v>151</v>
          </cell>
          <cell r="N3592" t="str">
            <v>787-22</v>
          </cell>
          <cell r="O3592" t="str">
            <v>BODY</v>
          </cell>
          <cell r="P3592">
            <v>302</v>
          </cell>
        </row>
        <row r="3593">
          <cell r="B3593" t="str">
            <v>1069-01</v>
          </cell>
          <cell r="C3593" t="str">
            <v>PISTON</v>
          </cell>
          <cell r="D3593">
            <v>99</v>
          </cell>
          <cell r="N3593" t="str">
            <v>1069-01</v>
          </cell>
          <cell r="O3593" t="str">
            <v>PISTON</v>
          </cell>
          <cell r="P3593">
            <v>198</v>
          </cell>
        </row>
        <row r="3594">
          <cell r="B3594" t="str">
            <v>1525-01</v>
          </cell>
          <cell r="C3594" t="str">
            <v>BODY</v>
          </cell>
          <cell r="D3594">
            <v>215</v>
          </cell>
          <cell r="N3594" t="str">
            <v>1525-01</v>
          </cell>
          <cell r="O3594" t="str">
            <v>BODY</v>
          </cell>
          <cell r="P3594">
            <v>430</v>
          </cell>
        </row>
        <row r="3595">
          <cell r="B3595" t="str">
            <v>1554-36</v>
          </cell>
          <cell r="C3595" t="str">
            <v>RS RETAINER</v>
          </cell>
          <cell r="D3595">
            <v>215</v>
          </cell>
          <cell r="N3595" t="str">
            <v>1554-36</v>
          </cell>
          <cell r="O3595" t="str">
            <v>RS RETAINER</v>
          </cell>
          <cell r="P3595">
            <v>430</v>
          </cell>
        </row>
        <row r="3596">
          <cell r="B3596" t="str">
            <v>1771-04</v>
          </cell>
          <cell r="C3596" t="str">
            <v>VALVE RETAINER</v>
          </cell>
          <cell r="D3596">
            <v>215</v>
          </cell>
          <cell r="N3596" t="str">
            <v>1771-04</v>
          </cell>
          <cell r="O3596" t="str">
            <v>VALVE RETAINER</v>
          </cell>
          <cell r="P3596">
            <v>430</v>
          </cell>
        </row>
        <row r="3597">
          <cell r="B3597" t="str">
            <v>1791-01</v>
          </cell>
          <cell r="C3597" t="str">
            <v>BODY</v>
          </cell>
          <cell r="D3597">
            <v>109.5</v>
          </cell>
          <cell r="N3597" t="str">
            <v>1791-01</v>
          </cell>
          <cell r="O3597" t="str">
            <v>BODY</v>
          </cell>
          <cell r="P3597">
            <v>219</v>
          </cell>
        </row>
        <row r="3598">
          <cell r="B3598" t="str">
            <v>2852-17</v>
          </cell>
          <cell r="C3598" t="str">
            <v>BODY</v>
          </cell>
          <cell r="D3598">
            <v>123.5</v>
          </cell>
          <cell r="N3598" t="str">
            <v>2852-17</v>
          </cell>
          <cell r="O3598" t="str">
            <v>BODY</v>
          </cell>
          <cell r="P3598">
            <v>247</v>
          </cell>
        </row>
        <row r="3599">
          <cell r="B3599" t="str">
            <v>673-17</v>
          </cell>
          <cell r="C3599" t="str">
            <v>PISTON</v>
          </cell>
          <cell r="D3599">
            <v>162</v>
          </cell>
          <cell r="N3599" t="str">
            <v>673-17</v>
          </cell>
          <cell r="O3599" t="str">
            <v>PISTON</v>
          </cell>
          <cell r="P3599">
            <v>324</v>
          </cell>
        </row>
        <row r="3600">
          <cell r="B3600" t="str">
            <v>797-20</v>
          </cell>
          <cell r="C3600" t="str">
            <v>BODY</v>
          </cell>
          <cell r="D3600">
            <v>141.5</v>
          </cell>
          <cell r="N3600" t="str">
            <v>797-20</v>
          </cell>
          <cell r="O3600" t="str">
            <v>BODY</v>
          </cell>
          <cell r="P3600">
            <v>283</v>
          </cell>
        </row>
        <row r="3601">
          <cell r="B3601" t="str">
            <v>797-20</v>
          </cell>
          <cell r="C3601" t="str">
            <v>BODY</v>
          </cell>
          <cell r="D3601">
            <v>141.5</v>
          </cell>
          <cell r="N3601" t="str">
            <v>797-20</v>
          </cell>
          <cell r="O3601" t="str">
            <v>BODY</v>
          </cell>
          <cell r="P3601">
            <v>283</v>
          </cell>
        </row>
        <row r="3602">
          <cell r="B3602" t="str">
            <v>818-00</v>
          </cell>
          <cell r="C3602" t="str">
            <v>VALVE RETAINER</v>
          </cell>
          <cell r="D3602">
            <v>215</v>
          </cell>
          <cell r="N3602" t="str">
            <v>818-00</v>
          </cell>
          <cell r="O3602" t="str">
            <v>VALVE RETAINER</v>
          </cell>
          <cell r="P3602">
            <v>430</v>
          </cell>
        </row>
        <row r="3603">
          <cell r="B3603" t="str">
            <v>847-00</v>
          </cell>
          <cell r="C3603" t="str">
            <v>VALVE RETAINER</v>
          </cell>
          <cell r="D3603">
            <v>215</v>
          </cell>
          <cell r="N3603" t="str">
            <v>847-00</v>
          </cell>
          <cell r="O3603" t="str">
            <v>VALVE RETAINER</v>
          </cell>
          <cell r="P3603">
            <v>430</v>
          </cell>
        </row>
        <row r="3604">
          <cell r="B3604" t="str">
            <v>062-01</v>
          </cell>
          <cell r="C3604" t="str">
            <v>ROD GUIDE ASS'Y</v>
          </cell>
          <cell r="D3604">
            <v>212.5</v>
          </cell>
          <cell r="N3604" t="str">
            <v>062-01</v>
          </cell>
          <cell r="O3604" t="str">
            <v>ROD GUIDE ASS'Y</v>
          </cell>
          <cell r="P3604">
            <v>425</v>
          </cell>
        </row>
        <row r="3605">
          <cell r="B3605" t="str">
            <v>062-01</v>
          </cell>
          <cell r="C3605" t="str">
            <v>ROD GUIDE ASS'Y</v>
          </cell>
          <cell r="D3605">
            <v>212.5</v>
          </cell>
          <cell r="N3605" t="str">
            <v>062-01</v>
          </cell>
          <cell r="O3605" t="str">
            <v>ROD GUIDE ASS'Y</v>
          </cell>
          <cell r="P3605">
            <v>425</v>
          </cell>
        </row>
        <row r="3606">
          <cell r="B3606" t="str">
            <v>1023-21</v>
          </cell>
          <cell r="C3606" t="str">
            <v>PISTON</v>
          </cell>
          <cell r="D3606">
            <v>215.5</v>
          </cell>
          <cell r="N3606" t="str">
            <v>1023-21</v>
          </cell>
          <cell r="O3606" t="str">
            <v>PISTON</v>
          </cell>
          <cell r="P3606">
            <v>431</v>
          </cell>
        </row>
        <row r="3607">
          <cell r="B3607" t="str">
            <v>1630-02</v>
          </cell>
          <cell r="C3607" t="str">
            <v>RS RETAINER</v>
          </cell>
          <cell r="D3607">
            <v>215.5</v>
          </cell>
          <cell r="N3607" t="str">
            <v>1630-02</v>
          </cell>
          <cell r="O3607" t="str">
            <v>RS RETAINER</v>
          </cell>
          <cell r="P3607">
            <v>431</v>
          </cell>
        </row>
        <row r="3608">
          <cell r="B3608" t="str">
            <v>1833-05</v>
          </cell>
          <cell r="C3608" t="str">
            <v>BODY RETAINER</v>
          </cell>
          <cell r="D3608">
            <v>80.5</v>
          </cell>
          <cell r="N3608" t="str">
            <v>1833-05</v>
          </cell>
          <cell r="O3608" t="str">
            <v>BODY RETAINER</v>
          </cell>
          <cell r="P3608">
            <v>161</v>
          </cell>
        </row>
        <row r="3609">
          <cell r="B3609" t="str">
            <v>1891-01</v>
          </cell>
          <cell r="C3609" t="str">
            <v>BODY</v>
          </cell>
          <cell r="D3609">
            <v>212</v>
          </cell>
          <cell r="N3609" t="str">
            <v>1891-01</v>
          </cell>
          <cell r="O3609" t="str">
            <v>BODY</v>
          </cell>
          <cell r="P3609">
            <v>424</v>
          </cell>
        </row>
        <row r="3610">
          <cell r="B3610" t="str">
            <v>2077-12</v>
          </cell>
          <cell r="C3610" t="str">
            <v>BODY RETAINER</v>
          </cell>
          <cell r="D3610">
            <v>83</v>
          </cell>
          <cell r="N3610" t="str">
            <v>2077-12</v>
          </cell>
          <cell r="O3610" t="str">
            <v>BODY RETAINER</v>
          </cell>
          <cell r="P3610">
            <v>166</v>
          </cell>
        </row>
        <row r="3611">
          <cell r="B3611" t="str">
            <v>588-68</v>
          </cell>
          <cell r="C3611" t="str">
            <v>PISTON</v>
          </cell>
          <cell r="D3611">
            <v>215.5</v>
          </cell>
          <cell r="N3611" t="str">
            <v>588-68</v>
          </cell>
          <cell r="O3611" t="str">
            <v>PISTON</v>
          </cell>
          <cell r="P3611">
            <v>431</v>
          </cell>
        </row>
        <row r="3612">
          <cell r="B3612" t="str">
            <v>588-68</v>
          </cell>
          <cell r="C3612" t="str">
            <v>PISTON</v>
          </cell>
          <cell r="D3612">
            <v>215.5</v>
          </cell>
          <cell r="N3612" t="str">
            <v>588-68</v>
          </cell>
          <cell r="O3612" t="str">
            <v>PISTON</v>
          </cell>
          <cell r="P3612">
            <v>431</v>
          </cell>
        </row>
        <row r="3613">
          <cell r="B3613" t="str">
            <v>714-01</v>
          </cell>
          <cell r="C3613" t="str">
            <v>PISTON</v>
          </cell>
          <cell r="D3613">
            <v>129.5</v>
          </cell>
          <cell r="N3613" t="str">
            <v>714-01</v>
          </cell>
          <cell r="O3613" t="str">
            <v>PISTON</v>
          </cell>
          <cell r="P3613">
            <v>259</v>
          </cell>
        </row>
        <row r="3614">
          <cell r="B3614" t="str">
            <v>714-01</v>
          </cell>
          <cell r="C3614" t="str">
            <v>PISTON</v>
          </cell>
          <cell r="D3614">
            <v>129.5</v>
          </cell>
          <cell r="N3614" t="str">
            <v>714-01</v>
          </cell>
          <cell r="O3614" t="str">
            <v>PISTON</v>
          </cell>
          <cell r="P3614">
            <v>259</v>
          </cell>
        </row>
        <row r="3615">
          <cell r="B3615" t="str">
            <v>861-16</v>
          </cell>
          <cell r="C3615" t="str">
            <v>BODY</v>
          </cell>
          <cell r="D3615">
            <v>119</v>
          </cell>
          <cell r="N3615" t="str">
            <v>861-16</v>
          </cell>
          <cell r="O3615" t="str">
            <v>BODY</v>
          </cell>
          <cell r="P3615">
            <v>238</v>
          </cell>
        </row>
        <row r="3616">
          <cell r="B3616" t="str">
            <v>861-16</v>
          </cell>
          <cell r="C3616" t="str">
            <v>BODY</v>
          </cell>
          <cell r="D3616">
            <v>119</v>
          </cell>
          <cell r="N3616" t="str">
            <v>861-16</v>
          </cell>
          <cell r="O3616" t="str">
            <v>BODY</v>
          </cell>
          <cell r="P3616">
            <v>238</v>
          </cell>
        </row>
        <row r="3617">
          <cell r="B3617" t="str">
            <v>1634-24</v>
          </cell>
          <cell r="C3617" t="str">
            <v>RS RETAINER</v>
          </cell>
          <cell r="D3617">
            <v>213</v>
          </cell>
          <cell r="N3617" t="str">
            <v>1634-24</v>
          </cell>
          <cell r="O3617" t="str">
            <v>RS RETAINER</v>
          </cell>
          <cell r="P3617">
            <v>426</v>
          </cell>
        </row>
        <row r="3618">
          <cell r="B3618" t="str">
            <v>358-02</v>
          </cell>
          <cell r="C3618" t="str">
            <v>PISTON</v>
          </cell>
          <cell r="D3618">
            <v>216</v>
          </cell>
          <cell r="N3618" t="str">
            <v>358-02</v>
          </cell>
          <cell r="O3618" t="str">
            <v>PISTON</v>
          </cell>
          <cell r="P3618">
            <v>432</v>
          </cell>
        </row>
        <row r="3619">
          <cell r="B3619" t="str">
            <v>591-02</v>
          </cell>
          <cell r="C3619" t="str">
            <v>PISTON</v>
          </cell>
          <cell r="D3619">
            <v>216</v>
          </cell>
          <cell r="N3619" t="str">
            <v>591-02</v>
          </cell>
          <cell r="O3619" t="str">
            <v>PISTON</v>
          </cell>
          <cell r="P3619">
            <v>432</v>
          </cell>
        </row>
        <row r="3620">
          <cell r="B3620" t="str">
            <v>1031-01</v>
          </cell>
          <cell r="C3620" t="str">
            <v>ROD GUIDE ASS'Y</v>
          </cell>
          <cell r="D3620">
            <v>190.5</v>
          </cell>
          <cell r="N3620" t="str">
            <v>1031-01</v>
          </cell>
          <cell r="O3620" t="str">
            <v>ROD GUIDE ASS'Y</v>
          </cell>
          <cell r="P3620">
            <v>381</v>
          </cell>
        </row>
        <row r="3621">
          <cell r="B3621" t="str">
            <v>1666-11</v>
          </cell>
          <cell r="C3621" t="str">
            <v>BODY</v>
          </cell>
          <cell r="D3621">
            <v>216.5</v>
          </cell>
          <cell r="N3621" t="str">
            <v>1666-11</v>
          </cell>
          <cell r="O3621" t="str">
            <v>BODY</v>
          </cell>
          <cell r="P3621">
            <v>433</v>
          </cell>
        </row>
        <row r="3622">
          <cell r="B3622" t="str">
            <v>2412-11</v>
          </cell>
          <cell r="C3622" t="str">
            <v>BODY</v>
          </cell>
          <cell r="D3622">
            <v>188</v>
          </cell>
          <cell r="N3622" t="str">
            <v>2412-11</v>
          </cell>
          <cell r="O3622" t="str">
            <v>BODY</v>
          </cell>
          <cell r="P3622">
            <v>376</v>
          </cell>
        </row>
        <row r="3623">
          <cell r="B3623" t="str">
            <v>1069-01</v>
          </cell>
          <cell r="C3623" t="str">
            <v>PISTON</v>
          </cell>
          <cell r="D3623">
            <v>99</v>
          </cell>
          <cell r="N3623" t="str">
            <v>1069-01</v>
          </cell>
          <cell r="O3623" t="str">
            <v>PISTON</v>
          </cell>
          <cell r="P3623">
            <v>198</v>
          </cell>
        </row>
        <row r="3624">
          <cell r="B3624" t="str">
            <v>1525-01</v>
          </cell>
          <cell r="C3624" t="str">
            <v>BODY</v>
          </cell>
          <cell r="D3624">
            <v>215</v>
          </cell>
          <cell r="N3624" t="str">
            <v>1525-01</v>
          </cell>
          <cell r="O3624" t="str">
            <v>BODY</v>
          </cell>
          <cell r="P3624">
            <v>430</v>
          </cell>
        </row>
        <row r="3625">
          <cell r="B3625" t="str">
            <v>1530-02</v>
          </cell>
          <cell r="C3625" t="str">
            <v>PISTON</v>
          </cell>
          <cell r="D3625">
            <v>217</v>
          </cell>
          <cell r="N3625" t="str">
            <v>1530-02</v>
          </cell>
          <cell r="O3625" t="str">
            <v>PISTON</v>
          </cell>
          <cell r="P3625">
            <v>434</v>
          </cell>
        </row>
        <row r="3626">
          <cell r="B3626" t="str">
            <v>1581-03</v>
          </cell>
          <cell r="C3626" t="str">
            <v>BODY</v>
          </cell>
          <cell r="D3626">
            <v>217</v>
          </cell>
          <cell r="N3626" t="str">
            <v>1581-03</v>
          </cell>
          <cell r="O3626" t="str">
            <v>BODY</v>
          </cell>
          <cell r="P3626">
            <v>434</v>
          </cell>
        </row>
        <row r="3627">
          <cell r="B3627" t="str">
            <v>1590-16</v>
          </cell>
          <cell r="C3627" t="str">
            <v>BODY</v>
          </cell>
          <cell r="D3627">
            <v>217</v>
          </cell>
          <cell r="N3627" t="str">
            <v>1590-16</v>
          </cell>
          <cell r="O3627" t="str">
            <v>BODY</v>
          </cell>
          <cell r="P3627">
            <v>434</v>
          </cell>
        </row>
        <row r="3628">
          <cell r="B3628" t="str">
            <v>1634-34</v>
          </cell>
          <cell r="C3628" t="str">
            <v>RS RETAINER</v>
          </cell>
          <cell r="D3628">
            <v>89.5</v>
          </cell>
          <cell r="N3628" t="str">
            <v>1634-34</v>
          </cell>
          <cell r="O3628" t="str">
            <v>RS RETAINER</v>
          </cell>
          <cell r="P3628">
            <v>179</v>
          </cell>
        </row>
        <row r="3629">
          <cell r="B3629" t="str">
            <v>1831-09</v>
          </cell>
          <cell r="C3629" t="str">
            <v>BODY RETAINER</v>
          </cell>
          <cell r="D3629">
            <v>188</v>
          </cell>
          <cell r="N3629" t="str">
            <v>1831-09</v>
          </cell>
          <cell r="O3629" t="str">
            <v>BODY RETAINER</v>
          </cell>
          <cell r="P3629">
            <v>376</v>
          </cell>
        </row>
        <row r="3630">
          <cell r="B3630" t="str">
            <v>1887-09</v>
          </cell>
          <cell r="C3630" t="str">
            <v>PISTON</v>
          </cell>
          <cell r="D3630">
            <v>217</v>
          </cell>
          <cell r="N3630" t="str">
            <v>1887-09</v>
          </cell>
          <cell r="O3630" t="str">
            <v>PISTON</v>
          </cell>
          <cell r="P3630">
            <v>434</v>
          </cell>
        </row>
        <row r="3631">
          <cell r="B3631" t="str">
            <v>1887-10</v>
          </cell>
          <cell r="C3631" t="str">
            <v>PISTON</v>
          </cell>
          <cell r="D3631">
            <v>217</v>
          </cell>
          <cell r="N3631" t="str">
            <v>1887-10</v>
          </cell>
          <cell r="O3631" t="str">
            <v>PISTON</v>
          </cell>
          <cell r="P3631">
            <v>434</v>
          </cell>
        </row>
        <row r="3632">
          <cell r="B3632" t="str">
            <v>1931-04</v>
          </cell>
          <cell r="C3632" t="str">
            <v>RS RETAINER</v>
          </cell>
          <cell r="D3632">
            <v>213</v>
          </cell>
          <cell r="N3632" t="str">
            <v>1931-04</v>
          </cell>
          <cell r="O3632" t="str">
            <v>RS RETAINER</v>
          </cell>
          <cell r="P3632">
            <v>426</v>
          </cell>
        </row>
        <row r="3633">
          <cell r="B3633" t="str">
            <v>1554-35</v>
          </cell>
          <cell r="C3633" t="str">
            <v>RS RETAINER</v>
          </cell>
          <cell r="D3633">
            <v>89.5</v>
          </cell>
          <cell r="N3633" t="str">
            <v>1554-35</v>
          </cell>
          <cell r="O3633" t="str">
            <v>RS RETAINER</v>
          </cell>
          <cell r="P3633">
            <v>179</v>
          </cell>
        </row>
        <row r="3634">
          <cell r="B3634" t="str">
            <v>1589-03</v>
          </cell>
          <cell r="C3634" t="str">
            <v>REB,RETAINER</v>
          </cell>
          <cell r="D3634">
            <v>217.5</v>
          </cell>
          <cell r="N3634" t="str">
            <v>1589-03</v>
          </cell>
          <cell r="O3634" t="str">
            <v>REB,RETAINER</v>
          </cell>
          <cell r="P3634">
            <v>435</v>
          </cell>
        </row>
        <row r="3635">
          <cell r="B3635" t="str">
            <v>1887-12</v>
          </cell>
          <cell r="C3635" t="str">
            <v>PISTON</v>
          </cell>
          <cell r="D3635">
            <v>217.5</v>
          </cell>
          <cell r="N3635" t="str">
            <v>1887-12</v>
          </cell>
          <cell r="O3635" t="str">
            <v>PISTON</v>
          </cell>
          <cell r="P3635">
            <v>435</v>
          </cell>
        </row>
        <row r="3636">
          <cell r="B3636" t="str">
            <v>1887-13</v>
          </cell>
          <cell r="C3636" t="str">
            <v>PISTON</v>
          </cell>
          <cell r="D3636">
            <v>217.5</v>
          </cell>
          <cell r="N3636" t="str">
            <v>1887-13</v>
          </cell>
          <cell r="O3636" t="str">
            <v>PISTON</v>
          </cell>
          <cell r="P3636">
            <v>435</v>
          </cell>
        </row>
        <row r="3637">
          <cell r="B3637" t="str">
            <v>1887-14</v>
          </cell>
          <cell r="C3637" t="str">
            <v>PISTON</v>
          </cell>
          <cell r="D3637">
            <v>217.5</v>
          </cell>
          <cell r="N3637" t="str">
            <v>1887-14</v>
          </cell>
          <cell r="O3637" t="str">
            <v>PISTON</v>
          </cell>
          <cell r="P3637">
            <v>435</v>
          </cell>
        </row>
        <row r="3638">
          <cell r="B3638" t="str">
            <v>834-00</v>
          </cell>
          <cell r="C3638" t="str">
            <v>SUPPORT YOKE ASS'Y</v>
          </cell>
          <cell r="D3638">
            <v>217.5</v>
          </cell>
          <cell r="N3638" t="str">
            <v>834-00</v>
          </cell>
          <cell r="O3638" t="str">
            <v>SUPPORT YOKE ASS'Y</v>
          </cell>
          <cell r="P3638">
            <v>435</v>
          </cell>
        </row>
        <row r="3639">
          <cell r="B3639" t="str">
            <v>1031-01</v>
          </cell>
          <cell r="C3639" t="str">
            <v>ROD GUIDE ASS'Y</v>
          </cell>
          <cell r="D3639">
            <v>190.5</v>
          </cell>
          <cell r="N3639" t="str">
            <v>1031-01</v>
          </cell>
          <cell r="O3639" t="str">
            <v>ROD GUIDE ASS'Y</v>
          </cell>
          <cell r="P3639">
            <v>381</v>
          </cell>
        </row>
        <row r="3640">
          <cell r="B3640" t="str">
            <v>1630-04</v>
          </cell>
          <cell r="C3640" t="str">
            <v>RS RETAINER</v>
          </cell>
          <cell r="D3640">
            <v>218</v>
          </cell>
          <cell r="N3640" t="str">
            <v>1630-04</v>
          </cell>
          <cell r="O3640" t="str">
            <v>RS RETAINER</v>
          </cell>
          <cell r="P3640">
            <v>436</v>
          </cell>
        </row>
        <row r="3641">
          <cell r="B3641" t="str">
            <v>1634-30</v>
          </cell>
          <cell r="C3641" t="str">
            <v>RS RETAINER</v>
          </cell>
          <cell r="D3641">
            <v>91</v>
          </cell>
          <cell r="N3641" t="str">
            <v>1634-30</v>
          </cell>
          <cell r="O3641" t="str">
            <v>RS RETAINER</v>
          </cell>
          <cell r="P3641">
            <v>182</v>
          </cell>
        </row>
        <row r="3642">
          <cell r="B3642" t="str">
            <v>1634-30</v>
          </cell>
          <cell r="C3642" t="str">
            <v>RS RETAINER</v>
          </cell>
          <cell r="D3642">
            <v>91</v>
          </cell>
          <cell r="N3642" t="str">
            <v>1634-30</v>
          </cell>
          <cell r="O3642" t="str">
            <v>RS RETAINER</v>
          </cell>
          <cell r="P3642">
            <v>182</v>
          </cell>
        </row>
        <row r="3643">
          <cell r="B3643" t="str">
            <v>2412-18</v>
          </cell>
          <cell r="C3643" t="str">
            <v>BODY</v>
          </cell>
          <cell r="D3643">
            <v>142</v>
          </cell>
          <cell r="N3643" t="str">
            <v>2412-18</v>
          </cell>
          <cell r="O3643" t="str">
            <v>BODY</v>
          </cell>
          <cell r="P3643">
            <v>284</v>
          </cell>
        </row>
        <row r="3644">
          <cell r="B3644" t="str">
            <v>2412-19</v>
          </cell>
          <cell r="C3644" t="str">
            <v>BODY</v>
          </cell>
          <cell r="D3644">
            <v>143</v>
          </cell>
          <cell r="N3644" t="str">
            <v>2412-19</v>
          </cell>
          <cell r="O3644" t="str">
            <v>BODY</v>
          </cell>
          <cell r="P3644">
            <v>286</v>
          </cell>
        </row>
        <row r="3645">
          <cell r="B3645" t="str">
            <v>2412-19</v>
          </cell>
          <cell r="C3645" t="str">
            <v>BODY</v>
          </cell>
          <cell r="D3645">
            <v>143</v>
          </cell>
          <cell r="N3645" t="str">
            <v>2412-19</v>
          </cell>
          <cell r="O3645" t="str">
            <v>BODY</v>
          </cell>
          <cell r="P3645">
            <v>286</v>
          </cell>
        </row>
        <row r="3646">
          <cell r="B3646" t="str">
            <v>2412-19</v>
          </cell>
          <cell r="C3646" t="str">
            <v>BODY</v>
          </cell>
          <cell r="D3646">
            <v>143</v>
          </cell>
          <cell r="N3646" t="str">
            <v>2412-19</v>
          </cell>
          <cell r="O3646" t="str">
            <v>BODY</v>
          </cell>
          <cell r="P3646">
            <v>286</v>
          </cell>
        </row>
        <row r="3647">
          <cell r="B3647" t="str">
            <v>584-07</v>
          </cell>
          <cell r="C3647" t="str">
            <v>BODY</v>
          </cell>
          <cell r="D3647">
            <v>218</v>
          </cell>
          <cell r="N3647" t="str">
            <v>584-07</v>
          </cell>
          <cell r="O3647" t="str">
            <v>BODY</v>
          </cell>
          <cell r="P3647">
            <v>436</v>
          </cell>
        </row>
        <row r="3648">
          <cell r="B3648" t="str">
            <v>588-65</v>
          </cell>
          <cell r="C3648" t="str">
            <v>PISTON</v>
          </cell>
          <cell r="D3648">
            <v>218</v>
          </cell>
          <cell r="N3648" t="str">
            <v>588-65</v>
          </cell>
          <cell r="O3648" t="str">
            <v>PISTON</v>
          </cell>
          <cell r="P3648">
            <v>436</v>
          </cell>
        </row>
        <row r="3649">
          <cell r="B3649" t="str">
            <v>1031-01</v>
          </cell>
          <cell r="C3649" t="str">
            <v>ROD GUIDE ASS'Y</v>
          </cell>
          <cell r="D3649">
            <v>190.5</v>
          </cell>
          <cell r="N3649" t="str">
            <v>1031-01</v>
          </cell>
          <cell r="O3649" t="str">
            <v>ROD GUIDE ASS'Y</v>
          </cell>
          <cell r="P3649">
            <v>381</v>
          </cell>
        </row>
        <row r="3650">
          <cell r="B3650" t="str">
            <v>1031-01</v>
          </cell>
          <cell r="C3650" t="str">
            <v>ROD GUIDE ASS'Y</v>
          </cell>
          <cell r="D3650">
            <v>190.5</v>
          </cell>
          <cell r="N3650" t="str">
            <v>1031-01</v>
          </cell>
          <cell r="O3650" t="str">
            <v>ROD GUIDE ASS'Y</v>
          </cell>
          <cell r="P3650">
            <v>381</v>
          </cell>
        </row>
        <row r="3651">
          <cell r="B3651" t="str">
            <v>1554-25</v>
          </cell>
          <cell r="C3651" t="str">
            <v>RS RETAINER</v>
          </cell>
          <cell r="D3651">
            <v>213</v>
          </cell>
          <cell r="N3651" t="str">
            <v>1554-25</v>
          </cell>
          <cell r="O3651" t="str">
            <v>RS RETAINER</v>
          </cell>
          <cell r="P3651">
            <v>426</v>
          </cell>
        </row>
        <row r="3652">
          <cell r="B3652" t="str">
            <v>1634-24</v>
          </cell>
          <cell r="C3652" t="str">
            <v>RS RETAINER</v>
          </cell>
          <cell r="D3652">
            <v>213</v>
          </cell>
          <cell r="N3652" t="str">
            <v>1634-24</v>
          </cell>
          <cell r="O3652" t="str">
            <v>RS RETAINER</v>
          </cell>
          <cell r="P3652">
            <v>426</v>
          </cell>
        </row>
        <row r="3653">
          <cell r="B3653" t="str">
            <v>1792-10</v>
          </cell>
          <cell r="C3653" t="str">
            <v>REB,RETAINER</v>
          </cell>
          <cell r="D3653">
            <v>218.5</v>
          </cell>
          <cell r="N3653" t="str">
            <v>1792-10</v>
          </cell>
          <cell r="O3653" t="str">
            <v>REB,RETAINER</v>
          </cell>
          <cell r="P3653">
            <v>437</v>
          </cell>
        </row>
        <row r="3654">
          <cell r="B3654" t="str">
            <v>1887-02</v>
          </cell>
          <cell r="C3654" t="str">
            <v>PISTON</v>
          </cell>
          <cell r="D3654">
            <v>218.5</v>
          </cell>
          <cell r="N3654" t="str">
            <v>1887-02</v>
          </cell>
          <cell r="O3654" t="str">
            <v>PISTON</v>
          </cell>
          <cell r="P3654">
            <v>437</v>
          </cell>
        </row>
        <row r="3655">
          <cell r="B3655" t="str">
            <v>1887-03</v>
          </cell>
          <cell r="C3655" t="str">
            <v>PISTON</v>
          </cell>
          <cell r="D3655">
            <v>218.5</v>
          </cell>
          <cell r="N3655" t="str">
            <v>1887-03</v>
          </cell>
          <cell r="O3655" t="str">
            <v>PISTON</v>
          </cell>
          <cell r="P3655">
            <v>437</v>
          </cell>
        </row>
        <row r="3656">
          <cell r="B3656" t="str">
            <v>1887-04</v>
          </cell>
          <cell r="C3656" t="str">
            <v>PISTON</v>
          </cell>
          <cell r="D3656">
            <v>218.5</v>
          </cell>
          <cell r="N3656" t="str">
            <v>1887-04</v>
          </cell>
          <cell r="O3656" t="str">
            <v>PISTON</v>
          </cell>
          <cell r="P3656">
            <v>437</v>
          </cell>
        </row>
        <row r="3657">
          <cell r="B3657" t="str">
            <v>1887-05</v>
          </cell>
          <cell r="C3657" t="str">
            <v>PISTON</v>
          </cell>
          <cell r="D3657">
            <v>218.5</v>
          </cell>
          <cell r="N3657" t="str">
            <v>1887-05</v>
          </cell>
          <cell r="O3657" t="str">
            <v>PISTON</v>
          </cell>
          <cell r="P3657">
            <v>437</v>
          </cell>
        </row>
        <row r="3658">
          <cell r="B3658" t="str">
            <v>1887-06</v>
          </cell>
          <cell r="C3658" t="str">
            <v>PISTON</v>
          </cell>
          <cell r="D3658">
            <v>218.5</v>
          </cell>
          <cell r="N3658" t="str">
            <v>1887-06</v>
          </cell>
          <cell r="O3658" t="str">
            <v>PISTON</v>
          </cell>
          <cell r="P3658">
            <v>437</v>
          </cell>
        </row>
        <row r="3659">
          <cell r="B3659" t="str">
            <v>1887-07</v>
          </cell>
          <cell r="C3659" t="str">
            <v>PISTON</v>
          </cell>
          <cell r="D3659">
            <v>218.5</v>
          </cell>
          <cell r="N3659" t="str">
            <v>1887-07</v>
          </cell>
          <cell r="O3659" t="str">
            <v>PISTON</v>
          </cell>
          <cell r="P3659">
            <v>437</v>
          </cell>
        </row>
        <row r="3660">
          <cell r="B3660" t="str">
            <v>1887-08</v>
          </cell>
          <cell r="C3660" t="str">
            <v>PISTON</v>
          </cell>
          <cell r="D3660">
            <v>218.5</v>
          </cell>
          <cell r="N3660" t="str">
            <v>1887-08</v>
          </cell>
          <cell r="O3660" t="str">
            <v>PISTON</v>
          </cell>
          <cell r="P3660">
            <v>437</v>
          </cell>
        </row>
        <row r="3661">
          <cell r="B3661" t="str">
            <v>1891-01</v>
          </cell>
          <cell r="C3661" t="str">
            <v>BODY</v>
          </cell>
          <cell r="D3661">
            <v>212</v>
          </cell>
          <cell r="N3661" t="str">
            <v>1891-01</v>
          </cell>
          <cell r="O3661" t="str">
            <v>BODY</v>
          </cell>
          <cell r="P3661">
            <v>424</v>
          </cell>
        </row>
        <row r="3662">
          <cell r="B3662" t="str">
            <v>556-01</v>
          </cell>
          <cell r="C3662" t="str">
            <v>PISTON</v>
          </cell>
          <cell r="D3662">
            <v>137</v>
          </cell>
          <cell r="N3662" t="str">
            <v>556-01</v>
          </cell>
          <cell r="O3662" t="str">
            <v>PISTON</v>
          </cell>
          <cell r="P3662">
            <v>274</v>
          </cell>
        </row>
        <row r="3663">
          <cell r="B3663" t="str">
            <v>598-01</v>
          </cell>
          <cell r="C3663" t="str">
            <v>PISTON</v>
          </cell>
          <cell r="D3663">
            <v>143.5</v>
          </cell>
          <cell r="N3663" t="str">
            <v>598-01</v>
          </cell>
          <cell r="O3663" t="str">
            <v>PISTON</v>
          </cell>
          <cell r="P3663">
            <v>287</v>
          </cell>
        </row>
        <row r="3664">
          <cell r="B3664" t="str">
            <v>598-05</v>
          </cell>
          <cell r="C3664" t="str">
            <v>PISTON</v>
          </cell>
          <cell r="D3664">
            <v>143.5</v>
          </cell>
          <cell r="N3664" t="str">
            <v>598-05</v>
          </cell>
          <cell r="O3664" t="str">
            <v>PISTON</v>
          </cell>
          <cell r="P3664">
            <v>287</v>
          </cell>
        </row>
        <row r="3665">
          <cell r="B3665" t="str">
            <v>1634-11</v>
          </cell>
          <cell r="C3665" t="str">
            <v>RS RETAINER</v>
          </cell>
          <cell r="D3665">
            <v>198</v>
          </cell>
          <cell r="N3665" t="str">
            <v>1634-11</v>
          </cell>
          <cell r="O3665" t="str">
            <v>RS RETAINER</v>
          </cell>
          <cell r="P3665">
            <v>396</v>
          </cell>
        </row>
        <row r="3666">
          <cell r="B3666" t="str">
            <v>1734-02</v>
          </cell>
          <cell r="C3666" t="str">
            <v>RS RETAINER</v>
          </cell>
          <cell r="D3666">
            <v>89.5</v>
          </cell>
          <cell r="N3666" t="str">
            <v>1734-02</v>
          </cell>
          <cell r="O3666" t="str">
            <v>RS RETAINER</v>
          </cell>
          <cell r="P3666">
            <v>179</v>
          </cell>
        </row>
        <row r="3667">
          <cell r="B3667" t="str">
            <v>1734-04</v>
          </cell>
          <cell r="C3667" t="str">
            <v>RS RETAINER</v>
          </cell>
          <cell r="D3667">
            <v>89.5</v>
          </cell>
          <cell r="N3667" t="str">
            <v>1734-04</v>
          </cell>
          <cell r="O3667" t="str">
            <v>RS RETAINER</v>
          </cell>
          <cell r="P3667">
            <v>179</v>
          </cell>
        </row>
        <row r="3668">
          <cell r="B3668" t="str">
            <v>1738-01</v>
          </cell>
          <cell r="C3668" t="str">
            <v>RS RETAINER</v>
          </cell>
          <cell r="D3668">
            <v>95</v>
          </cell>
          <cell r="N3668" t="str">
            <v>1738-01</v>
          </cell>
          <cell r="O3668" t="str">
            <v>RS RETAINER</v>
          </cell>
          <cell r="P3668">
            <v>190</v>
          </cell>
        </row>
        <row r="3669">
          <cell r="B3669" t="str">
            <v>2055-01</v>
          </cell>
          <cell r="C3669" t="str">
            <v>BODY</v>
          </cell>
          <cell r="D3669">
            <v>219</v>
          </cell>
          <cell r="N3669" t="str">
            <v>2055-01</v>
          </cell>
          <cell r="O3669" t="str">
            <v>BODY</v>
          </cell>
          <cell r="P3669">
            <v>438</v>
          </cell>
        </row>
        <row r="3670">
          <cell r="B3670" t="str">
            <v>588-68</v>
          </cell>
          <cell r="C3670" t="str">
            <v>PISTON</v>
          </cell>
          <cell r="D3670">
            <v>215.5</v>
          </cell>
          <cell r="N3670" t="str">
            <v>588-68</v>
          </cell>
          <cell r="O3670" t="str">
            <v>PISTON</v>
          </cell>
          <cell r="P3670">
            <v>431</v>
          </cell>
        </row>
        <row r="3671">
          <cell r="B3671" t="str">
            <v>1023-20</v>
          </cell>
          <cell r="C3671" t="str">
            <v>PISTON</v>
          </cell>
          <cell r="D3671">
            <v>219.5</v>
          </cell>
          <cell r="N3671" t="str">
            <v>1023-20</v>
          </cell>
          <cell r="O3671" t="str">
            <v>PISTON</v>
          </cell>
          <cell r="P3671">
            <v>439</v>
          </cell>
        </row>
        <row r="3672">
          <cell r="B3672" t="str">
            <v>1275-03</v>
          </cell>
          <cell r="C3672" t="str">
            <v>BODY</v>
          </cell>
          <cell r="D3672">
            <v>219.5</v>
          </cell>
          <cell r="N3672" t="str">
            <v>1275-03</v>
          </cell>
          <cell r="O3672" t="str">
            <v>BODY</v>
          </cell>
          <cell r="P3672">
            <v>439</v>
          </cell>
        </row>
        <row r="3673">
          <cell r="B3673" t="str">
            <v>1554-32</v>
          </cell>
          <cell r="C3673" t="str">
            <v>RS RETAINER</v>
          </cell>
          <cell r="D3673">
            <v>213.5</v>
          </cell>
          <cell r="N3673" t="str">
            <v>1554-32</v>
          </cell>
          <cell r="O3673" t="str">
            <v>RS RETAINER</v>
          </cell>
          <cell r="P3673">
            <v>427</v>
          </cell>
        </row>
        <row r="3674">
          <cell r="B3674" t="str">
            <v>1581-04</v>
          </cell>
          <cell r="C3674" t="str">
            <v>BODY</v>
          </cell>
          <cell r="D3674">
            <v>219.5</v>
          </cell>
          <cell r="N3674" t="str">
            <v>1581-04</v>
          </cell>
          <cell r="O3674" t="str">
            <v>BODY</v>
          </cell>
          <cell r="P3674">
            <v>439</v>
          </cell>
        </row>
        <row r="3675">
          <cell r="B3675" t="str">
            <v>1790-06</v>
          </cell>
          <cell r="C3675" t="str">
            <v>BODY</v>
          </cell>
          <cell r="D3675">
            <v>205.5</v>
          </cell>
          <cell r="N3675" t="str">
            <v>1790-06</v>
          </cell>
          <cell r="O3675" t="str">
            <v>BODY</v>
          </cell>
          <cell r="P3675">
            <v>411</v>
          </cell>
        </row>
        <row r="3676">
          <cell r="B3676" t="str">
            <v>1799-03</v>
          </cell>
          <cell r="C3676" t="str">
            <v>PISTON</v>
          </cell>
          <cell r="D3676">
            <v>219.5</v>
          </cell>
          <cell r="N3676" t="str">
            <v>1799-03</v>
          </cell>
          <cell r="O3676" t="str">
            <v>PISTON</v>
          </cell>
          <cell r="P3676">
            <v>439</v>
          </cell>
        </row>
        <row r="3677">
          <cell r="B3677" t="str">
            <v>1800-04</v>
          </cell>
          <cell r="C3677" t="str">
            <v>BODY</v>
          </cell>
          <cell r="D3677">
            <v>219.5</v>
          </cell>
          <cell r="N3677" t="str">
            <v>1800-04</v>
          </cell>
          <cell r="O3677" t="str">
            <v>BODY</v>
          </cell>
          <cell r="P3677">
            <v>439</v>
          </cell>
        </row>
        <row r="3678">
          <cell r="B3678" t="str">
            <v>1907-00</v>
          </cell>
          <cell r="C3678" t="str">
            <v>TILT CAM</v>
          </cell>
          <cell r="D3678">
            <v>263.39999999999998</v>
          </cell>
          <cell r="N3678" t="str">
            <v>1907-00</v>
          </cell>
          <cell r="O3678" t="str">
            <v>TILT CAM</v>
          </cell>
          <cell r="P3678">
            <v>439</v>
          </cell>
        </row>
        <row r="3679">
          <cell r="B3679" t="str">
            <v>598-24</v>
          </cell>
          <cell r="C3679" t="str">
            <v>PISTON</v>
          </cell>
          <cell r="D3679">
            <v>219.5</v>
          </cell>
          <cell r="N3679" t="str">
            <v>598-24</v>
          </cell>
          <cell r="O3679" t="str">
            <v>PISTON</v>
          </cell>
          <cell r="P3679">
            <v>439</v>
          </cell>
        </row>
        <row r="3680">
          <cell r="B3680" t="str">
            <v>1590-07</v>
          </cell>
          <cell r="C3680" t="str">
            <v>BODY</v>
          </cell>
          <cell r="D3680">
            <v>183.5</v>
          </cell>
          <cell r="N3680" t="str">
            <v>1590-07</v>
          </cell>
          <cell r="O3680" t="str">
            <v>BODY</v>
          </cell>
          <cell r="P3680">
            <v>367</v>
          </cell>
        </row>
        <row r="3681">
          <cell r="B3681" t="str">
            <v>1069-02</v>
          </cell>
          <cell r="C3681" t="str">
            <v>PISTON</v>
          </cell>
          <cell r="D3681">
            <v>126</v>
          </cell>
          <cell r="N3681" t="str">
            <v>1069-02</v>
          </cell>
          <cell r="O3681" t="str">
            <v>PISTON</v>
          </cell>
          <cell r="P3681">
            <v>252</v>
          </cell>
        </row>
        <row r="3682">
          <cell r="B3682" t="str">
            <v>1590-05</v>
          </cell>
          <cell r="C3682" t="str">
            <v>BODY</v>
          </cell>
          <cell r="D3682">
            <v>120.5</v>
          </cell>
          <cell r="N3682" t="str">
            <v>1590-05</v>
          </cell>
          <cell r="O3682" t="str">
            <v>BODY</v>
          </cell>
          <cell r="P3682">
            <v>241</v>
          </cell>
        </row>
        <row r="3683">
          <cell r="B3683" t="str">
            <v>1779-12</v>
          </cell>
          <cell r="C3683" t="str">
            <v>RS RETAINER</v>
          </cell>
          <cell r="D3683">
            <v>188.5</v>
          </cell>
          <cell r="N3683" t="str">
            <v>1779-12</v>
          </cell>
          <cell r="O3683" t="str">
            <v>RS RETAINER</v>
          </cell>
          <cell r="P3683">
            <v>377</v>
          </cell>
        </row>
        <row r="3684">
          <cell r="B3684" t="str">
            <v>1792-07</v>
          </cell>
          <cell r="C3684" t="str">
            <v>REB,RETAINER</v>
          </cell>
          <cell r="D3684">
            <v>220.5</v>
          </cell>
          <cell r="N3684" t="str">
            <v>1792-07</v>
          </cell>
          <cell r="O3684" t="str">
            <v>REB,RETAINER</v>
          </cell>
          <cell r="P3684">
            <v>441</v>
          </cell>
        </row>
        <row r="3685">
          <cell r="B3685" t="str">
            <v>1799-01</v>
          </cell>
          <cell r="C3685" t="str">
            <v>PISTON</v>
          </cell>
          <cell r="D3685">
            <v>175</v>
          </cell>
          <cell r="N3685" t="str">
            <v>1799-01</v>
          </cell>
          <cell r="O3685" t="str">
            <v>PISTON</v>
          </cell>
          <cell r="P3685">
            <v>350</v>
          </cell>
        </row>
        <row r="3686">
          <cell r="B3686" t="str">
            <v>1800-02</v>
          </cell>
          <cell r="C3686" t="str">
            <v>BODY</v>
          </cell>
          <cell r="D3686">
            <v>220.5</v>
          </cell>
          <cell r="N3686" t="str">
            <v>1800-02</v>
          </cell>
          <cell r="O3686" t="str">
            <v>BODY</v>
          </cell>
          <cell r="P3686">
            <v>441</v>
          </cell>
        </row>
        <row r="3687">
          <cell r="B3687" t="str">
            <v>1800-02</v>
          </cell>
          <cell r="C3687" t="str">
            <v>BODY</v>
          </cell>
          <cell r="D3687">
            <v>220.5</v>
          </cell>
          <cell r="N3687" t="str">
            <v>1800-02</v>
          </cell>
          <cell r="O3687" t="str">
            <v>BODY</v>
          </cell>
          <cell r="P3687">
            <v>441</v>
          </cell>
        </row>
        <row r="3688">
          <cell r="B3688" t="str">
            <v>591-12</v>
          </cell>
          <cell r="C3688" t="str">
            <v>PISTON</v>
          </cell>
          <cell r="D3688">
            <v>220.5</v>
          </cell>
          <cell r="N3688" t="str">
            <v>591-12</v>
          </cell>
          <cell r="O3688" t="str">
            <v>PISTON</v>
          </cell>
          <cell r="P3688">
            <v>441</v>
          </cell>
        </row>
        <row r="3689">
          <cell r="B3689" t="str">
            <v>1634-12</v>
          </cell>
          <cell r="C3689" t="str">
            <v>RS RETAINER</v>
          </cell>
          <cell r="D3689">
            <v>96.5</v>
          </cell>
          <cell r="N3689" t="str">
            <v>1634-12</v>
          </cell>
          <cell r="O3689" t="str">
            <v>RS RETAINER</v>
          </cell>
          <cell r="P3689">
            <v>193</v>
          </cell>
        </row>
        <row r="3690">
          <cell r="B3690" t="str">
            <v>1634-24</v>
          </cell>
          <cell r="C3690" t="str">
            <v>RS RETAINER</v>
          </cell>
          <cell r="D3690">
            <v>213</v>
          </cell>
          <cell r="N3690" t="str">
            <v>1634-24</v>
          </cell>
          <cell r="O3690" t="str">
            <v>RS RETAINER</v>
          </cell>
          <cell r="P3690">
            <v>426</v>
          </cell>
        </row>
        <row r="3691">
          <cell r="B3691" t="str">
            <v>1634-24</v>
          </cell>
          <cell r="C3691" t="str">
            <v>RS RETAINER</v>
          </cell>
          <cell r="D3691">
            <v>213</v>
          </cell>
          <cell r="N3691" t="str">
            <v>1634-24</v>
          </cell>
          <cell r="O3691" t="str">
            <v>RS RETAINER</v>
          </cell>
          <cell r="P3691">
            <v>426</v>
          </cell>
        </row>
        <row r="3692">
          <cell r="B3692" t="str">
            <v>1681-00</v>
          </cell>
          <cell r="C3692" t="str">
            <v>BODY</v>
          </cell>
          <cell r="D3692">
            <v>221</v>
          </cell>
          <cell r="N3692" t="str">
            <v>1681-00</v>
          </cell>
          <cell r="O3692" t="str">
            <v>BODY</v>
          </cell>
          <cell r="P3692">
            <v>442</v>
          </cell>
        </row>
        <row r="3693">
          <cell r="B3693" t="str">
            <v>1779-04</v>
          </cell>
          <cell r="C3693" t="str">
            <v>RS RETAINER</v>
          </cell>
          <cell r="D3693">
            <v>221</v>
          </cell>
          <cell r="N3693" t="str">
            <v>1779-04</v>
          </cell>
          <cell r="O3693" t="str">
            <v>RS RETAINER</v>
          </cell>
          <cell r="P3693">
            <v>442</v>
          </cell>
        </row>
        <row r="3694">
          <cell r="B3694" t="str">
            <v>1790-11</v>
          </cell>
          <cell r="C3694" t="str">
            <v>BODY</v>
          </cell>
          <cell r="D3694">
            <v>119</v>
          </cell>
          <cell r="N3694" t="str">
            <v>1790-11</v>
          </cell>
          <cell r="O3694" t="str">
            <v>BODY</v>
          </cell>
          <cell r="P3694">
            <v>238</v>
          </cell>
        </row>
        <row r="3695">
          <cell r="B3695" t="str">
            <v>1922-13</v>
          </cell>
          <cell r="C3695" t="str">
            <v>RS RETAINER</v>
          </cell>
          <cell r="D3695">
            <v>221</v>
          </cell>
          <cell r="N3695" t="str">
            <v>1922-13</v>
          </cell>
          <cell r="O3695" t="str">
            <v>RS RETAINER</v>
          </cell>
          <cell r="P3695">
            <v>442</v>
          </cell>
        </row>
        <row r="3696">
          <cell r="B3696" t="str">
            <v>2412-07</v>
          </cell>
          <cell r="C3696" t="str">
            <v>BODY</v>
          </cell>
          <cell r="D3696">
            <v>143</v>
          </cell>
          <cell r="N3696" t="str">
            <v>2412-07</v>
          </cell>
          <cell r="O3696" t="str">
            <v>BODY</v>
          </cell>
          <cell r="P3696">
            <v>286</v>
          </cell>
        </row>
        <row r="3697">
          <cell r="B3697" t="str">
            <v>598-22</v>
          </cell>
          <cell r="C3697" t="str">
            <v>PISTON</v>
          </cell>
          <cell r="D3697">
            <v>145</v>
          </cell>
          <cell r="N3697" t="str">
            <v>598-22</v>
          </cell>
          <cell r="O3697" t="str">
            <v>PISTON</v>
          </cell>
          <cell r="P3697">
            <v>290</v>
          </cell>
        </row>
        <row r="3698">
          <cell r="B3698" t="str">
            <v>1412-10</v>
          </cell>
          <cell r="C3698" t="str">
            <v>BODY</v>
          </cell>
          <cell r="D3698">
            <v>146.5</v>
          </cell>
          <cell r="N3698" t="str">
            <v>1412-10</v>
          </cell>
          <cell r="O3698" t="str">
            <v>BODY</v>
          </cell>
          <cell r="P3698">
            <v>293</v>
          </cell>
        </row>
        <row r="3699">
          <cell r="B3699" t="str">
            <v>1541-00</v>
          </cell>
          <cell r="C3699" t="str">
            <v>MOTOR BOSS</v>
          </cell>
          <cell r="D3699">
            <v>265.8</v>
          </cell>
          <cell r="N3699" t="str">
            <v>1541-00</v>
          </cell>
          <cell r="O3699" t="str">
            <v>MOTOR BOSS</v>
          </cell>
          <cell r="P3699">
            <v>443</v>
          </cell>
        </row>
        <row r="3700">
          <cell r="B3700" t="str">
            <v>1589-02</v>
          </cell>
          <cell r="C3700" t="str">
            <v>REB,RETAINER</v>
          </cell>
          <cell r="D3700">
            <v>221.5</v>
          </cell>
          <cell r="N3700" t="str">
            <v>1589-02</v>
          </cell>
          <cell r="O3700" t="str">
            <v>REB,RETAINER</v>
          </cell>
          <cell r="P3700">
            <v>443</v>
          </cell>
        </row>
        <row r="3701">
          <cell r="B3701" t="str">
            <v>1634-34</v>
          </cell>
          <cell r="C3701" t="str">
            <v>RS RETAINER</v>
          </cell>
          <cell r="D3701">
            <v>89.5</v>
          </cell>
          <cell r="N3701" t="str">
            <v>1634-34</v>
          </cell>
          <cell r="O3701" t="str">
            <v>RS RETAINER</v>
          </cell>
          <cell r="P3701">
            <v>179</v>
          </cell>
        </row>
        <row r="3702">
          <cell r="B3702" t="str">
            <v>1832-12</v>
          </cell>
          <cell r="C3702" t="str">
            <v>BODY RETAINER</v>
          </cell>
          <cell r="D3702">
            <v>213.5</v>
          </cell>
          <cell r="N3702" t="str">
            <v>1832-12</v>
          </cell>
          <cell r="O3702" t="str">
            <v>BODY RETAINER</v>
          </cell>
          <cell r="P3702">
            <v>427</v>
          </cell>
        </row>
        <row r="3703">
          <cell r="B3703" t="str">
            <v>1554-25</v>
          </cell>
          <cell r="C3703" t="str">
            <v>RS RETAINER</v>
          </cell>
          <cell r="D3703">
            <v>213</v>
          </cell>
          <cell r="N3703" t="str">
            <v>1554-25</v>
          </cell>
          <cell r="O3703" t="str">
            <v>RS RETAINER</v>
          </cell>
          <cell r="P3703">
            <v>426</v>
          </cell>
        </row>
        <row r="3704">
          <cell r="B3704" t="str">
            <v>1779-03</v>
          </cell>
          <cell r="C3704" t="str">
            <v>RS RETAINER</v>
          </cell>
          <cell r="D3704">
            <v>222</v>
          </cell>
          <cell r="N3704" t="str">
            <v>1779-03</v>
          </cell>
          <cell r="O3704" t="str">
            <v>RS RETAINER</v>
          </cell>
          <cell r="P3704">
            <v>444</v>
          </cell>
        </row>
        <row r="3705">
          <cell r="B3705" t="str">
            <v>1922-02</v>
          </cell>
          <cell r="C3705" t="str">
            <v>RS RETAINER</v>
          </cell>
          <cell r="D3705">
            <v>108.5</v>
          </cell>
          <cell r="N3705" t="str">
            <v>1922-02</v>
          </cell>
          <cell r="O3705" t="str">
            <v>RS RETAINER</v>
          </cell>
          <cell r="P3705">
            <v>217</v>
          </cell>
        </row>
        <row r="3706">
          <cell r="B3706" t="str">
            <v>1931-03</v>
          </cell>
          <cell r="C3706" t="str">
            <v>RS RETAINER</v>
          </cell>
          <cell r="D3706">
            <v>203</v>
          </cell>
          <cell r="N3706" t="str">
            <v>1931-03</v>
          </cell>
          <cell r="O3706" t="str">
            <v>RS RETAINER</v>
          </cell>
          <cell r="P3706">
            <v>406</v>
          </cell>
        </row>
        <row r="3707">
          <cell r="B3707" t="str">
            <v>2412-06</v>
          </cell>
          <cell r="C3707" t="str">
            <v>BODY</v>
          </cell>
          <cell r="D3707">
            <v>143</v>
          </cell>
          <cell r="N3707" t="str">
            <v>2412-06</v>
          </cell>
          <cell r="O3707" t="str">
            <v>BODY</v>
          </cell>
          <cell r="P3707">
            <v>286</v>
          </cell>
        </row>
        <row r="3708">
          <cell r="B3708" t="str">
            <v>464-51</v>
          </cell>
          <cell r="C3708" t="str">
            <v>PISTON</v>
          </cell>
          <cell r="D3708">
            <v>121</v>
          </cell>
          <cell r="N3708" t="str">
            <v>464-51</v>
          </cell>
          <cell r="O3708" t="str">
            <v>PISTON</v>
          </cell>
          <cell r="P3708">
            <v>242</v>
          </cell>
        </row>
        <row r="3709">
          <cell r="B3709" t="str">
            <v>089-00</v>
          </cell>
          <cell r="C3709" t="str">
            <v>BODY</v>
          </cell>
          <cell r="D3709">
            <v>172</v>
          </cell>
          <cell r="N3709" t="str">
            <v>089-00</v>
          </cell>
          <cell r="O3709" t="str">
            <v>BODY</v>
          </cell>
          <cell r="P3709">
            <v>344</v>
          </cell>
        </row>
        <row r="3710">
          <cell r="B3710" t="str">
            <v>1271-06</v>
          </cell>
          <cell r="C3710" t="str">
            <v>PISTON</v>
          </cell>
          <cell r="D3710">
            <v>222.5</v>
          </cell>
          <cell r="N3710" t="str">
            <v>1271-06</v>
          </cell>
          <cell r="O3710" t="str">
            <v>PISTON</v>
          </cell>
          <cell r="P3710">
            <v>445</v>
          </cell>
        </row>
        <row r="3711">
          <cell r="B3711" t="str">
            <v>1271-06</v>
          </cell>
          <cell r="C3711" t="str">
            <v>PISTON</v>
          </cell>
          <cell r="D3711">
            <v>222.5</v>
          </cell>
          <cell r="N3711" t="str">
            <v>1271-06</v>
          </cell>
          <cell r="O3711" t="str">
            <v>PISTON</v>
          </cell>
          <cell r="P3711">
            <v>445</v>
          </cell>
        </row>
        <row r="3712">
          <cell r="B3712" t="str">
            <v>1530-03</v>
          </cell>
          <cell r="C3712" t="str">
            <v>PISTON</v>
          </cell>
          <cell r="D3712">
            <v>222.5</v>
          </cell>
          <cell r="N3712" t="str">
            <v>1530-03</v>
          </cell>
          <cell r="O3712" t="str">
            <v>PISTON</v>
          </cell>
          <cell r="P3712">
            <v>445</v>
          </cell>
        </row>
        <row r="3713">
          <cell r="B3713" t="str">
            <v>1630-03</v>
          </cell>
          <cell r="C3713" t="str">
            <v>RS RETAINER</v>
          </cell>
          <cell r="D3713">
            <v>222.5</v>
          </cell>
          <cell r="N3713" t="str">
            <v>1630-03</v>
          </cell>
          <cell r="O3713" t="str">
            <v>RS RETAINER</v>
          </cell>
          <cell r="P3713">
            <v>445</v>
          </cell>
        </row>
        <row r="3714">
          <cell r="B3714" t="str">
            <v>1634-03</v>
          </cell>
          <cell r="C3714" t="str">
            <v>RS RETAINER</v>
          </cell>
          <cell r="D3714">
            <v>222.5</v>
          </cell>
          <cell r="N3714" t="str">
            <v>1634-03</v>
          </cell>
          <cell r="O3714" t="str">
            <v>RS RETAINER</v>
          </cell>
          <cell r="P3714">
            <v>445</v>
          </cell>
        </row>
        <row r="3715">
          <cell r="B3715" t="str">
            <v>1681-04</v>
          </cell>
          <cell r="C3715" t="str">
            <v>BODY</v>
          </cell>
          <cell r="D3715">
            <v>222.5</v>
          </cell>
          <cell r="N3715" t="str">
            <v>1681-04</v>
          </cell>
          <cell r="O3715" t="str">
            <v>BODY</v>
          </cell>
          <cell r="P3715">
            <v>445</v>
          </cell>
        </row>
        <row r="3716">
          <cell r="B3716" t="str">
            <v>1734-04</v>
          </cell>
          <cell r="C3716" t="str">
            <v>RS RETAINER</v>
          </cell>
          <cell r="D3716">
            <v>89.5</v>
          </cell>
          <cell r="N3716" t="str">
            <v>1734-04</v>
          </cell>
          <cell r="O3716" t="str">
            <v>RS RETAINER</v>
          </cell>
          <cell r="P3716">
            <v>179</v>
          </cell>
        </row>
        <row r="3717">
          <cell r="B3717" t="str">
            <v>1734-08</v>
          </cell>
          <cell r="C3717" t="str">
            <v>RS RETAINER</v>
          </cell>
          <cell r="D3717">
            <v>91.5</v>
          </cell>
          <cell r="N3717" t="str">
            <v>1734-08</v>
          </cell>
          <cell r="O3717" t="str">
            <v>RS RETAINER</v>
          </cell>
          <cell r="P3717">
            <v>183</v>
          </cell>
        </row>
        <row r="3718">
          <cell r="B3718" t="str">
            <v>1891-01</v>
          </cell>
          <cell r="C3718" t="str">
            <v>BODY</v>
          </cell>
          <cell r="D3718">
            <v>212</v>
          </cell>
          <cell r="N3718" t="str">
            <v>1891-01</v>
          </cell>
          <cell r="O3718" t="str">
            <v>BODY</v>
          </cell>
          <cell r="P3718">
            <v>424</v>
          </cell>
        </row>
        <row r="3719">
          <cell r="B3719" t="str">
            <v>1931-03</v>
          </cell>
          <cell r="C3719" t="str">
            <v>RS RETAINER</v>
          </cell>
          <cell r="D3719">
            <v>203</v>
          </cell>
          <cell r="N3719" t="str">
            <v>1931-03</v>
          </cell>
          <cell r="O3719" t="str">
            <v>RS RETAINER</v>
          </cell>
          <cell r="P3719">
            <v>406</v>
          </cell>
        </row>
        <row r="3720">
          <cell r="B3720" t="str">
            <v>1996-01</v>
          </cell>
          <cell r="C3720" t="str">
            <v>BODY</v>
          </cell>
          <cell r="D3720">
            <v>222.5</v>
          </cell>
          <cell r="N3720" t="str">
            <v>1996-01</v>
          </cell>
          <cell r="O3720" t="str">
            <v>BODY</v>
          </cell>
          <cell r="P3720">
            <v>445</v>
          </cell>
        </row>
        <row r="3721">
          <cell r="B3721" t="str">
            <v>2011-03</v>
          </cell>
          <cell r="C3721" t="str">
            <v>BODY</v>
          </cell>
          <cell r="D3721">
            <v>222.5</v>
          </cell>
          <cell r="N3721" t="str">
            <v>2011-03</v>
          </cell>
          <cell r="O3721" t="str">
            <v>BODY</v>
          </cell>
          <cell r="P3721">
            <v>445</v>
          </cell>
        </row>
        <row r="3722">
          <cell r="B3722" t="str">
            <v>1590-04</v>
          </cell>
          <cell r="C3722" t="str">
            <v>BODY</v>
          </cell>
          <cell r="D3722">
            <v>117.5</v>
          </cell>
          <cell r="N3722" t="str">
            <v>1590-04</v>
          </cell>
          <cell r="O3722" t="str">
            <v>BODY</v>
          </cell>
          <cell r="P3722">
            <v>235</v>
          </cell>
        </row>
        <row r="3723">
          <cell r="B3723" t="str">
            <v>1590-04</v>
          </cell>
          <cell r="C3723" t="str">
            <v>BODY</v>
          </cell>
          <cell r="D3723">
            <v>117.5</v>
          </cell>
          <cell r="N3723" t="str">
            <v>1590-04</v>
          </cell>
          <cell r="O3723" t="str">
            <v>BODY</v>
          </cell>
          <cell r="P3723">
            <v>235</v>
          </cell>
        </row>
        <row r="3724">
          <cell r="B3724" t="str">
            <v>1792-05</v>
          </cell>
          <cell r="C3724" t="str">
            <v>REB,RETAINER</v>
          </cell>
          <cell r="D3724">
            <v>223</v>
          </cell>
          <cell r="N3724" t="str">
            <v>1792-05</v>
          </cell>
          <cell r="O3724" t="str">
            <v>REB,RETAINER</v>
          </cell>
          <cell r="P3724">
            <v>446</v>
          </cell>
        </row>
        <row r="3725">
          <cell r="B3725" t="str">
            <v>1931-07</v>
          </cell>
          <cell r="C3725" t="str">
            <v>RS RETAINER</v>
          </cell>
          <cell r="D3725">
            <v>111</v>
          </cell>
          <cell r="N3725" t="str">
            <v>1931-07</v>
          </cell>
          <cell r="O3725" t="str">
            <v>RS RETAINER</v>
          </cell>
          <cell r="P3725">
            <v>222</v>
          </cell>
        </row>
        <row r="3726">
          <cell r="B3726" t="str">
            <v>2011-03</v>
          </cell>
          <cell r="C3726" t="str">
            <v>BODY</v>
          </cell>
          <cell r="D3726">
            <v>222.5</v>
          </cell>
          <cell r="N3726" t="str">
            <v>2011-03</v>
          </cell>
          <cell r="O3726" t="str">
            <v>BODY</v>
          </cell>
          <cell r="P3726">
            <v>445</v>
          </cell>
        </row>
        <row r="3727">
          <cell r="B3727" t="str">
            <v>2412-18</v>
          </cell>
          <cell r="C3727" t="str">
            <v>BODY</v>
          </cell>
          <cell r="D3727">
            <v>142</v>
          </cell>
          <cell r="N3727" t="str">
            <v>2412-18</v>
          </cell>
          <cell r="O3727" t="str">
            <v>BODY</v>
          </cell>
          <cell r="P3727">
            <v>284</v>
          </cell>
        </row>
        <row r="3728">
          <cell r="B3728" t="str">
            <v>724-04</v>
          </cell>
          <cell r="C3728" t="str">
            <v>PISTON</v>
          </cell>
          <cell r="D3728">
            <v>223</v>
          </cell>
          <cell r="N3728" t="str">
            <v>724-04</v>
          </cell>
          <cell r="O3728" t="str">
            <v>PISTON</v>
          </cell>
          <cell r="P3728">
            <v>446</v>
          </cell>
        </row>
        <row r="3729">
          <cell r="B3729" t="str">
            <v>1792-10</v>
          </cell>
          <cell r="C3729" t="str">
            <v>REB,RETAINER</v>
          </cell>
          <cell r="D3729">
            <v>218.5</v>
          </cell>
          <cell r="N3729" t="str">
            <v>1792-10</v>
          </cell>
          <cell r="O3729" t="str">
            <v>REB,RETAINER</v>
          </cell>
          <cell r="P3729">
            <v>437</v>
          </cell>
        </row>
        <row r="3730">
          <cell r="B3730" t="str">
            <v>1832-16</v>
          </cell>
          <cell r="C3730" t="str">
            <v>BODY RETAINER</v>
          </cell>
          <cell r="D3730">
            <v>223.5</v>
          </cell>
          <cell r="N3730" t="str">
            <v>1832-16</v>
          </cell>
          <cell r="O3730" t="str">
            <v>BODY RETAINER</v>
          </cell>
          <cell r="P3730">
            <v>447</v>
          </cell>
        </row>
        <row r="3731">
          <cell r="B3731" t="str">
            <v>1900-06</v>
          </cell>
          <cell r="C3731" t="str">
            <v>VALVE PISTON</v>
          </cell>
          <cell r="D3731">
            <v>223.5</v>
          </cell>
          <cell r="N3731" t="str">
            <v>1900-06</v>
          </cell>
          <cell r="O3731" t="str">
            <v>VALVE PISTON</v>
          </cell>
          <cell r="P3731">
            <v>447</v>
          </cell>
        </row>
        <row r="3732">
          <cell r="B3732" t="str">
            <v>1269-00</v>
          </cell>
          <cell r="C3732" t="str">
            <v>RACK STOPPER</v>
          </cell>
          <cell r="D3732">
            <v>224</v>
          </cell>
          <cell r="N3732" t="str">
            <v>1269-00</v>
          </cell>
          <cell r="O3732" t="str">
            <v>RACK STOPPER</v>
          </cell>
          <cell r="P3732">
            <v>448</v>
          </cell>
        </row>
        <row r="3733">
          <cell r="B3733" t="str">
            <v>1780-02</v>
          </cell>
          <cell r="C3733" t="str">
            <v>RS RETAINER</v>
          </cell>
          <cell r="D3733">
            <v>224</v>
          </cell>
          <cell r="N3733" t="str">
            <v>1780-02</v>
          </cell>
          <cell r="O3733" t="str">
            <v>RS RETAINER</v>
          </cell>
          <cell r="P3733">
            <v>448</v>
          </cell>
        </row>
        <row r="3734">
          <cell r="B3734" t="str">
            <v>1931-03</v>
          </cell>
          <cell r="C3734" t="str">
            <v>RS RETAINER</v>
          </cell>
          <cell r="D3734">
            <v>203</v>
          </cell>
          <cell r="N3734" t="str">
            <v>1931-03</v>
          </cell>
          <cell r="O3734" t="str">
            <v>RS RETAINER</v>
          </cell>
          <cell r="P3734">
            <v>406</v>
          </cell>
        </row>
        <row r="3735">
          <cell r="B3735" t="str">
            <v>1931-03</v>
          </cell>
          <cell r="C3735" t="str">
            <v>RS RETAINER</v>
          </cell>
          <cell r="D3735">
            <v>203</v>
          </cell>
          <cell r="N3735" t="str">
            <v>1931-03</v>
          </cell>
          <cell r="O3735" t="str">
            <v>RS RETAINER</v>
          </cell>
          <cell r="P3735">
            <v>406</v>
          </cell>
        </row>
        <row r="3736">
          <cell r="B3736" t="str">
            <v>861-16</v>
          </cell>
          <cell r="C3736" t="str">
            <v>BODY</v>
          </cell>
          <cell r="D3736">
            <v>119</v>
          </cell>
          <cell r="N3736" t="str">
            <v>861-16</v>
          </cell>
          <cell r="O3736" t="str">
            <v>BODY</v>
          </cell>
          <cell r="P3736">
            <v>238</v>
          </cell>
        </row>
        <row r="3737">
          <cell r="B3737" t="str">
            <v>1554-36</v>
          </cell>
          <cell r="C3737" t="str">
            <v>RS RETAINER</v>
          </cell>
          <cell r="D3737">
            <v>215</v>
          </cell>
          <cell r="N3737" t="str">
            <v>1554-36</v>
          </cell>
          <cell r="O3737" t="str">
            <v>RS RETAINER</v>
          </cell>
          <cell r="P3737">
            <v>430</v>
          </cell>
        </row>
        <row r="3738">
          <cell r="B3738" t="str">
            <v>1630-04</v>
          </cell>
          <cell r="C3738" t="str">
            <v>RS RETAINER</v>
          </cell>
          <cell r="D3738">
            <v>218</v>
          </cell>
          <cell r="N3738" t="str">
            <v>1630-04</v>
          </cell>
          <cell r="O3738" t="str">
            <v>RS RETAINER</v>
          </cell>
          <cell r="P3738">
            <v>436</v>
          </cell>
        </row>
        <row r="3739">
          <cell r="B3739" t="str">
            <v>1687-01</v>
          </cell>
          <cell r="C3739" t="str">
            <v>BODY</v>
          </cell>
          <cell r="D3739">
            <v>224.5</v>
          </cell>
          <cell r="N3739" t="str">
            <v>1687-01</v>
          </cell>
          <cell r="O3739" t="str">
            <v>BODY</v>
          </cell>
          <cell r="P3739">
            <v>449</v>
          </cell>
        </row>
        <row r="3740">
          <cell r="B3740" t="str">
            <v>1734-06</v>
          </cell>
          <cell r="C3740" t="str">
            <v>RS RETAINER</v>
          </cell>
          <cell r="D3740">
            <v>224.5</v>
          </cell>
          <cell r="N3740" t="str">
            <v>1734-06</v>
          </cell>
          <cell r="O3740" t="str">
            <v>RS RETAINER</v>
          </cell>
          <cell r="P3740">
            <v>449</v>
          </cell>
        </row>
        <row r="3741">
          <cell r="B3741" t="str">
            <v>1779-13</v>
          </cell>
          <cell r="C3741" t="str">
            <v>RS RETAINER</v>
          </cell>
          <cell r="D3741">
            <v>224.5</v>
          </cell>
          <cell r="N3741" t="str">
            <v>1779-13</v>
          </cell>
          <cell r="O3741" t="str">
            <v>RS RETAINER</v>
          </cell>
          <cell r="P3741">
            <v>449</v>
          </cell>
        </row>
        <row r="3742">
          <cell r="B3742" t="str">
            <v>1555-00</v>
          </cell>
          <cell r="C3742" t="str">
            <v>PISTON</v>
          </cell>
          <cell r="D3742">
            <v>225</v>
          </cell>
          <cell r="N3742" t="str">
            <v>1555-00</v>
          </cell>
          <cell r="O3742" t="str">
            <v>PISTON</v>
          </cell>
          <cell r="P3742">
            <v>450</v>
          </cell>
        </row>
        <row r="3743">
          <cell r="B3743" t="str">
            <v>1630-04</v>
          </cell>
          <cell r="C3743" t="str">
            <v>RS RETAINER</v>
          </cell>
          <cell r="D3743">
            <v>218</v>
          </cell>
          <cell r="N3743" t="str">
            <v>1630-04</v>
          </cell>
          <cell r="O3743" t="str">
            <v>RS RETAINER</v>
          </cell>
          <cell r="P3743">
            <v>436</v>
          </cell>
        </row>
        <row r="3744">
          <cell r="B3744" t="str">
            <v>1729-00</v>
          </cell>
          <cell r="C3744" t="str">
            <v>PISTON</v>
          </cell>
          <cell r="D3744">
            <v>225</v>
          </cell>
          <cell r="N3744" t="str">
            <v>1729-00</v>
          </cell>
          <cell r="O3744" t="str">
            <v>PISTON</v>
          </cell>
          <cell r="P3744">
            <v>450</v>
          </cell>
        </row>
        <row r="3745">
          <cell r="B3745" t="str">
            <v>1729-00</v>
          </cell>
          <cell r="C3745" t="str">
            <v>PISTON</v>
          </cell>
          <cell r="D3745">
            <v>225</v>
          </cell>
          <cell r="N3745" t="str">
            <v>1729-00</v>
          </cell>
          <cell r="O3745" t="str">
            <v>PISTON</v>
          </cell>
          <cell r="P3745">
            <v>450</v>
          </cell>
        </row>
        <row r="3746">
          <cell r="B3746" t="str">
            <v>1843-04</v>
          </cell>
          <cell r="C3746" t="str">
            <v>RS RETAINER</v>
          </cell>
          <cell r="D3746">
            <v>90.5</v>
          </cell>
          <cell r="N3746" t="str">
            <v>1843-04</v>
          </cell>
          <cell r="O3746" t="str">
            <v>RS RETAINER</v>
          </cell>
          <cell r="P3746">
            <v>181</v>
          </cell>
        </row>
        <row r="3747">
          <cell r="B3747" t="str">
            <v>2412-13</v>
          </cell>
          <cell r="C3747" t="str">
            <v>BODY</v>
          </cell>
          <cell r="D3747">
            <v>130</v>
          </cell>
          <cell r="N3747" t="str">
            <v>2412-13</v>
          </cell>
          <cell r="O3747" t="str">
            <v>BODY</v>
          </cell>
          <cell r="P3747">
            <v>260</v>
          </cell>
        </row>
        <row r="3748">
          <cell r="B3748" t="str">
            <v>464-12</v>
          </cell>
          <cell r="C3748" t="str">
            <v>PISTON</v>
          </cell>
          <cell r="D3748">
            <v>225</v>
          </cell>
          <cell r="N3748" t="str">
            <v>464-12</v>
          </cell>
          <cell r="O3748" t="str">
            <v>PISTON</v>
          </cell>
          <cell r="P3748">
            <v>450</v>
          </cell>
        </row>
        <row r="3749">
          <cell r="B3749" t="str">
            <v>556-01</v>
          </cell>
          <cell r="C3749" t="str">
            <v>PISTON</v>
          </cell>
          <cell r="D3749">
            <v>137</v>
          </cell>
          <cell r="N3749" t="str">
            <v>556-01</v>
          </cell>
          <cell r="O3749" t="str">
            <v>PISTON</v>
          </cell>
          <cell r="P3749">
            <v>274</v>
          </cell>
        </row>
        <row r="3750">
          <cell r="B3750" t="str">
            <v>556-01</v>
          </cell>
          <cell r="C3750" t="str">
            <v>PISTON</v>
          </cell>
          <cell r="D3750">
            <v>137</v>
          </cell>
          <cell r="N3750" t="str">
            <v>556-01</v>
          </cell>
          <cell r="O3750" t="str">
            <v>PISTON</v>
          </cell>
          <cell r="P3750">
            <v>274</v>
          </cell>
        </row>
        <row r="3751">
          <cell r="B3751" t="str">
            <v>598-24</v>
          </cell>
          <cell r="C3751" t="str">
            <v>PISTON</v>
          </cell>
          <cell r="D3751">
            <v>219.5</v>
          </cell>
          <cell r="N3751" t="str">
            <v>598-24</v>
          </cell>
          <cell r="O3751" t="str">
            <v>PISTON</v>
          </cell>
          <cell r="P3751">
            <v>439</v>
          </cell>
        </row>
        <row r="3752">
          <cell r="B3752" t="str">
            <v>598-26</v>
          </cell>
          <cell r="C3752" t="str">
            <v>PISTON</v>
          </cell>
          <cell r="D3752">
            <v>150</v>
          </cell>
          <cell r="N3752" t="str">
            <v>598-26</v>
          </cell>
          <cell r="O3752" t="str">
            <v>PISTON</v>
          </cell>
          <cell r="P3752">
            <v>300</v>
          </cell>
        </row>
        <row r="3753">
          <cell r="B3753" t="str">
            <v>773-00</v>
          </cell>
          <cell r="C3753" t="str">
            <v>PISTON</v>
          </cell>
          <cell r="D3753">
            <v>225</v>
          </cell>
          <cell r="N3753" t="str">
            <v>773-00</v>
          </cell>
          <cell r="O3753" t="str">
            <v>PISTON</v>
          </cell>
          <cell r="P3753">
            <v>450</v>
          </cell>
        </row>
        <row r="3754">
          <cell r="B3754" t="str">
            <v>861-22</v>
          </cell>
          <cell r="C3754" t="str">
            <v>BODY</v>
          </cell>
          <cell r="D3754">
            <v>112.5</v>
          </cell>
          <cell r="N3754" t="str">
            <v>861-22</v>
          </cell>
          <cell r="O3754" t="str">
            <v>BODY</v>
          </cell>
          <cell r="P3754">
            <v>225</v>
          </cell>
        </row>
        <row r="3755">
          <cell r="B3755" t="str">
            <v>1336-08</v>
          </cell>
          <cell r="C3755" t="str">
            <v>BODY</v>
          </cell>
          <cell r="D3755">
            <v>225.5</v>
          </cell>
          <cell r="N3755" t="str">
            <v>1336-08</v>
          </cell>
          <cell r="O3755" t="str">
            <v>BODY</v>
          </cell>
          <cell r="P3755">
            <v>451</v>
          </cell>
        </row>
        <row r="3756">
          <cell r="B3756" t="str">
            <v>1555-00</v>
          </cell>
          <cell r="C3756" t="str">
            <v>PISTON</v>
          </cell>
          <cell r="D3756">
            <v>225</v>
          </cell>
          <cell r="N3756" t="str">
            <v>1555-00</v>
          </cell>
          <cell r="O3756" t="str">
            <v>PISTON</v>
          </cell>
          <cell r="P3756">
            <v>450</v>
          </cell>
        </row>
        <row r="3757">
          <cell r="B3757" t="str">
            <v>1634-37</v>
          </cell>
          <cell r="C3757" t="str">
            <v>RS RETAINER</v>
          </cell>
          <cell r="D3757">
            <v>130</v>
          </cell>
          <cell r="N3757" t="str">
            <v>1634-37</v>
          </cell>
          <cell r="O3757" t="str">
            <v>RS RETAINER</v>
          </cell>
          <cell r="P3757">
            <v>260</v>
          </cell>
        </row>
        <row r="3758">
          <cell r="B3758" t="str">
            <v>1681-03</v>
          </cell>
          <cell r="C3758" t="str">
            <v>BODY</v>
          </cell>
          <cell r="D3758">
            <v>225.5</v>
          </cell>
          <cell r="N3758" t="str">
            <v>1681-03</v>
          </cell>
          <cell r="O3758" t="str">
            <v>BODY</v>
          </cell>
          <cell r="P3758">
            <v>451</v>
          </cell>
        </row>
        <row r="3759">
          <cell r="B3759" t="str">
            <v>1800-06</v>
          </cell>
          <cell r="C3759" t="str">
            <v>BODY</v>
          </cell>
          <cell r="D3759">
            <v>225.5</v>
          </cell>
          <cell r="N3759" t="str">
            <v>1800-06</v>
          </cell>
          <cell r="O3759" t="str">
            <v>BODY</v>
          </cell>
          <cell r="P3759">
            <v>451</v>
          </cell>
        </row>
        <row r="3760">
          <cell r="B3760" t="str">
            <v>1839-00</v>
          </cell>
          <cell r="C3760" t="str">
            <v>PISTON</v>
          </cell>
          <cell r="D3760">
            <v>225.5</v>
          </cell>
          <cell r="N3760" t="str">
            <v>1839-00</v>
          </cell>
          <cell r="O3760" t="str">
            <v>PISTON</v>
          </cell>
          <cell r="P3760">
            <v>451</v>
          </cell>
        </row>
        <row r="3761">
          <cell r="B3761" t="str">
            <v>670-03</v>
          </cell>
          <cell r="C3761" t="str">
            <v>ROD GUIDE ASS'Y</v>
          </cell>
          <cell r="D3761">
            <v>225.5</v>
          </cell>
          <cell r="N3761" t="str">
            <v>670-03</v>
          </cell>
          <cell r="O3761" t="str">
            <v>ROD GUIDE ASS'Y</v>
          </cell>
          <cell r="P3761">
            <v>451</v>
          </cell>
        </row>
        <row r="3762">
          <cell r="B3762" t="str">
            <v>1443-00</v>
          </cell>
          <cell r="C3762" t="str">
            <v>INSERT CAM</v>
          </cell>
          <cell r="D3762">
            <v>271.2</v>
          </cell>
          <cell r="N3762" t="str">
            <v>1443-00</v>
          </cell>
          <cell r="O3762" t="str">
            <v>INSERT CAM</v>
          </cell>
          <cell r="P3762">
            <v>452</v>
          </cell>
        </row>
        <row r="3763">
          <cell r="B3763" t="str">
            <v>1446-03</v>
          </cell>
          <cell r="C3763" t="str">
            <v>BODY</v>
          </cell>
          <cell r="D3763">
            <v>178</v>
          </cell>
          <cell r="N3763" t="str">
            <v>1446-03</v>
          </cell>
          <cell r="O3763" t="str">
            <v>BODY</v>
          </cell>
          <cell r="P3763">
            <v>356</v>
          </cell>
        </row>
        <row r="3764">
          <cell r="B3764" t="str">
            <v>1554-35</v>
          </cell>
          <cell r="C3764" t="str">
            <v>RS RETAINER</v>
          </cell>
          <cell r="D3764">
            <v>89.5</v>
          </cell>
          <cell r="N3764" t="str">
            <v>1554-35</v>
          </cell>
          <cell r="O3764" t="str">
            <v>RS RETAINER</v>
          </cell>
          <cell r="P3764">
            <v>179</v>
          </cell>
        </row>
        <row r="3765">
          <cell r="B3765" t="str">
            <v>1634-03</v>
          </cell>
          <cell r="C3765" t="str">
            <v>RS RETAINER</v>
          </cell>
          <cell r="D3765">
            <v>222.5</v>
          </cell>
          <cell r="N3765" t="str">
            <v>1634-03</v>
          </cell>
          <cell r="O3765" t="str">
            <v>RS RETAINER</v>
          </cell>
          <cell r="P3765">
            <v>445</v>
          </cell>
        </row>
        <row r="3766">
          <cell r="B3766" t="str">
            <v>1634-03</v>
          </cell>
          <cell r="C3766" t="str">
            <v>RS RETAINER</v>
          </cell>
          <cell r="D3766">
            <v>222.5</v>
          </cell>
          <cell r="N3766" t="str">
            <v>1634-03</v>
          </cell>
          <cell r="O3766" t="str">
            <v>RS RETAINER</v>
          </cell>
          <cell r="P3766">
            <v>445</v>
          </cell>
        </row>
        <row r="3767">
          <cell r="B3767" t="str">
            <v>2055-03</v>
          </cell>
          <cell r="C3767" t="str">
            <v>BODY</v>
          </cell>
          <cell r="D3767">
            <v>226</v>
          </cell>
          <cell r="N3767" t="str">
            <v>2055-03</v>
          </cell>
          <cell r="O3767" t="str">
            <v>BODY</v>
          </cell>
          <cell r="P3767">
            <v>452</v>
          </cell>
        </row>
        <row r="3768">
          <cell r="B3768" t="str">
            <v>2412-07</v>
          </cell>
          <cell r="C3768" t="str">
            <v>BODY</v>
          </cell>
          <cell r="D3768">
            <v>143</v>
          </cell>
          <cell r="N3768" t="str">
            <v>2412-07</v>
          </cell>
          <cell r="O3768" t="str">
            <v>BODY</v>
          </cell>
          <cell r="P3768">
            <v>286</v>
          </cell>
        </row>
        <row r="3769">
          <cell r="B3769" t="str">
            <v>086-08</v>
          </cell>
          <cell r="C3769" t="str">
            <v>ROD GUIDE ASS'Y</v>
          </cell>
          <cell r="D3769">
            <v>226.5</v>
          </cell>
          <cell r="N3769" t="str">
            <v>086-08</v>
          </cell>
          <cell r="O3769" t="str">
            <v>ROD GUIDE ASS'Y</v>
          </cell>
          <cell r="P3769">
            <v>453</v>
          </cell>
        </row>
        <row r="3770">
          <cell r="B3770" t="str">
            <v>1581-05</v>
          </cell>
          <cell r="C3770" t="str">
            <v>BODY</v>
          </cell>
          <cell r="D3770">
            <v>226.5</v>
          </cell>
          <cell r="N3770" t="str">
            <v>1581-05</v>
          </cell>
          <cell r="O3770" t="str">
            <v>BODY</v>
          </cell>
          <cell r="P3770">
            <v>453</v>
          </cell>
        </row>
        <row r="3771">
          <cell r="B3771" t="str">
            <v>1634-34</v>
          </cell>
          <cell r="C3771" t="str">
            <v>RS RETAINER</v>
          </cell>
          <cell r="D3771">
            <v>89.5</v>
          </cell>
          <cell r="N3771" t="str">
            <v>1634-34</v>
          </cell>
          <cell r="O3771" t="str">
            <v>RS RETAINER</v>
          </cell>
          <cell r="P3771">
            <v>179</v>
          </cell>
        </row>
        <row r="3772">
          <cell r="B3772" t="str">
            <v>1634-34</v>
          </cell>
          <cell r="C3772" t="str">
            <v>RS RETAINER</v>
          </cell>
          <cell r="D3772">
            <v>89.5</v>
          </cell>
          <cell r="N3772" t="str">
            <v>1634-34</v>
          </cell>
          <cell r="O3772" t="str">
            <v>RS RETAINER</v>
          </cell>
          <cell r="P3772">
            <v>179</v>
          </cell>
        </row>
        <row r="3773">
          <cell r="B3773" t="str">
            <v>1666-11</v>
          </cell>
          <cell r="C3773" t="str">
            <v>BODY</v>
          </cell>
          <cell r="D3773">
            <v>216.5</v>
          </cell>
          <cell r="N3773" t="str">
            <v>1666-11</v>
          </cell>
          <cell r="O3773" t="str">
            <v>BODY</v>
          </cell>
          <cell r="P3773">
            <v>433</v>
          </cell>
        </row>
        <row r="3774">
          <cell r="B3774" t="str">
            <v>1668-00</v>
          </cell>
          <cell r="C3774" t="str">
            <v>CAM</v>
          </cell>
          <cell r="D3774">
            <v>252</v>
          </cell>
          <cell r="N3774" t="str">
            <v>1668-00</v>
          </cell>
          <cell r="O3774" t="str">
            <v>CAM</v>
          </cell>
          <cell r="P3774">
            <v>420</v>
          </cell>
        </row>
        <row r="3775">
          <cell r="B3775" t="str">
            <v>1799-04</v>
          </cell>
          <cell r="C3775" t="str">
            <v>PISTON</v>
          </cell>
          <cell r="D3775">
            <v>226.5</v>
          </cell>
          <cell r="N3775" t="str">
            <v>1799-04</v>
          </cell>
          <cell r="O3775" t="str">
            <v>PISTON</v>
          </cell>
          <cell r="P3775">
            <v>453</v>
          </cell>
        </row>
        <row r="3776">
          <cell r="B3776" t="str">
            <v>1800-01</v>
          </cell>
          <cell r="C3776" t="str">
            <v>BODY</v>
          </cell>
          <cell r="D3776">
            <v>123</v>
          </cell>
          <cell r="N3776" t="str">
            <v>1800-01</v>
          </cell>
          <cell r="O3776" t="str">
            <v>BODY</v>
          </cell>
          <cell r="P3776">
            <v>246</v>
          </cell>
        </row>
        <row r="3777">
          <cell r="B3777" t="str">
            <v>1800-03</v>
          </cell>
          <cell r="C3777" t="str">
            <v>BODY</v>
          </cell>
          <cell r="D3777">
            <v>226.5</v>
          </cell>
          <cell r="N3777" t="str">
            <v>1800-03</v>
          </cell>
          <cell r="O3777" t="str">
            <v>BODY</v>
          </cell>
          <cell r="P3777">
            <v>453</v>
          </cell>
        </row>
        <row r="3778">
          <cell r="B3778" t="str">
            <v>598-31</v>
          </cell>
          <cell r="C3778" t="str">
            <v>PISTON</v>
          </cell>
          <cell r="D3778">
            <v>198</v>
          </cell>
          <cell r="N3778" t="str">
            <v>598-31</v>
          </cell>
          <cell r="O3778" t="str">
            <v>PISTON</v>
          </cell>
          <cell r="P3778">
            <v>396</v>
          </cell>
        </row>
        <row r="3779">
          <cell r="B3779" t="str">
            <v>598-31</v>
          </cell>
          <cell r="C3779" t="str">
            <v>PISTON</v>
          </cell>
          <cell r="D3779">
            <v>198</v>
          </cell>
          <cell r="N3779" t="str">
            <v>598-31</v>
          </cell>
          <cell r="O3779" t="str">
            <v>PISTON</v>
          </cell>
          <cell r="P3779">
            <v>396</v>
          </cell>
        </row>
        <row r="3780">
          <cell r="B3780" t="str">
            <v>598-31</v>
          </cell>
          <cell r="C3780" t="str">
            <v>PISTON</v>
          </cell>
          <cell r="D3780">
            <v>198</v>
          </cell>
          <cell r="N3780" t="str">
            <v>598-31</v>
          </cell>
          <cell r="O3780" t="str">
            <v>PISTON</v>
          </cell>
          <cell r="P3780">
            <v>396</v>
          </cell>
        </row>
        <row r="3781">
          <cell r="B3781" t="str">
            <v>1566-03</v>
          </cell>
          <cell r="C3781" t="str">
            <v>BODY</v>
          </cell>
          <cell r="D3781">
            <v>213.5</v>
          </cell>
          <cell r="N3781" t="str">
            <v>1566-03</v>
          </cell>
          <cell r="O3781" t="str">
            <v>BODY</v>
          </cell>
          <cell r="P3781">
            <v>427</v>
          </cell>
        </row>
        <row r="3782">
          <cell r="B3782" t="str">
            <v>1779-03</v>
          </cell>
          <cell r="C3782" t="str">
            <v>RS RETAINER</v>
          </cell>
          <cell r="D3782">
            <v>222</v>
          </cell>
          <cell r="N3782" t="str">
            <v>1779-03</v>
          </cell>
          <cell r="O3782" t="str">
            <v>RS RETAINER</v>
          </cell>
          <cell r="P3782">
            <v>444</v>
          </cell>
        </row>
        <row r="3783">
          <cell r="B3783" t="str">
            <v>1922-02</v>
          </cell>
          <cell r="C3783" t="str">
            <v>RS RETAINER</v>
          </cell>
          <cell r="D3783">
            <v>108.5</v>
          </cell>
          <cell r="N3783" t="str">
            <v>1922-02</v>
          </cell>
          <cell r="O3783" t="str">
            <v>RS RETAINER</v>
          </cell>
          <cell r="P3783">
            <v>217</v>
          </cell>
        </row>
        <row r="3784">
          <cell r="B3784" t="str">
            <v>1922-02</v>
          </cell>
          <cell r="C3784" t="str">
            <v>RS RETAINER</v>
          </cell>
          <cell r="D3784">
            <v>108.5</v>
          </cell>
          <cell r="N3784" t="str">
            <v>1922-02</v>
          </cell>
          <cell r="O3784" t="str">
            <v>RS RETAINER</v>
          </cell>
          <cell r="P3784">
            <v>217</v>
          </cell>
        </row>
        <row r="3785">
          <cell r="B3785" t="str">
            <v>464-07</v>
          </cell>
          <cell r="C3785" t="str">
            <v>PISTON</v>
          </cell>
          <cell r="D3785">
            <v>170.5</v>
          </cell>
          <cell r="N3785" t="str">
            <v>464-07</v>
          </cell>
          <cell r="O3785" t="str">
            <v>PISTON</v>
          </cell>
          <cell r="P3785">
            <v>341</v>
          </cell>
        </row>
        <row r="3786">
          <cell r="B3786" t="str">
            <v>1023-15</v>
          </cell>
          <cell r="C3786" t="str">
            <v>PISTON</v>
          </cell>
          <cell r="D3786">
            <v>227.5</v>
          </cell>
          <cell r="N3786" t="str">
            <v>1023-15</v>
          </cell>
          <cell r="O3786" t="str">
            <v>PISTON</v>
          </cell>
          <cell r="P3786">
            <v>455</v>
          </cell>
        </row>
        <row r="3787">
          <cell r="B3787" t="str">
            <v>1275-04</v>
          </cell>
          <cell r="C3787" t="str">
            <v>BODY</v>
          </cell>
          <cell r="D3787">
            <v>227.5</v>
          </cell>
          <cell r="N3787" t="str">
            <v>1275-04</v>
          </cell>
          <cell r="O3787" t="str">
            <v>BODY</v>
          </cell>
          <cell r="P3787">
            <v>455</v>
          </cell>
        </row>
        <row r="3788">
          <cell r="B3788" t="str">
            <v>1589-03</v>
          </cell>
          <cell r="C3788" t="str">
            <v>REB,RETAINER</v>
          </cell>
          <cell r="D3788">
            <v>217.5</v>
          </cell>
          <cell r="N3788" t="str">
            <v>1589-03</v>
          </cell>
          <cell r="O3788" t="str">
            <v>REB,RETAINER</v>
          </cell>
          <cell r="P3788">
            <v>435</v>
          </cell>
        </row>
        <row r="3789">
          <cell r="B3789" t="str">
            <v>1922-03</v>
          </cell>
          <cell r="C3789" t="str">
            <v>RS RETAINER</v>
          </cell>
          <cell r="D3789">
            <v>227.5</v>
          </cell>
          <cell r="N3789" t="str">
            <v>1922-03</v>
          </cell>
          <cell r="O3789" t="str">
            <v>RS RETAINER</v>
          </cell>
          <cell r="P3789">
            <v>455</v>
          </cell>
        </row>
        <row r="3790">
          <cell r="B3790" t="str">
            <v>2412-06</v>
          </cell>
          <cell r="C3790" t="str">
            <v>BODY</v>
          </cell>
          <cell r="D3790">
            <v>143</v>
          </cell>
          <cell r="N3790" t="str">
            <v>2412-06</v>
          </cell>
          <cell r="O3790" t="str">
            <v>BODY</v>
          </cell>
          <cell r="P3790">
            <v>286</v>
          </cell>
        </row>
        <row r="3791">
          <cell r="B3791" t="str">
            <v>592-03</v>
          </cell>
          <cell r="C3791" t="str">
            <v>PISTON</v>
          </cell>
          <cell r="D3791">
            <v>114.5</v>
          </cell>
          <cell r="N3791" t="str">
            <v>592-03</v>
          </cell>
          <cell r="O3791" t="str">
            <v>PISTON</v>
          </cell>
          <cell r="P3791">
            <v>229</v>
          </cell>
        </row>
        <row r="3792">
          <cell r="B3792" t="str">
            <v>673-01</v>
          </cell>
          <cell r="C3792" t="str">
            <v>PISTON</v>
          </cell>
          <cell r="D3792">
            <v>120</v>
          </cell>
          <cell r="N3792" t="str">
            <v>673-01</v>
          </cell>
          <cell r="O3792" t="str">
            <v>PISTON</v>
          </cell>
          <cell r="P3792">
            <v>240</v>
          </cell>
        </row>
        <row r="3793">
          <cell r="B3793" t="str">
            <v>673-08</v>
          </cell>
          <cell r="C3793" t="str">
            <v>PISTON</v>
          </cell>
          <cell r="D3793">
            <v>118</v>
          </cell>
          <cell r="N3793" t="str">
            <v>673-08</v>
          </cell>
          <cell r="O3793" t="str">
            <v>PISTON</v>
          </cell>
          <cell r="P3793">
            <v>236</v>
          </cell>
        </row>
        <row r="3794">
          <cell r="B3794" t="str">
            <v>1031-01</v>
          </cell>
          <cell r="C3794" t="str">
            <v>ROD GUIDE ASS'Y</v>
          </cell>
          <cell r="D3794">
            <v>190.5</v>
          </cell>
          <cell r="N3794" t="str">
            <v>1031-01</v>
          </cell>
          <cell r="O3794" t="str">
            <v>ROD GUIDE ASS'Y</v>
          </cell>
          <cell r="P3794">
            <v>381</v>
          </cell>
        </row>
        <row r="3795">
          <cell r="B3795" t="str">
            <v>1146-02</v>
          </cell>
          <cell r="C3795" t="str">
            <v>PISTON</v>
          </cell>
          <cell r="D3795">
            <v>228</v>
          </cell>
          <cell r="N3795" t="str">
            <v>1146-02</v>
          </cell>
          <cell r="O3795" t="str">
            <v>PISTON</v>
          </cell>
          <cell r="P3795">
            <v>456</v>
          </cell>
        </row>
        <row r="3796">
          <cell r="B3796" t="str">
            <v>1218-02</v>
          </cell>
          <cell r="C3796" t="str">
            <v>VALVE PISTON</v>
          </cell>
          <cell r="D3796">
            <v>97.5</v>
          </cell>
          <cell r="N3796" t="str">
            <v>1218-02</v>
          </cell>
          <cell r="O3796" t="str">
            <v>VALVE PISTON</v>
          </cell>
          <cell r="P3796">
            <v>195</v>
          </cell>
        </row>
        <row r="3797">
          <cell r="B3797" t="str">
            <v>1218-02</v>
          </cell>
          <cell r="C3797" t="str">
            <v>VALVE PISTON</v>
          </cell>
          <cell r="D3797">
            <v>97.5</v>
          </cell>
          <cell r="N3797" t="str">
            <v>1218-02</v>
          </cell>
          <cell r="O3797" t="str">
            <v>VALVE PISTON</v>
          </cell>
          <cell r="P3797">
            <v>195</v>
          </cell>
        </row>
        <row r="3798">
          <cell r="B3798" t="str">
            <v>1218-07</v>
          </cell>
          <cell r="C3798" t="str">
            <v>VALVE PISTON</v>
          </cell>
          <cell r="D3798">
            <v>228</v>
          </cell>
          <cell r="N3798" t="str">
            <v>1218-07</v>
          </cell>
          <cell r="O3798" t="str">
            <v>VALVE PISTON</v>
          </cell>
          <cell r="P3798">
            <v>456</v>
          </cell>
        </row>
        <row r="3799">
          <cell r="B3799" t="str">
            <v>1218-07</v>
          </cell>
          <cell r="C3799" t="str">
            <v>VALVE PISTON</v>
          </cell>
          <cell r="D3799">
            <v>228</v>
          </cell>
          <cell r="N3799" t="str">
            <v>1218-07</v>
          </cell>
          <cell r="O3799" t="str">
            <v>VALVE PISTON</v>
          </cell>
          <cell r="P3799">
            <v>456</v>
          </cell>
        </row>
        <row r="3800">
          <cell r="B3800" t="str">
            <v>1218-09</v>
          </cell>
          <cell r="C3800" t="str">
            <v>VALVE PISTON</v>
          </cell>
          <cell r="D3800">
            <v>228</v>
          </cell>
          <cell r="N3800" t="str">
            <v>1218-09</v>
          </cell>
          <cell r="O3800" t="str">
            <v>VALVE PISTON</v>
          </cell>
          <cell r="P3800">
            <v>456</v>
          </cell>
        </row>
        <row r="3801">
          <cell r="B3801" t="str">
            <v>1218-09</v>
          </cell>
          <cell r="C3801" t="str">
            <v>VALVE PISTON</v>
          </cell>
          <cell r="D3801">
            <v>228</v>
          </cell>
          <cell r="N3801" t="str">
            <v>1218-09</v>
          </cell>
          <cell r="O3801" t="str">
            <v>VALVE PISTON</v>
          </cell>
          <cell r="P3801">
            <v>456</v>
          </cell>
        </row>
        <row r="3802">
          <cell r="B3802" t="str">
            <v>1336-07</v>
          </cell>
          <cell r="C3802" t="str">
            <v>BODY</v>
          </cell>
          <cell r="D3802">
            <v>228</v>
          </cell>
          <cell r="N3802" t="str">
            <v>1336-07</v>
          </cell>
          <cell r="O3802" t="str">
            <v>BODY</v>
          </cell>
          <cell r="P3802">
            <v>456</v>
          </cell>
        </row>
        <row r="3803">
          <cell r="B3803" t="str">
            <v>1779-07</v>
          </cell>
          <cell r="C3803" t="str">
            <v>RS RETAINER</v>
          </cell>
          <cell r="D3803">
            <v>228</v>
          </cell>
          <cell r="N3803" t="str">
            <v>1779-07</v>
          </cell>
          <cell r="O3803" t="str">
            <v>RS RETAINER</v>
          </cell>
          <cell r="P3803">
            <v>456</v>
          </cell>
        </row>
        <row r="3804">
          <cell r="B3804" t="str">
            <v>800-02</v>
          </cell>
          <cell r="C3804" t="str">
            <v>PISTON</v>
          </cell>
          <cell r="D3804">
            <v>129.5</v>
          </cell>
          <cell r="N3804" t="str">
            <v>800-02</v>
          </cell>
          <cell r="O3804" t="str">
            <v>PISTON</v>
          </cell>
          <cell r="P3804">
            <v>259</v>
          </cell>
        </row>
        <row r="3805">
          <cell r="B3805" t="str">
            <v>1030-02</v>
          </cell>
          <cell r="C3805" t="str">
            <v>ROD GUIDE ASS'Y</v>
          </cell>
          <cell r="D3805">
            <v>196</v>
          </cell>
          <cell r="N3805" t="str">
            <v>1030-02</v>
          </cell>
          <cell r="O3805" t="str">
            <v>ROD GUIDE ASS'Y</v>
          </cell>
          <cell r="P3805">
            <v>392</v>
          </cell>
        </row>
        <row r="3806">
          <cell r="B3806" t="str">
            <v>1069-01</v>
          </cell>
          <cell r="C3806" t="str">
            <v>PISTON</v>
          </cell>
          <cell r="D3806">
            <v>99</v>
          </cell>
          <cell r="N3806" t="str">
            <v>1069-01</v>
          </cell>
          <cell r="O3806" t="str">
            <v>PISTON</v>
          </cell>
          <cell r="P3806">
            <v>198</v>
          </cell>
        </row>
        <row r="3807">
          <cell r="B3807" t="str">
            <v>1518-01</v>
          </cell>
          <cell r="C3807" t="str">
            <v>PISTON</v>
          </cell>
          <cell r="D3807">
            <v>228.5</v>
          </cell>
          <cell r="N3807" t="str">
            <v>1518-01</v>
          </cell>
          <cell r="O3807" t="str">
            <v>PISTON</v>
          </cell>
          <cell r="P3807">
            <v>457</v>
          </cell>
        </row>
        <row r="3808">
          <cell r="B3808" t="str">
            <v>1891-01</v>
          </cell>
          <cell r="C3808" t="str">
            <v>BODY</v>
          </cell>
          <cell r="D3808">
            <v>212</v>
          </cell>
          <cell r="N3808" t="str">
            <v>1891-01</v>
          </cell>
          <cell r="O3808" t="str">
            <v>BODY</v>
          </cell>
          <cell r="P3808">
            <v>424</v>
          </cell>
        </row>
        <row r="3809">
          <cell r="B3809" t="str">
            <v>1931-04</v>
          </cell>
          <cell r="C3809" t="str">
            <v>RS RETAINER</v>
          </cell>
          <cell r="D3809">
            <v>213</v>
          </cell>
          <cell r="N3809" t="str">
            <v>1931-04</v>
          </cell>
          <cell r="O3809" t="str">
            <v>RS RETAINER</v>
          </cell>
          <cell r="P3809">
            <v>426</v>
          </cell>
        </row>
        <row r="3810">
          <cell r="B3810" t="str">
            <v>2412-20</v>
          </cell>
          <cell r="C3810" t="str">
            <v>BODY</v>
          </cell>
          <cell r="D3810">
            <v>228.5</v>
          </cell>
          <cell r="N3810" t="str">
            <v>2412-20</v>
          </cell>
          <cell r="O3810" t="str">
            <v>BODY</v>
          </cell>
          <cell r="P3810">
            <v>457</v>
          </cell>
        </row>
        <row r="3811">
          <cell r="B3811" t="str">
            <v>464-03</v>
          </cell>
          <cell r="C3811" t="str">
            <v>PISTON</v>
          </cell>
          <cell r="D3811">
            <v>144.5</v>
          </cell>
          <cell r="N3811" t="str">
            <v>464-03</v>
          </cell>
          <cell r="O3811" t="str">
            <v>PISTON</v>
          </cell>
          <cell r="P3811">
            <v>289</v>
          </cell>
        </row>
        <row r="3812">
          <cell r="B3812" t="str">
            <v>464-24</v>
          </cell>
          <cell r="C3812" t="str">
            <v>PISTON</v>
          </cell>
          <cell r="D3812">
            <v>228.5</v>
          </cell>
          <cell r="N3812" t="str">
            <v>464-24</v>
          </cell>
          <cell r="O3812" t="str">
            <v>PISTON</v>
          </cell>
          <cell r="P3812">
            <v>457</v>
          </cell>
        </row>
        <row r="3813">
          <cell r="B3813" t="str">
            <v>670-03</v>
          </cell>
          <cell r="C3813" t="str">
            <v>ROD GUIDE ASS'Y</v>
          </cell>
          <cell r="D3813">
            <v>225.5</v>
          </cell>
          <cell r="N3813" t="str">
            <v>670-03</v>
          </cell>
          <cell r="O3813" t="str">
            <v>ROD GUIDE ASS'Y</v>
          </cell>
          <cell r="P3813">
            <v>451</v>
          </cell>
        </row>
        <row r="3814">
          <cell r="B3814" t="str">
            <v>1172-06</v>
          </cell>
          <cell r="C3814" t="str">
            <v>VALVE PISTON</v>
          </cell>
          <cell r="D3814">
            <v>229</v>
          </cell>
          <cell r="N3814" t="str">
            <v>1172-06</v>
          </cell>
          <cell r="O3814" t="str">
            <v>VALVE PISTON</v>
          </cell>
          <cell r="P3814">
            <v>458</v>
          </cell>
        </row>
        <row r="3815">
          <cell r="B3815" t="str">
            <v>1172-13</v>
          </cell>
          <cell r="C3815" t="str">
            <v>VALVE PISTON</v>
          </cell>
          <cell r="D3815">
            <v>229</v>
          </cell>
          <cell r="N3815" t="str">
            <v>1172-13</v>
          </cell>
          <cell r="O3815" t="str">
            <v>VALVE PISTON</v>
          </cell>
          <cell r="P3815">
            <v>458</v>
          </cell>
        </row>
        <row r="3816">
          <cell r="B3816" t="str">
            <v>1172-13</v>
          </cell>
          <cell r="C3816" t="str">
            <v>VALVE PISTON</v>
          </cell>
          <cell r="D3816">
            <v>229</v>
          </cell>
          <cell r="N3816" t="str">
            <v>1172-13</v>
          </cell>
          <cell r="O3816" t="str">
            <v>VALVE PISTON</v>
          </cell>
          <cell r="P3816">
            <v>458</v>
          </cell>
        </row>
        <row r="3817">
          <cell r="B3817" t="str">
            <v>1172-15</v>
          </cell>
          <cell r="C3817" t="str">
            <v>VALVE PISTON</v>
          </cell>
          <cell r="D3817">
            <v>229</v>
          </cell>
          <cell r="N3817" t="str">
            <v>1172-15</v>
          </cell>
          <cell r="O3817" t="str">
            <v>VALVE PISTON</v>
          </cell>
          <cell r="P3817">
            <v>458</v>
          </cell>
        </row>
        <row r="3818">
          <cell r="B3818" t="str">
            <v>1608-00</v>
          </cell>
          <cell r="C3818" t="str">
            <v>PISTON</v>
          </cell>
          <cell r="D3818">
            <v>147.5</v>
          </cell>
          <cell r="N3818" t="str">
            <v>1608-00</v>
          </cell>
          <cell r="O3818" t="str">
            <v>PISTON</v>
          </cell>
          <cell r="P3818">
            <v>295</v>
          </cell>
        </row>
        <row r="3819">
          <cell r="B3819" t="str">
            <v>1634-37</v>
          </cell>
          <cell r="C3819" t="str">
            <v>RS RETAINER</v>
          </cell>
          <cell r="D3819">
            <v>130</v>
          </cell>
          <cell r="N3819" t="str">
            <v>1634-37</v>
          </cell>
          <cell r="O3819" t="str">
            <v>RS RETAINER</v>
          </cell>
          <cell r="P3819">
            <v>260</v>
          </cell>
        </row>
        <row r="3820">
          <cell r="B3820" t="str">
            <v>1779-13</v>
          </cell>
          <cell r="C3820" t="str">
            <v>RS RETAINER</v>
          </cell>
          <cell r="D3820">
            <v>224.5</v>
          </cell>
          <cell r="N3820" t="str">
            <v>1779-13</v>
          </cell>
          <cell r="O3820" t="str">
            <v>RS RETAINER</v>
          </cell>
          <cell r="P3820">
            <v>449</v>
          </cell>
        </row>
        <row r="3821">
          <cell r="B3821" t="str">
            <v>1790-14</v>
          </cell>
          <cell r="C3821" t="str">
            <v>BODY</v>
          </cell>
          <cell r="D3821">
            <v>229</v>
          </cell>
          <cell r="N3821" t="str">
            <v>1790-14</v>
          </cell>
          <cell r="O3821" t="str">
            <v>BODY</v>
          </cell>
          <cell r="P3821">
            <v>458</v>
          </cell>
        </row>
        <row r="3822">
          <cell r="B3822" t="str">
            <v>1792-08</v>
          </cell>
          <cell r="C3822" t="str">
            <v>REB,RETAINER</v>
          </cell>
          <cell r="D3822">
            <v>89.5</v>
          </cell>
          <cell r="N3822" t="str">
            <v>1792-08</v>
          </cell>
          <cell r="O3822" t="str">
            <v>REB,RETAINER</v>
          </cell>
          <cell r="P3822">
            <v>179</v>
          </cell>
        </row>
        <row r="3823">
          <cell r="B3823" t="str">
            <v>670-03</v>
          </cell>
          <cell r="C3823" t="str">
            <v>ROD GUIDE ASS'Y</v>
          </cell>
          <cell r="D3823">
            <v>225.5</v>
          </cell>
          <cell r="N3823" t="str">
            <v>670-03</v>
          </cell>
          <cell r="O3823" t="str">
            <v>ROD GUIDE ASS'Y</v>
          </cell>
          <cell r="P3823">
            <v>451</v>
          </cell>
        </row>
        <row r="3824">
          <cell r="B3824" t="str">
            <v>1530-02</v>
          </cell>
          <cell r="C3824" t="str">
            <v>PISTON</v>
          </cell>
          <cell r="D3824">
            <v>217</v>
          </cell>
          <cell r="N3824" t="str">
            <v>1530-02</v>
          </cell>
          <cell r="O3824" t="str">
            <v>PISTON</v>
          </cell>
          <cell r="P3824">
            <v>434</v>
          </cell>
        </row>
        <row r="3825">
          <cell r="B3825" t="str">
            <v>1634-03</v>
          </cell>
          <cell r="C3825" t="str">
            <v>RS RETAINER</v>
          </cell>
          <cell r="D3825">
            <v>222.5</v>
          </cell>
          <cell r="N3825" t="str">
            <v>1634-03</v>
          </cell>
          <cell r="O3825" t="str">
            <v>RS RETAINER</v>
          </cell>
          <cell r="P3825">
            <v>445</v>
          </cell>
        </row>
        <row r="3826">
          <cell r="B3826" t="str">
            <v>1634-03</v>
          </cell>
          <cell r="C3826" t="str">
            <v>RS RETAINER</v>
          </cell>
          <cell r="D3826">
            <v>222.5</v>
          </cell>
          <cell r="N3826" t="str">
            <v>1634-03</v>
          </cell>
          <cell r="O3826" t="str">
            <v>RS RETAINER</v>
          </cell>
          <cell r="P3826">
            <v>445</v>
          </cell>
        </row>
        <row r="3827">
          <cell r="B3827" t="str">
            <v>1634-03</v>
          </cell>
          <cell r="C3827" t="str">
            <v>RS RETAINER</v>
          </cell>
          <cell r="D3827">
            <v>222.5</v>
          </cell>
          <cell r="N3827" t="str">
            <v>1634-03</v>
          </cell>
          <cell r="O3827" t="str">
            <v>RS RETAINER</v>
          </cell>
          <cell r="P3827">
            <v>445</v>
          </cell>
        </row>
        <row r="3828">
          <cell r="B3828" t="str">
            <v>1734-14</v>
          </cell>
          <cell r="C3828" t="str">
            <v>RS RETAINER</v>
          </cell>
          <cell r="D3828">
            <v>98</v>
          </cell>
          <cell r="N3828" t="str">
            <v>1734-14</v>
          </cell>
          <cell r="O3828" t="str">
            <v>RS RETAINER</v>
          </cell>
          <cell r="P3828">
            <v>196</v>
          </cell>
        </row>
        <row r="3829">
          <cell r="B3829" t="str">
            <v>501-02</v>
          </cell>
          <cell r="C3829" t="str">
            <v>ORIFICE</v>
          </cell>
          <cell r="D3829">
            <v>275.39999999999998</v>
          </cell>
          <cell r="N3829" t="str">
            <v>501-02</v>
          </cell>
          <cell r="O3829" t="str">
            <v>ORIFICE</v>
          </cell>
          <cell r="P3829">
            <v>459</v>
          </cell>
        </row>
        <row r="3830">
          <cell r="B3830" t="str">
            <v>591-11</v>
          </cell>
          <cell r="C3830" t="str">
            <v>PISTON</v>
          </cell>
          <cell r="D3830">
            <v>229.5</v>
          </cell>
          <cell r="N3830" t="str">
            <v>591-11</v>
          </cell>
          <cell r="O3830" t="str">
            <v>PISTON</v>
          </cell>
          <cell r="P3830">
            <v>459</v>
          </cell>
        </row>
        <row r="3831">
          <cell r="B3831" t="str">
            <v>598-21</v>
          </cell>
          <cell r="C3831" t="str">
            <v>PISTON</v>
          </cell>
          <cell r="D3831">
            <v>229.5</v>
          </cell>
          <cell r="N3831" t="str">
            <v>598-21</v>
          </cell>
          <cell r="O3831" t="str">
            <v>PISTON</v>
          </cell>
          <cell r="P3831">
            <v>459</v>
          </cell>
        </row>
        <row r="3832">
          <cell r="B3832" t="str">
            <v>1183-01</v>
          </cell>
          <cell r="C3832" t="str">
            <v>VALVE PISTON</v>
          </cell>
          <cell r="D3832">
            <v>230</v>
          </cell>
          <cell r="N3832" t="str">
            <v>1183-01</v>
          </cell>
          <cell r="O3832" t="str">
            <v>VALVE PISTON</v>
          </cell>
          <cell r="P3832">
            <v>460</v>
          </cell>
        </row>
        <row r="3833">
          <cell r="B3833" t="str">
            <v>1183-01</v>
          </cell>
          <cell r="C3833" t="str">
            <v>VALVE PISTON</v>
          </cell>
          <cell r="D3833">
            <v>230</v>
          </cell>
          <cell r="N3833" t="str">
            <v>1183-01</v>
          </cell>
          <cell r="O3833" t="str">
            <v>VALVE PISTON</v>
          </cell>
          <cell r="P3833">
            <v>460</v>
          </cell>
        </row>
        <row r="3834">
          <cell r="B3834" t="str">
            <v>1482-01</v>
          </cell>
          <cell r="C3834" t="str">
            <v>VALVE PISTON</v>
          </cell>
          <cell r="D3834">
            <v>230</v>
          </cell>
          <cell r="N3834" t="str">
            <v>1482-01</v>
          </cell>
          <cell r="O3834" t="str">
            <v>VALVE PISTON</v>
          </cell>
          <cell r="P3834">
            <v>460</v>
          </cell>
        </row>
        <row r="3835">
          <cell r="B3835" t="str">
            <v>1554-36</v>
          </cell>
          <cell r="C3835" t="str">
            <v>RS RETAINER</v>
          </cell>
          <cell r="D3835">
            <v>215</v>
          </cell>
          <cell r="N3835" t="str">
            <v>1554-36</v>
          </cell>
          <cell r="O3835" t="str">
            <v>RS RETAINER</v>
          </cell>
          <cell r="P3835">
            <v>430</v>
          </cell>
        </row>
        <row r="3836">
          <cell r="B3836" t="str">
            <v>1634-46</v>
          </cell>
          <cell r="C3836" t="str">
            <v>RS RETAINER</v>
          </cell>
          <cell r="D3836">
            <v>230</v>
          </cell>
          <cell r="N3836" t="str">
            <v>1634-46</v>
          </cell>
          <cell r="O3836" t="str">
            <v>RS RETAINER</v>
          </cell>
          <cell r="P3836">
            <v>460</v>
          </cell>
        </row>
        <row r="3837">
          <cell r="B3837" t="str">
            <v>2076-11</v>
          </cell>
          <cell r="C3837" t="str">
            <v>BODY RETAINER</v>
          </cell>
          <cell r="D3837">
            <v>81.5</v>
          </cell>
          <cell r="N3837" t="str">
            <v>2076-11</v>
          </cell>
          <cell r="O3837" t="str">
            <v>BODY RETAINER</v>
          </cell>
          <cell r="P3837">
            <v>163</v>
          </cell>
        </row>
        <row r="3838">
          <cell r="B3838" t="str">
            <v>1064-03</v>
          </cell>
          <cell r="C3838" t="str">
            <v>HOUSING PISTON</v>
          </cell>
          <cell r="D3838">
            <v>230.44499999999999</v>
          </cell>
          <cell r="N3838" t="str">
            <v>1064-03</v>
          </cell>
          <cell r="O3838" t="str">
            <v>HOUSING PISTON</v>
          </cell>
          <cell r="P3838">
            <v>460.89</v>
          </cell>
        </row>
        <row r="3839">
          <cell r="B3839" t="str">
            <v>1554-25</v>
          </cell>
          <cell r="C3839" t="str">
            <v>RS RETAINER</v>
          </cell>
          <cell r="D3839">
            <v>213</v>
          </cell>
          <cell r="N3839" t="str">
            <v>1554-25</v>
          </cell>
          <cell r="O3839" t="str">
            <v>RS RETAINER</v>
          </cell>
          <cell r="P3839">
            <v>426</v>
          </cell>
        </row>
        <row r="3840">
          <cell r="B3840" t="str">
            <v>1554-25</v>
          </cell>
          <cell r="C3840" t="str">
            <v>RS RETAINER</v>
          </cell>
          <cell r="D3840">
            <v>213</v>
          </cell>
          <cell r="N3840" t="str">
            <v>1554-25</v>
          </cell>
          <cell r="O3840" t="str">
            <v>RS RETAINER</v>
          </cell>
          <cell r="P3840">
            <v>426</v>
          </cell>
        </row>
        <row r="3841">
          <cell r="B3841" t="str">
            <v>1590-05</v>
          </cell>
          <cell r="C3841" t="str">
            <v>BODY</v>
          </cell>
          <cell r="D3841">
            <v>120.5</v>
          </cell>
          <cell r="N3841" t="str">
            <v>1590-05</v>
          </cell>
          <cell r="O3841" t="str">
            <v>BODY</v>
          </cell>
          <cell r="P3841">
            <v>241</v>
          </cell>
        </row>
        <row r="3842">
          <cell r="B3842" t="str">
            <v>1590-17</v>
          </cell>
          <cell r="C3842" t="str">
            <v>BODY</v>
          </cell>
          <cell r="D3842">
            <v>230.5</v>
          </cell>
          <cell r="N3842" t="str">
            <v>1590-17</v>
          </cell>
          <cell r="O3842" t="str">
            <v>BODY</v>
          </cell>
          <cell r="P3842">
            <v>461</v>
          </cell>
        </row>
        <row r="3843">
          <cell r="B3843" t="str">
            <v>1779-03</v>
          </cell>
          <cell r="C3843" t="str">
            <v>RS RETAINER</v>
          </cell>
          <cell r="D3843">
            <v>222</v>
          </cell>
          <cell r="N3843" t="str">
            <v>1779-03</v>
          </cell>
          <cell r="O3843" t="str">
            <v>RS RETAINER</v>
          </cell>
          <cell r="P3843">
            <v>444</v>
          </cell>
        </row>
        <row r="3844">
          <cell r="B3844" t="str">
            <v>1779-07</v>
          </cell>
          <cell r="C3844" t="str">
            <v>RS RETAINER</v>
          </cell>
          <cell r="D3844">
            <v>228</v>
          </cell>
          <cell r="N3844" t="str">
            <v>1779-07</v>
          </cell>
          <cell r="O3844" t="str">
            <v>RS RETAINER</v>
          </cell>
          <cell r="P3844">
            <v>456</v>
          </cell>
        </row>
        <row r="3845">
          <cell r="B3845" t="str">
            <v>1799-02</v>
          </cell>
          <cell r="C3845" t="str">
            <v>PISTON</v>
          </cell>
          <cell r="D3845">
            <v>209.5</v>
          </cell>
          <cell r="N3845" t="str">
            <v>1799-02</v>
          </cell>
          <cell r="O3845" t="str">
            <v>PISTON</v>
          </cell>
          <cell r="P3845">
            <v>419</v>
          </cell>
        </row>
        <row r="3846">
          <cell r="B3846" t="str">
            <v>1799-02</v>
          </cell>
          <cell r="C3846" t="str">
            <v>PISTON</v>
          </cell>
          <cell r="D3846">
            <v>209.5</v>
          </cell>
          <cell r="N3846" t="str">
            <v>1799-02</v>
          </cell>
          <cell r="O3846" t="str">
            <v>PISTON</v>
          </cell>
          <cell r="P3846">
            <v>419</v>
          </cell>
        </row>
        <row r="3847">
          <cell r="B3847" t="str">
            <v>1922-02</v>
          </cell>
          <cell r="C3847" t="str">
            <v>RS RETAINER</v>
          </cell>
          <cell r="D3847">
            <v>108.5</v>
          </cell>
          <cell r="N3847" t="str">
            <v>1922-02</v>
          </cell>
          <cell r="O3847" t="str">
            <v>RS RETAINER</v>
          </cell>
          <cell r="P3847">
            <v>217</v>
          </cell>
        </row>
        <row r="3848">
          <cell r="B3848" t="str">
            <v>530-02</v>
          </cell>
          <cell r="C3848" t="str">
            <v>ROD GUIDE ASS'Y</v>
          </cell>
          <cell r="D3848">
            <v>230.5</v>
          </cell>
          <cell r="N3848" t="str">
            <v>530-02</v>
          </cell>
          <cell r="O3848" t="str">
            <v>ROD GUIDE ASS'Y</v>
          </cell>
          <cell r="P3848">
            <v>461</v>
          </cell>
        </row>
        <row r="3849">
          <cell r="B3849" t="str">
            <v>1069-02</v>
          </cell>
          <cell r="C3849" t="str">
            <v>PISTON</v>
          </cell>
          <cell r="D3849">
            <v>126</v>
          </cell>
          <cell r="N3849" t="str">
            <v>1069-02</v>
          </cell>
          <cell r="O3849" t="str">
            <v>PISTON</v>
          </cell>
          <cell r="P3849">
            <v>252</v>
          </cell>
        </row>
        <row r="3850">
          <cell r="B3850" t="str">
            <v>1665-01</v>
          </cell>
          <cell r="C3850" t="str">
            <v>BODY</v>
          </cell>
          <cell r="D3850">
            <v>129</v>
          </cell>
          <cell r="N3850" t="str">
            <v>1665-01</v>
          </cell>
          <cell r="O3850" t="str">
            <v>BODY</v>
          </cell>
          <cell r="P3850">
            <v>258</v>
          </cell>
        </row>
        <row r="3851">
          <cell r="B3851" t="str">
            <v>1734-03</v>
          </cell>
          <cell r="C3851" t="str">
            <v>RS RETAINER</v>
          </cell>
          <cell r="D3851">
            <v>231</v>
          </cell>
          <cell r="N3851" t="str">
            <v>1734-03</v>
          </cell>
          <cell r="O3851" t="str">
            <v>RS RETAINER</v>
          </cell>
          <cell r="P3851">
            <v>462</v>
          </cell>
        </row>
        <row r="3852">
          <cell r="B3852" t="str">
            <v>1734-03</v>
          </cell>
          <cell r="C3852" t="str">
            <v>RS RETAINER</v>
          </cell>
          <cell r="D3852">
            <v>231</v>
          </cell>
          <cell r="N3852" t="str">
            <v>1734-03</v>
          </cell>
          <cell r="O3852" t="str">
            <v>RS RETAINER</v>
          </cell>
          <cell r="P3852">
            <v>462</v>
          </cell>
        </row>
        <row r="3853">
          <cell r="B3853" t="str">
            <v>1780-03</v>
          </cell>
          <cell r="C3853" t="str">
            <v>RS RETAINER</v>
          </cell>
          <cell r="D3853">
            <v>231</v>
          </cell>
          <cell r="N3853" t="str">
            <v>1780-03</v>
          </cell>
          <cell r="O3853" t="str">
            <v>RS RETAINER</v>
          </cell>
          <cell r="P3853">
            <v>462</v>
          </cell>
        </row>
        <row r="3854">
          <cell r="B3854" t="str">
            <v>2412-07</v>
          </cell>
          <cell r="C3854" t="str">
            <v>BODY</v>
          </cell>
          <cell r="D3854">
            <v>143</v>
          </cell>
          <cell r="N3854" t="str">
            <v>2412-07</v>
          </cell>
          <cell r="O3854" t="str">
            <v>BODY</v>
          </cell>
          <cell r="P3854">
            <v>286</v>
          </cell>
        </row>
        <row r="3855">
          <cell r="B3855" t="str">
            <v>1792-09</v>
          </cell>
          <cell r="C3855" t="str">
            <v>REB,RETAINER</v>
          </cell>
          <cell r="D3855">
            <v>231.5</v>
          </cell>
          <cell r="N3855" t="str">
            <v>1792-09</v>
          </cell>
          <cell r="O3855" t="str">
            <v>REB,RETAINER</v>
          </cell>
          <cell r="P3855">
            <v>463</v>
          </cell>
        </row>
        <row r="3856">
          <cell r="B3856" t="str">
            <v>1829-01</v>
          </cell>
          <cell r="C3856" t="str">
            <v>BODY</v>
          </cell>
          <cell r="D3856">
            <v>130.5</v>
          </cell>
          <cell r="N3856" t="str">
            <v>1829-01</v>
          </cell>
          <cell r="O3856" t="str">
            <v>BODY</v>
          </cell>
          <cell r="P3856">
            <v>261</v>
          </cell>
        </row>
        <row r="3857">
          <cell r="B3857" t="str">
            <v>1996-02</v>
          </cell>
          <cell r="C3857" t="str">
            <v>BODY</v>
          </cell>
          <cell r="D3857">
            <v>231.5</v>
          </cell>
          <cell r="N3857" t="str">
            <v>1996-02</v>
          </cell>
          <cell r="O3857" t="str">
            <v>BODY</v>
          </cell>
          <cell r="P3857">
            <v>463</v>
          </cell>
        </row>
        <row r="3858">
          <cell r="B3858" t="str">
            <v>861-22</v>
          </cell>
          <cell r="C3858" t="str">
            <v>BODY</v>
          </cell>
          <cell r="D3858">
            <v>112.5</v>
          </cell>
          <cell r="N3858" t="str">
            <v>861-22</v>
          </cell>
          <cell r="O3858" t="str">
            <v>BODY</v>
          </cell>
          <cell r="P3858">
            <v>225</v>
          </cell>
        </row>
        <row r="3859">
          <cell r="B3859" t="str">
            <v>1429-01</v>
          </cell>
          <cell r="C3859" t="str">
            <v>PISTON</v>
          </cell>
          <cell r="D3859">
            <v>155</v>
          </cell>
          <cell r="N3859" t="str">
            <v>1429-01</v>
          </cell>
          <cell r="O3859" t="str">
            <v>PISTON</v>
          </cell>
          <cell r="P3859">
            <v>310</v>
          </cell>
        </row>
        <row r="3860">
          <cell r="B3860" t="str">
            <v>1550-01</v>
          </cell>
          <cell r="C3860" t="str">
            <v>PISTON</v>
          </cell>
          <cell r="D3860">
            <v>232</v>
          </cell>
          <cell r="N3860" t="str">
            <v>1550-01</v>
          </cell>
          <cell r="O3860" t="str">
            <v>PISTON</v>
          </cell>
          <cell r="P3860">
            <v>464</v>
          </cell>
        </row>
        <row r="3861">
          <cell r="B3861" t="str">
            <v>1630-08</v>
          </cell>
          <cell r="C3861" t="str">
            <v>RS RETAINER</v>
          </cell>
          <cell r="D3861">
            <v>82</v>
          </cell>
          <cell r="N3861" t="str">
            <v>1630-08</v>
          </cell>
          <cell r="O3861" t="str">
            <v>RS RETAINER</v>
          </cell>
          <cell r="P3861">
            <v>164</v>
          </cell>
        </row>
        <row r="3862">
          <cell r="B3862" t="str">
            <v>1843-08</v>
          </cell>
          <cell r="C3862" t="str">
            <v>RS RETAINER</v>
          </cell>
          <cell r="D3862">
            <v>232</v>
          </cell>
          <cell r="N3862" t="str">
            <v>1843-08</v>
          </cell>
          <cell r="O3862" t="str">
            <v>RS RETAINER</v>
          </cell>
          <cell r="P3862">
            <v>464</v>
          </cell>
        </row>
        <row r="3863">
          <cell r="B3863" t="str">
            <v>464-33</v>
          </cell>
          <cell r="C3863" t="str">
            <v>PISTON</v>
          </cell>
          <cell r="D3863">
            <v>232</v>
          </cell>
          <cell r="N3863" t="str">
            <v>464-33</v>
          </cell>
          <cell r="O3863" t="str">
            <v>PISTON</v>
          </cell>
          <cell r="P3863">
            <v>464</v>
          </cell>
        </row>
        <row r="3864">
          <cell r="B3864" t="str">
            <v>667-00</v>
          </cell>
          <cell r="C3864" t="str">
            <v>CONTROL SLEEVE</v>
          </cell>
          <cell r="D3864">
            <v>232</v>
          </cell>
          <cell r="N3864" t="str">
            <v>667-00</v>
          </cell>
          <cell r="O3864" t="str">
            <v>CONTROL SLEEVE</v>
          </cell>
          <cell r="P3864">
            <v>464</v>
          </cell>
        </row>
        <row r="3865">
          <cell r="B3865" t="str">
            <v>675-00</v>
          </cell>
          <cell r="C3865" t="str">
            <v>CONTROL SLEEVE</v>
          </cell>
          <cell r="D3865">
            <v>232</v>
          </cell>
          <cell r="N3865" t="str">
            <v>675-00</v>
          </cell>
          <cell r="O3865" t="str">
            <v>CONTROL SLEEVE</v>
          </cell>
          <cell r="P3865">
            <v>464</v>
          </cell>
        </row>
        <row r="3866">
          <cell r="B3866" t="str">
            <v>675-00</v>
          </cell>
          <cell r="C3866" t="str">
            <v>CONTROL SLEEVE</v>
          </cell>
          <cell r="D3866">
            <v>232</v>
          </cell>
          <cell r="N3866" t="str">
            <v>675-00</v>
          </cell>
          <cell r="O3866" t="str">
            <v>CONTROL SLEEVE</v>
          </cell>
          <cell r="P3866">
            <v>464</v>
          </cell>
        </row>
        <row r="3867">
          <cell r="B3867" t="str">
            <v>895-02</v>
          </cell>
          <cell r="C3867" t="str">
            <v>BODY</v>
          </cell>
          <cell r="D3867">
            <v>232</v>
          </cell>
          <cell r="N3867" t="str">
            <v>895-02</v>
          </cell>
          <cell r="O3867" t="str">
            <v>BODY</v>
          </cell>
          <cell r="P3867">
            <v>464</v>
          </cell>
        </row>
        <row r="3868">
          <cell r="B3868" t="str">
            <v>1336-06</v>
          </cell>
          <cell r="C3868" t="str">
            <v>BODY</v>
          </cell>
          <cell r="D3868">
            <v>232.5</v>
          </cell>
          <cell r="N3868" t="str">
            <v>1336-06</v>
          </cell>
          <cell r="O3868" t="str">
            <v>BODY</v>
          </cell>
          <cell r="P3868">
            <v>465</v>
          </cell>
        </row>
        <row r="3869">
          <cell r="B3869" t="str">
            <v>1634-41</v>
          </cell>
          <cell r="C3869" t="str">
            <v>RS RETAINER</v>
          </cell>
          <cell r="D3869">
            <v>91</v>
          </cell>
          <cell r="N3869" t="str">
            <v>1634-41</v>
          </cell>
          <cell r="O3869" t="str">
            <v>RS RETAINER</v>
          </cell>
          <cell r="P3869">
            <v>182</v>
          </cell>
        </row>
        <row r="3870">
          <cell r="B3870" t="str">
            <v>1665-02</v>
          </cell>
          <cell r="C3870" t="str">
            <v>BODY</v>
          </cell>
          <cell r="D3870">
            <v>131</v>
          </cell>
          <cell r="N3870" t="str">
            <v>1665-02</v>
          </cell>
          <cell r="O3870" t="str">
            <v>BODY</v>
          </cell>
          <cell r="P3870">
            <v>262</v>
          </cell>
        </row>
        <row r="3871">
          <cell r="B3871" t="str">
            <v>1681-01</v>
          </cell>
          <cell r="C3871" t="str">
            <v>BODY</v>
          </cell>
          <cell r="D3871">
            <v>144.5</v>
          </cell>
          <cell r="N3871" t="str">
            <v>1681-01</v>
          </cell>
          <cell r="O3871" t="str">
            <v>BODY</v>
          </cell>
          <cell r="P3871">
            <v>289</v>
          </cell>
        </row>
        <row r="3872">
          <cell r="B3872" t="str">
            <v>2011-03</v>
          </cell>
          <cell r="C3872" t="str">
            <v>BODY</v>
          </cell>
          <cell r="D3872">
            <v>222.5</v>
          </cell>
          <cell r="N3872" t="str">
            <v>2011-03</v>
          </cell>
          <cell r="O3872" t="str">
            <v>BODY</v>
          </cell>
          <cell r="P3872">
            <v>445</v>
          </cell>
        </row>
        <row r="3873">
          <cell r="B3873" t="str">
            <v>588-39</v>
          </cell>
          <cell r="C3873" t="str">
            <v>PISTON</v>
          </cell>
          <cell r="D3873">
            <v>159</v>
          </cell>
          <cell r="N3873" t="str">
            <v>588-39</v>
          </cell>
          <cell r="O3873" t="str">
            <v>PISTON</v>
          </cell>
          <cell r="P3873">
            <v>318</v>
          </cell>
        </row>
        <row r="3874">
          <cell r="B3874" t="str">
            <v>588-44</v>
          </cell>
          <cell r="C3874" t="str">
            <v>PISTON</v>
          </cell>
          <cell r="D3874">
            <v>143.5</v>
          </cell>
          <cell r="N3874" t="str">
            <v>588-44</v>
          </cell>
          <cell r="O3874" t="str">
            <v>PISTON</v>
          </cell>
          <cell r="P3874">
            <v>287</v>
          </cell>
        </row>
        <row r="3875">
          <cell r="B3875" t="str">
            <v>1027-02</v>
          </cell>
          <cell r="C3875" t="str">
            <v>ROD GUIDE ASS'Y</v>
          </cell>
          <cell r="D3875">
            <v>233</v>
          </cell>
          <cell r="N3875" t="str">
            <v>1027-02</v>
          </cell>
          <cell r="O3875" t="str">
            <v>ROD GUIDE ASS'Y</v>
          </cell>
          <cell r="P3875">
            <v>466</v>
          </cell>
        </row>
        <row r="3876">
          <cell r="B3876" t="str">
            <v>1218-02</v>
          </cell>
          <cell r="C3876" t="str">
            <v>VALVE PISTON</v>
          </cell>
          <cell r="D3876">
            <v>97.5</v>
          </cell>
          <cell r="N3876" t="str">
            <v>1218-02</v>
          </cell>
          <cell r="O3876" t="str">
            <v>VALVE PISTON</v>
          </cell>
          <cell r="P3876">
            <v>195</v>
          </cell>
        </row>
        <row r="3877">
          <cell r="B3877" t="str">
            <v>1218-02</v>
          </cell>
          <cell r="C3877" t="str">
            <v>VALVE PISTON</v>
          </cell>
          <cell r="D3877">
            <v>97.5</v>
          </cell>
          <cell r="N3877" t="str">
            <v>1218-02</v>
          </cell>
          <cell r="O3877" t="str">
            <v>VALVE PISTON</v>
          </cell>
          <cell r="P3877">
            <v>195</v>
          </cell>
        </row>
        <row r="3878">
          <cell r="B3878" t="str">
            <v>1218-04</v>
          </cell>
          <cell r="C3878" t="str">
            <v>VALVE PISTON</v>
          </cell>
          <cell r="D3878">
            <v>233</v>
          </cell>
          <cell r="N3878" t="str">
            <v>1218-04</v>
          </cell>
          <cell r="O3878" t="str">
            <v>VALVE PISTON</v>
          </cell>
          <cell r="P3878">
            <v>466</v>
          </cell>
        </row>
        <row r="3879">
          <cell r="B3879" t="str">
            <v>1218-04</v>
          </cell>
          <cell r="C3879" t="str">
            <v>VALVE PISTON</v>
          </cell>
          <cell r="D3879">
            <v>233</v>
          </cell>
          <cell r="N3879" t="str">
            <v>1218-04</v>
          </cell>
          <cell r="O3879" t="str">
            <v>VALVE PISTON</v>
          </cell>
          <cell r="P3879">
            <v>466</v>
          </cell>
        </row>
        <row r="3880">
          <cell r="B3880" t="str">
            <v>1530-04</v>
          </cell>
          <cell r="C3880" t="str">
            <v>PISTON</v>
          </cell>
          <cell r="D3880">
            <v>233</v>
          </cell>
          <cell r="N3880" t="str">
            <v>1530-04</v>
          </cell>
          <cell r="O3880" t="str">
            <v>PISTON</v>
          </cell>
          <cell r="P3880">
            <v>466</v>
          </cell>
        </row>
        <row r="3881">
          <cell r="B3881" t="str">
            <v>1554-26</v>
          </cell>
          <cell r="C3881" t="str">
            <v>RS RETAINER</v>
          </cell>
          <cell r="D3881">
            <v>87.5</v>
          </cell>
          <cell r="N3881" t="str">
            <v>1554-26</v>
          </cell>
          <cell r="O3881" t="str">
            <v>RS RETAINER</v>
          </cell>
          <cell r="P3881">
            <v>175</v>
          </cell>
        </row>
        <row r="3882">
          <cell r="B3882" t="str">
            <v>1634-18</v>
          </cell>
          <cell r="C3882" t="str">
            <v>RS RETAINER</v>
          </cell>
          <cell r="D3882">
            <v>233</v>
          </cell>
          <cell r="N3882" t="str">
            <v>1634-18</v>
          </cell>
          <cell r="O3882" t="str">
            <v>RS RETAINER</v>
          </cell>
          <cell r="P3882">
            <v>466</v>
          </cell>
        </row>
        <row r="3883">
          <cell r="B3883" t="str">
            <v>1666-02</v>
          </cell>
          <cell r="C3883" t="str">
            <v>BODY</v>
          </cell>
          <cell r="D3883">
            <v>203</v>
          </cell>
          <cell r="N3883" t="str">
            <v>1666-02</v>
          </cell>
          <cell r="O3883" t="str">
            <v>BODY</v>
          </cell>
          <cell r="P3883">
            <v>406</v>
          </cell>
        </row>
        <row r="3884">
          <cell r="B3884" t="str">
            <v>1666-11</v>
          </cell>
          <cell r="C3884" t="str">
            <v>BODY</v>
          </cell>
          <cell r="D3884">
            <v>216.5</v>
          </cell>
          <cell r="N3884" t="str">
            <v>1666-11</v>
          </cell>
          <cell r="O3884" t="str">
            <v>BODY</v>
          </cell>
          <cell r="P3884">
            <v>433</v>
          </cell>
        </row>
        <row r="3885">
          <cell r="B3885" t="str">
            <v>1681-04</v>
          </cell>
          <cell r="C3885" t="str">
            <v>BODY</v>
          </cell>
          <cell r="D3885">
            <v>222.5</v>
          </cell>
          <cell r="N3885" t="str">
            <v>1681-04</v>
          </cell>
          <cell r="O3885" t="str">
            <v>BODY</v>
          </cell>
          <cell r="P3885">
            <v>445</v>
          </cell>
        </row>
        <row r="3886">
          <cell r="B3886" t="str">
            <v>1734-14</v>
          </cell>
          <cell r="C3886" t="str">
            <v>RS RETAINER</v>
          </cell>
          <cell r="D3886">
            <v>98</v>
          </cell>
          <cell r="N3886" t="str">
            <v>1734-14</v>
          </cell>
          <cell r="O3886" t="str">
            <v>RS RETAINER</v>
          </cell>
          <cell r="P3886">
            <v>196</v>
          </cell>
        </row>
        <row r="3887">
          <cell r="B3887" t="str">
            <v>1734-15</v>
          </cell>
          <cell r="C3887" t="str">
            <v>RS RETAINER</v>
          </cell>
          <cell r="D3887">
            <v>233</v>
          </cell>
          <cell r="N3887" t="str">
            <v>1734-15</v>
          </cell>
          <cell r="O3887" t="str">
            <v>RS RETAINER</v>
          </cell>
          <cell r="P3887">
            <v>466</v>
          </cell>
        </row>
        <row r="3888">
          <cell r="B3888" t="str">
            <v>2412-18</v>
          </cell>
          <cell r="C3888" t="str">
            <v>BODY</v>
          </cell>
          <cell r="D3888">
            <v>142</v>
          </cell>
          <cell r="N3888" t="str">
            <v>2412-18</v>
          </cell>
          <cell r="O3888" t="str">
            <v>BODY</v>
          </cell>
          <cell r="P3888">
            <v>284</v>
          </cell>
        </row>
        <row r="3889">
          <cell r="B3889" t="str">
            <v>464-02</v>
          </cell>
          <cell r="C3889" t="str">
            <v>PISTON</v>
          </cell>
          <cell r="D3889">
            <v>233</v>
          </cell>
          <cell r="N3889" t="str">
            <v>464-02</v>
          </cell>
          <cell r="O3889" t="str">
            <v>PISTON</v>
          </cell>
          <cell r="P3889">
            <v>466</v>
          </cell>
        </row>
        <row r="3890">
          <cell r="B3890" t="str">
            <v>588-61</v>
          </cell>
          <cell r="C3890" t="str">
            <v>PISTON</v>
          </cell>
          <cell r="D3890">
            <v>152</v>
          </cell>
          <cell r="N3890" t="str">
            <v>588-61</v>
          </cell>
          <cell r="O3890" t="str">
            <v>PISTON</v>
          </cell>
          <cell r="P3890">
            <v>304</v>
          </cell>
        </row>
        <row r="3891">
          <cell r="B3891" t="str">
            <v>1220-00</v>
          </cell>
          <cell r="C3891" t="str">
            <v>TONE WHEEL</v>
          </cell>
          <cell r="D3891">
            <v>233.5</v>
          </cell>
          <cell r="N3891" t="str">
            <v>1220-00</v>
          </cell>
          <cell r="O3891" t="str">
            <v>TONE WHEEL</v>
          </cell>
          <cell r="P3891">
            <v>467</v>
          </cell>
        </row>
        <row r="3892">
          <cell r="B3892" t="str">
            <v>1220-00</v>
          </cell>
          <cell r="C3892" t="str">
            <v>TONE WHEEL</v>
          </cell>
          <cell r="D3892">
            <v>233.5</v>
          </cell>
          <cell r="N3892" t="str">
            <v>1220-00</v>
          </cell>
          <cell r="O3892" t="str">
            <v>TONE WHEEL</v>
          </cell>
          <cell r="P3892">
            <v>467</v>
          </cell>
        </row>
        <row r="3893">
          <cell r="B3893" t="str">
            <v>1220-00</v>
          </cell>
          <cell r="C3893" t="str">
            <v>TONE WHEEL</v>
          </cell>
          <cell r="D3893">
            <v>233.5</v>
          </cell>
          <cell r="N3893" t="str">
            <v>1220-00</v>
          </cell>
          <cell r="O3893" t="str">
            <v>TONE WHEEL</v>
          </cell>
          <cell r="P3893">
            <v>467</v>
          </cell>
        </row>
        <row r="3894">
          <cell r="B3894" t="str">
            <v>1666-01</v>
          </cell>
          <cell r="C3894" t="str">
            <v>BODY</v>
          </cell>
          <cell r="D3894">
            <v>140</v>
          </cell>
          <cell r="N3894" t="str">
            <v>1666-01</v>
          </cell>
          <cell r="O3894" t="str">
            <v>BODY</v>
          </cell>
          <cell r="P3894">
            <v>280</v>
          </cell>
        </row>
        <row r="3895">
          <cell r="B3895" t="str">
            <v>1931-08</v>
          </cell>
          <cell r="C3895" t="str">
            <v>RS RETAINER</v>
          </cell>
          <cell r="D3895">
            <v>233.5</v>
          </cell>
          <cell r="N3895" t="str">
            <v>1931-08</v>
          </cell>
          <cell r="O3895" t="str">
            <v>RS RETAINER</v>
          </cell>
          <cell r="P3895">
            <v>467</v>
          </cell>
        </row>
        <row r="3896">
          <cell r="B3896" t="str">
            <v>2412-21</v>
          </cell>
          <cell r="C3896" t="str">
            <v>BODY</v>
          </cell>
          <cell r="D3896">
            <v>233.5</v>
          </cell>
          <cell r="N3896" t="str">
            <v>2412-21</v>
          </cell>
          <cell r="O3896" t="str">
            <v>BODY</v>
          </cell>
          <cell r="P3896">
            <v>467</v>
          </cell>
        </row>
        <row r="3897">
          <cell r="B3897" t="str">
            <v>1554-08</v>
          </cell>
          <cell r="C3897" t="str">
            <v>RS RETAINER</v>
          </cell>
          <cell r="D3897">
            <v>90</v>
          </cell>
          <cell r="N3897" t="str">
            <v>1554-08</v>
          </cell>
          <cell r="O3897" t="str">
            <v>RS RETAINER</v>
          </cell>
          <cell r="P3897">
            <v>180</v>
          </cell>
        </row>
        <row r="3898">
          <cell r="B3898" t="str">
            <v>1555-00</v>
          </cell>
          <cell r="C3898" t="str">
            <v>PISTON</v>
          </cell>
          <cell r="D3898">
            <v>225</v>
          </cell>
          <cell r="N3898" t="str">
            <v>1555-00</v>
          </cell>
          <cell r="O3898" t="str">
            <v>PISTON</v>
          </cell>
          <cell r="P3898">
            <v>450</v>
          </cell>
        </row>
        <row r="3899">
          <cell r="B3899" t="str">
            <v>1581-06</v>
          </cell>
          <cell r="C3899" t="str">
            <v>BODY</v>
          </cell>
          <cell r="D3899">
            <v>234</v>
          </cell>
          <cell r="N3899" t="str">
            <v>1581-06</v>
          </cell>
          <cell r="O3899" t="str">
            <v>BODY</v>
          </cell>
          <cell r="P3899">
            <v>468</v>
          </cell>
        </row>
        <row r="3900">
          <cell r="B3900" t="str">
            <v>1634-37</v>
          </cell>
          <cell r="C3900" t="str">
            <v>RS RETAINER</v>
          </cell>
          <cell r="D3900">
            <v>130</v>
          </cell>
          <cell r="N3900" t="str">
            <v>1634-37</v>
          </cell>
          <cell r="O3900" t="str">
            <v>RS RETAINER</v>
          </cell>
          <cell r="P3900">
            <v>260</v>
          </cell>
        </row>
        <row r="3901">
          <cell r="B3901" t="str">
            <v>1634-37</v>
          </cell>
          <cell r="C3901" t="str">
            <v>RS RETAINER</v>
          </cell>
          <cell r="D3901">
            <v>130</v>
          </cell>
          <cell r="N3901" t="str">
            <v>1634-37</v>
          </cell>
          <cell r="O3901" t="str">
            <v>RS RETAINER</v>
          </cell>
          <cell r="P3901">
            <v>260</v>
          </cell>
        </row>
        <row r="3902">
          <cell r="B3902" t="str">
            <v>1729-00</v>
          </cell>
          <cell r="C3902" t="str">
            <v>PISTON</v>
          </cell>
          <cell r="D3902">
            <v>225</v>
          </cell>
          <cell r="N3902" t="str">
            <v>1729-00</v>
          </cell>
          <cell r="O3902" t="str">
            <v>PISTON</v>
          </cell>
          <cell r="P3902">
            <v>450</v>
          </cell>
        </row>
        <row r="3903">
          <cell r="B3903" t="str">
            <v>1729-00</v>
          </cell>
          <cell r="C3903" t="str">
            <v>PISTON</v>
          </cell>
          <cell r="D3903">
            <v>225</v>
          </cell>
          <cell r="N3903" t="str">
            <v>1729-00</v>
          </cell>
          <cell r="O3903" t="str">
            <v>PISTON</v>
          </cell>
          <cell r="P3903">
            <v>450</v>
          </cell>
        </row>
        <row r="3904">
          <cell r="B3904" t="str">
            <v>1792-08</v>
          </cell>
          <cell r="C3904" t="str">
            <v>REB,RETAINER</v>
          </cell>
          <cell r="D3904">
            <v>89.5</v>
          </cell>
          <cell r="N3904" t="str">
            <v>1792-08</v>
          </cell>
          <cell r="O3904" t="str">
            <v>REB,RETAINER</v>
          </cell>
          <cell r="P3904">
            <v>179</v>
          </cell>
        </row>
        <row r="3905">
          <cell r="B3905" t="str">
            <v>1922-06</v>
          </cell>
          <cell r="C3905" t="str">
            <v>RS RETAINER</v>
          </cell>
          <cell r="D3905">
            <v>234</v>
          </cell>
          <cell r="N3905" t="str">
            <v>1922-06</v>
          </cell>
          <cell r="O3905" t="str">
            <v>RS RETAINER</v>
          </cell>
          <cell r="P3905">
            <v>468</v>
          </cell>
        </row>
        <row r="3906">
          <cell r="B3906" t="str">
            <v>2412-13</v>
          </cell>
          <cell r="C3906" t="str">
            <v>BODY</v>
          </cell>
          <cell r="D3906">
            <v>130</v>
          </cell>
          <cell r="N3906" t="str">
            <v>2412-13</v>
          </cell>
          <cell r="O3906" t="str">
            <v>BODY</v>
          </cell>
          <cell r="P3906">
            <v>260</v>
          </cell>
        </row>
        <row r="3907">
          <cell r="B3907" t="str">
            <v>588-33</v>
          </cell>
          <cell r="C3907" t="str">
            <v>PISTON</v>
          </cell>
          <cell r="D3907">
            <v>234</v>
          </cell>
          <cell r="N3907" t="str">
            <v>588-33</v>
          </cell>
          <cell r="O3907" t="str">
            <v>PISTON</v>
          </cell>
          <cell r="P3907">
            <v>468</v>
          </cell>
        </row>
        <row r="3908">
          <cell r="B3908" t="str">
            <v>591-08</v>
          </cell>
          <cell r="C3908" t="str">
            <v>PISTON</v>
          </cell>
          <cell r="D3908">
            <v>234</v>
          </cell>
          <cell r="N3908" t="str">
            <v>591-08</v>
          </cell>
          <cell r="O3908" t="str">
            <v>PISTON</v>
          </cell>
          <cell r="P3908">
            <v>468</v>
          </cell>
        </row>
        <row r="3909">
          <cell r="B3909" t="str">
            <v>1479-00</v>
          </cell>
          <cell r="C3909" t="str">
            <v>PISTON</v>
          </cell>
          <cell r="D3909">
            <v>147.5</v>
          </cell>
          <cell r="N3909" t="str">
            <v>1479-00</v>
          </cell>
          <cell r="O3909" t="str">
            <v>PISTON</v>
          </cell>
          <cell r="P3909">
            <v>295</v>
          </cell>
        </row>
        <row r="3910">
          <cell r="B3910" t="str">
            <v>1554-27</v>
          </cell>
          <cell r="C3910" t="str">
            <v>RS RETAINER</v>
          </cell>
          <cell r="D3910">
            <v>88.5</v>
          </cell>
          <cell r="N3910" t="str">
            <v>1554-27</v>
          </cell>
          <cell r="O3910" t="str">
            <v>RS RETAINER</v>
          </cell>
          <cell r="P3910">
            <v>177</v>
          </cell>
        </row>
        <row r="3911">
          <cell r="B3911" t="str">
            <v>1634-03</v>
          </cell>
          <cell r="C3911" t="str">
            <v>RS RETAINER</v>
          </cell>
          <cell r="D3911">
            <v>222.5</v>
          </cell>
          <cell r="N3911" t="str">
            <v>1634-03</v>
          </cell>
          <cell r="O3911" t="str">
            <v>RS RETAINER</v>
          </cell>
          <cell r="P3911">
            <v>445</v>
          </cell>
        </row>
        <row r="3912">
          <cell r="B3912" t="str">
            <v>1634-03</v>
          </cell>
          <cell r="C3912" t="str">
            <v>RS RETAINER</v>
          </cell>
          <cell r="D3912">
            <v>222.5</v>
          </cell>
          <cell r="N3912" t="str">
            <v>1634-03</v>
          </cell>
          <cell r="O3912" t="str">
            <v>RS RETAINER</v>
          </cell>
          <cell r="P3912">
            <v>445</v>
          </cell>
        </row>
        <row r="3913">
          <cell r="B3913" t="str">
            <v>1829-01</v>
          </cell>
          <cell r="C3913" t="str">
            <v>BODY</v>
          </cell>
          <cell r="D3913">
            <v>130.5</v>
          </cell>
          <cell r="N3913" t="str">
            <v>1829-01</v>
          </cell>
          <cell r="O3913" t="str">
            <v>BODY</v>
          </cell>
          <cell r="P3913">
            <v>261</v>
          </cell>
        </row>
        <row r="3914">
          <cell r="B3914" t="str">
            <v>1234-10</v>
          </cell>
          <cell r="C3914" t="str">
            <v>VALVE PISTON</v>
          </cell>
          <cell r="D3914">
            <v>235</v>
          </cell>
          <cell r="N3914" t="str">
            <v>1234-10</v>
          </cell>
          <cell r="O3914" t="str">
            <v>VALVE PISTON</v>
          </cell>
          <cell r="P3914">
            <v>470</v>
          </cell>
        </row>
        <row r="3915">
          <cell r="B3915" t="str">
            <v>1234-11</v>
          </cell>
          <cell r="C3915" t="str">
            <v>VALVE PISTON</v>
          </cell>
          <cell r="D3915">
            <v>235</v>
          </cell>
          <cell r="N3915" t="str">
            <v>1234-11</v>
          </cell>
          <cell r="O3915" t="str">
            <v>VALVE PISTON</v>
          </cell>
          <cell r="P3915">
            <v>470</v>
          </cell>
        </row>
        <row r="3916">
          <cell r="B3916" t="str">
            <v>1525-01</v>
          </cell>
          <cell r="C3916" t="str">
            <v>BODY</v>
          </cell>
          <cell r="D3916">
            <v>215</v>
          </cell>
          <cell r="N3916" t="str">
            <v>1525-01</v>
          </cell>
          <cell r="O3916" t="str">
            <v>BODY</v>
          </cell>
          <cell r="P3916">
            <v>430</v>
          </cell>
        </row>
        <row r="3917">
          <cell r="B3917" t="str">
            <v>1555-00</v>
          </cell>
          <cell r="C3917" t="str">
            <v>PISTON</v>
          </cell>
          <cell r="D3917">
            <v>225</v>
          </cell>
          <cell r="N3917" t="str">
            <v>1555-00</v>
          </cell>
          <cell r="O3917" t="str">
            <v>PISTON</v>
          </cell>
          <cell r="P3917">
            <v>450</v>
          </cell>
        </row>
        <row r="3918">
          <cell r="B3918" t="str">
            <v>1572-02</v>
          </cell>
          <cell r="C3918" t="str">
            <v>PISTON</v>
          </cell>
          <cell r="D3918">
            <v>235</v>
          </cell>
          <cell r="N3918" t="str">
            <v>1572-02</v>
          </cell>
          <cell r="O3918" t="str">
            <v>PISTON</v>
          </cell>
          <cell r="P3918">
            <v>470</v>
          </cell>
        </row>
        <row r="3919">
          <cell r="B3919" t="str">
            <v>1630-08</v>
          </cell>
          <cell r="C3919" t="str">
            <v>RS RETAINER</v>
          </cell>
          <cell r="D3919">
            <v>82</v>
          </cell>
          <cell r="N3919" t="str">
            <v>1630-08</v>
          </cell>
          <cell r="O3919" t="str">
            <v>RS RETAINER</v>
          </cell>
          <cell r="P3919">
            <v>164</v>
          </cell>
        </row>
        <row r="3920">
          <cell r="B3920" t="str">
            <v>1687-02</v>
          </cell>
          <cell r="C3920" t="str">
            <v>BODY</v>
          </cell>
          <cell r="D3920">
            <v>147.5</v>
          </cell>
          <cell r="N3920" t="str">
            <v>1687-02</v>
          </cell>
          <cell r="O3920" t="str">
            <v>BODY</v>
          </cell>
          <cell r="P3920">
            <v>295</v>
          </cell>
        </row>
        <row r="3921">
          <cell r="B3921" t="str">
            <v>1922-03</v>
          </cell>
          <cell r="C3921" t="str">
            <v>RS RETAINER</v>
          </cell>
          <cell r="D3921">
            <v>227.5</v>
          </cell>
          <cell r="N3921" t="str">
            <v>1922-03</v>
          </cell>
          <cell r="O3921" t="str">
            <v>RS RETAINER</v>
          </cell>
          <cell r="P3921">
            <v>455</v>
          </cell>
        </row>
        <row r="3922">
          <cell r="B3922" t="str">
            <v>2050-01</v>
          </cell>
          <cell r="C3922" t="str">
            <v>VALVE PISTON</v>
          </cell>
          <cell r="D3922">
            <v>235</v>
          </cell>
          <cell r="N3922" t="str">
            <v>2050-01</v>
          </cell>
          <cell r="O3922" t="str">
            <v>VALVE PISTON</v>
          </cell>
          <cell r="P3922">
            <v>470</v>
          </cell>
        </row>
        <row r="3923">
          <cell r="B3923" t="str">
            <v>2050-02</v>
          </cell>
          <cell r="C3923" t="str">
            <v>VALVE PISTON</v>
          </cell>
          <cell r="D3923">
            <v>235</v>
          </cell>
          <cell r="N3923" t="str">
            <v>2050-02</v>
          </cell>
          <cell r="O3923" t="str">
            <v>VALVE PISTON</v>
          </cell>
          <cell r="P3923">
            <v>470</v>
          </cell>
        </row>
        <row r="3924">
          <cell r="B3924" t="str">
            <v>588-53</v>
          </cell>
          <cell r="C3924" t="str">
            <v>PISTON</v>
          </cell>
          <cell r="D3924">
            <v>235</v>
          </cell>
          <cell r="N3924" t="str">
            <v>588-53</v>
          </cell>
          <cell r="O3924" t="str">
            <v>PISTON</v>
          </cell>
          <cell r="P3924">
            <v>470</v>
          </cell>
        </row>
        <row r="3925">
          <cell r="B3925" t="str">
            <v>588-53</v>
          </cell>
          <cell r="C3925" t="str">
            <v>PISTON</v>
          </cell>
          <cell r="D3925">
            <v>235</v>
          </cell>
          <cell r="N3925" t="str">
            <v>588-53</v>
          </cell>
          <cell r="O3925" t="str">
            <v>PISTON</v>
          </cell>
          <cell r="P3925">
            <v>470</v>
          </cell>
        </row>
        <row r="3926">
          <cell r="B3926" t="str">
            <v>818-02</v>
          </cell>
          <cell r="C3926" t="str">
            <v>VALVE RETAINER</v>
          </cell>
          <cell r="D3926">
            <v>235</v>
          </cell>
          <cell r="N3926" t="str">
            <v>818-02</v>
          </cell>
          <cell r="O3926" t="str">
            <v>VALVE RETAINER</v>
          </cell>
          <cell r="P3926">
            <v>470</v>
          </cell>
        </row>
        <row r="3927">
          <cell r="B3927" t="str">
            <v>818-04</v>
          </cell>
          <cell r="C3927" t="str">
            <v>VALVE RETAINER</v>
          </cell>
          <cell r="D3927">
            <v>235</v>
          </cell>
          <cell r="N3927" t="str">
            <v>818-04</v>
          </cell>
          <cell r="O3927" t="str">
            <v>VALVE RETAINER</v>
          </cell>
          <cell r="P3927">
            <v>470</v>
          </cell>
        </row>
        <row r="3928">
          <cell r="B3928" t="str">
            <v>847-02</v>
          </cell>
          <cell r="C3928" t="str">
            <v>VALVE RETAINER</v>
          </cell>
          <cell r="D3928">
            <v>235</v>
          </cell>
          <cell r="N3928" t="str">
            <v>847-02</v>
          </cell>
          <cell r="O3928" t="str">
            <v>VALVE RETAINER</v>
          </cell>
          <cell r="P3928">
            <v>470</v>
          </cell>
        </row>
        <row r="3929">
          <cell r="B3929" t="str">
            <v>847-04</v>
          </cell>
          <cell r="C3929" t="str">
            <v>VALVE RETAINER</v>
          </cell>
          <cell r="D3929">
            <v>235</v>
          </cell>
          <cell r="N3929" t="str">
            <v>847-04</v>
          </cell>
          <cell r="O3929" t="str">
            <v>VALVE RETAINER</v>
          </cell>
          <cell r="P3929">
            <v>470</v>
          </cell>
        </row>
        <row r="3930">
          <cell r="B3930" t="str">
            <v>1275-05</v>
          </cell>
          <cell r="C3930" t="str">
            <v>BODY</v>
          </cell>
          <cell r="D3930">
            <v>235.5</v>
          </cell>
          <cell r="N3930" t="str">
            <v>1275-05</v>
          </cell>
          <cell r="O3930" t="str">
            <v>BODY</v>
          </cell>
          <cell r="P3930">
            <v>471</v>
          </cell>
        </row>
        <row r="3931">
          <cell r="B3931" t="str">
            <v>1613-02</v>
          </cell>
          <cell r="C3931" t="str">
            <v>BODY</v>
          </cell>
          <cell r="D3931">
            <v>235.5</v>
          </cell>
          <cell r="N3931" t="str">
            <v>1613-02</v>
          </cell>
          <cell r="O3931" t="str">
            <v>BODY</v>
          </cell>
          <cell r="P3931">
            <v>471</v>
          </cell>
        </row>
        <row r="3932">
          <cell r="B3932" t="str">
            <v>1681-02</v>
          </cell>
          <cell r="C3932" t="str">
            <v>BODY</v>
          </cell>
          <cell r="D3932">
            <v>140</v>
          </cell>
          <cell r="N3932" t="str">
            <v>1681-02</v>
          </cell>
          <cell r="O3932" t="str">
            <v>BODY</v>
          </cell>
          <cell r="P3932">
            <v>280</v>
          </cell>
        </row>
        <row r="3933">
          <cell r="B3933" t="str">
            <v>1931-05</v>
          </cell>
          <cell r="C3933" t="str">
            <v>RS RETAINER</v>
          </cell>
          <cell r="D3933">
            <v>110</v>
          </cell>
          <cell r="N3933" t="str">
            <v>1931-05</v>
          </cell>
          <cell r="O3933" t="str">
            <v>RS RETAINER</v>
          </cell>
          <cell r="P3933">
            <v>220</v>
          </cell>
        </row>
        <row r="3934">
          <cell r="B3934" t="str">
            <v>598-13</v>
          </cell>
          <cell r="C3934" t="str">
            <v>PISTON</v>
          </cell>
          <cell r="D3934">
            <v>162</v>
          </cell>
          <cell r="N3934" t="str">
            <v>598-13</v>
          </cell>
          <cell r="O3934" t="str">
            <v>PISTON</v>
          </cell>
          <cell r="P3934">
            <v>324</v>
          </cell>
        </row>
        <row r="3935">
          <cell r="B3935" t="str">
            <v>1027-02</v>
          </cell>
          <cell r="C3935" t="str">
            <v>ROD GUIDE ASS'Y</v>
          </cell>
          <cell r="D3935">
            <v>233</v>
          </cell>
          <cell r="N3935" t="str">
            <v>1027-02</v>
          </cell>
          <cell r="O3935" t="str">
            <v>ROD GUIDE ASS'Y</v>
          </cell>
          <cell r="P3935">
            <v>466</v>
          </cell>
        </row>
        <row r="3936">
          <cell r="B3936" t="str">
            <v>1530-03</v>
          </cell>
          <cell r="C3936" t="str">
            <v>PISTON</v>
          </cell>
          <cell r="D3936">
            <v>222.5</v>
          </cell>
          <cell r="N3936" t="str">
            <v>1530-03</v>
          </cell>
          <cell r="O3936" t="str">
            <v>PISTON</v>
          </cell>
          <cell r="P3936">
            <v>445</v>
          </cell>
        </row>
        <row r="3937">
          <cell r="B3937" t="str">
            <v>1779-11</v>
          </cell>
          <cell r="C3937" t="str">
            <v>RS RETAINER</v>
          </cell>
          <cell r="D3937">
            <v>87</v>
          </cell>
          <cell r="N3937" t="str">
            <v>1779-11</v>
          </cell>
          <cell r="O3937" t="str">
            <v>RS RETAINER</v>
          </cell>
          <cell r="P3937">
            <v>174</v>
          </cell>
        </row>
        <row r="3938">
          <cell r="B3938" t="str">
            <v>588-57</v>
          </cell>
          <cell r="C3938" t="str">
            <v>PISTON</v>
          </cell>
          <cell r="D3938">
            <v>156</v>
          </cell>
          <cell r="N3938" t="str">
            <v>588-57</v>
          </cell>
          <cell r="O3938" t="str">
            <v>PISTON</v>
          </cell>
          <cell r="P3938">
            <v>312</v>
          </cell>
        </row>
        <row r="3939">
          <cell r="B3939" t="str">
            <v>1027-02</v>
          </cell>
          <cell r="C3939" t="str">
            <v>ROD GUIDE ASS'Y</v>
          </cell>
          <cell r="D3939">
            <v>233</v>
          </cell>
          <cell r="N3939" t="str">
            <v>1027-02</v>
          </cell>
          <cell r="O3939" t="str">
            <v>ROD GUIDE ASS'Y</v>
          </cell>
          <cell r="P3939">
            <v>466</v>
          </cell>
        </row>
        <row r="3940">
          <cell r="B3940" t="str">
            <v>1218-08</v>
          </cell>
          <cell r="C3940" t="str">
            <v>VALVE PISTON</v>
          </cell>
          <cell r="D3940">
            <v>236.5</v>
          </cell>
          <cell r="N3940" t="str">
            <v>1218-08</v>
          </cell>
          <cell r="O3940" t="str">
            <v>VALVE PISTON</v>
          </cell>
          <cell r="P3940">
            <v>473</v>
          </cell>
        </row>
        <row r="3941">
          <cell r="B3941" t="str">
            <v>1218-08</v>
          </cell>
          <cell r="C3941" t="str">
            <v>VALVE PISTON</v>
          </cell>
          <cell r="D3941">
            <v>236.5</v>
          </cell>
          <cell r="N3941" t="str">
            <v>1218-08</v>
          </cell>
          <cell r="O3941" t="str">
            <v>VALVE PISTON</v>
          </cell>
          <cell r="P3941">
            <v>473</v>
          </cell>
        </row>
        <row r="3942">
          <cell r="B3942" t="str">
            <v>1729-00</v>
          </cell>
          <cell r="C3942" t="str">
            <v>PISTON</v>
          </cell>
          <cell r="D3942">
            <v>225</v>
          </cell>
          <cell r="N3942" t="str">
            <v>1729-00</v>
          </cell>
          <cell r="O3942" t="str">
            <v>PISTON</v>
          </cell>
          <cell r="P3942">
            <v>450</v>
          </cell>
        </row>
        <row r="3943">
          <cell r="B3943" t="str">
            <v>1729-00</v>
          </cell>
          <cell r="C3943" t="str">
            <v>PISTON</v>
          </cell>
          <cell r="D3943">
            <v>225</v>
          </cell>
          <cell r="N3943" t="str">
            <v>1729-00</v>
          </cell>
          <cell r="O3943" t="str">
            <v>PISTON</v>
          </cell>
          <cell r="P3943">
            <v>450</v>
          </cell>
        </row>
        <row r="3944">
          <cell r="B3944" t="str">
            <v>1734-15</v>
          </cell>
          <cell r="C3944" t="str">
            <v>RS RETAINER</v>
          </cell>
          <cell r="D3944">
            <v>233</v>
          </cell>
          <cell r="N3944" t="str">
            <v>1734-15</v>
          </cell>
          <cell r="O3944" t="str">
            <v>RS RETAINER</v>
          </cell>
          <cell r="P3944">
            <v>466</v>
          </cell>
        </row>
        <row r="3945">
          <cell r="B3945" t="str">
            <v>1734-16</v>
          </cell>
          <cell r="C3945" t="str">
            <v>RS RETAINER</v>
          </cell>
          <cell r="D3945">
            <v>236.5</v>
          </cell>
          <cell r="N3945" t="str">
            <v>1734-16</v>
          </cell>
          <cell r="O3945" t="str">
            <v>RS RETAINER</v>
          </cell>
          <cell r="P3945">
            <v>473</v>
          </cell>
        </row>
        <row r="3946">
          <cell r="B3946" t="str">
            <v>1792-11</v>
          </cell>
          <cell r="C3946" t="str">
            <v>REB,RETAINER</v>
          </cell>
          <cell r="D3946">
            <v>236.5</v>
          </cell>
          <cell r="N3946" t="str">
            <v>1792-11</v>
          </cell>
          <cell r="O3946" t="str">
            <v>REB,RETAINER</v>
          </cell>
          <cell r="P3946">
            <v>473</v>
          </cell>
        </row>
        <row r="3947">
          <cell r="B3947" t="str">
            <v>1922-04</v>
          </cell>
          <cell r="C3947" t="str">
            <v>RS RETAINER</v>
          </cell>
          <cell r="D3947">
            <v>108.5</v>
          </cell>
          <cell r="N3947" t="str">
            <v>1922-04</v>
          </cell>
          <cell r="O3947" t="str">
            <v>RS RETAINER</v>
          </cell>
          <cell r="P3947">
            <v>217</v>
          </cell>
        </row>
        <row r="3948">
          <cell r="B3948" t="str">
            <v>598-08</v>
          </cell>
          <cell r="C3948" t="str">
            <v>PISTON</v>
          </cell>
          <cell r="D3948">
            <v>157.5</v>
          </cell>
          <cell r="N3948" t="str">
            <v>598-08</v>
          </cell>
          <cell r="O3948" t="str">
            <v>PISTON</v>
          </cell>
          <cell r="P3948">
            <v>315</v>
          </cell>
        </row>
        <row r="3949">
          <cell r="B3949" t="str">
            <v>1554-08</v>
          </cell>
          <cell r="C3949" t="str">
            <v>RS RETAINER</v>
          </cell>
          <cell r="D3949">
            <v>90</v>
          </cell>
          <cell r="N3949" t="str">
            <v>1554-08</v>
          </cell>
          <cell r="O3949" t="str">
            <v>RS RETAINER</v>
          </cell>
          <cell r="P3949">
            <v>180</v>
          </cell>
        </row>
        <row r="3950">
          <cell r="B3950" t="str">
            <v>1554-13</v>
          </cell>
          <cell r="C3950" t="str">
            <v>RS RETAINER</v>
          </cell>
          <cell r="D3950">
            <v>237</v>
          </cell>
          <cell r="N3950" t="str">
            <v>1554-13</v>
          </cell>
          <cell r="O3950" t="str">
            <v>RS RETAINER</v>
          </cell>
          <cell r="P3950">
            <v>474</v>
          </cell>
        </row>
        <row r="3951">
          <cell r="B3951" t="str">
            <v>1566-01</v>
          </cell>
          <cell r="C3951" t="str">
            <v>BODY</v>
          </cell>
          <cell r="D3951">
            <v>148</v>
          </cell>
          <cell r="N3951" t="str">
            <v>1566-01</v>
          </cell>
          <cell r="O3951" t="str">
            <v>BODY</v>
          </cell>
          <cell r="P3951">
            <v>296</v>
          </cell>
        </row>
        <row r="3952">
          <cell r="B3952" t="str">
            <v>1799-06</v>
          </cell>
          <cell r="C3952" t="str">
            <v>PISTON</v>
          </cell>
          <cell r="D3952">
            <v>237</v>
          </cell>
          <cell r="N3952" t="str">
            <v>1799-06</v>
          </cell>
          <cell r="O3952" t="str">
            <v>PISTON</v>
          </cell>
          <cell r="P3952">
            <v>474</v>
          </cell>
        </row>
        <row r="3953">
          <cell r="B3953" t="str">
            <v>591-13</v>
          </cell>
          <cell r="C3953" t="str">
            <v>PISTON</v>
          </cell>
          <cell r="D3953">
            <v>158</v>
          </cell>
          <cell r="N3953" t="str">
            <v>591-13</v>
          </cell>
          <cell r="O3953" t="str">
            <v>PISTON</v>
          </cell>
          <cell r="P3953">
            <v>316</v>
          </cell>
        </row>
        <row r="3954">
          <cell r="B3954" t="str">
            <v>714-02</v>
          </cell>
          <cell r="C3954" t="str">
            <v>PISTON</v>
          </cell>
          <cell r="D3954">
            <v>237</v>
          </cell>
          <cell r="N3954" t="str">
            <v>714-02</v>
          </cell>
          <cell r="O3954" t="str">
            <v>PISTON</v>
          </cell>
          <cell r="P3954">
            <v>474</v>
          </cell>
        </row>
        <row r="3955">
          <cell r="B3955" t="str">
            <v>1412-14</v>
          </cell>
          <cell r="C3955" t="str">
            <v>BODY</v>
          </cell>
          <cell r="D3955">
            <v>158</v>
          </cell>
          <cell r="N3955" t="str">
            <v>1412-14</v>
          </cell>
          <cell r="O3955" t="str">
            <v>BODY</v>
          </cell>
          <cell r="P3955">
            <v>316</v>
          </cell>
        </row>
        <row r="3956">
          <cell r="B3956" t="str">
            <v>1554-08</v>
          </cell>
          <cell r="C3956" t="str">
            <v>RS RETAINER</v>
          </cell>
          <cell r="D3956">
            <v>90</v>
          </cell>
          <cell r="N3956" t="str">
            <v>1554-08</v>
          </cell>
          <cell r="O3956" t="str">
            <v>RS RETAINER</v>
          </cell>
          <cell r="P3956">
            <v>180</v>
          </cell>
        </row>
        <row r="3957">
          <cell r="B3957" t="str">
            <v>1554-08</v>
          </cell>
          <cell r="C3957" t="str">
            <v>RS RETAINER</v>
          </cell>
          <cell r="D3957">
            <v>90</v>
          </cell>
          <cell r="N3957" t="str">
            <v>1554-08</v>
          </cell>
          <cell r="O3957" t="str">
            <v>RS RETAINER</v>
          </cell>
          <cell r="P3957">
            <v>180</v>
          </cell>
        </row>
        <row r="3958">
          <cell r="B3958" t="str">
            <v>1554-26</v>
          </cell>
          <cell r="C3958" t="str">
            <v>RS RETAINER</v>
          </cell>
          <cell r="D3958">
            <v>87.5</v>
          </cell>
          <cell r="N3958" t="str">
            <v>1554-26</v>
          </cell>
          <cell r="O3958" t="str">
            <v>RS RETAINER</v>
          </cell>
          <cell r="P3958">
            <v>175</v>
          </cell>
        </row>
        <row r="3959">
          <cell r="B3959" t="str">
            <v>1630-08</v>
          </cell>
          <cell r="C3959" t="str">
            <v>RS RETAINER</v>
          </cell>
          <cell r="D3959">
            <v>82</v>
          </cell>
          <cell r="N3959" t="str">
            <v>1630-08</v>
          </cell>
          <cell r="O3959" t="str">
            <v>RS RETAINER</v>
          </cell>
          <cell r="P3959">
            <v>164</v>
          </cell>
        </row>
        <row r="3960">
          <cell r="B3960" t="str">
            <v>1634-41</v>
          </cell>
          <cell r="C3960" t="str">
            <v>RS RETAINER</v>
          </cell>
          <cell r="D3960">
            <v>91</v>
          </cell>
          <cell r="N3960" t="str">
            <v>1634-41</v>
          </cell>
          <cell r="O3960" t="str">
            <v>RS RETAINER</v>
          </cell>
          <cell r="P3960">
            <v>182</v>
          </cell>
        </row>
        <row r="3961">
          <cell r="B3961" t="str">
            <v>2097-00</v>
          </cell>
          <cell r="C3961" t="str">
            <v>ROD GUIDE</v>
          </cell>
          <cell r="D3961">
            <v>237.5</v>
          </cell>
          <cell r="N3961" t="str">
            <v>2097-00</v>
          </cell>
          <cell r="O3961" t="str">
            <v>ROD GUIDE</v>
          </cell>
          <cell r="P3961">
            <v>475</v>
          </cell>
        </row>
        <row r="3962">
          <cell r="B3962" t="str">
            <v>2412-21</v>
          </cell>
          <cell r="C3962" t="str">
            <v>BODY</v>
          </cell>
          <cell r="D3962">
            <v>233.5</v>
          </cell>
          <cell r="N3962" t="str">
            <v>2412-21</v>
          </cell>
          <cell r="O3962" t="str">
            <v>BODY</v>
          </cell>
          <cell r="P3962">
            <v>467</v>
          </cell>
        </row>
        <row r="3963">
          <cell r="B3963" t="str">
            <v>556-01</v>
          </cell>
          <cell r="C3963" t="str">
            <v>PISTON</v>
          </cell>
          <cell r="D3963">
            <v>137</v>
          </cell>
          <cell r="N3963" t="str">
            <v>556-01</v>
          </cell>
          <cell r="O3963" t="str">
            <v>PISTON</v>
          </cell>
          <cell r="P3963">
            <v>274</v>
          </cell>
        </row>
        <row r="3964">
          <cell r="B3964" t="str">
            <v>556-01</v>
          </cell>
          <cell r="C3964" t="str">
            <v>PISTON</v>
          </cell>
          <cell r="D3964">
            <v>137</v>
          </cell>
          <cell r="N3964" t="str">
            <v>556-01</v>
          </cell>
          <cell r="O3964" t="str">
            <v>PISTON</v>
          </cell>
          <cell r="P3964">
            <v>274</v>
          </cell>
        </row>
        <row r="3965">
          <cell r="B3965" t="str">
            <v>588-46</v>
          </cell>
          <cell r="C3965" t="str">
            <v>PISTON</v>
          </cell>
          <cell r="D3965">
            <v>237.5</v>
          </cell>
          <cell r="N3965" t="str">
            <v>588-46</v>
          </cell>
          <cell r="O3965" t="str">
            <v>PISTON</v>
          </cell>
          <cell r="P3965">
            <v>475</v>
          </cell>
        </row>
        <row r="3966">
          <cell r="B3966" t="str">
            <v>680-03</v>
          </cell>
          <cell r="C3966" t="str">
            <v>ROD GUIDE ASS'Y</v>
          </cell>
          <cell r="D3966">
            <v>237.5</v>
          </cell>
          <cell r="N3966" t="str">
            <v>680-03</v>
          </cell>
          <cell r="O3966" t="str">
            <v>ROD GUIDE ASS'Y</v>
          </cell>
          <cell r="P3966">
            <v>475</v>
          </cell>
        </row>
        <row r="3967">
          <cell r="B3967" t="str">
            <v>783-00</v>
          </cell>
          <cell r="C3967" t="str">
            <v>ROD GUIDE ASS'Y</v>
          </cell>
          <cell r="D3967">
            <v>180</v>
          </cell>
          <cell r="N3967" t="str">
            <v>783-00</v>
          </cell>
          <cell r="O3967" t="str">
            <v>ROD GUIDE ASS'Y</v>
          </cell>
          <cell r="P3967">
            <v>360</v>
          </cell>
        </row>
        <row r="3968">
          <cell r="B3968" t="str">
            <v>1218-06</v>
          </cell>
          <cell r="C3968" t="str">
            <v>VALVE PISTON</v>
          </cell>
          <cell r="D3968">
            <v>238</v>
          </cell>
          <cell r="N3968" t="str">
            <v>1218-06</v>
          </cell>
          <cell r="O3968" t="str">
            <v>VALVE PISTON</v>
          </cell>
          <cell r="P3968">
            <v>476</v>
          </cell>
        </row>
        <row r="3969">
          <cell r="B3969" t="str">
            <v>1218-06</v>
          </cell>
          <cell r="C3969" t="str">
            <v>VALVE PISTON</v>
          </cell>
          <cell r="D3969">
            <v>238</v>
          </cell>
          <cell r="N3969" t="str">
            <v>1218-06</v>
          </cell>
          <cell r="O3969" t="str">
            <v>VALVE PISTON</v>
          </cell>
          <cell r="P3969">
            <v>476</v>
          </cell>
        </row>
        <row r="3970">
          <cell r="B3970" t="str">
            <v>1634-03</v>
          </cell>
          <cell r="C3970" t="str">
            <v>RS RETAINER</v>
          </cell>
          <cell r="D3970">
            <v>222.5</v>
          </cell>
          <cell r="N3970" t="str">
            <v>1634-03</v>
          </cell>
          <cell r="O3970" t="str">
            <v>RS RETAINER</v>
          </cell>
          <cell r="P3970">
            <v>445</v>
          </cell>
        </row>
        <row r="3971">
          <cell r="B3971" t="str">
            <v>1634-46</v>
          </cell>
          <cell r="C3971" t="str">
            <v>RS RETAINER</v>
          </cell>
          <cell r="D3971">
            <v>230</v>
          </cell>
          <cell r="N3971" t="str">
            <v>1634-46</v>
          </cell>
          <cell r="O3971" t="str">
            <v>RS RETAINER</v>
          </cell>
          <cell r="P3971">
            <v>460</v>
          </cell>
        </row>
        <row r="3972">
          <cell r="B3972" t="str">
            <v>1687-03</v>
          </cell>
          <cell r="C3972" t="str">
            <v>BODY</v>
          </cell>
          <cell r="D3972">
            <v>238</v>
          </cell>
          <cell r="N3972" t="str">
            <v>1687-03</v>
          </cell>
          <cell r="O3972" t="str">
            <v>BODY</v>
          </cell>
          <cell r="P3972">
            <v>476</v>
          </cell>
        </row>
        <row r="3973">
          <cell r="B3973" t="str">
            <v>1734-14</v>
          </cell>
          <cell r="C3973" t="str">
            <v>RS RETAINER</v>
          </cell>
          <cell r="D3973">
            <v>98</v>
          </cell>
          <cell r="N3973" t="str">
            <v>1734-14</v>
          </cell>
          <cell r="O3973" t="str">
            <v>RS RETAINER</v>
          </cell>
          <cell r="P3973">
            <v>196</v>
          </cell>
        </row>
        <row r="3974">
          <cell r="B3974" t="str">
            <v>598-13</v>
          </cell>
          <cell r="C3974" t="str">
            <v>PISTON</v>
          </cell>
          <cell r="D3974">
            <v>162</v>
          </cell>
          <cell r="N3974" t="str">
            <v>598-13</v>
          </cell>
          <cell r="O3974" t="str">
            <v>PISTON</v>
          </cell>
          <cell r="P3974">
            <v>324</v>
          </cell>
        </row>
        <row r="3975">
          <cell r="B3975" t="str">
            <v>1069-01</v>
          </cell>
          <cell r="C3975" t="str">
            <v>PISTON</v>
          </cell>
          <cell r="D3975">
            <v>99</v>
          </cell>
          <cell r="N3975" t="str">
            <v>1069-01</v>
          </cell>
          <cell r="O3975" t="str">
            <v>PISTON</v>
          </cell>
          <cell r="P3975">
            <v>198</v>
          </cell>
        </row>
        <row r="3976">
          <cell r="B3976" t="str">
            <v>1665-04</v>
          </cell>
          <cell r="C3976" t="str">
            <v>BODY</v>
          </cell>
          <cell r="D3976">
            <v>129</v>
          </cell>
          <cell r="N3976" t="str">
            <v>1665-04</v>
          </cell>
          <cell r="O3976" t="str">
            <v>BODY</v>
          </cell>
          <cell r="P3976">
            <v>258</v>
          </cell>
        </row>
        <row r="3977">
          <cell r="B3977" t="str">
            <v>1931-08</v>
          </cell>
          <cell r="C3977" t="str">
            <v>RS RETAINER</v>
          </cell>
          <cell r="D3977">
            <v>233.5</v>
          </cell>
          <cell r="N3977" t="str">
            <v>1931-08</v>
          </cell>
          <cell r="O3977" t="str">
            <v>RS RETAINER</v>
          </cell>
          <cell r="P3977">
            <v>467</v>
          </cell>
        </row>
        <row r="3978">
          <cell r="B3978" t="str">
            <v>1996-03</v>
          </cell>
          <cell r="C3978" t="str">
            <v>BODY</v>
          </cell>
          <cell r="D3978">
            <v>238.5</v>
          </cell>
          <cell r="N3978" t="str">
            <v>1996-03</v>
          </cell>
          <cell r="O3978" t="str">
            <v>BODY</v>
          </cell>
          <cell r="P3978">
            <v>477</v>
          </cell>
        </row>
        <row r="3979">
          <cell r="B3979" t="str">
            <v>1588-05</v>
          </cell>
          <cell r="C3979" t="str">
            <v>PISTON</v>
          </cell>
          <cell r="D3979">
            <v>239</v>
          </cell>
          <cell r="N3979" t="str">
            <v>1588-05</v>
          </cell>
          <cell r="O3979" t="str">
            <v>PISTON</v>
          </cell>
          <cell r="P3979">
            <v>478</v>
          </cell>
        </row>
        <row r="3980">
          <cell r="B3980" t="str">
            <v>1608-00</v>
          </cell>
          <cell r="C3980" t="str">
            <v>PISTON</v>
          </cell>
          <cell r="D3980">
            <v>147.5</v>
          </cell>
          <cell r="N3980" t="str">
            <v>1608-00</v>
          </cell>
          <cell r="O3980" t="str">
            <v>PISTON</v>
          </cell>
          <cell r="P3980">
            <v>295</v>
          </cell>
        </row>
        <row r="3981">
          <cell r="B3981" t="str">
            <v>1635-00</v>
          </cell>
          <cell r="C3981" t="str">
            <v>PISTON</v>
          </cell>
          <cell r="D3981">
            <v>239</v>
          </cell>
          <cell r="N3981" t="str">
            <v>1635-00</v>
          </cell>
          <cell r="O3981" t="str">
            <v>PISTON</v>
          </cell>
          <cell r="P3981">
            <v>478</v>
          </cell>
        </row>
        <row r="3982">
          <cell r="B3982" t="str">
            <v>1666-02</v>
          </cell>
          <cell r="C3982" t="str">
            <v>BODY</v>
          </cell>
          <cell r="D3982">
            <v>203</v>
          </cell>
          <cell r="N3982" t="str">
            <v>1666-02</v>
          </cell>
          <cell r="O3982" t="str">
            <v>BODY</v>
          </cell>
          <cell r="P3982">
            <v>406</v>
          </cell>
        </row>
        <row r="3983">
          <cell r="B3983" t="str">
            <v>1843-08</v>
          </cell>
          <cell r="C3983" t="str">
            <v>RS RETAINER</v>
          </cell>
          <cell r="D3983">
            <v>232</v>
          </cell>
          <cell r="N3983" t="str">
            <v>1843-08</v>
          </cell>
          <cell r="O3983" t="str">
            <v>RS RETAINER</v>
          </cell>
          <cell r="P3983">
            <v>464</v>
          </cell>
        </row>
        <row r="3984">
          <cell r="B3984" t="str">
            <v>2055-04</v>
          </cell>
          <cell r="C3984" t="str">
            <v>BODY</v>
          </cell>
          <cell r="D3984">
            <v>239</v>
          </cell>
          <cell r="N3984" t="str">
            <v>2055-04</v>
          </cell>
          <cell r="O3984" t="str">
            <v>BODY</v>
          </cell>
          <cell r="P3984">
            <v>478</v>
          </cell>
        </row>
        <row r="3985">
          <cell r="B3985" t="str">
            <v>1555-00</v>
          </cell>
          <cell r="C3985" t="str">
            <v>PISTON</v>
          </cell>
          <cell r="D3985">
            <v>225</v>
          </cell>
          <cell r="N3985" t="str">
            <v>1555-00</v>
          </cell>
          <cell r="O3985" t="str">
            <v>PISTON</v>
          </cell>
          <cell r="P3985">
            <v>450</v>
          </cell>
        </row>
        <row r="3986">
          <cell r="B3986" t="str">
            <v>1630-13</v>
          </cell>
          <cell r="C3986" t="str">
            <v>RS RETAINER</v>
          </cell>
          <cell r="D3986">
            <v>239.5</v>
          </cell>
          <cell r="N3986" t="str">
            <v>1630-13</v>
          </cell>
          <cell r="O3986" t="str">
            <v>RS RETAINER</v>
          </cell>
          <cell r="P3986">
            <v>479</v>
          </cell>
        </row>
        <row r="3987">
          <cell r="B3987" t="str">
            <v>1729-00</v>
          </cell>
          <cell r="C3987" t="str">
            <v>PISTON</v>
          </cell>
          <cell r="D3987">
            <v>225</v>
          </cell>
          <cell r="N3987" t="str">
            <v>1729-00</v>
          </cell>
          <cell r="O3987" t="str">
            <v>PISTON</v>
          </cell>
          <cell r="P3987">
            <v>450</v>
          </cell>
        </row>
        <row r="3988">
          <cell r="B3988" t="str">
            <v>2021-00</v>
          </cell>
          <cell r="C3988" t="str">
            <v>INSERT CAM</v>
          </cell>
          <cell r="D3988">
            <v>287.39999999999998</v>
          </cell>
          <cell r="N3988" t="str">
            <v>2021-00</v>
          </cell>
          <cell r="O3988" t="str">
            <v>INSERT CAM</v>
          </cell>
          <cell r="P3988">
            <v>479</v>
          </cell>
        </row>
        <row r="3989">
          <cell r="B3989" t="str">
            <v>598-21</v>
          </cell>
          <cell r="C3989" t="str">
            <v>PISTON</v>
          </cell>
          <cell r="D3989">
            <v>229.5</v>
          </cell>
          <cell r="N3989" t="str">
            <v>598-21</v>
          </cell>
          <cell r="O3989" t="str">
            <v>PISTON</v>
          </cell>
          <cell r="P3989">
            <v>459</v>
          </cell>
        </row>
        <row r="3990">
          <cell r="B3990" t="str">
            <v>1729-00</v>
          </cell>
          <cell r="C3990" t="str">
            <v>PISTON</v>
          </cell>
          <cell r="D3990">
            <v>225</v>
          </cell>
          <cell r="N3990" t="str">
            <v>1729-00</v>
          </cell>
          <cell r="O3990" t="str">
            <v>PISTON</v>
          </cell>
          <cell r="P3990">
            <v>450</v>
          </cell>
        </row>
        <row r="3991">
          <cell r="B3991" t="str">
            <v>1827-01</v>
          </cell>
          <cell r="C3991" t="str">
            <v>BODY</v>
          </cell>
          <cell r="D3991">
            <v>240</v>
          </cell>
          <cell r="N3991" t="str">
            <v>1827-01</v>
          </cell>
          <cell r="O3991" t="str">
            <v>BODY</v>
          </cell>
          <cell r="P3991">
            <v>480</v>
          </cell>
        </row>
        <row r="3992">
          <cell r="B3992" t="str">
            <v>1103-00</v>
          </cell>
          <cell r="C3992" t="str">
            <v>INTERMADIATE GEAR</v>
          </cell>
          <cell r="D3992">
            <v>288.59999999999997</v>
          </cell>
          <cell r="N3992" t="str">
            <v>1103-00</v>
          </cell>
          <cell r="O3992" t="str">
            <v>INTERMADIATE GEAR</v>
          </cell>
          <cell r="P3992">
            <v>481</v>
          </cell>
        </row>
        <row r="3993">
          <cell r="B3993" t="str">
            <v>1296-00</v>
          </cell>
          <cell r="C3993" t="str">
            <v>PIPE SPLINE</v>
          </cell>
          <cell r="D3993">
            <v>288.59999999999997</v>
          </cell>
          <cell r="N3993" t="str">
            <v>1296-00</v>
          </cell>
          <cell r="O3993" t="str">
            <v>PIPE SPLINE</v>
          </cell>
          <cell r="P3993">
            <v>481</v>
          </cell>
        </row>
        <row r="3994">
          <cell r="B3994" t="str">
            <v>1554-08</v>
          </cell>
          <cell r="C3994" t="str">
            <v>RS RETAINER</v>
          </cell>
          <cell r="D3994">
            <v>90</v>
          </cell>
          <cell r="N3994" t="str">
            <v>1554-08</v>
          </cell>
          <cell r="O3994" t="str">
            <v>RS RETAINER</v>
          </cell>
          <cell r="P3994">
            <v>180</v>
          </cell>
        </row>
        <row r="3995">
          <cell r="B3995" t="str">
            <v>1554-08</v>
          </cell>
          <cell r="C3995" t="str">
            <v>RS RETAINER</v>
          </cell>
          <cell r="D3995">
            <v>90</v>
          </cell>
          <cell r="N3995" t="str">
            <v>1554-08</v>
          </cell>
          <cell r="O3995" t="str">
            <v>RS RETAINER</v>
          </cell>
          <cell r="P3995">
            <v>180</v>
          </cell>
        </row>
        <row r="3996">
          <cell r="B3996" t="str">
            <v>1554-08</v>
          </cell>
          <cell r="C3996" t="str">
            <v>RS RETAINER</v>
          </cell>
          <cell r="D3996">
            <v>90</v>
          </cell>
          <cell r="N3996" t="str">
            <v>1554-08</v>
          </cell>
          <cell r="O3996" t="str">
            <v>RS RETAINER</v>
          </cell>
          <cell r="P3996">
            <v>180</v>
          </cell>
        </row>
        <row r="3997">
          <cell r="B3997" t="str">
            <v>1554-08</v>
          </cell>
          <cell r="C3997" t="str">
            <v>RS RETAINER</v>
          </cell>
          <cell r="D3997">
            <v>90</v>
          </cell>
          <cell r="N3997" t="str">
            <v>1554-08</v>
          </cell>
          <cell r="O3997" t="str">
            <v>RS RETAINER</v>
          </cell>
          <cell r="P3997">
            <v>180</v>
          </cell>
        </row>
        <row r="3998">
          <cell r="B3998" t="str">
            <v>1613-03</v>
          </cell>
          <cell r="C3998" t="str">
            <v>BODY</v>
          </cell>
          <cell r="D3998">
            <v>240.5</v>
          </cell>
          <cell r="N3998" t="str">
            <v>1613-03</v>
          </cell>
          <cell r="O3998" t="str">
            <v>BODY</v>
          </cell>
          <cell r="P3998">
            <v>481</v>
          </cell>
        </row>
        <row r="3999">
          <cell r="B3999" t="str">
            <v>1729-00</v>
          </cell>
          <cell r="C3999" t="str">
            <v>PISTON</v>
          </cell>
          <cell r="D3999">
            <v>225</v>
          </cell>
          <cell r="N3999" t="str">
            <v>1729-00</v>
          </cell>
          <cell r="O3999" t="str">
            <v>PISTON</v>
          </cell>
          <cell r="P3999">
            <v>450</v>
          </cell>
        </row>
        <row r="4000">
          <cell r="B4000" t="str">
            <v>1729-00</v>
          </cell>
          <cell r="C4000" t="str">
            <v>PISTON</v>
          </cell>
          <cell r="D4000">
            <v>225</v>
          </cell>
          <cell r="N4000" t="str">
            <v>1729-00</v>
          </cell>
          <cell r="O4000" t="str">
            <v>PISTON</v>
          </cell>
          <cell r="P4000">
            <v>450</v>
          </cell>
        </row>
        <row r="4001">
          <cell r="B4001" t="str">
            <v>1800-03</v>
          </cell>
          <cell r="C4001" t="str">
            <v>BODY</v>
          </cell>
          <cell r="D4001">
            <v>226.5</v>
          </cell>
          <cell r="N4001" t="str">
            <v>1800-03</v>
          </cell>
          <cell r="O4001" t="str">
            <v>BODY</v>
          </cell>
          <cell r="P4001">
            <v>453</v>
          </cell>
        </row>
        <row r="4002">
          <cell r="B4002" t="str">
            <v>1800-03</v>
          </cell>
          <cell r="C4002" t="str">
            <v>BODY</v>
          </cell>
          <cell r="D4002">
            <v>226.5</v>
          </cell>
          <cell r="N4002" t="str">
            <v>1800-03</v>
          </cell>
          <cell r="O4002" t="str">
            <v>BODY</v>
          </cell>
          <cell r="P4002">
            <v>453</v>
          </cell>
        </row>
        <row r="4003">
          <cell r="B4003" t="str">
            <v>1931-05</v>
          </cell>
          <cell r="C4003" t="str">
            <v>RS RETAINER</v>
          </cell>
          <cell r="D4003">
            <v>110</v>
          </cell>
          <cell r="N4003" t="str">
            <v>1931-05</v>
          </cell>
          <cell r="O4003" t="str">
            <v>RS RETAINER</v>
          </cell>
          <cell r="P4003">
            <v>220</v>
          </cell>
        </row>
        <row r="4004">
          <cell r="B4004" t="str">
            <v>1931-09</v>
          </cell>
          <cell r="C4004" t="str">
            <v>RS RETAINER</v>
          </cell>
          <cell r="D4004">
            <v>240.5</v>
          </cell>
          <cell r="N4004" t="str">
            <v>1931-09</v>
          </cell>
          <cell r="O4004" t="str">
            <v>RS RETAINER</v>
          </cell>
          <cell r="P4004">
            <v>481</v>
          </cell>
        </row>
        <row r="4005">
          <cell r="B4005" t="str">
            <v>714-01</v>
          </cell>
          <cell r="C4005" t="str">
            <v>PISTON</v>
          </cell>
          <cell r="D4005">
            <v>129.5</v>
          </cell>
          <cell r="N4005" t="str">
            <v>714-01</v>
          </cell>
          <cell r="O4005" t="str">
            <v>PISTON</v>
          </cell>
          <cell r="P4005">
            <v>259</v>
          </cell>
        </row>
        <row r="4006">
          <cell r="B4006" t="str">
            <v>1027-00</v>
          </cell>
          <cell r="C4006" t="str">
            <v>ROD GUIDE ASS'Y</v>
          </cell>
          <cell r="D4006">
            <v>241</v>
          </cell>
          <cell r="N4006" t="str">
            <v>1027-00</v>
          </cell>
          <cell r="O4006" t="str">
            <v>ROD GUIDE ASS'Y</v>
          </cell>
          <cell r="P4006">
            <v>482</v>
          </cell>
        </row>
        <row r="4007">
          <cell r="B4007" t="str">
            <v>1031-01</v>
          </cell>
          <cell r="C4007" t="str">
            <v>ROD GUIDE ASS'Y</v>
          </cell>
          <cell r="D4007">
            <v>190.5</v>
          </cell>
          <cell r="N4007" t="str">
            <v>1031-01</v>
          </cell>
          <cell r="O4007" t="str">
            <v>ROD GUIDE ASS'Y</v>
          </cell>
          <cell r="P4007">
            <v>381</v>
          </cell>
        </row>
        <row r="4008">
          <cell r="B4008" t="str">
            <v>1555-00</v>
          </cell>
          <cell r="C4008" t="str">
            <v>PISTON</v>
          </cell>
          <cell r="D4008">
            <v>225</v>
          </cell>
          <cell r="N4008" t="str">
            <v>1555-00</v>
          </cell>
          <cell r="O4008" t="str">
            <v>PISTON</v>
          </cell>
          <cell r="P4008">
            <v>450</v>
          </cell>
        </row>
        <row r="4009">
          <cell r="B4009" t="str">
            <v>1555-00</v>
          </cell>
          <cell r="C4009" t="str">
            <v>PISTON</v>
          </cell>
          <cell r="D4009">
            <v>225</v>
          </cell>
          <cell r="N4009" t="str">
            <v>1555-00</v>
          </cell>
          <cell r="O4009" t="str">
            <v>PISTON</v>
          </cell>
          <cell r="P4009">
            <v>450</v>
          </cell>
        </row>
        <row r="4010">
          <cell r="B4010" t="str">
            <v>1607-00</v>
          </cell>
          <cell r="C4010" t="str">
            <v>PISTON</v>
          </cell>
          <cell r="D4010">
            <v>155.5</v>
          </cell>
          <cell r="N4010" t="str">
            <v>1607-00</v>
          </cell>
          <cell r="O4010" t="str">
            <v>PISTON</v>
          </cell>
          <cell r="P4010">
            <v>311</v>
          </cell>
        </row>
        <row r="4011">
          <cell r="B4011" t="str">
            <v>1634-45</v>
          </cell>
          <cell r="C4011" t="str">
            <v>RS RETAINER</v>
          </cell>
          <cell r="D4011">
            <v>182.5</v>
          </cell>
          <cell r="N4011" t="str">
            <v>1634-45</v>
          </cell>
          <cell r="O4011" t="str">
            <v>RS RETAINER</v>
          </cell>
          <cell r="P4011">
            <v>365</v>
          </cell>
        </row>
        <row r="4012">
          <cell r="B4012" t="str">
            <v>1734-06</v>
          </cell>
          <cell r="C4012" t="str">
            <v>RS RETAINER</v>
          </cell>
          <cell r="D4012">
            <v>224.5</v>
          </cell>
          <cell r="N4012" t="str">
            <v>1734-06</v>
          </cell>
          <cell r="O4012" t="str">
            <v>RS RETAINER</v>
          </cell>
          <cell r="P4012">
            <v>449</v>
          </cell>
        </row>
        <row r="4013">
          <cell r="B4013" t="str">
            <v>2055-02</v>
          </cell>
          <cell r="C4013" t="str">
            <v>BODY</v>
          </cell>
          <cell r="D4013">
            <v>241</v>
          </cell>
          <cell r="N4013" t="str">
            <v>2055-02</v>
          </cell>
          <cell r="O4013" t="str">
            <v>BODY</v>
          </cell>
          <cell r="P4013">
            <v>482</v>
          </cell>
        </row>
        <row r="4014">
          <cell r="B4014" t="str">
            <v>2102-00</v>
          </cell>
          <cell r="C4014" t="str">
            <v>PISTON</v>
          </cell>
          <cell r="D4014">
            <v>241</v>
          </cell>
          <cell r="N4014" t="str">
            <v>2102-00</v>
          </cell>
          <cell r="O4014" t="str">
            <v>PISTON</v>
          </cell>
          <cell r="P4014">
            <v>482</v>
          </cell>
        </row>
        <row r="4015">
          <cell r="B4015" t="str">
            <v>591-01</v>
          </cell>
          <cell r="C4015" t="str">
            <v>PISTON</v>
          </cell>
          <cell r="D4015">
            <v>141.5</v>
          </cell>
          <cell r="N4015" t="str">
            <v>591-01</v>
          </cell>
          <cell r="O4015" t="str">
            <v>PISTON</v>
          </cell>
          <cell r="P4015">
            <v>283</v>
          </cell>
        </row>
        <row r="4016">
          <cell r="B4016" t="str">
            <v>1779-08</v>
          </cell>
          <cell r="C4016" t="str">
            <v>RS RETAINER</v>
          </cell>
          <cell r="D4016">
            <v>241.5</v>
          </cell>
          <cell r="N4016" t="str">
            <v>1779-08</v>
          </cell>
          <cell r="O4016" t="str">
            <v>RS RETAINER</v>
          </cell>
          <cell r="P4016">
            <v>483</v>
          </cell>
        </row>
        <row r="4017">
          <cell r="B4017" t="str">
            <v>1780-04</v>
          </cell>
          <cell r="C4017" t="str">
            <v>RS RETAINER</v>
          </cell>
          <cell r="D4017">
            <v>91</v>
          </cell>
          <cell r="N4017" t="str">
            <v>1780-04</v>
          </cell>
          <cell r="O4017" t="str">
            <v>RS RETAINER</v>
          </cell>
          <cell r="P4017">
            <v>182</v>
          </cell>
        </row>
        <row r="4018">
          <cell r="B4018" t="str">
            <v>1829-01</v>
          </cell>
          <cell r="C4018" t="str">
            <v>BODY</v>
          </cell>
          <cell r="D4018">
            <v>130.5</v>
          </cell>
          <cell r="N4018" t="str">
            <v>1829-01</v>
          </cell>
          <cell r="O4018" t="str">
            <v>BODY</v>
          </cell>
          <cell r="P4018">
            <v>261</v>
          </cell>
        </row>
        <row r="4019">
          <cell r="B4019" t="str">
            <v>1922-04</v>
          </cell>
          <cell r="C4019" t="str">
            <v>RS RETAINER</v>
          </cell>
          <cell r="D4019">
            <v>108.5</v>
          </cell>
          <cell r="N4019" t="str">
            <v>1922-04</v>
          </cell>
          <cell r="O4019" t="str">
            <v>RS RETAINER</v>
          </cell>
          <cell r="P4019">
            <v>217</v>
          </cell>
        </row>
        <row r="4020">
          <cell r="B4020" t="str">
            <v>910-00</v>
          </cell>
          <cell r="C4020" t="str">
            <v>ROD GUIDE</v>
          </cell>
          <cell r="D4020">
            <v>241.5</v>
          </cell>
          <cell r="N4020" t="str">
            <v>910-00</v>
          </cell>
          <cell r="O4020" t="str">
            <v>ROD GUIDE</v>
          </cell>
          <cell r="P4020">
            <v>483</v>
          </cell>
        </row>
        <row r="4021">
          <cell r="B4021" t="str">
            <v>1027-00</v>
          </cell>
          <cell r="C4021" t="str">
            <v>ROD GUIDE ASS'Y</v>
          </cell>
          <cell r="D4021">
            <v>241</v>
          </cell>
          <cell r="N4021" t="str">
            <v>1027-00</v>
          </cell>
          <cell r="O4021" t="str">
            <v>ROD GUIDE ASS'Y</v>
          </cell>
          <cell r="P4021">
            <v>482</v>
          </cell>
        </row>
        <row r="4022">
          <cell r="B4022" t="str">
            <v>1027-00</v>
          </cell>
          <cell r="C4022" t="str">
            <v>ROD GUIDE ASS'Y</v>
          </cell>
          <cell r="D4022">
            <v>241</v>
          </cell>
          <cell r="N4022" t="str">
            <v>1027-00</v>
          </cell>
          <cell r="O4022" t="str">
            <v>ROD GUIDE ASS'Y</v>
          </cell>
          <cell r="P4022">
            <v>482</v>
          </cell>
        </row>
        <row r="4023">
          <cell r="B4023" t="str">
            <v>1030-02</v>
          </cell>
          <cell r="C4023" t="str">
            <v>ROD GUIDE ASS'Y</v>
          </cell>
          <cell r="D4023">
            <v>196</v>
          </cell>
          <cell r="N4023" t="str">
            <v>1030-02</v>
          </cell>
          <cell r="O4023" t="str">
            <v>ROD GUIDE ASS'Y</v>
          </cell>
          <cell r="P4023">
            <v>392</v>
          </cell>
        </row>
        <row r="4024">
          <cell r="B4024" t="str">
            <v>1271-06</v>
          </cell>
          <cell r="C4024" t="str">
            <v>PISTON</v>
          </cell>
          <cell r="D4024">
            <v>222.5</v>
          </cell>
          <cell r="N4024" t="str">
            <v>1271-06</v>
          </cell>
          <cell r="O4024" t="str">
            <v>PISTON</v>
          </cell>
          <cell r="P4024">
            <v>445</v>
          </cell>
        </row>
        <row r="4025">
          <cell r="B4025" t="str">
            <v>1271-06</v>
          </cell>
          <cell r="C4025" t="str">
            <v>PISTON</v>
          </cell>
          <cell r="D4025">
            <v>222.5</v>
          </cell>
          <cell r="N4025" t="str">
            <v>1271-06</v>
          </cell>
          <cell r="O4025" t="str">
            <v>PISTON</v>
          </cell>
          <cell r="P4025">
            <v>445</v>
          </cell>
        </row>
        <row r="4026">
          <cell r="B4026" t="str">
            <v>1630-09</v>
          </cell>
          <cell r="C4026" t="str">
            <v>RS RETAINER</v>
          </cell>
          <cell r="D4026">
            <v>242</v>
          </cell>
          <cell r="N4026" t="str">
            <v>1630-09</v>
          </cell>
          <cell r="O4026" t="str">
            <v>RS RETAINER</v>
          </cell>
          <cell r="P4026">
            <v>484</v>
          </cell>
        </row>
        <row r="4027">
          <cell r="B4027" t="str">
            <v>1635-00</v>
          </cell>
          <cell r="C4027" t="str">
            <v>PISTON</v>
          </cell>
          <cell r="D4027">
            <v>239</v>
          </cell>
          <cell r="N4027" t="str">
            <v>1635-00</v>
          </cell>
          <cell r="O4027" t="str">
            <v>PISTON</v>
          </cell>
          <cell r="P4027">
            <v>478</v>
          </cell>
        </row>
        <row r="4028">
          <cell r="B4028" t="str">
            <v>1635-00</v>
          </cell>
          <cell r="C4028" t="str">
            <v>PISTON</v>
          </cell>
          <cell r="D4028">
            <v>239</v>
          </cell>
          <cell r="N4028" t="str">
            <v>1635-00</v>
          </cell>
          <cell r="O4028" t="str">
            <v>PISTON</v>
          </cell>
          <cell r="P4028">
            <v>478</v>
          </cell>
        </row>
        <row r="4029">
          <cell r="B4029" t="str">
            <v>1779-11</v>
          </cell>
          <cell r="C4029" t="str">
            <v>RS RETAINER</v>
          </cell>
          <cell r="D4029">
            <v>87</v>
          </cell>
          <cell r="N4029" t="str">
            <v>1779-11</v>
          </cell>
          <cell r="O4029" t="str">
            <v>RS RETAINER</v>
          </cell>
          <cell r="P4029">
            <v>174</v>
          </cell>
        </row>
        <row r="4030">
          <cell r="B4030" t="str">
            <v>1998-00</v>
          </cell>
          <cell r="C4030" t="str">
            <v>PISTON</v>
          </cell>
          <cell r="D4030">
            <v>196.5</v>
          </cell>
          <cell r="N4030" t="str">
            <v>1998-00</v>
          </cell>
          <cell r="O4030" t="str">
            <v>PISTON</v>
          </cell>
          <cell r="P4030">
            <v>393</v>
          </cell>
        </row>
        <row r="4031">
          <cell r="B4031" t="str">
            <v>592-03</v>
          </cell>
          <cell r="C4031" t="str">
            <v>PISTON</v>
          </cell>
          <cell r="D4031">
            <v>114.5</v>
          </cell>
          <cell r="N4031" t="str">
            <v>592-03</v>
          </cell>
          <cell r="O4031" t="str">
            <v>PISTON</v>
          </cell>
          <cell r="P4031">
            <v>229</v>
          </cell>
        </row>
        <row r="4032">
          <cell r="B4032" t="str">
            <v>1030-02</v>
          </cell>
          <cell r="C4032" t="str">
            <v>ROD GUIDE ASS'Y</v>
          </cell>
          <cell r="D4032">
            <v>196</v>
          </cell>
          <cell r="N4032" t="str">
            <v>1030-02</v>
          </cell>
          <cell r="O4032" t="str">
            <v>ROD GUIDE ASS'Y</v>
          </cell>
          <cell r="P4032">
            <v>392</v>
          </cell>
        </row>
        <row r="4033">
          <cell r="B4033" t="str">
            <v>1218-02</v>
          </cell>
          <cell r="C4033" t="str">
            <v>VALVE PISTON</v>
          </cell>
          <cell r="D4033">
            <v>97.5</v>
          </cell>
          <cell r="N4033" t="str">
            <v>1218-02</v>
          </cell>
          <cell r="O4033" t="str">
            <v>VALVE PISTON</v>
          </cell>
          <cell r="P4033">
            <v>195</v>
          </cell>
        </row>
        <row r="4034">
          <cell r="B4034" t="str">
            <v>1613-04</v>
          </cell>
          <cell r="C4034" t="str">
            <v>BODY</v>
          </cell>
          <cell r="D4034">
            <v>242.5</v>
          </cell>
          <cell r="N4034" t="str">
            <v>1613-04</v>
          </cell>
          <cell r="O4034" t="str">
            <v>BODY</v>
          </cell>
          <cell r="P4034">
            <v>485</v>
          </cell>
        </row>
        <row r="4035">
          <cell r="B4035" t="str">
            <v>1900-02</v>
          </cell>
          <cell r="C4035" t="str">
            <v>VALVE PISTON</v>
          </cell>
          <cell r="D4035">
            <v>214.5</v>
          </cell>
          <cell r="N4035" t="str">
            <v>1900-02</v>
          </cell>
          <cell r="O4035" t="str">
            <v>VALVE PISTON</v>
          </cell>
          <cell r="P4035">
            <v>429</v>
          </cell>
        </row>
        <row r="4036">
          <cell r="B4036" t="str">
            <v>1998-00</v>
          </cell>
          <cell r="C4036" t="str">
            <v>PISTON</v>
          </cell>
          <cell r="D4036">
            <v>196.5</v>
          </cell>
          <cell r="N4036" t="str">
            <v>1998-00</v>
          </cell>
          <cell r="O4036" t="str">
            <v>PISTON</v>
          </cell>
          <cell r="P4036">
            <v>393</v>
          </cell>
        </row>
        <row r="4037">
          <cell r="B4037" t="str">
            <v>798-02</v>
          </cell>
          <cell r="C4037" t="str">
            <v>ROD GUIDE ASS'Y</v>
          </cell>
          <cell r="D4037">
            <v>242.5</v>
          </cell>
          <cell r="N4037" t="str">
            <v>798-02</v>
          </cell>
          <cell r="O4037" t="str">
            <v>ROD GUIDE ASS'Y</v>
          </cell>
          <cell r="P4037">
            <v>485</v>
          </cell>
        </row>
        <row r="4038">
          <cell r="B4038" t="str">
            <v>1096-05</v>
          </cell>
          <cell r="C4038" t="str">
            <v>VALVE PISTON</v>
          </cell>
          <cell r="D4038">
            <v>243</v>
          </cell>
          <cell r="N4038" t="str">
            <v>1096-05</v>
          </cell>
          <cell r="O4038" t="str">
            <v>VALVE PISTON</v>
          </cell>
          <cell r="P4038">
            <v>486</v>
          </cell>
        </row>
        <row r="4039">
          <cell r="B4039" t="str">
            <v>1096-06</v>
          </cell>
          <cell r="C4039" t="str">
            <v>VALVE PISTON</v>
          </cell>
          <cell r="D4039">
            <v>243</v>
          </cell>
          <cell r="N4039" t="str">
            <v>1096-06</v>
          </cell>
          <cell r="O4039" t="str">
            <v>VALVE PISTON</v>
          </cell>
          <cell r="P4039">
            <v>486</v>
          </cell>
        </row>
        <row r="4040">
          <cell r="B4040" t="str">
            <v>1096-07</v>
          </cell>
          <cell r="C4040" t="str">
            <v>VALVE PISTON</v>
          </cell>
          <cell r="D4040">
            <v>243</v>
          </cell>
          <cell r="N4040" t="str">
            <v>1096-07</v>
          </cell>
          <cell r="O4040" t="str">
            <v>VALVE PISTON</v>
          </cell>
          <cell r="P4040">
            <v>486</v>
          </cell>
        </row>
        <row r="4041">
          <cell r="B4041" t="str">
            <v>1275-06</v>
          </cell>
          <cell r="C4041" t="str">
            <v>BODY</v>
          </cell>
          <cell r="D4041">
            <v>243</v>
          </cell>
          <cell r="N4041" t="str">
            <v>1275-06</v>
          </cell>
          <cell r="O4041" t="str">
            <v>BODY</v>
          </cell>
          <cell r="P4041">
            <v>486</v>
          </cell>
        </row>
        <row r="4042">
          <cell r="B4042" t="str">
            <v>1525-02</v>
          </cell>
          <cell r="C4042" t="str">
            <v>BODY</v>
          </cell>
          <cell r="D4042">
            <v>243</v>
          </cell>
          <cell r="N4042" t="str">
            <v>1525-02</v>
          </cell>
          <cell r="O4042" t="str">
            <v>BODY</v>
          </cell>
          <cell r="P4042">
            <v>486</v>
          </cell>
        </row>
        <row r="4043">
          <cell r="B4043" t="str">
            <v>1554-13</v>
          </cell>
          <cell r="C4043" t="str">
            <v>RS RETAINER</v>
          </cell>
          <cell r="D4043">
            <v>237</v>
          </cell>
          <cell r="N4043" t="str">
            <v>1554-13</v>
          </cell>
          <cell r="O4043" t="str">
            <v>RS RETAINER</v>
          </cell>
          <cell r="P4043">
            <v>474</v>
          </cell>
        </row>
        <row r="4044">
          <cell r="B4044" t="str">
            <v>1630-07</v>
          </cell>
          <cell r="C4044" t="str">
            <v>RS RETAINER</v>
          </cell>
          <cell r="D4044">
            <v>82.5</v>
          </cell>
          <cell r="N4044" t="str">
            <v>1630-07</v>
          </cell>
          <cell r="O4044" t="str">
            <v>RS RETAINER</v>
          </cell>
          <cell r="P4044">
            <v>165</v>
          </cell>
        </row>
        <row r="4045">
          <cell r="B4045" t="str">
            <v>1634-46</v>
          </cell>
          <cell r="C4045" t="str">
            <v>RS RETAINER</v>
          </cell>
          <cell r="D4045">
            <v>230</v>
          </cell>
          <cell r="N4045" t="str">
            <v>1634-46</v>
          </cell>
          <cell r="O4045" t="str">
            <v>RS RETAINER</v>
          </cell>
          <cell r="P4045">
            <v>460</v>
          </cell>
        </row>
        <row r="4046">
          <cell r="B4046" t="str">
            <v>1634-47</v>
          </cell>
          <cell r="C4046" t="str">
            <v>RS RETAINER</v>
          </cell>
          <cell r="D4046">
            <v>243</v>
          </cell>
          <cell r="N4046" t="str">
            <v>1634-47</v>
          </cell>
          <cell r="O4046" t="str">
            <v>RS RETAINER</v>
          </cell>
          <cell r="P4046">
            <v>486</v>
          </cell>
        </row>
        <row r="4047">
          <cell r="B4047" t="str">
            <v>1634-47</v>
          </cell>
          <cell r="C4047" t="str">
            <v>RS RETAINER</v>
          </cell>
          <cell r="D4047">
            <v>243</v>
          </cell>
          <cell r="N4047" t="str">
            <v>1634-47</v>
          </cell>
          <cell r="O4047" t="str">
            <v>RS RETAINER</v>
          </cell>
          <cell r="P4047">
            <v>486</v>
          </cell>
        </row>
        <row r="4048">
          <cell r="B4048" t="str">
            <v>1666-02</v>
          </cell>
          <cell r="C4048" t="str">
            <v>BODY</v>
          </cell>
          <cell r="D4048">
            <v>203</v>
          </cell>
          <cell r="N4048" t="str">
            <v>1666-02</v>
          </cell>
          <cell r="O4048" t="str">
            <v>BODY</v>
          </cell>
          <cell r="P4048">
            <v>406</v>
          </cell>
        </row>
        <row r="4049">
          <cell r="B4049" t="str">
            <v>1709-00</v>
          </cell>
          <cell r="C4049" t="str">
            <v>CAM</v>
          </cell>
          <cell r="D4049">
            <v>291.59999999999997</v>
          </cell>
          <cell r="N4049" t="str">
            <v>1709-00</v>
          </cell>
          <cell r="O4049" t="str">
            <v>CAM</v>
          </cell>
          <cell r="P4049">
            <v>486</v>
          </cell>
        </row>
        <row r="4050">
          <cell r="B4050" t="str">
            <v>1998-00</v>
          </cell>
          <cell r="C4050" t="str">
            <v>PISTON</v>
          </cell>
          <cell r="D4050">
            <v>196.5</v>
          </cell>
          <cell r="N4050" t="str">
            <v>1998-00</v>
          </cell>
          <cell r="O4050" t="str">
            <v>PISTON</v>
          </cell>
          <cell r="P4050">
            <v>393</v>
          </cell>
        </row>
        <row r="4051">
          <cell r="B4051" t="str">
            <v>588-70</v>
          </cell>
          <cell r="C4051" t="str">
            <v>PISTON</v>
          </cell>
          <cell r="D4051">
            <v>243</v>
          </cell>
          <cell r="N4051" t="str">
            <v>588-70</v>
          </cell>
          <cell r="O4051" t="str">
            <v>PISTON</v>
          </cell>
          <cell r="P4051">
            <v>486</v>
          </cell>
        </row>
        <row r="4052">
          <cell r="B4052" t="str">
            <v>592-07</v>
          </cell>
          <cell r="C4052" t="str">
            <v>PISTON</v>
          </cell>
          <cell r="D4052">
            <v>160</v>
          </cell>
          <cell r="N4052" t="str">
            <v>592-07</v>
          </cell>
          <cell r="O4052" t="str">
            <v>PISTON</v>
          </cell>
          <cell r="P4052">
            <v>320</v>
          </cell>
        </row>
        <row r="4053">
          <cell r="B4053" t="str">
            <v>1182-18</v>
          </cell>
          <cell r="C4053" t="str">
            <v>VALVE PISTON</v>
          </cell>
          <cell r="D4053">
            <v>243.5</v>
          </cell>
          <cell r="N4053" t="str">
            <v>1182-18</v>
          </cell>
          <cell r="O4053" t="str">
            <v>VALVE PISTON</v>
          </cell>
          <cell r="P4053">
            <v>487</v>
          </cell>
        </row>
        <row r="4054">
          <cell r="B4054" t="str">
            <v>1182-19</v>
          </cell>
          <cell r="C4054" t="str">
            <v>VALVE PISTON</v>
          </cell>
          <cell r="D4054">
            <v>243.5</v>
          </cell>
          <cell r="N4054" t="str">
            <v>1182-19</v>
          </cell>
          <cell r="O4054" t="str">
            <v>VALVE PISTON</v>
          </cell>
          <cell r="P4054">
            <v>487</v>
          </cell>
        </row>
        <row r="4055">
          <cell r="B4055" t="str">
            <v>1182-20</v>
          </cell>
          <cell r="C4055" t="str">
            <v>VALVE PISTON</v>
          </cell>
          <cell r="D4055">
            <v>243.5</v>
          </cell>
          <cell r="N4055" t="str">
            <v>1182-20</v>
          </cell>
          <cell r="O4055" t="str">
            <v>VALVE PISTON</v>
          </cell>
          <cell r="P4055">
            <v>487</v>
          </cell>
        </row>
        <row r="4056">
          <cell r="B4056" t="str">
            <v>1554-13</v>
          </cell>
          <cell r="C4056" t="str">
            <v>RS RETAINER</v>
          </cell>
          <cell r="D4056">
            <v>237</v>
          </cell>
          <cell r="N4056" t="str">
            <v>1554-13</v>
          </cell>
          <cell r="O4056" t="str">
            <v>RS RETAINER</v>
          </cell>
          <cell r="P4056">
            <v>474</v>
          </cell>
        </row>
        <row r="4057">
          <cell r="B4057" t="str">
            <v>2671-10</v>
          </cell>
          <cell r="C4057" t="str">
            <v>PISTON</v>
          </cell>
          <cell r="D4057">
            <v>243.5</v>
          </cell>
          <cell r="N4057" t="str">
            <v>2671-10</v>
          </cell>
          <cell r="O4057" t="str">
            <v>PISTON</v>
          </cell>
          <cell r="P4057">
            <v>487</v>
          </cell>
        </row>
        <row r="4058">
          <cell r="B4058" t="str">
            <v>1069-01</v>
          </cell>
          <cell r="C4058" t="str">
            <v>PISTON</v>
          </cell>
          <cell r="D4058">
            <v>99</v>
          </cell>
          <cell r="N4058" t="str">
            <v>1069-01</v>
          </cell>
          <cell r="O4058" t="str">
            <v>PISTON</v>
          </cell>
          <cell r="P4058">
            <v>198</v>
          </cell>
        </row>
        <row r="4059">
          <cell r="B4059" t="str">
            <v>1554-08</v>
          </cell>
          <cell r="C4059" t="str">
            <v>RS RETAINER</v>
          </cell>
          <cell r="D4059">
            <v>90</v>
          </cell>
          <cell r="N4059" t="str">
            <v>1554-08</v>
          </cell>
          <cell r="O4059" t="str">
            <v>RS RETAINER</v>
          </cell>
          <cell r="P4059">
            <v>180</v>
          </cell>
        </row>
        <row r="4060">
          <cell r="B4060" t="str">
            <v>1554-08</v>
          </cell>
          <cell r="C4060" t="str">
            <v>RS RETAINER</v>
          </cell>
          <cell r="D4060">
            <v>90</v>
          </cell>
          <cell r="N4060" t="str">
            <v>1554-08</v>
          </cell>
          <cell r="O4060" t="str">
            <v>RS RETAINER</v>
          </cell>
          <cell r="P4060">
            <v>180</v>
          </cell>
        </row>
        <row r="4061">
          <cell r="B4061" t="str">
            <v>1554-08</v>
          </cell>
          <cell r="C4061" t="str">
            <v>RS RETAINER</v>
          </cell>
          <cell r="D4061">
            <v>90</v>
          </cell>
          <cell r="N4061" t="str">
            <v>1554-08</v>
          </cell>
          <cell r="O4061" t="str">
            <v>RS RETAINER</v>
          </cell>
          <cell r="P4061">
            <v>180</v>
          </cell>
        </row>
        <row r="4062">
          <cell r="B4062" t="str">
            <v>1554-08</v>
          </cell>
          <cell r="C4062" t="str">
            <v>RS RETAINER</v>
          </cell>
          <cell r="D4062">
            <v>90</v>
          </cell>
          <cell r="N4062" t="str">
            <v>1554-08</v>
          </cell>
          <cell r="O4062" t="str">
            <v>RS RETAINER</v>
          </cell>
          <cell r="P4062">
            <v>180</v>
          </cell>
        </row>
        <row r="4063">
          <cell r="B4063" t="str">
            <v>1554-08</v>
          </cell>
          <cell r="C4063" t="str">
            <v>RS RETAINER</v>
          </cell>
          <cell r="D4063">
            <v>90</v>
          </cell>
          <cell r="N4063" t="str">
            <v>1554-08</v>
          </cell>
          <cell r="O4063" t="str">
            <v>RS RETAINER</v>
          </cell>
          <cell r="P4063">
            <v>180</v>
          </cell>
        </row>
        <row r="4064">
          <cell r="B4064" t="str">
            <v>1554-08</v>
          </cell>
          <cell r="C4064" t="str">
            <v>RS RETAINER</v>
          </cell>
          <cell r="D4064">
            <v>90</v>
          </cell>
          <cell r="N4064" t="str">
            <v>1554-08</v>
          </cell>
          <cell r="O4064" t="str">
            <v>RS RETAINER</v>
          </cell>
          <cell r="P4064">
            <v>180</v>
          </cell>
        </row>
        <row r="4065">
          <cell r="B4065" t="str">
            <v>1554-08</v>
          </cell>
          <cell r="C4065" t="str">
            <v>RS RETAINER</v>
          </cell>
          <cell r="D4065">
            <v>90</v>
          </cell>
          <cell r="N4065" t="str">
            <v>1554-08</v>
          </cell>
          <cell r="O4065" t="str">
            <v>RS RETAINER</v>
          </cell>
          <cell r="P4065">
            <v>180</v>
          </cell>
        </row>
        <row r="4066">
          <cell r="B4066" t="str">
            <v>1554-13</v>
          </cell>
          <cell r="C4066" t="str">
            <v>RS RETAINER</v>
          </cell>
          <cell r="D4066">
            <v>237</v>
          </cell>
          <cell r="N4066" t="str">
            <v>1554-13</v>
          </cell>
          <cell r="O4066" t="str">
            <v>RS RETAINER</v>
          </cell>
          <cell r="P4066">
            <v>474</v>
          </cell>
        </row>
        <row r="4067">
          <cell r="B4067" t="str">
            <v>1554-30</v>
          </cell>
          <cell r="C4067" t="str">
            <v>RS RETAINER</v>
          </cell>
          <cell r="D4067">
            <v>182</v>
          </cell>
          <cell r="N4067" t="str">
            <v>1554-30</v>
          </cell>
          <cell r="O4067" t="str">
            <v>RS RETAINER</v>
          </cell>
          <cell r="P4067">
            <v>364</v>
          </cell>
        </row>
        <row r="4068">
          <cell r="B4068" t="str">
            <v>1566-02</v>
          </cell>
          <cell r="C4068" t="str">
            <v>BODY</v>
          </cell>
          <cell r="D4068">
            <v>244</v>
          </cell>
          <cell r="N4068" t="str">
            <v>1566-02</v>
          </cell>
          <cell r="O4068" t="str">
            <v>BODY</v>
          </cell>
          <cell r="P4068">
            <v>488</v>
          </cell>
        </row>
        <row r="4069">
          <cell r="B4069" t="str">
            <v>1666-08</v>
          </cell>
          <cell r="C4069" t="str">
            <v>BODY</v>
          </cell>
          <cell r="D4069">
            <v>244</v>
          </cell>
          <cell r="N4069" t="str">
            <v>1666-08</v>
          </cell>
          <cell r="O4069" t="str">
            <v>BODY</v>
          </cell>
          <cell r="P4069">
            <v>488</v>
          </cell>
        </row>
        <row r="4070">
          <cell r="B4070" t="str">
            <v>1666-08</v>
          </cell>
          <cell r="C4070" t="str">
            <v>BODY</v>
          </cell>
          <cell r="D4070">
            <v>244</v>
          </cell>
          <cell r="N4070" t="str">
            <v>1666-08</v>
          </cell>
          <cell r="O4070" t="str">
            <v>BODY</v>
          </cell>
          <cell r="P4070">
            <v>488</v>
          </cell>
        </row>
        <row r="4071">
          <cell r="B4071" t="str">
            <v>1907-00</v>
          </cell>
          <cell r="C4071" t="str">
            <v>TILT CAM</v>
          </cell>
          <cell r="D4071">
            <v>263.39999999999998</v>
          </cell>
          <cell r="N4071" t="str">
            <v>1907-00</v>
          </cell>
          <cell r="O4071" t="str">
            <v>TILT CAM</v>
          </cell>
          <cell r="P4071">
            <v>439</v>
          </cell>
        </row>
        <row r="4072">
          <cell r="B4072" t="str">
            <v>1931-05</v>
          </cell>
          <cell r="C4072" t="str">
            <v>RS RETAINER</v>
          </cell>
          <cell r="D4072">
            <v>110</v>
          </cell>
          <cell r="N4072" t="str">
            <v>1931-05</v>
          </cell>
          <cell r="O4072" t="str">
            <v>RS RETAINER</v>
          </cell>
          <cell r="P4072">
            <v>220</v>
          </cell>
        </row>
        <row r="4073">
          <cell r="B4073" t="str">
            <v>1070-01</v>
          </cell>
          <cell r="C4073" t="str">
            <v>RACK STOPPER</v>
          </cell>
          <cell r="D4073">
            <v>244.5</v>
          </cell>
          <cell r="N4073" t="str">
            <v>1070-01</v>
          </cell>
          <cell r="O4073" t="str">
            <v>RACK STOPPER</v>
          </cell>
          <cell r="P4073">
            <v>489</v>
          </cell>
        </row>
        <row r="4074">
          <cell r="B4074" t="str">
            <v>1461-01</v>
          </cell>
          <cell r="C4074" t="str">
            <v>PISTON</v>
          </cell>
          <cell r="D4074">
            <v>162.5</v>
          </cell>
          <cell r="N4074" t="str">
            <v>1461-01</v>
          </cell>
          <cell r="O4074" t="str">
            <v>PISTON</v>
          </cell>
          <cell r="P4074">
            <v>325</v>
          </cell>
        </row>
        <row r="4075">
          <cell r="B4075" t="str">
            <v>2000-00</v>
          </cell>
          <cell r="C4075" t="str">
            <v>PISTON</v>
          </cell>
          <cell r="D4075">
            <v>244.5</v>
          </cell>
          <cell r="N4075" t="str">
            <v>2000-00</v>
          </cell>
          <cell r="O4075" t="str">
            <v>PISTON</v>
          </cell>
          <cell r="P4075">
            <v>489</v>
          </cell>
        </row>
        <row r="4076">
          <cell r="B4076" t="str">
            <v>344-00</v>
          </cell>
          <cell r="C4076" t="str">
            <v>ROD GUIDE ASS'Y</v>
          </cell>
          <cell r="D4076">
            <v>244.5</v>
          </cell>
          <cell r="N4076" t="str">
            <v>344-00</v>
          </cell>
          <cell r="O4076" t="str">
            <v>ROD GUIDE ASS'Y</v>
          </cell>
          <cell r="P4076">
            <v>489</v>
          </cell>
        </row>
        <row r="4077">
          <cell r="B4077" t="str">
            <v>670-03</v>
          </cell>
          <cell r="C4077" t="str">
            <v>ROD GUIDE ASS'Y</v>
          </cell>
          <cell r="D4077">
            <v>225.5</v>
          </cell>
          <cell r="N4077" t="str">
            <v>670-03</v>
          </cell>
          <cell r="O4077" t="str">
            <v>ROD GUIDE ASS'Y</v>
          </cell>
          <cell r="P4077">
            <v>451</v>
          </cell>
        </row>
        <row r="4078">
          <cell r="B4078" t="str">
            <v>736-00</v>
          </cell>
          <cell r="C4078" t="str">
            <v>ROD GUIDE ASS'Y</v>
          </cell>
          <cell r="D4078">
            <v>244.5</v>
          </cell>
          <cell r="N4078" t="str">
            <v>736-00</v>
          </cell>
          <cell r="O4078" t="str">
            <v>ROD GUIDE ASS'Y</v>
          </cell>
          <cell r="P4078">
            <v>489</v>
          </cell>
        </row>
        <row r="4079">
          <cell r="B4079" t="str">
            <v>798-02</v>
          </cell>
          <cell r="C4079" t="str">
            <v>ROD GUIDE ASS'Y</v>
          </cell>
          <cell r="D4079">
            <v>242.5</v>
          </cell>
          <cell r="N4079" t="str">
            <v>798-02</v>
          </cell>
          <cell r="O4079" t="str">
            <v>ROD GUIDE ASS'Y</v>
          </cell>
          <cell r="P4079">
            <v>485</v>
          </cell>
        </row>
        <row r="4080">
          <cell r="B4080" t="str">
            <v>972-00</v>
          </cell>
          <cell r="C4080" t="str">
            <v>ROD GUIDE ASS'Y</v>
          </cell>
          <cell r="D4080">
            <v>244.5</v>
          </cell>
          <cell r="N4080" t="str">
            <v>972-00</v>
          </cell>
          <cell r="O4080" t="str">
            <v>ROD GUIDE ASS'Y</v>
          </cell>
          <cell r="P4080">
            <v>489</v>
          </cell>
        </row>
        <row r="4081">
          <cell r="B4081" t="str">
            <v>1030-02</v>
          </cell>
          <cell r="C4081" t="str">
            <v>ROD GUIDE ASS'Y</v>
          </cell>
          <cell r="D4081">
            <v>196</v>
          </cell>
          <cell r="N4081" t="str">
            <v>1030-02</v>
          </cell>
          <cell r="O4081" t="str">
            <v>ROD GUIDE ASS'Y</v>
          </cell>
          <cell r="P4081">
            <v>392</v>
          </cell>
        </row>
        <row r="4082">
          <cell r="B4082" t="str">
            <v>1096-04</v>
          </cell>
          <cell r="C4082" t="str">
            <v>PISTON</v>
          </cell>
          <cell r="D4082">
            <v>245</v>
          </cell>
          <cell r="N4082" t="str">
            <v>1096-04</v>
          </cell>
          <cell r="O4082" t="str">
            <v>PISTON</v>
          </cell>
          <cell r="P4082">
            <v>490</v>
          </cell>
        </row>
        <row r="4083">
          <cell r="B4083" t="str">
            <v>1271-06</v>
          </cell>
          <cell r="C4083" t="str">
            <v>PISTON</v>
          </cell>
          <cell r="D4083">
            <v>222.5</v>
          </cell>
          <cell r="N4083" t="str">
            <v>1271-06</v>
          </cell>
          <cell r="O4083" t="str">
            <v>PISTON</v>
          </cell>
          <cell r="P4083">
            <v>445</v>
          </cell>
        </row>
        <row r="4084">
          <cell r="B4084" t="str">
            <v>1336-05</v>
          </cell>
          <cell r="C4084" t="str">
            <v>BODY</v>
          </cell>
          <cell r="D4084">
            <v>245</v>
          </cell>
          <cell r="N4084" t="str">
            <v>1336-05</v>
          </cell>
          <cell r="O4084" t="str">
            <v>BODY</v>
          </cell>
          <cell r="P4084">
            <v>490</v>
          </cell>
        </row>
        <row r="4085">
          <cell r="B4085" t="str">
            <v>1590-08</v>
          </cell>
          <cell r="C4085" t="str">
            <v>BODY</v>
          </cell>
          <cell r="D4085">
            <v>121</v>
          </cell>
          <cell r="N4085" t="str">
            <v>1590-08</v>
          </cell>
          <cell r="O4085" t="str">
            <v>BODY</v>
          </cell>
          <cell r="P4085">
            <v>242</v>
          </cell>
        </row>
        <row r="4086">
          <cell r="B4086" t="str">
            <v>1996-04</v>
          </cell>
          <cell r="C4086" t="str">
            <v>BODY</v>
          </cell>
          <cell r="D4086">
            <v>245</v>
          </cell>
          <cell r="N4086" t="str">
            <v>1996-04</v>
          </cell>
          <cell r="O4086" t="str">
            <v>BODY</v>
          </cell>
          <cell r="P4086">
            <v>490</v>
          </cell>
        </row>
        <row r="4087">
          <cell r="B4087" t="str">
            <v>2008-00</v>
          </cell>
          <cell r="C4087" t="str">
            <v>BLOCK</v>
          </cell>
          <cell r="D4087">
            <v>294</v>
          </cell>
          <cell r="N4087" t="str">
            <v>2008-00</v>
          </cell>
          <cell r="O4087" t="str">
            <v>BLOCK</v>
          </cell>
          <cell r="P4087">
            <v>490</v>
          </cell>
        </row>
        <row r="4088">
          <cell r="B4088" t="str">
            <v>673-01</v>
          </cell>
          <cell r="C4088" t="str">
            <v>PISTON</v>
          </cell>
          <cell r="D4088">
            <v>120</v>
          </cell>
          <cell r="N4088" t="str">
            <v>673-01</v>
          </cell>
          <cell r="O4088" t="str">
            <v>PISTON</v>
          </cell>
          <cell r="P4088">
            <v>240</v>
          </cell>
        </row>
        <row r="4089">
          <cell r="B4089" t="str">
            <v>1030-01</v>
          </cell>
          <cell r="C4089" t="str">
            <v>ROD GUIDE ASS'Y</v>
          </cell>
          <cell r="D4089">
            <v>245.5</v>
          </cell>
          <cell r="N4089" t="str">
            <v>1030-01</v>
          </cell>
          <cell r="O4089" t="str">
            <v>ROD GUIDE ASS'Y</v>
          </cell>
          <cell r="P4089">
            <v>491</v>
          </cell>
        </row>
        <row r="4090">
          <cell r="B4090" t="str">
            <v>1030-02</v>
          </cell>
          <cell r="C4090" t="str">
            <v>ROD GUIDE ASS'Y</v>
          </cell>
          <cell r="D4090">
            <v>196</v>
          </cell>
          <cell r="N4090" t="str">
            <v>1030-02</v>
          </cell>
          <cell r="O4090" t="str">
            <v>ROD GUIDE ASS'Y</v>
          </cell>
          <cell r="P4090">
            <v>392</v>
          </cell>
        </row>
        <row r="4091">
          <cell r="B4091" t="str">
            <v>1450-00</v>
          </cell>
          <cell r="C4091" t="str">
            <v>ROD GUIDE ASS'Y</v>
          </cell>
          <cell r="D4091">
            <v>245.5</v>
          </cell>
          <cell r="N4091" t="str">
            <v>1450-00</v>
          </cell>
          <cell r="O4091" t="str">
            <v>ROD GUIDE ASS'Y</v>
          </cell>
          <cell r="P4091">
            <v>491</v>
          </cell>
        </row>
        <row r="4092">
          <cell r="B4092" t="str">
            <v>1613-03</v>
          </cell>
          <cell r="C4092" t="str">
            <v>BODY</v>
          </cell>
          <cell r="D4092">
            <v>240.5</v>
          </cell>
          <cell r="N4092" t="str">
            <v>1613-03</v>
          </cell>
          <cell r="O4092" t="str">
            <v>BODY</v>
          </cell>
          <cell r="P4092">
            <v>481</v>
          </cell>
        </row>
        <row r="4093">
          <cell r="B4093" t="str">
            <v>1734-06</v>
          </cell>
          <cell r="C4093" t="str">
            <v>RS RETAINER</v>
          </cell>
          <cell r="D4093">
            <v>224.5</v>
          </cell>
          <cell r="N4093" t="str">
            <v>1734-06</v>
          </cell>
          <cell r="O4093" t="str">
            <v>RS RETAINER</v>
          </cell>
          <cell r="P4093">
            <v>449</v>
          </cell>
        </row>
        <row r="4094">
          <cell r="B4094" t="str">
            <v>1779-10</v>
          </cell>
          <cell r="C4094" t="str">
            <v>RS RETAINER</v>
          </cell>
          <cell r="D4094">
            <v>245.5</v>
          </cell>
          <cell r="N4094" t="str">
            <v>1779-10</v>
          </cell>
          <cell r="O4094" t="str">
            <v>RS RETAINER</v>
          </cell>
          <cell r="P4094">
            <v>491</v>
          </cell>
        </row>
        <row r="4095">
          <cell r="B4095" t="str">
            <v>1872-00</v>
          </cell>
          <cell r="C4095" t="str">
            <v>ROD GUIDE ASS'Y</v>
          </cell>
          <cell r="D4095">
            <v>245.5</v>
          </cell>
          <cell r="N4095" t="str">
            <v>1872-00</v>
          </cell>
          <cell r="O4095" t="str">
            <v>ROD GUIDE ASS'Y</v>
          </cell>
          <cell r="P4095">
            <v>491</v>
          </cell>
        </row>
        <row r="4096">
          <cell r="B4096" t="str">
            <v>1886-01</v>
          </cell>
          <cell r="C4096" t="str">
            <v>PISTON</v>
          </cell>
          <cell r="D4096">
            <v>245.5</v>
          </cell>
          <cell r="N4096" t="str">
            <v>1886-01</v>
          </cell>
          <cell r="O4096" t="str">
            <v>PISTON</v>
          </cell>
          <cell r="P4096">
            <v>491</v>
          </cell>
        </row>
        <row r="4097">
          <cell r="B4097" t="str">
            <v>1886-01</v>
          </cell>
          <cell r="C4097" t="str">
            <v>PISTON</v>
          </cell>
          <cell r="D4097">
            <v>245.5</v>
          </cell>
          <cell r="N4097" t="str">
            <v>1886-01</v>
          </cell>
          <cell r="O4097" t="str">
            <v>PISTON</v>
          </cell>
          <cell r="P4097">
            <v>491</v>
          </cell>
        </row>
        <row r="4098">
          <cell r="B4098" t="str">
            <v>670-03</v>
          </cell>
          <cell r="C4098" t="str">
            <v>ROD GUIDE ASS'Y</v>
          </cell>
          <cell r="D4098">
            <v>225.5</v>
          </cell>
          <cell r="N4098" t="str">
            <v>670-03</v>
          </cell>
          <cell r="O4098" t="str">
            <v>ROD GUIDE ASS'Y</v>
          </cell>
          <cell r="P4098">
            <v>451</v>
          </cell>
        </row>
        <row r="4099">
          <cell r="B4099" t="str">
            <v>727-14</v>
          </cell>
          <cell r="C4099" t="str">
            <v>BODY</v>
          </cell>
          <cell r="D4099">
            <v>245.5</v>
          </cell>
          <cell r="N4099" t="str">
            <v>727-14</v>
          </cell>
          <cell r="O4099" t="str">
            <v>BODY</v>
          </cell>
          <cell r="P4099">
            <v>491</v>
          </cell>
        </row>
        <row r="4100">
          <cell r="B4100" t="str">
            <v>727-14</v>
          </cell>
          <cell r="C4100" t="str">
            <v>BODY</v>
          </cell>
          <cell r="D4100">
            <v>245.5</v>
          </cell>
          <cell r="N4100" t="str">
            <v>727-14</v>
          </cell>
          <cell r="O4100" t="str">
            <v>BODY</v>
          </cell>
          <cell r="P4100">
            <v>491</v>
          </cell>
        </row>
        <row r="4101">
          <cell r="B4101" t="str">
            <v>1027-02</v>
          </cell>
          <cell r="C4101" t="str">
            <v>ROD GUIDE ASS'Y</v>
          </cell>
          <cell r="D4101">
            <v>233</v>
          </cell>
          <cell r="N4101" t="str">
            <v>1027-02</v>
          </cell>
          <cell r="O4101" t="str">
            <v>ROD GUIDE ASS'Y</v>
          </cell>
          <cell r="P4101">
            <v>466</v>
          </cell>
        </row>
        <row r="4102">
          <cell r="B4102" t="str">
            <v>1383-01</v>
          </cell>
          <cell r="C4102" t="str">
            <v>PISTON</v>
          </cell>
          <cell r="D4102">
            <v>139.5</v>
          </cell>
          <cell r="N4102" t="str">
            <v>1383-01</v>
          </cell>
          <cell r="O4102" t="str">
            <v>PISTON</v>
          </cell>
          <cell r="P4102">
            <v>279</v>
          </cell>
        </row>
        <row r="4103">
          <cell r="B4103" t="str">
            <v>1790-05</v>
          </cell>
          <cell r="C4103" t="str">
            <v>BODY</v>
          </cell>
          <cell r="D4103">
            <v>109.5</v>
          </cell>
          <cell r="N4103" t="str">
            <v>1790-05</v>
          </cell>
          <cell r="O4103" t="str">
            <v>BODY</v>
          </cell>
          <cell r="P4103">
            <v>219</v>
          </cell>
        </row>
        <row r="4104">
          <cell r="B4104" t="str">
            <v>1907-01</v>
          </cell>
          <cell r="C4104" t="str">
            <v>TILT CAM</v>
          </cell>
          <cell r="D4104">
            <v>295.8</v>
          </cell>
          <cell r="N4104" t="str">
            <v>1907-01</v>
          </cell>
          <cell r="O4104" t="str">
            <v>TILT CAM</v>
          </cell>
          <cell r="P4104">
            <v>493</v>
          </cell>
        </row>
        <row r="4105">
          <cell r="B4105" t="str">
            <v>2671-10</v>
          </cell>
          <cell r="C4105" t="str">
            <v>PISTON</v>
          </cell>
          <cell r="D4105">
            <v>243.5</v>
          </cell>
          <cell r="N4105" t="str">
            <v>2671-10</v>
          </cell>
          <cell r="O4105" t="str">
            <v>PISTON</v>
          </cell>
          <cell r="P4105">
            <v>487</v>
          </cell>
        </row>
        <row r="4106">
          <cell r="B4106" t="str">
            <v>712-05</v>
          </cell>
          <cell r="C4106" t="str">
            <v>VALVE PISTON</v>
          </cell>
          <cell r="D4106">
            <v>246.5</v>
          </cell>
          <cell r="N4106" t="str">
            <v>712-05</v>
          </cell>
          <cell r="O4106" t="str">
            <v>VALVE PISTON</v>
          </cell>
          <cell r="P4106">
            <v>493</v>
          </cell>
        </row>
        <row r="4107">
          <cell r="B4107" t="str">
            <v>712-05</v>
          </cell>
          <cell r="C4107" t="str">
            <v>VALVE PISTON</v>
          </cell>
          <cell r="D4107">
            <v>246.5</v>
          </cell>
          <cell r="N4107" t="str">
            <v>712-05</v>
          </cell>
          <cell r="O4107" t="str">
            <v>VALVE PISTON</v>
          </cell>
          <cell r="P4107">
            <v>493</v>
          </cell>
        </row>
        <row r="4108">
          <cell r="B4108" t="str">
            <v>972-00</v>
          </cell>
          <cell r="C4108" t="str">
            <v>ROD GUIDE ASS'Y</v>
          </cell>
          <cell r="D4108">
            <v>244.5</v>
          </cell>
          <cell r="N4108" t="str">
            <v>972-00</v>
          </cell>
          <cell r="O4108" t="str">
            <v>ROD GUIDE ASS'Y</v>
          </cell>
          <cell r="P4108">
            <v>489</v>
          </cell>
        </row>
        <row r="4109">
          <cell r="B4109" t="str">
            <v>051-02</v>
          </cell>
          <cell r="C4109" t="str">
            <v>PISTON</v>
          </cell>
          <cell r="D4109">
            <v>247</v>
          </cell>
          <cell r="N4109" t="str">
            <v>051-02</v>
          </cell>
          <cell r="O4109" t="str">
            <v>PISTON</v>
          </cell>
          <cell r="P4109">
            <v>494</v>
          </cell>
        </row>
        <row r="4110">
          <cell r="B4110" t="str">
            <v>1530-04</v>
          </cell>
          <cell r="C4110" t="str">
            <v>PISTON</v>
          </cell>
          <cell r="D4110">
            <v>233</v>
          </cell>
          <cell r="N4110" t="str">
            <v>1530-04</v>
          </cell>
          <cell r="O4110" t="str">
            <v>PISTON</v>
          </cell>
          <cell r="P4110">
            <v>466</v>
          </cell>
        </row>
        <row r="4111">
          <cell r="B4111" t="str">
            <v>1554-06</v>
          </cell>
          <cell r="C4111" t="str">
            <v>RS RETAINER</v>
          </cell>
          <cell r="D4111">
            <v>247</v>
          </cell>
          <cell r="N4111" t="str">
            <v>1554-06</v>
          </cell>
          <cell r="O4111" t="str">
            <v>RS RETAINER</v>
          </cell>
          <cell r="P4111">
            <v>494</v>
          </cell>
        </row>
        <row r="4112">
          <cell r="B4112" t="str">
            <v>1554-13</v>
          </cell>
          <cell r="C4112" t="str">
            <v>RS RETAINER</v>
          </cell>
          <cell r="D4112">
            <v>237</v>
          </cell>
          <cell r="N4112" t="str">
            <v>1554-13</v>
          </cell>
          <cell r="O4112" t="str">
            <v>RS RETAINER</v>
          </cell>
          <cell r="P4112">
            <v>474</v>
          </cell>
        </row>
        <row r="4113">
          <cell r="B4113" t="str">
            <v>1554-13</v>
          </cell>
          <cell r="C4113" t="str">
            <v>RS RETAINER</v>
          </cell>
          <cell r="D4113">
            <v>237</v>
          </cell>
          <cell r="N4113" t="str">
            <v>1554-13</v>
          </cell>
          <cell r="O4113" t="str">
            <v>RS RETAINER</v>
          </cell>
          <cell r="P4113">
            <v>474</v>
          </cell>
        </row>
        <row r="4114">
          <cell r="B4114" t="str">
            <v>1566-01</v>
          </cell>
          <cell r="C4114" t="str">
            <v>BODY</v>
          </cell>
          <cell r="D4114">
            <v>148</v>
          </cell>
          <cell r="N4114" t="str">
            <v>1566-01</v>
          </cell>
          <cell r="O4114" t="str">
            <v>BODY</v>
          </cell>
          <cell r="P4114">
            <v>296</v>
          </cell>
        </row>
        <row r="4115">
          <cell r="B4115" t="str">
            <v>1630-09</v>
          </cell>
          <cell r="C4115" t="str">
            <v>RS RETAINER</v>
          </cell>
          <cell r="D4115">
            <v>242</v>
          </cell>
          <cell r="N4115" t="str">
            <v>1630-09</v>
          </cell>
          <cell r="O4115" t="str">
            <v>RS RETAINER</v>
          </cell>
          <cell r="P4115">
            <v>484</v>
          </cell>
        </row>
        <row r="4116">
          <cell r="B4116" t="str">
            <v>1342-05</v>
          </cell>
          <cell r="C4116" t="str">
            <v>VALVE PISTON</v>
          </cell>
          <cell r="D4116">
            <v>247.5</v>
          </cell>
          <cell r="N4116" t="str">
            <v>1342-05</v>
          </cell>
          <cell r="O4116" t="str">
            <v>VALVE PISTON</v>
          </cell>
          <cell r="P4116">
            <v>495</v>
          </cell>
        </row>
        <row r="4117">
          <cell r="B4117" t="str">
            <v>1342-06</v>
          </cell>
          <cell r="C4117" t="str">
            <v>VALVE PISTON</v>
          </cell>
          <cell r="D4117">
            <v>247.5</v>
          </cell>
          <cell r="N4117" t="str">
            <v>1342-06</v>
          </cell>
          <cell r="O4117" t="str">
            <v>VALVE PISTON</v>
          </cell>
          <cell r="P4117">
            <v>495</v>
          </cell>
        </row>
        <row r="4118">
          <cell r="B4118" t="str">
            <v>1450-00</v>
          </cell>
          <cell r="C4118" t="str">
            <v>ROD GUIDE ASS'Y</v>
          </cell>
          <cell r="D4118">
            <v>245.5</v>
          </cell>
          <cell r="N4118" t="str">
            <v>1450-00</v>
          </cell>
          <cell r="O4118" t="str">
            <v>ROD GUIDE ASS'Y</v>
          </cell>
          <cell r="P4118">
            <v>491</v>
          </cell>
        </row>
        <row r="4119">
          <cell r="B4119" t="str">
            <v>1554-30</v>
          </cell>
          <cell r="C4119" t="str">
            <v>RS RETAINER</v>
          </cell>
          <cell r="D4119">
            <v>182</v>
          </cell>
          <cell r="N4119" t="str">
            <v>1554-30</v>
          </cell>
          <cell r="O4119" t="str">
            <v>RS RETAINER</v>
          </cell>
          <cell r="P4119">
            <v>364</v>
          </cell>
        </row>
        <row r="4120">
          <cell r="B4120" t="str">
            <v>1635-00</v>
          </cell>
          <cell r="C4120" t="str">
            <v>PISTON</v>
          </cell>
          <cell r="D4120">
            <v>239</v>
          </cell>
          <cell r="N4120" t="str">
            <v>1635-00</v>
          </cell>
          <cell r="O4120" t="str">
            <v>PISTON</v>
          </cell>
          <cell r="P4120">
            <v>478</v>
          </cell>
        </row>
        <row r="4121">
          <cell r="B4121" t="str">
            <v>1635-00</v>
          </cell>
          <cell r="C4121" t="str">
            <v>PISTON</v>
          </cell>
          <cell r="D4121">
            <v>239</v>
          </cell>
          <cell r="N4121" t="str">
            <v>1635-00</v>
          </cell>
          <cell r="O4121" t="str">
            <v>PISTON</v>
          </cell>
          <cell r="P4121">
            <v>478</v>
          </cell>
        </row>
        <row r="4122">
          <cell r="B4122" t="str">
            <v>1635-00</v>
          </cell>
          <cell r="C4122" t="str">
            <v>PISTON</v>
          </cell>
          <cell r="D4122">
            <v>239</v>
          </cell>
          <cell r="N4122" t="str">
            <v>1635-00</v>
          </cell>
          <cell r="O4122" t="str">
            <v>PISTON</v>
          </cell>
          <cell r="P4122">
            <v>478</v>
          </cell>
        </row>
        <row r="4123">
          <cell r="B4123" t="str">
            <v>1635-00</v>
          </cell>
          <cell r="C4123" t="str">
            <v>PISTON</v>
          </cell>
          <cell r="D4123">
            <v>239</v>
          </cell>
          <cell r="N4123" t="str">
            <v>1635-00</v>
          </cell>
          <cell r="O4123" t="str">
            <v>PISTON</v>
          </cell>
          <cell r="P4123">
            <v>478</v>
          </cell>
        </row>
        <row r="4124">
          <cell r="B4124" t="str">
            <v>1666-03</v>
          </cell>
          <cell r="C4124" t="str">
            <v>BODY</v>
          </cell>
          <cell r="D4124">
            <v>198.5</v>
          </cell>
          <cell r="N4124" t="str">
            <v>1666-03</v>
          </cell>
          <cell r="O4124" t="str">
            <v>BODY</v>
          </cell>
          <cell r="P4124">
            <v>397</v>
          </cell>
        </row>
        <row r="4125">
          <cell r="B4125" t="str">
            <v>1826-01</v>
          </cell>
          <cell r="C4125" t="str">
            <v>BODY</v>
          </cell>
          <cell r="D4125">
            <v>157</v>
          </cell>
          <cell r="N4125" t="str">
            <v>1826-01</v>
          </cell>
          <cell r="O4125" t="str">
            <v>BODY</v>
          </cell>
          <cell r="P4125">
            <v>314</v>
          </cell>
        </row>
        <row r="4126">
          <cell r="B4126" t="str">
            <v>1900-01</v>
          </cell>
          <cell r="C4126" t="str">
            <v>VALVE PISTON</v>
          </cell>
          <cell r="D4126">
            <v>214.5</v>
          </cell>
          <cell r="N4126" t="str">
            <v>1900-01</v>
          </cell>
          <cell r="O4126" t="str">
            <v>VALVE PISTON</v>
          </cell>
          <cell r="P4126">
            <v>429</v>
          </cell>
        </row>
        <row r="4127">
          <cell r="B4127" t="str">
            <v>1907-01</v>
          </cell>
          <cell r="C4127" t="str">
            <v>TILT CAM</v>
          </cell>
          <cell r="D4127">
            <v>295.8</v>
          </cell>
          <cell r="N4127" t="str">
            <v>1907-01</v>
          </cell>
          <cell r="O4127" t="str">
            <v>TILT CAM</v>
          </cell>
          <cell r="P4127">
            <v>493</v>
          </cell>
        </row>
        <row r="4128">
          <cell r="B4128" t="str">
            <v>2008-00</v>
          </cell>
          <cell r="C4128" t="str">
            <v>BLOCK</v>
          </cell>
          <cell r="D4128">
            <v>294</v>
          </cell>
          <cell r="N4128" t="str">
            <v>2008-00</v>
          </cell>
          <cell r="O4128" t="str">
            <v>BLOCK</v>
          </cell>
          <cell r="P4128">
            <v>490</v>
          </cell>
        </row>
        <row r="4129">
          <cell r="B4129" t="str">
            <v>2412-21</v>
          </cell>
          <cell r="C4129" t="str">
            <v>BODY</v>
          </cell>
          <cell r="D4129">
            <v>233.5</v>
          </cell>
          <cell r="N4129" t="str">
            <v>2412-21</v>
          </cell>
          <cell r="O4129" t="str">
            <v>BODY</v>
          </cell>
          <cell r="P4129">
            <v>467</v>
          </cell>
        </row>
        <row r="4130">
          <cell r="B4130" t="str">
            <v>464-99</v>
          </cell>
          <cell r="C4130" t="str">
            <v>PISTON</v>
          </cell>
          <cell r="D4130">
            <v>247.5</v>
          </cell>
          <cell r="N4130" t="str">
            <v>464-99</v>
          </cell>
          <cell r="O4130" t="str">
            <v>PISTON</v>
          </cell>
          <cell r="P4130">
            <v>495</v>
          </cell>
        </row>
        <row r="4131">
          <cell r="B4131" t="str">
            <v>834-00</v>
          </cell>
          <cell r="C4131" t="str">
            <v>SUPPORT YOKE ASS'Y</v>
          </cell>
          <cell r="D4131">
            <v>217.5</v>
          </cell>
          <cell r="N4131" t="str">
            <v>834-00</v>
          </cell>
          <cell r="O4131" t="str">
            <v>SUPPORT YOKE ASS'Y</v>
          </cell>
          <cell r="P4131">
            <v>435</v>
          </cell>
        </row>
        <row r="4132">
          <cell r="B4132" t="str">
            <v>1275-07</v>
          </cell>
          <cell r="C4132" t="str">
            <v>BODY</v>
          </cell>
          <cell r="D4132">
            <v>248</v>
          </cell>
          <cell r="N4132" t="str">
            <v>1275-07</v>
          </cell>
          <cell r="O4132" t="str">
            <v>BODY</v>
          </cell>
          <cell r="P4132">
            <v>496</v>
          </cell>
        </row>
        <row r="4133">
          <cell r="B4133" t="str">
            <v>1554-15</v>
          </cell>
          <cell r="C4133" t="str">
            <v>RS RETAINER</v>
          </cell>
          <cell r="D4133">
            <v>202</v>
          </cell>
          <cell r="N4133" t="str">
            <v>1554-15</v>
          </cell>
          <cell r="O4133" t="str">
            <v>RS RETAINER</v>
          </cell>
          <cell r="P4133">
            <v>404</v>
          </cell>
        </row>
        <row r="4134">
          <cell r="B4134" t="str">
            <v>1666-06</v>
          </cell>
          <cell r="C4134" t="str">
            <v>BODY</v>
          </cell>
          <cell r="D4134">
            <v>213.5</v>
          </cell>
          <cell r="N4134" t="str">
            <v>1666-06</v>
          </cell>
          <cell r="O4134" t="str">
            <v>BODY</v>
          </cell>
          <cell r="P4134">
            <v>427</v>
          </cell>
        </row>
        <row r="4135">
          <cell r="B4135" t="str">
            <v>1828-01</v>
          </cell>
          <cell r="C4135" t="str">
            <v>BODY</v>
          </cell>
          <cell r="D4135">
            <v>248</v>
          </cell>
          <cell r="N4135" t="str">
            <v>1828-01</v>
          </cell>
          <cell r="O4135" t="str">
            <v>BODY</v>
          </cell>
          <cell r="P4135">
            <v>496</v>
          </cell>
        </row>
        <row r="4136">
          <cell r="B4136" t="str">
            <v>1922-06</v>
          </cell>
          <cell r="C4136" t="str">
            <v>RS RETAINER</v>
          </cell>
          <cell r="D4136">
            <v>234</v>
          </cell>
          <cell r="N4136" t="str">
            <v>1922-06</v>
          </cell>
          <cell r="O4136" t="str">
            <v>RS RETAINER</v>
          </cell>
          <cell r="P4136">
            <v>468</v>
          </cell>
        </row>
        <row r="4137">
          <cell r="B4137" t="str">
            <v>798-02</v>
          </cell>
          <cell r="C4137" t="str">
            <v>ROD GUIDE ASS'Y</v>
          </cell>
          <cell r="D4137">
            <v>242.5</v>
          </cell>
          <cell r="N4137" t="str">
            <v>798-02</v>
          </cell>
          <cell r="O4137" t="str">
            <v>ROD GUIDE ASS'Y</v>
          </cell>
          <cell r="P4137">
            <v>485</v>
          </cell>
        </row>
        <row r="4138">
          <cell r="B4138" t="str">
            <v>1027-00</v>
          </cell>
          <cell r="C4138" t="str">
            <v>ROD GUIDE ASS'Y</v>
          </cell>
          <cell r="D4138">
            <v>241</v>
          </cell>
          <cell r="N4138" t="str">
            <v>1027-00</v>
          </cell>
          <cell r="O4138" t="str">
            <v>ROD GUIDE ASS'Y</v>
          </cell>
          <cell r="P4138">
            <v>482</v>
          </cell>
        </row>
        <row r="4139">
          <cell r="B4139" t="str">
            <v>1027-02</v>
          </cell>
          <cell r="C4139" t="str">
            <v>ROD GUIDE ASS'Y</v>
          </cell>
          <cell r="D4139">
            <v>233</v>
          </cell>
          <cell r="N4139" t="str">
            <v>1027-02</v>
          </cell>
          <cell r="O4139" t="str">
            <v>ROD GUIDE ASS'Y</v>
          </cell>
          <cell r="P4139">
            <v>466</v>
          </cell>
        </row>
        <row r="4140">
          <cell r="B4140" t="str">
            <v>1182-20</v>
          </cell>
          <cell r="C4140" t="str">
            <v>VALVE PISTON</v>
          </cell>
          <cell r="D4140">
            <v>243.5</v>
          </cell>
          <cell r="N4140" t="str">
            <v>1182-20</v>
          </cell>
          <cell r="O4140" t="str">
            <v>VALVE PISTON</v>
          </cell>
          <cell r="P4140">
            <v>487</v>
          </cell>
        </row>
        <row r="4141">
          <cell r="B4141" t="str">
            <v>1779-09</v>
          </cell>
          <cell r="C4141" t="str">
            <v>RS RETAINER</v>
          </cell>
          <cell r="D4141">
            <v>248.5</v>
          </cell>
          <cell r="N4141" t="str">
            <v>1779-09</v>
          </cell>
          <cell r="O4141" t="str">
            <v>RS RETAINER</v>
          </cell>
          <cell r="P4141">
            <v>497</v>
          </cell>
        </row>
        <row r="4142">
          <cell r="B4142" t="str">
            <v>1912-00</v>
          </cell>
          <cell r="C4142" t="str">
            <v>PISTON</v>
          </cell>
          <cell r="D4142">
            <v>248.5</v>
          </cell>
          <cell r="N4142" t="str">
            <v>1912-00</v>
          </cell>
          <cell r="O4142" t="str">
            <v>PISTON</v>
          </cell>
          <cell r="P4142">
            <v>497</v>
          </cell>
        </row>
        <row r="4143">
          <cell r="B4143" t="str">
            <v>1912-00</v>
          </cell>
          <cell r="C4143" t="str">
            <v>PISTON</v>
          </cell>
          <cell r="D4143">
            <v>248.5</v>
          </cell>
          <cell r="N4143" t="str">
            <v>1912-00</v>
          </cell>
          <cell r="O4143" t="str">
            <v>PISTON</v>
          </cell>
          <cell r="P4143">
            <v>497</v>
          </cell>
        </row>
        <row r="4144">
          <cell r="B4144" t="str">
            <v>1931-09</v>
          </cell>
          <cell r="C4144" t="str">
            <v>RS RETAINER</v>
          </cell>
          <cell r="D4144">
            <v>240.5</v>
          </cell>
          <cell r="N4144" t="str">
            <v>1931-09</v>
          </cell>
          <cell r="O4144" t="str">
            <v>RS RETAINER</v>
          </cell>
          <cell r="P4144">
            <v>481</v>
          </cell>
        </row>
        <row r="4145">
          <cell r="B4145" t="str">
            <v>588-54</v>
          </cell>
          <cell r="C4145" t="str">
            <v>PISTON</v>
          </cell>
          <cell r="D4145">
            <v>248.5</v>
          </cell>
          <cell r="N4145" t="str">
            <v>588-54</v>
          </cell>
          <cell r="O4145" t="str">
            <v>PISTON</v>
          </cell>
          <cell r="P4145">
            <v>497</v>
          </cell>
        </row>
        <row r="4146">
          <cell r="B4146" t="str">
            <v>670-03</v>
          </cell>
          <cell r="C4146" t="str">
            <v>ROD GUIDE ASS'Y</v>
          </cell>
          <cell r="D4146">
            <v>225.5</v>
          </cell>
          <cell r="N4146" t="str">
            <v>670-03</v>
          </cell>
          <cell r="O4146" t="str">
            <v>ROD GUIDE ASS'Y</v>
          </cell>
          <cell r="P4146">
            <v>451</v>
          </cell>
        </row>
        <row r="4147">
          <cell r="B4147" t="str">
            <v>670-03</v>
          </cell>
          <cell r="C4147" t="str">
            <v>ROD GUIDE ASS'Y</v>
          </cell>
          <cell r="D4147">
            <v>225.5</v>
          </cell>
          <cell r="N4147" t="str">
            <v>670-03</v>
          </cell>
          <cell r="O4147" t="str">
            <v>ROD GUIDE ASS'Y</v>
          </cell>
          <cell r="P4147">
            <v>451</v>
          </cell>
        </row>
        <row r="4148">
          <cell r="B4148" t="str">
            <v>862-01</v>
          </cell>
          <cell r="C4148" t="str">
            <v>ROD GUIDE ASS'Y</v>
          </cell>
          <cell r="D4148">
            <v>248.5</v>
          </cell>
          <cell r="N4148" t="str">
            <v>862-01</v>
          </cell>
          <cell r="O4148" t="str">
            <v>ROD GUIDE ASS'Y</v>
          </cell>
          <cell r="P4148">
            <v>497</v>
          </cell>
        </row>
        <row r="4149">
          <cell r="B4149" t="str">
            <v>1461-01</v>
          </cell>
          <cell r="C4149" t="str">
            <v>PISTON</v>
          </cell>
          <cell r="D4149">
            <v>162.5</v>
          </cell>
          <cell r="N4149" t="str">
            <v>1461-01</v>
          </cell>
          <cell r="O4149" t="str">
            <v>PISTON</v>
          </cell>
          <cell r="P4149">
            <v>325</v>
          </cell>
        </row>
        <row r="4150">
          <cell r="B4150" t="str">
            <v>1461-01</v>
          </cell>
          <cell r="C4150" t="str">
            <v>PISTON</v>
          </cell>
          <cell r="D4150">
            <v>162.5</v>
          </cell>
          <cell r="N4150" t="str">
            <v>1461-01</v>
          </cell>
          <cell r="O4150" t="str">
            <v>PISTON</v>
          </cell>
          <cell r="P4150">
            <v>325</v>
          </cell>
        </row>
        <row r="4151">
          <cell r="B4151" t="str">
            <v>1461-01</v>
          </cell>
          <cell r="C4151" t="str">
            <v>PISTON</v>
          </cell>
          <cell r="D4151">
            <v>162.5</v>
          </cell>
          <cell r="N4151" t="str">
            <v>1461-01</v>
          </cell>
          <cell r="O4151" t="str">
            <v>PISTON</v>
          </cell>
          <cell r="P4151">
            <v>325</v>
          </cell>
        </row>
        <row r="4152">
          <cell r="B4152" t="str">
            <v>1461-01</v>
          </cell>
          <cell r="C4152" t="str">
            <v>PISTON</v>
          </cell>
          <cell r="D4152">
            <v>162.5</v>
          </cell>
          <cell r="N4152" t="str">
            <v>1461-01</v>
          </cell>
          <cell r="O4152" t="str">
            <v>PISTON</v>
          </cell>
          <cell r="P4152">
            <v>325</v>
          </cell>
        </row>
        <row r="4153">
          <cell r="B4153" t="str">
            <v>1530-05</v>
          </cell>
          <cell r="C4153" t="str">
            <v>PISTON</v>
          </cell>
          <cell r="D4153">
            <v>249</v>
          </cell>
          <cell r="N4153" t="str">
            <v>1530-05</v>
          </cell>
          <cell r="O4153" t="str">
            <v>PISTON</v>
          </cell>
          <cell r="P4153">
            <v>498</v>
          </cell>
        </row>
        <row r="4154">
          <cell r="B4154" t="str">
            <v>670-03</v>
          </cell>
          <cell r="C4154" t="str">
            <v>ROD GUIDE ASS'Y</v>
          </cell>
          <cell r="D4154">
            <v>225.5</v>
          </cell>
          <cell r="N4154" t="str">
            <v>670-03</v>
          </cell>
          <cell r="O4154" t="str">
            <v>ROD GUIDE ASS'Y</v>
          </cell>
          <cell r="P4154">
            <v>451</v>
          </cell>
        </row>
        <row r="4155">
          <cell r="B4155" t="str">
            <v>798-02</v>
          </cell>
          <cell r="C4155" t="str">
            <v>ROD GUIDE ASS'Y</v>
          </cell>
          <cell r="D4155">
            <v>242.5</v>
          </cell>
          <cell r="N4155" t="str">
            <v>798-02</v>
          </cell>
          <cell r="O4155" t="str">
            <v>ROD GUIDE ASS'Y</v>
          </cell>
          <cell r="P4155">
            <v>485</v>
          </cell>
        </row>
        <row r="4156">
          <cell r="B4156" t="str">
            <v>1525-03</v>
          </cell>
          <cell r="C4156" t="str">
            <v>BODY</v>
          </cell>
          <cell r="D4156">
            <v>249.5</v>
          </cell>
          <cell r="N4156" t="str">
            <v>1525-03</v>
          </cell>
          <cell r="O4156" t="str">
            <v>BODY</v>
          </cell>
          <cell r="P4156">
            <v>499</v>
          </cell>
        </row>
        <row r="4157">
          <cell r="B4157" t="str">
            <v>377-01</v>
          </cell>
          <cell r="C4157" t="str">
            <v>SUPPORT YOKE ASS'Y</v>
          </cell>
          <cell r="D4157">
            <v>249.5</v>
          </cell>
          <cell r="N4157" t="str">
            <v>377-01</v>
          </cell>
          <cell r="O4157" t="str">
            <v>SUPPORT YOKE ASS'Y</v>
          </cell>
          <cell r="P4157">
            <v>499</v>
          </cell>
        </row>
        <row r="4158">
          <cell r="B4158" t="str">
            <v>591-15</v>
          </cell>
          <cell r="C4158" t="str">
            <v>PISTON</v>
          </cell>
          <cell r="D4158">
            <v>249.5</v>
          </cell>
          <cell r="N4158" t="str">
            <v>591-15</v>
          </cell>
          <cell r="O4158" t="str">
            <v>PISTON</v>
          </cell>
          <cell r="P4158">
            <v>499</v>
          </cell>
        </row>
        <row r="4159">
          <cell r="B4159" t="str">
            <v>1151-05</v>
          </cell>
          <cell r="C4159" t="str">
            <v>VALVE PISTON</v>
          </cell>
          <cell r="D4159">
            <v>250</v>
          </cell>
          <cell r="N4159" t="str">
            <v>1151-05</v>
          </cell>
          <cell r="O4159" t="str">
            <v>VALVE PISTON</v>
          </cell>
          <cell r="P4159">
            <v>500</v>
          </cell>
        </row>
        <row r="4160">
          <cell r="B4160" t="str">
            <v>1151-05</v>
          </cell>
          <cell r="C4160" t="str">
            <v>VALVE PISTON</v>
          </cell>
          <cell r="D4160">
            <v>250</v>
          </cell>
          <cell r="N4160" t="str">
            <v>1151-05</v>
          </cell>
          <cell r="O4160" t="str">
            <v>VALVE PISTON</v>
          </cell>
          <cell r="P4160">
            <v>500</v>
          </cell>
        </row>
        <row r="4161">
          <cell r="B4161" t="str">
            <v>1151-08</v>
          </cell>
          <cell r="C4161" t="str">
            <v>VALVE PISTON</v>
          </cell>
          <cell r="D4161">
            <v>250</v>
          </cell>
          <cell r="N4161" t="str">
            <v>1151-08</v>
          </cell>
          <cell r="O4161" t="str">
            <v>VALVE PISTON</v>
          </cell>
          <cell r="P4161">
            <v>500</v>
          </cell>
        </row>
        <row r="4162">
          <cell r="B4162" t="str">
            <v>1151-08</v>
          </cell>
          <cell r="C4162" t="str">
            <v>VALVE PISTON</v>
          </cell>
          <cell r="D4162">
            <v>250</v>
          </cell>
          <cell r="N4162" t="str">
            <v>1151-08</v>
          </cell>
          <cell r="O4162" t="str">
            <v>VALVE PISTON</v>
          </cell>
          <cell r="P4162">
            <v>500</v>
          </cell>
        </row>
        <row r="4163">
          <cell r="B4163" t="str">
            <v>1861-00</v>
          </cell>
          <cell r="C4163" t="str">
            <v>TILT CAM</v>
          </cell>
          <cell r="D4163">
            <v>300</v>
          </cell>
          <cell r="N4163" t="str">
            <v>1861-00</v>
          </cell>
          <cell r="O4163" t="str">
            <v>TILT CAM</v>
          </cell>
          <cell r="P4163">
            <v>500</v>
          </cell>
        </row>
        <row r="4164">
          <cell r="B4164" t="str">
            <v>1922-08</v>
          </cell>
          <cell r="C4164" t="str">
            <v>RS RETAINER</v>
          </cell>
          <cell r="D4164">
            <v>108</v>
          </cell>
          <cell r="N4164" t="str">
            <v>1922-08</v>
          </cell>
          <cell r="O4164" t="str">
            <v>RS RETAINER</v>
          </cell>
          <cell r="P4164">
            <v>216</v>
          </cell>
        </row>
        <row r="4165">
          <cell r="B4165" t="str">
            <v>1991-01</v>
          </cell>
          <cell r="C4165" t="str">
            <v>BODY</v>
          </cell>
          <cell r="D4165">
            <v>250.5</v>
          </cell>
          <cell r="N4165" t="str">
            <v>1991-01</v>
          </cell>
          <cell r="O4165" t="str">
            <v>BODY</v>
          </cell>
          <cell r="P4165">
            <v>501</v>
          </cell>
        </row>
        <row r="4166">
          <cell r="B4166" t="str">
            <v>1996-05</v>
          </cell>
          <cell r="C4166" t="str">
            <v>BODY</v>
          </cell>
          <cell r="D4166">
            <v>142.5</v>
          </cell>
          <cell r="N4166" t="str">
            <v>1996-05</v>
          </cell>
          <cell r="O4166" t="str">
            <v>BODY</v>
          </cell>
          <cell r="P4166">
            <v>285</v>
          </cell>
        </row>
        <row r="4167">
          <cell r="B4167" t="str">
            <v>1998-00</v>
          </cell>
          <cell r="C4167" t="str">
            <v>PISTON</v>
          </cell>
          <cell r="D4167">
            <v>196.5</v>
          </cell>
          <cell r="N4167" t="str">
            <v>1998-00</v>
          </cell>
          <cell r="O4167" t="str">
            <v>PISTON</v>
          </cell>
          <cell r="P4167">
            <v>393</v>
          </cell>
        </row>
        <row r="4168">
          <cell r="B4168" t="str">
            <v>1998-00</v>
          </cell>
          <cell r="C4168" t="str">
            <v>PISTON</v>
          </cell>
          <cell r="D4168">
            <v>196.5</v>
          </cell>
          <cell r="N4168" t="str">
            <v>1998-00</v>
          </cell>
          <cell r="O4168" t="str">
            <v>PISTON</v>
          </cell>
          <cell r="P4168">
            <v>393</v>
          </cell>
        </row>
        <row r="4169">
          <cell r="B4169" t="str">
            <v>1998-00</v>
          </cell>
          <cell r="C4169" t="str">
            <v>PISTON</v>
          </cell>
          <cell r="D4169">
            <v>196.5</v>
          </cell>
          <cell r="N4169" t="str">
            <v>1998-00</v>
          </cell>
          <cell r="O4169" t="str">
            <v>PISTON</v>
          </cell>
          <cell r="P4169">
            <v>393</v>
          </cell>
        </row>
        <row r="4170">
          <cell r="B4170" t="str">
            <v>1376-00</v>
          </cell>
          <cell r="C4170" t="str">
            <v>BODY</v>
          </cell>
          <cell r="D4170">
            <v>251</v>
          </cell>
          <cell r="N4170" t="str">
            <v>1376-00</v>
          </cell>
          <cell r="O4170" t="str">
            <v>BODY</v>
          </cell>
          <cell r="P4170">
            <v>502</v>
          </cell>
        </row>
        <row r="4171">
          <cell r="B4171" t="str">
            <v>1554-13</v>
          </cell>
          <cell r="C4171" t="str">
            <v>RS RETAINER</v>
          </cell>
          <cell r="D4171">
            <v>237</v>
          </cell>
          <cell r="N4171" t="str">
            <v>1554-13</v>
          </cell>
          <cell r="O4171" t="str">
            <v>RS RETAINER</v>
          </cell>
          <cell r="P4171">
            <v>474</v>
          </cell>
        </row>
        <row r="4172">
          <cell r="B4172" t="str">
            <v>1554-45</v>
          </cell>
          <cell r="C4172" t="str">
            <v>RS RETAINER</v>
          </cell>
          <cell r="D4172">
            <v>251</v>
          </cell>
          <cell r="N4172" t="str">
            <v>1554-45</v>
          </cell>
          <cell r="O4172" t="str">
            <v>RS RETAINER</v>
          </cell>
          <cell r="P4172">
            <v>502</v>
          </cell>
        </row>
        <row r="4173">
          <cell r="B4173" t="str">
            <v>1634-49</v>
          </cell>
          <cell r="C4173" t="str">
            <v>RS RETAINER</v>
          </cell>
          <cell r="D4173">
            <v>159.5</v>
          </cell>
          <cell r="N4173" t="str">
            <v>1634-49</v>
          </cell>
          <cell r="O4173" t="str">
            <v>RS RETAINER</v>
          </cell>
          <cell r="P4173">
            <v>319</v>
          </cell>
        </row>
        <row r="4174">
          <cell r="B4174" t="str">
            <v>1891-01</v>
          </cell>
          <cell r="C4174" t="str">
            <v>BODY</v>
          </cell>
          <cell r="D4174">
            <v>212</v>
          </cell>
          <cell r="N4174" t="str">
            <v>1891-01</v>
          </cell>
          <cell r="O4174" t="str">
            <v>BODY</v>
          </cell>
          <cell r="P4174">
            <v>424</v>
          </cell>
        </row>
        <row r="4175">
          <cell r="B4175" t="str">
            <v>591-14</v>
          </cell>
          <cell r="C4175" t="str">
            <v>PISTON</v>
          </cell>
          <cell r="D4175">
            <v>251</v>
          </cell>
          <cell r="N4175" t="str">
            <v>591-14</v>
          </cell>
          <cell r="O4175" t="str">
            <v>PISTON</v>
          </cell>
          <cell r="P4175">
            <v>502</v>
          </cell>
        </row>
        <row r="4176">
          <cell r="B4176" t="str">
            <v>1525-09</v>
          </cell>
          <cell r="C4176" t="str">
            <v>BODY</v>
          </cell>
          <cell r="D4176">
            <v>251.5</v>
          </cell>
          <cell r="N4176" t="str">
            <v>1525-09</v>
          </cell>
          <cell r="O4176" t="str">
            <v>BODY</v>
          </cell>
          <cell r="P4176">
            <v>503</v>
          </cell>
        </row>
        <row r="4177">
          <cell r="B4177" t="str">
            <v>1635-00</v>
          </cell>
          <cell r="C4177" t="str">
            <v>PISTON</v>
          </cell>
          <cell r="D4177">
            <v>239</v>
          </cell>
          <cell r="N4177" t="str">
            <v>1635-00</v>
          </cell>
          <cell r="O4177" t="str">
            <v>PISTON</v>
          </cell>
          <cell r="P4177">
            <v>478</v>
          </cell>
        </row>
        <row r="4178">
          <cell r="B4178" t="str">
            <v>1635-00</v>
          </cell>
          <cell r="C4178" t="str">
            <v>PISTON</v>
          </cell>
          <cell r="D4178">
            <v>239</v>
          </cell>
          <cell r="N4178" t="str">
            <v>1635-00</v>
          </cell>
          <cell r="O4178" t="str">
            <v>PISTON</v>
          </cell>
          <cell r="P4178">
            <v>478</v>
          </cell>
        </row>
        <row r="4179">
          <cell r="B4179" t="str">
            <v>1687-05</v>
          </cell>
          <cell r="C4179" t="str">
            <v>BODY</v>
          </cell>
          <cell r="D4179">
            <v>251.5</v>
          </cell>
          <cell r="N4179" t="str">
            <v>1687-05</v>
          </cell>
          <cell r="O4179" t="str">
            <v>BODY</v>
          </cell>
          <cell r="P4179">
            <v>503</v>
          </cell>
        </row>
        <row r="4180">
          <cell r="B4180" t="str">
            <v>1829-02</v>
          </cell>
          <cell r="C4180" t="str">
            <v>BODY</v>
          </cell>
          <cell r="D4180">
            <v>251.5</v>
          </cell>
          <cell r="N4180" t="str">
            <v>1829-02</v>
          </cell>
          <cell r="O4180" t="str">
            <v>BODY</v>
          </cell>
          <cell r="P4180">
            <v>503</v>
          </cell>
        </row>
        <row r="4181">
          <cell r="B4181" t="str">
            <v>1906-00</v>
          </cell>
          <cell r="C4181" t="str">
            <v>LEVER CAM</v>
          </cell>
          <cell r="D4181">
            <v>139</v>
          </cell>
          <cell r="N4181" t="str">
            <v>1906-00</v>
          </cell>
          <cell r="O4181" t="str">
            <v>LEVER CAM</v>
          </cell>
          <cell r="P4181">
            <v>278</v>
          </cell>
        </row>
        <row r="4182">
          <cell r="B4182" t="str">
            <v>588-44</v>
          </cell>
          <cell r="C4182" t="str">
            <v>PISTON</v>
          </cell>
          <cell r="D4182">
            <v>143.5</v>
          </cell>
          <cell r="N4182" t="str">
            <v>588-44</v>
          </cell>
          <cell r="O4182" t="str">
            <v>PISTON</v>
          </cell>
          <cell r="P4182">
            <v>287</v>
          </cell>
        </row>
        <row r="4183">
          <cell r="B4183" t="str">
            <v>670-03</v>
          </cell>
          <cell r="C4183" t="str">
            <v>ROD GUIDE ASS'Y</v>
          </cell>
          <cell r="D4183">
            <v>225.5</v>
          </cell>
          <cell r="N4183" t="str">
            <v>670-03</v>
          </cell>
          <cell r="O4183" t="str">
            <v>ROD GUIDE ASS'Y</v>
          </cell>
          <cell r="P4183">
            <v>451</v>
          </cell>
        </row>
        <row r="4184">
          <cell r="B4184" t="str">
            <v>671-01</v>
          </cell>
          <cell r="C4184" t="str">
            <v>PISTON</v>
          </cell>
          <cell r="D4184">
            <v>84</v>
          </cell>
          <cell r="N4184" t="str">
            <v>671-01</v>
          </cell>
          <cell r="O4184" t="str">
            <v>PISTON</v>
          </cell>
          <cell r="P4184">
            <v>168</v>
          </cell>
        </row>
        <row r="4185">
          <cell r="B4185" t="str">
            <v>1030-02</v>
          </cell>
          <cell r="C4185" t="str">
            <v>ROD GUIDE ASS'Y</v>
          </cell>
          <cell r="D4185">
            <v>196</v>
          </cell>
          <cell r="N4185" t="str">
            <v>1030-02</v>
          </cell>
          <cell r="O4185" t="str">
            <v>ROD GUIDE ASS'Y</v>
          </cell>
          <cell r="P4185">
            <v>392</v>
          </cell>
        </row>
        <row r="4186">
          <cell r="B4186" t="str">
            <v>1030-02</v>
          </cell>
          <cell r="C4186" t="str">
            <v>ROD GUIDE ASS'Y</v>
          </cell>
          <cell r="D4186">
            <v>196</v>
          </cell>
          <cell r="N4186" t="str">
            <v>1030-02</v>
          </cell>
          <cell r="O4186" t="str">
            <v>ROD GUIDE ASS'Y</v>
          </cell>
          <cell r="P4186">
            <v>392</v>
          </cell>
        </row>
        <row r="4187">
          <cell r="B4187" t="str">
            <v>1234-08</v>
          </cell>
          <cell r="C4187" t="str">
            <v>VALVE PISTON</v>
          </cell>
          <cell r="D4187">
            <v>252</v>
          </cell>
          <cell r="N4187" t="str">
            <v>1234-08</v>
          </cell>
          <cell r="O4187" t="str">
            <v>VALVE PISTON</v>
          </cell>
          <cell r="P4187">
            <v>504</v>
          </cell>
        </row>
        <row r="4188">
          <cell r="B4188" t="str">
            <v>1234-09</v>
          </cell>
          <cell r="C4188" t="str">
            <v>VALVE PISTON</v>
          </cell>
          <cell r="D4188">
            <v>252</v>
          </cell>
          <cell r="N4188" t="str">
            <v>1234-09</v>
          </cell>
          <cell r="O4188" t="str">
            <v>VALVE PISTON</v>
          </cell>
          <cell r="P4188">
            <v>504</v>
          </cell>
        </row>
        <row r="4189">
          <cell r="B4189" t="str">
            <v>1554-15</v>
          </cell>
          <cell r="C4189" t="str">
            <v>RS RETAINER</v>
          </cell>
          <cell r="D4189">
            <v>202</v>
          </cell>
          <cell r="N4189" t="str">
            <v>1554-15</v>
          </cell>
          <cell r="O4189" t="str">
            <v>RS RETAINER</v>
          </cell>
          <cell r="P4189">
            <v>404</v>
          </cell>
        </row>
        <row r="4190">
          <cell r="B4190" t="str">
            <v>671-01</v>
          </cell>
          <cell r="C4190" t="str">
            <v>PISTON</v>
          </cell>
          <cell r="D4190">
            <v>84</v>
          </cell>
          <cell r="N4190" t="str">
            <v>671-01</v>
          </cell>
          <cell r="O4190" t="str">
            <v>PISTON</v>
          </cell>
          <cell r="P4190">
            <v>168</v>
          </cell>
        </row>
        <row r="4191">
          <cell r="B4191" t="str">
            <v>017-02</v>
          </cell>
          <cell r="C4191" t="str">
            <v>PISTON</v>
          </cell>
          <cell r="D4191">
            <v>190</v>
          </cell>
          <cell r="N4191" t="str">
            <v>017-02</v>
          </cell>
          <cell r="O4191" t="str">
            <v>PISTON</v>
          </cell>
          <cell r="P4191">
            <v>380</v>
          </cell>
        </row>
        <row r="4192">
          <cell r="B4192" t="str">
            <v>1093-06</v>
          </cell>
          <cell r="C4192" t="str">
            <v>PISTON</v>
          </cell>
          <cell r="D4192">
            <v>252.5</v>
          </cell>
          <cell r="N4192" t="str">
            <v>1093-06</v>
          </cell>
          <cell r="O4192" t="str">
            <v>PISTON</v>
          </cell>
          <cell r="P4192">
            <v>505</v>
          </cell>
        </row>
        <row r="4193">
          <cell r="B4193" t="str">
            <v>1093-07</v>
          </cell>
          <cell r="C4193" t="str">
            <v>PISTON</v>
          </cell>
          <cell r="D4193">
            <v>252.5</v>
          </cell>
          <cell r="N4193" t="str">
            <v>1093-07</v>
          </cell>
          <cell r="O4193" t="str">
            <v>PISTON</v>
          </cell>
          <cell r="P4193">
            <v>505</v>
          </cell>
        </row>
        <row r="4194">
          <cell r="B4194" t="str">
            <v>1234-03</v>
          </cell>
          <cell r="C4194" t="str">
            <v>VALVE PISTON</v>
          </cell>
          <cell r="D4194">
            <v>252.5</v>
          </cell>
          <cell r="N4194" t="str">
            <v>1234-03</v>
          </cell>
          <cell r="O4194" t="str">
            <v>VALVE PISTON</v>
          </cell>
          <cell r="P4194">
            <v>505</v>
          </cell>
        </row>
        <row r="4195">
          <cell r="B4195" t="str">
            <v>1234-03</v>
          </cell>
          <cell r="C4195" t="str">
            <v>VALVE PISTON</v>
          </cell>
          <cell r="D4195">
            <v>252.5</v>
          </cell>
          <cell r="N4195" t="str">
            <v>1234-03</v>
          </cell>
          <cell r="O4195" t="str">
            <v>VALVE PISTON</v>
          </cell>
          <cell r="P4195">
            <v>505</v>
          </cell>
        </row>
        <row r="4196">
          <cell r="B4196" t="str">
            <v>1234-04</v>
          </cell>
          <cell r="C4196" t="str">
            <v>VALVE PISTON</v>
          </cell>
          <cell r="D4196">
            <v>252.5</v>
          </cell>
          <cell r="N4196" t="str">
            <v>1234-04</v>
          </cell>
          <cell r="O4196" t="str">
            <v>VALVE PISTON</v>
          </cell>
          <cell r="P4196">
            <v>505</v>
          </cell>
        </row>
        <row r="4197">
          <cell r="B4197" t="str">
            <v>1234-04</v>
          </cell>
          <cell r="C4197" t="str">
            <v>VALVE PISTON</v>
          </cell>
          <cell r="D4197">
            <v>252.5</v>
          </cell>
          <cell r="N4197" t="str">
            <v>1234-04</v>
          </cell>
          <cell r="O4197" t="str">
            <v>VALVE PISTON</v>
          </cell>
          <cell r="P4197">
            <v>505</v>
          </cell>
        </row>
        <row r="4198">
          <cell r="B4198" t="str">
            <v>1554-45</v>
          </cell>
          <cell r="C4198" t="str">
            <v>RS RETAINER</v>
          </cell>
          <cell r="D4198">
            <v>251</v>
          </cell>
          <cell r="N4198" t="str">
            <v>1554-45</v>
          </cell>
          <cell r="O4198" t="str">
            <v>RS RETAINER</v>
          </cell>
          <cell r="P4198">
            <v>502</v>
          </cell>
        </row>
        <row r="4199">
          <cell r="B4199" t="str">
            <v>588-70</v>
          </cell>
          <cell r="C4199" t="str">
            <v>PISTON</v>
          </cell>
          <cell r="D4199">
            <v>243</v>
          </cell>
          <cell r="N4199" t="str">
            <v>588-70</v>
          </cell>
          <cell r="O4199" t="str">
            <v>PISTON</v>
          </cell>
          <cell r="P4199">
            <v>486</v>
          </cell>
        </row>
        <row r="4200">
          <cell r="B4200" t="str">
            <v>727-07</v>
          </cell>
          <cell r="C4200" t="str">
            <v>BODY</v>
          </cell>
          <cell r="D4200">
            <v>252.5</v>
          </cell>
          <cell r="N4200" t="str">
            <v>727-07</v>
          </cell>
          <cell r="O4200" t="str">
            <v>BODY</v>
          </cell>
          <cell r="P4200">
            <v>505</v>
          </cell>
        </row>
        <row r="4201">
          <cell r="B4201" t="str">
            <v>1030-02</v>
          </cell>
          <cell r="C4201" t="str">
            <v>ROD GUIDE ASS'Y</v>
          </cell>
          <cell r="D4201">
            <v>196</v>
          </cell>
          <cell r="N4201" t="str">
            <v>1030-02</v>
          </cell>
          <cell r="O4201" t="str">
            <v>ROD GUIDE ASS'Y</v>
          </cell>
          <cell r="P4201">
            <v>392</v>
          </cell>
        </row>
        <row r="4202">
          <cell r="B4202" t="str">
            <v>1030-02</v>
          </cell>
          <cell r="C4202" t="str">
            <v>ROD GUIDE ASS'Y</v>
          </cell>
          <cell r="D4202">
            <v>196</v>
          </cell>
          <cell r="N4202" t="str">
            <v>1030-02</v>
          </cell>
          <cell r="O4202" t="str">
            <v>ROD GUIDE ASS'Y</v>
          </cell>
          <cell r="P4202">
            <v>392</v>
          </cell>
        </row>
        <row r="4203">
          <cell r="B4203" t="str">
            <v>1069-01</v>
          </cell>
          <cell r="C4203" t="str">
            <v>PISTON</v>
          </cell>
          <cell r="D4203">
            <v>99</v>
          </cell>
          <cell r="N4203" t="str">
            <v>1069-01</v>
          </cell>
          <cell r="O4203" t="str">
            <v>PISTON</v>
          </cell>
          <cell r="P4203">
            <v>198</v>
          </cell>
        </row>
        <row r="4204">
          <cell r="B4204" t="str">
            <v>1070-00</v>
          </cell>
          <cell r="C4204" t="str">
            <v>RACK STOPPER</v>
          </cell>
          <cell r="D4204">
            <v>253</v>
          </cell>
          <cell r="N4204" t="str">
            <v>1070-00</v>
          </cell>
          <cell r="O4204" t="str">
            <v>RACK STOPPER</v>
          </cell>
          <cell r="P4204">
            <v>506</v>
          </cell>
        </row>
        <row r="4205">
          <cell r="B4205" t="str">
            <v>1634-48</v>
          </cell>
          <cell r="C4205" t="str">
            <v>RS RETAINER</v>
          </cell>
          <cell r="D4205">
            <v>96.5</v>
          </cell>
          <cell r="N4205" t="str">
            <v>1634-48</v>
          </cell>
          <cell r="O4205" t="str">
            <v>RS RETAINER</v>
          </cell>
          <cell r="P4205">
            <v>193</v>
          </cell>
        </row>
        <row r="4206">
          <cell r="B4206" t="str">
            <v>1998-00</v>
          </cell>
          <cell r="C4206" t="str">
            <v>PISTON</v>
          </cell>
          <cell r="D4206">
            <v>196.5</v>
          </cell>
          <cell r="N4206" t="str">
            <v>1998-00</v>
          </cell>
          <cell r="O4206" t="str">
            <v>PISTON</v>
          </cell>
          <cell r="P4206">
            <v>393</v>
          </cell>
        </row>
        <row r="4207">
          <cell r="B4207" t="str">
            <v>588-53</v>
          </cell>
          <cell r="C4207" t="str">
            <v>PISTON</v>
          </cell>
          <cell r="D4207">
            <v>235</v>
          </cell>
          <cell r="N4207" t="str">
            <v>588-53</v>
          </cell>
          <cell r="O4207" t="str">
            <v>PISTON</v>
          </cell>
          <cell r="P4207">
            <v>470</v>
          </cell>
        </row>
        <row r="4208">
          <cell r="B4208" t="str">
            <v>591-03</v>
          </cell>
          <cell r="C4208" t="str">
            <v>PISTON</v>
          </cell>
          <cell r="D4208">
            <v>253</v>
          </cell>
          <cell r="N4208" t="str">
            <v>591-03</v>
          </cell>
          <cell r="O4208" t="str">
            <v>PISTON</v>
          </cell>
          <cell r="P4208">
            <v>506</v>
          </cell>
        </row>
        <row r="4209">
          <cell r="B4209" t="str">
            <v>598-13</v>
          </cell>
          <cell r="C4209" t="str">
            <v>PISTON</v>
          </cell>
          <cell r="D4209">
            <v>162</v>
          </cell>
          <cell r="N4209" t="str">
            <v>598-13</v>
          </cell>
          <cell r="O4209" t="str">
            <v>PISTON</v>
          </cell>
          <cell r="P4209">
            <v>324</v>
          </cell>
        </row>
        <row r="4210">
          <cell r="B4210" t="str">
            <v>800-01</v>
          </cell>
          <cell r="C4210" t="str">
            <v>PISTON</v>
          </cell>
          <cell r="D4210">
            <v>129.5</v>
          </cell>
          <cell r="N4210" t="str">
            <v>800-01</v>
          </cell>
          <cell r="O4210" t="str">
            <v>PISTON</v>
          </cell>
          <cell r="P4210">
            <v>259</v>
          </cell>
        </row>
        <row r="4211">
          <cell r="B4211" t="str">
            <v>836-01</v>
          </cell>
          <cell r="C4211" t="str">
            <v>MOVABLE GEAR ASS'Y(LH)</v>
          </cell>
          <cell r="D4211">
            <v>304.2</v>
          </cell>
          <cell r="N4211" t="str">
            <v>836-01</v>
          </cell>
          <cell r="O4211" t="str">
            <v>MOVABLE GEAR ASS'Y(LH)</v>
          </cell>
          <cell r="P4211">
            <v>507</v>
          </cell>
        </row>
        <row r="4212">
          <cell r="B4212" t="str">
            <v>836-01</v>
          </cell>
          <cell r="C4212" t="str">
            <v>MOVABLE GEAR ASS'Y(LH)</v>
          </cell>
          <cell r="D4212">
            <v>304.2</v>
          </cell>
          <cell r="N4212" t="str">
            <v>836-01</v>
          </cell>
          <cell r="O4212" t="str">
            <v>MOVABLE GEAR ASS'Y(LH)</v>
          </cell>
          <cell r="P4212">
            <v>507</v>
          </cell>
        </row>
        <row r="4213">
          <cell r="B4213" t="str">
            <v>836-02</v>
          </cell>
          <cell r="C4213" t="str">
            <v>MOVABLE GEAR ASS'Y(RH)</v>
          </cell>
          <cell r="D4213">
            <v>304.2</v>
          </cell>
          <cell r="N4213" t="str">
            <v>836-02</v>
          </cell>
          <cell r="O4213" t="str">
            <v>MOVABLE GEAR ASS'Y(RH)</v>
          </cell>
          <cell r="P4213">
            <v>507</v>
          </cell>
        </row>
        <row r="4214">
          <cell r="B4214" t="str">
            <v>836-02</v>
          </cell>
          <cell r="C4214" t="str">
            <v>MOVABLE GEAR ASS'Y(RH)</v>
          </cell>
          <cell r="D4214">
            <v>304.2</v>
          </cell>
          <cell r="N4214" t="str">
            <v>836-02</v>
          </cell>
          <cell r="O4214" t="str">
            <v>MOVABLE GEAR ASS'Y(RH)</v>
          </cell>
          <cell r="P4214">
            <v>507</v>
          </cell>
        </row>
        <row r="4215">
          <cell r="B4215" t="str">
            <v>1069-03</v>
          </cell>
          <cell r="C4215" t="str">
            <v>PISTON</v>
          </cell>
          <cell r="D4215">
            <v>93.5</v>
          </cell>
          <cell r="N4215" t="str">
            <v>1069-03</v>
          </cell>
          <cell r="O4215" t="str">
            <v>PISTON</v>
          </cell>
          <cell r="P4215">
            <v>187</v>
          </cell>
        </row>
        <row r="4216">
          <cell r="B4216" t="str">
            <v>1069-03</v>
          </cell>
          <cell r="C4216" t="str">
            <v>PISTON</v>
          </cell>
          <cell r="D4216">
            <v>93.5</v>
          </cell>
          <cell r="N4216" t="str">
            <v>1069-03</v>
          </cell>
          <cell r="O4216" t="str">
            <v>PISTON</v>
          </cell>
          <cell r="P4216">
            <v>187</v>
          </cell>
        </row>
        <row r="4217">
          <cell r="B4217" t="str">
            <v>1461-01</v>
          </cell>
          <cell r="C4217" t="str">
            <v>PISTON</v>
          </cell>
          <cell r="D4217">
            <v>162.5</v>
          </cell>
          <cell r="N4217" t="str">
            <v>1461-01</v>
          </cell>
          <cell r="O4217" t="str">
            <v>PISTON</v>
          </cell>
          <cell r="P4217">
            <v>325</v>
          </cell>
        </row>
        <row r="4218">
          <cell r="B4218" t="str">
            <v>1566-02</v>
          </cell>
          <cell r="C4218" t="str">
            <v>BODY</v>
          </cell>
          <cell r="D4218">
            <v>244</v>
          </cell>
          <cell r="N4218" t="str">
            <v>1566-02</v>
          </cell>
          <cell r="O4218" t="str">
            <v>BODY</v>
          </cell>
          <cell r="P4218">
            <v>488</v>
          </cell>
        </row>
        <row r="4219">
          <cell r="B4219" t="str">
            <v>1613-04</v>
          </cell>
          <cell r="C4219" t="str">
            <v>BODY</v>
          </cell>
          <cell r="D4219">
            <v>242.5</v>
          </cell>
          <cell r="N4219" t="str">
            <v>1613-04</v>
          </cell>
          <cell r="O4219" t="str">
            <v>BODY</v>
          </cell>
          <cell r="P4219">
            <v>485</v>
          </cell>
        </row>
        <row r="4220">
          <cell r="B4220" t="str">
            <v>1613-05</v>
          </cell>
          <cell r="C4220" t="str">
            <v>BODY</v>
          </cell>
          <cell r="D4220">
            <v>147</v>
          </cell>
          <cell r="N4220" t="str">
            <v>1613-05</v>
          </cell>
          <cell r="O4220" t="str">
            <v>BODY</v>
          </cell>
          <cell r="P4220">
            <v>294</v>
          </cell>
        </row>
        <row r="4221">
          <cell r="B4221" t="str">
            <v>1630-09</v>
          </cell>
          <cell r="C4221" t="str">
            <v>RS RETAINER</v>
          </cell>
          <cell r="D4221">
            <v>242</v>
          </cell>
          <cell r="N4221" t="str">
            <v>1630-09</v>
          </cell>
          <cell r="O4221" t="str">
            <v>RS RETAINER</v>
          </cell>
          <cell r="P4221">
            <v>484</v>
          </cell>
        </row>
        <row r="4222">
          <cell r="B4222" t="str">
            <v>1635-00</v>
          </cell>
          <cell r="C4222" t="str">
            <v>PISTON</v>
          </cell>
          <cell r="D4222">
            <v>239</v>
          </cell>
          <cell r="N4222" t="str">
            <v>1635-00</v>
          </cell>
          <cell r="O4222" t="str">
            <v>PISTON</v>
          </cell>
          <cell r="P4222">
            <v>478</v>
          </cell>
        </row>
        <row r="4223">
          <cell r="B4223" t="str">
            <v>1336-02</v>
          </cell>
          <cell r="C4223" t="str">
            <v>BODY</v>
          </cell>
          <cell r="D4223">
            <v>254.5</v>
          </cell>
          <cell r="N4223" t="str">
            <v>1336-02</v>
          </cell>
          <cell r="O4223" t="str">
            <v>BODY</v>
          </cell>
          <cell r="P4223">
            <v>509</v>
          </cell>
        </row>
        <row r="4224">
          <cell r="B4224" t="str">
            <v>1336-04</v>
          </cell>
          <cell r="C4224" t="str">
            <v>BODY</v>
          </cell>
          <cell r="D4224">
            <v>254.5</v>
          </cell>
          <cell r="N4224" t="str">
            <v>1336-04</v>
          </cell>
          <cell r="O4224" t="str">
            <v>BODY</v>
          </cell>
          <cell r="P4224">
            <v>509</v>
          </cell>
        </row>
        <row r="4225">
          <cell r="B4225" t="str">
            <v>1461-01</v>
          </cell>
          <cell r="C4225" t="str">
            <v>PISTON</v>
          </cell>
          <cell r="D4225">
            <v>162.5</v>
          </cell>
          <cell r="N4225" t="str">
            <v>1461-01</v>
          </cell>
          <cell r="O4225" t="str">
            <v>PISTON</v>
          </cell>
          <cell r="P4225">
            <v>325</v>
          </cell>
        </row>
        <row r="4226">
          <cell r="B4226" t="str">
            <v>1666-04</v>
          </cell>
          <cell r="C4226" t="str">
            <v>BODY</v>
          </cell>
          <cell r="D4226">
            <v>204</v>
          </cell>
          <cell r="N4226" t="str">
            <v>1666-04</v>
          </cell>
          <cell r="O4226" t="str">
            <v>BODY</v>
          </cell>
          <cell r="P4226">
            <v>408</v>
          </cell>
        </row>
        <row r="4227">
          <cell r="B4227" t="str">
            <v>1931-09</v>
          </cell>
          <cell r="C4227" t="str">
            <v>RS RETAINER</v>
          </cell>
          <cell r="D4227">
            <v>240.5</v>
          </cell>
          <cell r="N4227" t="str">
            <v>1931-09</v>
          </cell>
          <cell r="O4227" t="str">
            <v>RS RETAINER</v>
          </cell>
          <cell r="P4227">
            <v>481</v>
          </cell>
        </row>
        <row r="4228">
          <cell r="B4228" t="str">
            <v>1998-00</v>
          </cell>
          <cell r="C4228" t="str">
            <v>PISTON</v>
          </cell>
          <cell r="D4228">
            <v>196.5</v>
          </cell>
          <cell r="N4228" t="str">
            <v>1998-00</v>
          </cell>
          <cell r="O4228" t="str">
            <v>PISTON</v>
          </cell>
          <cell r="P4228">
            <v>393</v>
          </cell>
        </row>
        <row r="4229">
          <cell r="B4229" t="str">
            <v>2671-05</v>
          </cell>
          <cell r="C4229" t="str">
            <v>PISTON</v>
          </cell>
          <cell r="D4229">
            <v>107.5</v>
          </cell>
          <cell r="N4229" t="str">
            <v>2671-05</v>
          </cell>
          <cell r="O4229" t="str">
            <v>PISTON</v>
          </cell>
          <cell r="P4229">
            <v>215</v>
          </cell>
        </row>
        <row r="4230">
          <cell r="B4230" t="str">
            <v>591-06</v>
          </cell>
          <cell r="C4230" t="str">
            <v>PISTON</v>
          </cell>
          <cell r="D4230">
            <v>202.5</v>
          </cell>
          <cell r="N4230" t="str">
            <v>591-06</v>
          </cell>
          <cell r="O4230" t="str">
            <v>PISTON</v>
          </cell>
          <cell r="P4230">
            <v>405</v>
          </cell>
        </row>
        <row r="4231">
          <cell r="B4231" t="str">
            <v>798-02</v>
          </cell>
          <cell r="C4231" t="str">
            <v>ROD GUIDE ASS'Y</v>
          </cell>
          <cell r="D4231">
            <v>242.5</v>
          </cell>
          <cell r="N4231" t="str">
            <v>798-02</v>
          </cell>
          <cell r="O4231" t="str">
            <v>ROD GUIDE ASS'Y</v>
          </cell>
          <cell r="P4231">
            <v>485</v>
          </cell>
        </row>
        <row r="4232">
          <cell r="B4232" t="str">
            <v>798-02</v>
          </cell>
          <cell r="C4232" t="str">
            <v>ROD GUIDE ASS'Y</v>
          </cell>
          <cell r="D4232">
            <v>242.5</v>
          </cell>
          <cell r="N4232" t="str">
            <v>798-02</v>
          </cell>
          <cell r="O4232" t="str">
            <v>ROD GUIDE ASS'Y</v>
          </cell>
          <cell r="P4232">
            <v>485</v>
          </cell>
        </row>
        <row r="4233">
          <cell r="B4233" t="str">
            <v>1182-13</v>
          </cell>
          <cell r="C4233" t="str">
            <v>VALVE PISTON</v>
          </cell>
          <cell r="D4233">
            <v>255</v>
          </cell>
          <cell r="N4233" t="str">
            <v>1182-13</v>
          </cell>
          <cell r="O4233" t="str">
            <v>VALVE PISTON</v>
          </cell>
          <cell r="P4233">
            <v>510</v>
          </cell>
        </row>
        <row r="4234">
          <cell r="B4234" t="str">
            <v>1182-13</v>
          </cell>
          <cell r="C4234" t="str">
            <v>VALVE PISTON</v>
          </cell>
          <cell r="D4234">
            <v>255</v>
          </cell>
          <cell r="N4234" t="str">
            <v>1182-13</v>
          </cell>
          <cell r="O4234" t="str">
            <v>VALVE PISTON</v>
          </cell>
          <cell r="P4234">
            <v>510</v>
          </cell>
        </row>
        <row r="4235">
          <cell r="B4235" t="str">
            <v>1666-06</v>
          </cell>
          <cell r="C4235" t="str">
            <v>BODY</v>
          </cell>
          <cell r="D4235">
            <v>213.5</v>
          </cell>
          <cell r="N4235" t="str">
            <v>1666-06</v>
          </cell>
          <cell r="O4235" t="str">
            <v>BODY</v>
          </cell>
          <cell r="P4235">
            <v>427</v>
          </cell>
        </row>
        <row r="4236">
          <cell r="B4236" t="str">
            <v>818-03</v>
          </cell>
          <cell r="C4236" t="str">
            <v>VALVE RETAINER</v>
          </cell>
          <cell r="D4236">
            <v>255</v>
          </cell>
          <cell r="N4236" t="str">
            <v>818-03</v>
          </cell>
          <cell r="O4236" t="str">
            <v>VALVE RETAINER</v>
          </cell>
          <cell r="P4236">
            <v>510</v>
          </cell>
        </row>
        <row r="4237">
          <cell r="B4237" t="str">
            <v>818-05</v>
          </cell>
          <cell r="C4237" t="str">
            <v>VALVE RETAINER</v>
          </cell>
          <cell r="D4237">
            <v>255</v>
          </cell>
          <cell r="N4237" t="str">
            <v>818-05</v>
          </cell>
          <cell r="O4237" t="str">
            <v>VALVE RETAINER</v>
          </cell>
          <cell r="P4237">
            <v>510</v>
          </cell>
        </row>
        <row r="4238">
          <cell r="B4238" t="str">
            <v>847-03</v>
          </cell>
          <cell r="C4238" t="str">
            <v>VALVE RETAINER</v>
          </cell>
          <cell r="D4238">
            <v>255</v>
          </cell>
          <cell r="N4238" t="str">
            <v>847-03</v>
          </cell>
          <cell r="O4238" t="str">
            <v>VALVE RETAINER</v>
          </cell>
          <cell r="P4238">
            <v>510</v>
          </cell>
        </row>
        <row r="4239">
          <cell r="B4239" t="str">
            <v>847-05</v>
          </cell>
          <cell r="C4239" t="str">
            <v>VALVE RETAINER</v>
          </cell>
          <cell r="D4239">
            <v>255</v>
          </cell>
          <cell r="N4239" t="str">
            <v>847-05</v>
          </cell>
          <cell r="O4239" t="str">
            <v>VALVE RETAINER</v>
          </cell>
          <cell r="P4239">
            <v>510</v>
          </cell>
        </row>
        <row r="4240">
          <cell r="B4240" t="str">
            <v>1031-01</v>
          </cell>
          <cell r="C4240" t="str">
            <v>ROD GUIDE ASS'Y</v>
          </cell>
          <cell r="D4240">
            <v>190.5</v>
          </cell>
          <cell r="N4240" t="str">
            <v>1031-01</v>
          </cell>
          <cell r="O4240" t="str">
            <v>ROD GUIDE ASS'Y</v>
          </cell>
          <cell r="P4240">
            <v>381</v>
          </cell>
        </row>
        <row r="4241">
          <cell r="B4241" t="str">
            <v>1221-00</v>
          </cell>
          <cell r="C4241" t="str">
            <v>TONE WHEEL</v>
          </cell>
          <cell r="D4241">
            <v>255.5</v>
          </cell>
          <cell r="N4241" t="str">
            <v>1221-00</v>
          </cell>
          <cell r="O4241" t="str">
            <v>TONE WHEEL</v>
          </cell>
          <cell r="P4241">
            <v>511</v>
          </cell>
        </row>
        <row r="4242">
          <cell r="B4242" t="str">
            <v>1221-00</v>
          </cell>
          <cell r="C4242" t="str">
            <v>TONE WHEEL</v>
          </cell>
          <cell r="D4242">
            <v>255.5</v>
          </cell>
          <cell r="N4242" t="str">
            <v>1221-00</v>
          </cell>
          <cell r="O4242" t="str">
            <v>TONE WHEEL</v>
          </cell>
          <cell r="P4242">
            <v>511</v>
          </cell>
        </row>
        <row r="4243">
          <cell r="B4243" t="str">
            <v>1221-00</v>
          </cell>
          <cell r="C4243" t="str">
            <v>TONE WHEEL</v>
          </cell>
          <cell r="D4243">
            <v>255.5</v>
          </cell>
          <cell r="N4243" t="str">
            <v>1221-00</v>
          </cell>
          <cell r="O4243" t="str">
            <v>TONE WHEEL</v>
          </cell>
          <cell r="P4243">
            <v>511</v>
          </cell>
        </row>
        <row r="4244">
          <cell r="B4244" t="str">
            <v>1922-08</v>
          </cell>
          <cell r="C4244" t="str">
            <v>RS RETAINER</v>
          </cell>
          <cell r="D4244">
            <v>108</v>
          </cell>
          <cell r="N4244" t="str">
            <v>1922-08</v>
          </cell>
          <cell r="O4244" t="str">
            <v>RS RETAINER</v>
          </cell>
          <cell r="P4244">
            <v>216</v>
          </cell>
        </row>
        <row r="4245">
          <cell r="B4245" t="str">
            <v>1922-08</v>
          </cell>
          <cell r="C4245" t="str">
            <v>RS RETAINER</v>
          </cell>
          <cell r="D4245">
            <v>108</v>
          </cell>
          <cell r="N4245" t="str">
            <v>1922-08</v>
          </cell>
          <cell r="O4245" t="str">
            <v>RS RETAINER</v>
          </cell>
          <cell r="P4245">
            <v>216</v>
          </cell>
        </row>
        <row r="4246">
          <cell r="B4246" t="str">
            <v>464-05</v>
          </cell>
          <cell r="C4246" t="str">
            <v>PISTON</v>
          </cell>
          <cell r="D4246">
            <v>161</v>
          </cell>
          <cell r="N4246" t="str">
            <v>464-05</v>
          </cell>
          <cell r="O4246" t="str">
            <v>PISTON</v>
          </cell>
          <cell r="P4246">
            <v>322</v>
          </cell>
        </row>
        <row r="4247">
          <cell r="B4247" t="str">
            <v>464-19</v>
          </cell>
          <cell r="C4247" t="str">
            <v>PISTON</v>
          </cell>
          <cell r="D4247">
            <v>255.5</v>
          </cell>
          <cell r="N4247" t="str">
            <v>464-19</v>
          </cell>
          <cell r="O4247" t="str">
            <v>PISTON</v>
          </cell>
          <cell r="P4247">
            <v>511</v>
          </cell>
        </row>
        <row r="4248">
          <cell r="B4248" t="str">
            <v>464-20</v>
          </cell>
          <cell r="C4248" t="str">
            <v>PISTON</v>
          </cell>
          <cell r="D4248">
            <v>255.5</v>
          </cell>
          <cell r="N4248" t="str">
            <v>464-20</v>
          </cell>
          <cell r="O4248" t="str">
            <v>PISTON</v>
          </cell>
          <cell r="P4248">
            <v>511</v>
          </cell>
        </row>
        <row r="4249">
          <cell r="B4249" t="str">
            <v>1234-02</v>
          </cell>
          <cell r="C4249" t="str">
            <v>VALVE PISTON</v>
          </cell>
          <cell r="D4249">
            <v>256</v>
          </cell>
          <cell r="N4249" t="str">
            <v>1234-02</v>
          </cell>
          <cell r="O4249" t="str">
            <v>VALVE PISTON</v>
          </cell>
          <cell r="P4249">
            <v>512</v>
          </cell>
        </row>
        <row r="4250">
          <cell r="B4250" t="str">
            <v>1234-02</v>
          </cell>
          <cell r="C4250" t="str">
            <v>VALVE PISTON</v>
          </cell>
          <cell r="D4250">
            <v>256</v>
          </cell>
          <cell r="N4250" t="str">
            <v>1234-02</v>
          </cell>
          <cell r="O4250" t="str">
            <v>VALVE PISTON</v>
          </cell>
          <cell r="P4250">
            <v>512</v>
          </cell>
        </row>
        <row r="4251">
          <cell r="B4251" t="str">
            <v>1525-07</v>
          </cell>
          <cell r="C4251" t="str">
            <v>BODY</v>
          </cell>
          <cell r="D4251">
            <v>256</v>
          </cell>
          <cell r="N4251" t="str">
            <v>1525-07</v>
          </cell>
          <cell r="O4251" t="str">
            <v>BODY</v>
          </cell>
          <cell r="P4251">
            <v>512</v>
          </cell>
        </row>
        <row r="4252">
          <cell r="B4252" t="str">
            <v>1590-07</v>
          </cell>
          <cell r="C4252" t="str">
            <v>BODY</v>
          </cell>
          <cell r="D4252">
            <v>183.5</v>
          </cell>
          <cell r="N4252" t="str">
            <v>1590-07</v>
          </cell>
          <cell r="O4252" t="str">
            <v>BODY</v>
          </cell>
          <cell r="P4252">
            <v>367</v>
          </cell>
        </row>
        <row r="4253">
          <cell r="B4253" t="str">
            <v>1975-00</v>
          </cell>
          <cell r="C4253" t="str">
            <v>ROD GUIDE ASS'Y</v>
          </cell>
          <cell r="D4253">
            <v>256</v>
          </cell>
          <cell r="N4253" t="str">
            <v>1975-00</v>
          </cell>
          <cell r="O4253" t="str">
            <v>ROD GUIDE ASS'Y</v>
          </cell>
          <cell r="P4253">
            <v>512</v>
          </cell>
        </row>
        <row r="4254">
          <cell r="B4254" t="str">
            <v>680-03</v>
          </cell>
          <cell r="C4254" t="str">
            <v>ROD GUIDE ASS'Y</v>
          </cell>
          <cell r="D4254">
            <v>237.5</v>
          </cell>
          <cell r="N4254" t="str">
            <v>680-03</v>
          </cell>
          <cell r="O4254" t="str">
            <v>ROD GUIDE ASS'Y</v>
          </cell>
          <cell r="P4254">
            <v>475</v>
          </cell>
        </row>
        <row r="4255">
          <cell r="B4255" t="str">
            <v>797-19</v>
          </cell>
          <cell r="C4255" t="str">
            <v>BODY</v>
          </cell>
          <cell r="D4255">
            <v>143</v>
          </cell>
          <cell r="N4255" t="str">
            <v>797-19</v>
          </cell>
          <cell r="O4255" t="str">
            <v>BODY</v>
          </cell>
          <cell r="P4255">
            <v>286</v>
          </cell>
        </row>
        <row r="4256">
          <cell r="B4256" t="str">
            <v>1027-00</v>
          </cell>
          <cell r="C4256" t="str">
            <v>ROD GUIDE ASS'Y</v>
          </cell>
          <cell r="D4256">
            <v>241</v>
          </cell>
          <cell r="N4256" t="str">
            <v>1027-00</v>
          </cell>
          <cell r="O4256" t="str">
            <v>ROD GUIDE ASS'Y</v>
          </cell>
          <cell r="P4256">
            <v>482</v>
          </cell>
        </row>
        <row r="4257">
          <cell r="B4257" t="str">
            <v>1027-00</v>
          </cell>
          <cell r="C4257" t="str">
            <v>ROD GUIDE ASS'Y</v>
          </cell>
          <cell r="D4257">
            <v>241</v>
          </cell>
          <cell r="N4257" t="str">
            <v>1027-00</v>
          </cell>
          <cell r="O4257" t="str">
            <v>ROD GUIDE ASS'Y</v>
          </cell>
          <cell r="P4257">
            <v>482</v>
          </cell>
        </row>
        <row r="4258">
          <cell r="B4258" t="str">
            <v>1258-00</v>
          </cell>
          <cell r="C4258" t="str">
            <v>MOVABLE GEAR</v>
          </cell>
          <cell r="D4258">
            <v>307.8</v>
          </cell>
          <cell r="N4258" t="str">
            <v>1258-00</v>
          </cell>
          <cell r="O4258" t="str">
            <v>MOVABLE GEAR</v>
          </cell>
          <cell r="P4258">
            <v>513</v>
          </cell>
        </row>
        <row r="4259">
          <cell r="B4259" t="str">
            <v>1525-02</v>
          </cell>
          <cell r="C4259" t="str">
            <v>BODY</v>
          </cell>
          <cell r="D4259">
            <v>243</v>
          </cell>
          <cell r="N4259" t="str">
            <v>1525-02</v>
          </cell>
          <cell r="O4259" t="str">
            <v>BODY</v>
          </cell>
          <cell r="P4259">
            <v>486</v>
          </cell>
        </row>
        <row r="4260">
          <cell r="B4260" t="str">
            <v>1525-04</v>
          </cell>
          <cell r="C4260" t="str">
            <v>BODY</v>
          </cell>
          <cell r="D4260">
            <v>256.5</v>
          </cell>
          <cell r="N4260" t="str">
            <v>1525-04</v>
          </cell>
          <cell r="O4260" t="str">
            <v>BODY</v>
          </cell>
          <cell r="P4260">
            <v>513</v>
          </cell>
        </row>
        <row r="4261">
          <cell r="B4261" t="str">
            <v>1525-06</v>
          </cell>
          <cell r="C4261" t="str">
            <v>BODY</v>
          </cell>
          <cell r="D4261">
            <v>256.5</v>
          </cell>
          <cell r="N4261" t="str">
            <v>1525-06</v>
          </cell>
          <cell r="O4261" t="str">
            <v>BODY</v>
          </cell>
          <cell r="P4261">
            <v>513</v>
          </cell>
        </row>
        <row r="4262">
          <cell r="B4262" t="str">
            <v>1998-00</v>
          </cell>
          <cell r="C4262" t="str">
            <v>PISTON</v>
          </cell>
          <cell r="D4262">
            <v>196.5</v>
          </cell>
          <cell r="N4262" t="str">
            <v>1998-00</v>
          </cell>
          <cell r="O4262" t="str">
            <v>PISTON</v>
          </cell>
          <cell r="P4262">
            <v>393</v>
          </cell>
        </row>
        <row r="4263">
          <cell r="B4263" t="str">
            <v>1998-00</v>
          </cell>
          <cell r="C4263" t="str">
            <v>PISTON</v>
          </cell>
          <cell r="D4263">
            <v>196.5</v>
          </cell>
          <cell r="N4263" t="str">
            <v>1998-00</v>
          </cell>
          <cell r="O4263" t="str">
            <v>PISTON</v>
          </cell>
          <cell r="P4263">
            <v>393</v>
          </cell>
        </row>
        <row r="4264">
          <cell r="B4264" t="str">
            <v>1998-00</v>
          </cell>
          <cell r="C4264" t="str">
            <v>PISTON</v>
          </cell>
          <cell r="D4264">
            <v>196.5</v>
          </cell>
          <cell r="N4264" t="str">
            <v>1998-00</v>
          </cell>
          <cell r="O4264" t="str">
            <v>PISTON</v>
          </cell>
          <cell r="P4264">
            <v>393</v>
          </cell>
        </row>
        <row r="4265">
          <cell r="B4265" t="str">
            <v>598-28</v>
          </cell>
          <cell r="C4265" t="str">
            <v>PISTON</v>
          </cell>
          <cell r="D4265">
            <v>256.5</v>
          </cell>
          <cell r="N4265" t="str">
            <v>598-28</v>
          </cell>
          <cell r="O4265" t="str">
            <v>PISTON</v>
          </cell>
          <cell r="P4265">
            <v>513</v>
          </cell>
        </row>
        <row r="4266">
          <cell r="B4266" t="str">
            <v>712-02</v>
          </cell>
          <cell r="C4266" t="str">
            <v>VALVE PISTON</v>
          </cell>
          <cell r="D4266">
            <v>256.5</v>
          </cell>
          <cell r="N4266" t="str">
            <v>712-02</v>
          </cell>
          <cell r="O4266" t="str">
            <v>VALVE PISTON</v>
          </cell>
          <cell r="P4266">
            <v>513</v>
          </cell>
        </row>
        <row r="4267">
          <cell r="B4267" t="str">
            <v>712-02</v>
          </cell>
          <cell r="C4267" t="str">
            <v>VALVE PISTON</v>
          </cell>
          <cell r="D4267">
            <v>256.5</v>
          </cell>
          <cell r="N4267" t="str">
            <v>712-02</v>
          </cell>
          <cell r="O4267" t="str">
            <v>VALVE PISTON</v>
          </cell>
          <cell r="P4267">
            <v>513</v>
          </cell>
        </row>
        <row r="4268">
          <cell r="B4268" t="str">
            <v>712-03</v>
          </cell>
          <cell r="C4268" t="str">
            <v>VALVE PISTON</v>
          </cell>
          <cell r="D4268">
            <v>256.5</v>
          </cell>
          <cell r="N4268" t="str">
            <v>712-03</v>
          </cell>
          <cell r="O4268" t="str">
            <v>VALVE PISTON</v>
          </cell>
          <cell r="P4268">
            <v>513</v>
          </cell>
        </row>
        <row r="4269">
          <cell r="B4269" t="str">
            <v>712-03</v>
          </cell>
          <cell r="C4269" t="str">
            <v>VALVE PISTON</v>
          </cell>
          <cell r="D4269">
            <v>256.5</v>
          </cell>
          <cell r="N4269" t="str">
            <v>712-03</v>
          </cell>
          <cell r="O4269" t="str">
            <v>VALVE PISTON</v>
          </cell>
          <cell r="P4269">
            <v>513</v>
          </cell>
        </row>
        <row r="4270">
          <cell r="B4270" t="str">
            <v>712-08</v>
          </cell>
          <cell r="C4270" t="str">
            <v>VALVE PISTON</v>
          </cell>
          <cell r="D4270">
            <v>256.5</v>
          </cell>
          <cell r="N4270" t="str">
            <v>712-08</v>
          </cell>
          <cell r="O4270" t="str">
            <v>VALVE PISTON</v>
          </cell>
          <cell r="P4270">
            <v>513</v>
          </cell>
        </row>
        <row r="4271">
          <cell r="B4271" t="str">
            <v>712-08</v>
          </cell>
          <cell r="C4271" t="str">
            <v>VALVE PISTON</v>
          </cell>
          <cell r="D4271">
            <v>256.5</v>
          </cell>
          <cell r="N4271" t="str">
            <v>712-08</v>
          </cell>
          <cell r="O4271" t="str">
            <v>VALVE PISTON</v>
          </cell>
          <cell r="P4271">
            <v>513</v>
          </cell>
        </row>
        <row r="4272">
          <cell r="B4272" t="str">
            <v>712-08</v>
          </cell>
          <cell r="C4272" t="str">
            <v>VALVE PISTON</v>
          </cell>
          <cell r="D4272">
            <v>256.5</v>
          </cell>
          <cell r="N4272" t="str">
            <v>712-08</v>
          </cell>
          <cell r="O4272" t="str">
            <v>VALVE PISTON</v>
          </cell>
          <cell r="P4272">
            <v>513</v>
          </cell>
        </row>
        <row r="4273">
          <cell r="B4273" t="str">
            <v>712-08</v>
          </cell>
          <cell r="C4273" t="str">
            <v>VALVE PISTON</v>
          </cell>
          <cell r="D4273">
            <v>256.5</v>
          </cell>
          <cell r="N4273" t="str">
            <v>712-08</v>
          </cell>
          <cell r="O4273" t="str">
            <v>VALVE PISTON</v>
          </cell>
          <cell r="P4273">
            <v>513</v>
          </cell>
        </row>
        <row r="4274">
          <cell r="B4274" t="str">
            <v>712-09</v>
          </cell>
          <cell r="C4274" t="str">
            <v>VALVE PISTON</v>
          </cell>
          <cell r="D4274">
            <v>256.5</v>
          </cell>
          <cell r="N4274" t="str">
            <v>712-09</v>
          </cell>
          <cell r="O4274" t="str">
            <v>VALVE PISTON</v>
          </cell>
          <cell r="P4274">
            <v>513</v>
          </cell>
        </row>
        <row r="4275">
          <cell r="B4275" t="str">
            <v>712-09</v>
          </cell>
          <cell r="C4275" t="str">
            <v>VALVE PISTON</v>
          </cell>
          <cell r="D4275">
            <v>256.5</v>
          </cell>
          <cell r="N4275" t="str">
            <v>712-09</v>
          </cell>
          <cell r="O4275" t="str">
            <v>VALVE PISTON</v>
          </cell>
          <cell r="P4275">
            <v>513</v>
          </cell>
        </row>
        <row r="4276">
          <cell r="B4276" t="str">
            <v>712-12</v>
          </cell>
          <cell r="C4276" t="str">
            <v>VALVE PISTON</v>
          </cell>
          <cell r="D4276">
            <v>256.5</v>
          </cell>
          <cell r="N4276" t="str">
            <v>712-12</v>
          </cell>
          <cell r="O4276" t="str">
            <v>VALVE PISTON</v>
          </cell>
          <cell r="P4276">
            <v>513</v>
          </cell>
        </row>
        <row r="4277">
          <cell r="B4277" t="str">
            <v>712-12</v>
          </cell>
          <cell r="C4277" t="str">
            <v>VALVE PISTON</v>
          </cell>
          <cell r="D4277">
            <v>256.5</v>
          </cell>
          <cell r="N4277" t="str">
            <v>712-12</v>
          </cell>
          <cell r="O4277" t="str">
            <v>VALVE PISTON</v>
          </cell>
          <cell r="P4277">
            <v>513</v>
          </cell>
        </row>
        <row r="4278">
          <cell r="B4278" t="str">
            <v>712-14</v>
          </cell>
          <cell r="C4278" t="str">
            <v>VALVE PISTON</v>
          </cell>
          <cell r="D4278">
            <v>256.5</v>
          </cell>
          <cell r="N4278" t="str">
            <v>712-14</v>
          </cell>
          <cell r="O4278" t="str">
            <v>VALVE PISTON</v>
          </cell>
          <cell r="P4278">
            <v>513</v>
          </cell>
        </row>
        <row r="4279">
          <cell r="B4279" t="str">
            <v>712-14</v>
          </cell>
          <cell r="C4279" t="str">
            <v>VALVE PISTON</v>
          </cell>
          <cell r="D4279">
            <v>256.5</v>
          </cell>
          <cell r="N4279" t="str">
            <v>712-14</v>
          </cell>
          <cell r="O4279" t="str">
            <v>VALVE PISTON</v>
          </cell>
          <cell r="P4279">
            <v>513</v>
          </cell>
        </row>
        <row r="4280">
          <cell r="B4280" t="str">
            <v>712-15</v>
          </cell>
          <cell r="C4280" t="str">
            <v>VALVE PISTON</v>
          </cell>
          <cell r="D4280">
            <v>256.5</v>
          </cell>
          <cell r="N4280" t="str">
            <v>712-15</v>
          </cell>
          <cell r="O4280" t="str">
            <v>VALVE PISTON</v>
          </cell>
          <cell r="P4280">
            <v>513</v>
          </cell>
        </row>
        <row r="4281">
          <cell r="B4281" t="str">
            <v>1074-00</v>
          </cell>
          <cell r="C4281" t="str">
            <v>SUPPORT YOKE ASS'Y</v>
          </cell>
          <cell r="D4281">
            <v>181.5</v>
          </cell>
          <cell r="N4281" t="str">
            <v>1074-00</v>
          </cell>
          <cell r="O4281" t="str">
            <v>SUPPORT YOKE ASS'Y</v>
          </cell>
          <cell r="P4281">
            <v>363</v>
          </cell>
        </row>
        <row r="4282">
          <cell r="B4282" t="str">
            <v>1383-04</v>
          </cell>
          <cell r="C4282" t="str">
            <v>PISTON</v>
          </cell>
          <cell r="D4282">
            <v>257</v>
          </cell>
          <cell r="N4282" t="str">
            <v>1383-04</v>
          </cell>
          <cell r="O4282" t="str">
            <v>PISTON</v>
          </cell>
          <cell r="P4282">
            <v>514</v>
          </cell>
        </row>
        <row r="4283">
          <cell r="B4283" t="str">
            <v>1027-00</v>
          </cell>
          <cell r="C4283" t="str">
            <v>ROD GUIDE ASS'Y</v>
          </cell>
          <cell r="D4283">
            <v>241</v>
          </cell>
          <cell r="N4283" t="str">
            <v>1027-00</v>
          </cell>
          <cell r="O4283" t="str">
            <v>ROD GUIDE ASS'Y</v>
          </cell>
          <cell r="P4283">
            <v>482</v>
          </cell>
        </row>
        <row r="4284">
          <cell r="B4284" t="str">
            <v>1093-00</v>
          </cell>
          <cell r="C4284" t="str">
            <v>PISTON</v>
          </cell>
          <cell r="D4284">
            <v>257.5</v>
          </cell>
          <cell r="N4284" t="str">
            <v>1093-00</v>
          </cell>
          <cell r="O4284" t="str">
            <v>PISTON</v>
          </cell>
          <cell r="P4284">
            <v>515</v>
          </cell>
        </row>
        <row r="4285">
          <cell r="B4285" t="str">
            <v>1450-00</v>
          </cell>
          <cell r="C4285" t="str">
            <v>ROD GUIDE ASS'Y</v>
          </cell>
          <cell r="D4285">
            <v>245.5</v>
          </cell>
          <cell r="N4285" t="str">
            <v>1450-00</v>
          </cell>
          <cell r="O4285" t="str">
            <v>ROD GUIDE ASS'Y</v>
          </cell>
          <cell r="P4285">
            <v>491</v>
          </cell>
        </row>
        <row r="4286">
          <cell r="B4286" t="str">
            <v>1525-04</v>
          </cell>
          <cell r="C4286" t="str">
            <v>BODY</v>
          </cell>
          <cell r="D4286">
            <v>256.5</v>
          </cell>
          <cell r="N4286" t="str">
            <v>1525-04</v>
          </cell>
          <cell r="O4286" t="str">
            <v>BODY</v>
          </cell>
          <cell r="P4286">
            <v>513</v>
          </cell>
        </row>
        <row r="4287">
          <cell r="B4287" t="str">
            <v>1687-04</v>
          </cell>
          <cell r="C4287" t="str">
            <v>BODY</v>
          </cell>
          <cell r="D4287">
            <v>257.5</v>
          </cell>
          <cell r="N4287" t="str">
            <v>1687-04</v>
          </cell>
          <cell r="O4287" t="str">
            <v>BODY</v>
          </cell>
          <cell r="P4287">
            <v>515</v>
          </cell>
        </row>
        <row r="4288">
          <cell r="B4288" t="str">
            <v>1826-01</v>
          </cell>
          <cell r="C4288" t="str">
            <v>BODY</v>
          </cell>
          <cell r="D4288">
            <v>157</v>
          </cell>
          <cell r="N4288" t="str">
            <v>1826-01</v>
          </cell>
          <cell r="O4288" t="str">
            <v>BODY</v>
          </cell>
          <cell r="P4288">
            <v>314</v>
          </cell>
        </row>
        <row r="4289">
          <cell r="B4289" t="str">
            <v>680-03</v>
          </cell>
          <cell r="C4289" t="str">
            <v>ROD GUIDE ASS'Y</v>
          </cell>
          <cell r="D4289">
            <v>237.5</v>
          </cell>
          <cell r="N4289" t="str">
            <v>680-03</v>
          </cell>
          <cell r="O4289" t="str">
            <v>ROD GUIDE ASS'Y</v>
          </cell>
          <cell r="P4289">
            <v>475</v>
          </cell>
        </row>
        <row r="4290">
          <cell r="B4290" t="str">
            <v>798-02</v>
          </cell>
          <cell r="C4290" t="str">
            <v>ROD GUIDE ASS'Y</v>
          </cell>
          <cell r="D4290">
            <v>242.5</v>
          </cell>
          <cell r="N4290" t="str">
            <v>798-02</v>
          </cell>
          <cell r="O4290" t="str">
            <v>ROD GUIDE ASS'Y</v>
          </cell>
          <cell r="P4290">
            <v>485</v>
          </cell>
        </row>
        <row r="4291">
          <cell r="B4291" t="str">
            <v>1027-00</v>
          </cell>
          <cell r="C4291" t="str">
            <v>ROD GUIDE ASS'Y</v>
          </cell>
          <cell r="D4291">
            <v>241</v>
          </cell>
          <cell r="N4291" t="str">
            <v>1027-00</v>
          </cell>
          <cell r="O4291" t="str">
            <v>ROD GUIDE ASS'Y</v>
          </cell>
          <cell r="P4291">
            <v>482</v>
          </cell>
        </row>
        <row r="4292">
          <cell r="B4292" t="str">
            <v>1027-00</v>
          </cell>
          <cell r="C4292" t="str">
            <v>ROD GUIDE ASS'Y</v>
          </cell>
          <cell r="D4292">
            <v>241</v>
          </cell>
          <cell r="N4292" t="str">
            <v>1027-00</v>
          </cell>
          <cell r="O4292" t="str">
            <v>ROD GUIDE ASS'Y</v>
          </cell>
          <cell r="P4292">
            <v>482</v>
          </cell>
        </row>
        <row r="4293">
          <cell r="B4293" t="str">
            <v>1530-05</v>
          </cell>
          <cell r="C4293" t="str">
            <v>PISTON</v>
          </cell>
          <cell r="D4293">
            <v>249</v>
          </cell>
          <cell r="N4293" t="str">
            <v>1530-05</v>
          </cell>
          <cell r="O4293" t="str">
            <v>PISTON</v>
          </cell>
          <cell r="P4293">
            <v>498</v>
          </cell>
        </row>
        <row r="4294">
          <cell r="B4294" t="str">
            <v>1631-00</v>
          </cell>
          <cell r="C4294" t="str">
            <v>PISTON</v>
          </cell>
          <cell r="D4294">
            <v>198.5</v>
          </cell>
          <cell r="N4294" t="str">
            <v>1631-00</v>
          </cell>
          <cell r="O4294" t="str">
            <v>PISTON</v>
          </cell>
          <cell r="P4294">
            <v>397</v>
          </cell>
        </row>
        <row r="4295">
          <cell r="B4295" t="str">
            <v>1687-06</v>
          </cell>
          <cell r="C4295" t="str">
            <v>BODY</v>
          </cell>
          <cell r="D4295">
            <v>258</v>
          </cell>
          <cell r="N4295" t="str">
            <v>1687-06</v>
          </cell>
          <cell r="O4295" t="str">
            <v>BODY</v>
          </cell>
          <cell r="P4295">
            <v>516</v>
          </cell>
        </row>
        <row r="4296">
          <cell r="B4296" t="str">
            <v>464-31</v>
          </cell>
          <cell r="C4296" t="str">
            <v>PISTON</v>
          </cell>
          <cell r="D4296">
            <v>258</v>
          </cell>
          <cell r="N4296" t="str">
            <v>464-31</v>
          </cell>
          <cell r="O4296" t="str">
            <v>PISTON</v>
          </cell>
          <cell r="P4296">
            <v>516</v>
          </cell>
        </row>
        <row r="4297">
          <cell r="B4297" t="str">
            <v>1031-01</v>
          </cell>
          <cell r="C4297" t="str">
            <v>ROD GUIDE ASS'Y</v>
          </cell>
          <cell r="D4297">
            <v>190.5</v>
          </cell>
          <cell r="N4297" t="str">
            <v>1031-01</v>
          </cell>
          <cell r="O4297" t="str">
            <v>ROD GUIDE ASS'Y</v>
          </cell>
          <cell r="P4297">
            <v>381</v>
          </cell>
        </row>
        <row r="4298">
          <cell r="B4298" t="str">
            <v>798-02</v>
          </cell>
          <cell r="C4298" t="str">
            <v>ROD GUIDE ASS'Y</v>
          </cell>
          <cell r="D4298">
            <v>242.5</v>
          </cell>
          <cell r="N4298" t="str">
            <v>798-02</v>
          </cell>
          <cell r="O4298" t="str">
            <v>ROD GUIDE ASS'Y</v>
          </cell>
          <cell r="P4298">
            <v>485</v>
          </cell>
        </row>
        <row r="4299">
          <cell r="B4299" t="str">
            <v>1530-06</v>
          </cell>
          <cell r="C4299" t="str">
            <v>PISTON</v>
          </cell>
          <cell r="D4299">
            <v>259</v>
          </cell>
          <cell r="N4299" t="str">
            <v>1530-06</v>
          </cell>
          <cell r="O4299" t="str">
            <v>PISTON</v>
          </cell>
          <cell r="P4299">
            <v>518</v>
          </cell>
        </row>
        <row r="4300">
          <cell r="B4300" t="str">
            <v>1613-05</v>
          </cell>
          <cell r="C4300" t="str">
            <v>BODY</v>
          </cell>
          <cell r="D4300">
            <v>147</v>
          </cell>
          <cell r="N4300" t="str">
            <v>1613-05</v>
          </cell>
          <cell r="O4300" t="str">
            <v>BODY</v>
          </cell>
          <cell r="P4300">
            <v>294</v>
          </cell>
        </row>
        <row r="4301">
          <cell r="B4301" t="str">
            <v>1665-03</v>
          </cell>
          <cell r="C4301" t="str">
            <v>BODY</v>
          </cell>
          <cell r="D4301">
            <v>128.5</v>
          </cell>
          <cell r="N4301" t="str">
            <v>1665-03</v>
          </cell>
          <cell r="O4301" t="str">
            <v>BODY</v>
          </cell>
          <cell r="P4301">
            <v>257</v>
          </cell>
        </row>
        <row r="4302">
          <cell r="B4302" t="str">
            <v>591-19</v>
          </cell>
          <cell r="C4302" t="str">
            <v>PISTON</v>
          </cell>
          <cell r="D4302">
            <v>175</v>
          </cell>
          <cell r="N4302" t="str">
            <v>591-19</v>
          </cell>
          <cell r="O4302" t="str">
            <v>PISTON</v>
          </cell>
          <cell r="P4302">
            <v>350</v>
          </cell>
        </row>
        <row r="4303">
          <cell r="B4303" t="str">
            <v>1015-00</v>
          </cell>
          <cell r="C4303" t="str">
            <v>BODY</v>
          </cell>
          <cell r="D4303">
            <v>259.5</v>
          </cell>
          <cell r="N4303" t="str">
            <v>1015-00</v>
          </cell>
          <cell r="O4303" t="str">
            <v>BODY</v>
          </cell>
          <cell r="P4303">
            <v>519</v>
          </cell>
        </row>
        <row r="4304">
          <cell r="B4304" t="str">
            <v>1851-05</v>
          </cell>
          <cell r="C4304" t="str">
            <v>VALVE RETAINER</v>
          </cell>
          <cell r="D4304">
            <v>259.5</v>
          </cell>
          <cell r="N4304" t="str">
            <v>1851-05</v>
          </cell>
          <cell r="O4304" t="str">
            <v>VALVE RETAINER</v>
          </cell>
          <cell r="P4304">
            <v>519</v>
          </cell>
        </row>
        <row r="4305">
          <cell r="B4305" t="str">
            <v>1922-08</v>
          </cell>
          <cell r="C4305" t="str">
            <v>RS RETAINER</v>
          </cell>
          <cell r="D4305">
            <v>108</v>
          </cell>
          <cell r="N4305" t="str">
            <v>1922-08</v>
          </cell>
          <cell r="O4305" t="str">
            <v>RS RETAINER</v>
          </cell>
          <cell r="P4305">
            <v>216</v>
          </cell>
        </row>
        <row r="4306">
          <cell r="B4306" t="str">
            <v>1027-02</v>
          </cell>
          <cell r="C4306" t="str">
            <v>ROD GUIDE ASS'Y</v>
          </cell>
          <cell r="D4306">
            <v>233</v>
          </cell>
          <cell r="N4306" t="str">
            <v>1027-02</v>
          </cell>
          <cell r="O4306" t="str">
            <v>ROD GUIDE ASS'Y</v>
          </cell>
          <cell r="P4306">
            <v>466</v>
          </cell>
        </row>
        <row r="4307">
          <cell r="B4307" t="str">
            <v>1027-02</v>
          </cell>
          <cell r="C4307" t="str">
            <v>ROD GUIDE ASS'Y</v>
          </cell>
          <cell r="D4307">
            <v>233</v>
          </cell>
          <cell r="N4307" t="str">
            <v>1027-02</v>
          </cell>
          <cell r="O4307" t="str">
            <v>ROD GUIDE ASS'Y</v>
          </cell>
          <cell r="P4307">
            <v>466</v>
          </cell>
        </row>
        <row r="4308">
          <cell r="B4308" t="str">
            <v>1182-08</v>
          </cell>
          <cell r="C4308" t="str">
            <v>VALVE PISTON</v>
          </cell>
          <cell r="D4308">
            <v>110</v>
          </cell>
          <cell r="N4308" t="str">
            <v>1182-08</v>
          </cell>
          <cell r="O4308" t="str">
            <v>VALVE PISTON</v>
          </cell>
          <cell r="P4308">
            <v>220</v>
          </cell>
        </row>
        <row r="4309">
          <cell r="B4309" t="str">
            <v>1182-08</v>
          </cell>
          <cell r="C4309" t="str">
            <v>VALVE PISTON</v>
          </cell>
          <cell r="D4309">
            <v>110</v>
          </cell>
          <cell r="N4309" t="str">
            <v>1182-08</v>
          </cell>
          <cell r="O4309" t="str">
            <v>VALVE PISTON</v>
          </cell>
          <cell r="P4309">
            <v>220</v>
          </cell>
        </row>
        <row r="4310">
          <cell r="B4310" t="str">
            <v>1225-00</v>
          </cell>
          <cell r="C4310" t="str">
            <v>TONE WHEEL</v>
          </cell>
          <cell r="D4310">
            <v>260</v>
          </cell>
          <cell r="N4310" t="str">
            <v>1225-00</v>
          </cell>
          <cell r="O4310" t="str">
            <v>TONE WHEEL</v>
          </cell>
          <cell r="P4310">
            <v>520</v>
          </cell>
        </row>
        <row r="4311">
          <cell r="B4311" t="str">
            <v>1225-00</v>
          </cell>
          <cell r="C4311" t="str">
            <v>TONE WHEEL</v>
          </cell>
          <cell r="D4311">
            <v>260</v>
          </cell>
          <cell r="N4311" t="str">
            <v>1225-00</v>
          </cell>
          <cell r="O4311" t="str">
            <v>TONE WHEEL</v>
          </cell>
          <cell r="P4311">
            <v>520</v>
          </cell>
        </row>
        <row r="4312">
          <cell r="B4312" t="str">
            <v>1225-00</v>
          </cell>
          <cell r="C4312" t="str">
            <v>TONE WHEEL</v>
          </cell>
          <cell r="D4312">
            <v>260</v>
          </cell>
          <cell r="N4312" t="str">
            <v>1225-00</v>
          </cell>
          <cell r="O4312" t="str">
            <v>TONE WHEEL</v>
          </cell>
          <cell r="P4312">
            <v>520</v>
          </cell>
        </row>
        <row r="4313">
          <cell r="B4313" t="str">
            <v>1371-01</v>
          </cell>
          <cell r="C4313" t="str">
            <v>VALVE PISTON</v>
          </cell>
          <cell r="D4313">
            <v>260</v>
          </cell>
          <cell r="N4313" t="str">
            <v>1371-01</v>
          </cell>
          <cell r="O4313" t="str">
            <v>VALVE PISTON</v>
          </cell>
          <cell r="P4313">
            <v>520</v>
          </cell>
        </row>
        <row r="4314">
          <cell r="B4314" t="str">
            <v>1371-01</v>
          </cell>
          <cell r="C4314" t="str">
            <v>VALVE PISTON</v>
          </cell>
          <cell r="D4314">
            <v>260</v>
          </cell>
          <cell r="N4314" t="str">
            <v>1371-01</v>
          </cell>
          <cell r="O4314" t="str">
            <v>VALVE PISTON</v>
          </cell>
          <cell r="P4314">
            <v>520</v>
          </cell>
        </row>
        <row r="4315">
          <cell r="B4315" t="str">
            <v>1482-02</v>
          </cell>
          <cell r="C4315" t="str">
            <v>VALVE PISTON</v>
          </cell>
          <cell r="D4315">
            <v>260</v>
          </cell>
          <cell r="N4315" t="str">
            <v>1482-02</v>
          </cell>
          <cell r="O4315" t="str">
            <v>VALVE PISTON</v>
          </cell>
          <cell r="P4315">
            <v>520</v>
          </cell>
        </row>
        <row r="4316">
          <cell r="B4316" t="str">
            <v>588-67</v>
          </cell>
          <cell r="C4316" t="str">
            <v>PISTON</v>
          </cell>
          <cell r="D4316">
            <v>260</v>
          </cell>
          <cell r="N4316" t="str">
            <v>588-67</v>
          </cell>
          <cell r="O4316" t="str">
            <v>PISTON</v>
          </cell>
          <cell r="P4316">
            <v>520</v>
          </cell>
        </row>
        <row r="4317">
          <cell r="B4317" t="str">
            <v>1318-00</v>
          </cell>
          <cell r="C4317" t="str">
            <v>ROD GUIDE ASS'Y</v>
          </cell>
          <cell r="D4317">
            <v>260.5</v>
          </cell>
          <cell r="N4317" t="str">
            <v>1318-00</v>
          </cell>
          <cell r="O4317" t="str">
            <v>ROD GUIDE ASS'Y</v>
          </cell>
          <cell r="P4317">
            <v>521</v>
          </cell>
        </row>
        <row r="4318">
          <cell r="B4318" t="str">
            <v>2001-00</v>
          </cell>
          <cell r="C4318" t="str">
            <v>PISTON</v>
          </cell>
          <cell r="D4318">
            <v>260.5</v>
          </cell>
          <cell r="N4318" t="str">
            <v>2001-00</v>
          </cell>
          <cell r="O4318" t="str">
            <v>PISTON</v>
          </cell>
          <cell r="P4318">
            <v>521</v>
          </cell>
        </row>
        <row r="4319">
          <cell r="B4319" t="str">
            <v>1234-02</v>
          </cell>
          <cell r="C4319" t="str">
            <v>VALVE PISTON</v>
          </cell>
          <cell r="D4319">
            <v>256</v>
          </cell>
          <cell r="N4319" t="str">
            <v>1234-02</v>
          </cell>
          <cell r="O4319" t="str">
            <v>VALVE PISTON</v>
          </cell>
          <cell r="P4319">
            <v>512</v>
          </cell>
        </row>
        <row r="4320">
          <cell r="B4320" t="str">
            <v>1234-02</v>
          </cell>
          <cell r="C4320" t="str">
            <v>VALVE PISTON</v>
          </cell>
          <cell r="D4320">
            <v>256</v>
          </cell>
          <cell r="N4320" t="str">
            <v>1234-02</v>
          </cell>
          <cell r="O4320" t="str">
            <v>VALVE PISTON</v>
          </cell>
          <cell r="P4320">
            <v>512</v>
          </cell>
        </row>
        <row r="4321">
          <cell r="B4321" t="str">
            <v>2000-00</v>
          </cell>
          <cell r="C4321" t="str">
            <v>PISTON</v>
          </cell>
          <cell r="D4321">
            <v>244.5</v>
          </cell>
          <cell r="N4321" t="str">
            <v>2000-00</v>
          </cell>
          <cell r="O4321" t="str">
            <v>PISTON</v>
          </cell>
          <cell r="P4321">
            <v>489</v>
          </cell>
        </row>
        <row r="4322">
          <cell r="B4322" t="str">
            <v>2000-00</v>
          </cell>
          <cell r="C4322" t="str">
            <v>PISTON</v>
          </cell>
          <cell r="D4322">
            <v>244.5</v>
          </cell>
          <cell r="N4322" t="str">
            <v>2000-00</v>
          </cell>
          <cell r="O4322" t="str">
            <v>PISTON</v>
          </cell>
          <cell r="P4322">
            <v>489</v>
          </cell>
        </row>
        <row r="4323">
          <cell r="B4323" t="str">
            <v>671-06</v>
          </cell>
          <cell r="C4323" t="str">
            <v>PISTON</v>
          </cell>
          <cell r="D4323">
            <v>104</v>
          </cell>
          <cell r="N4323" t="str">
            <v>671-06</v>
          </cell>
          <cell r="O4323" t="str">
            <v>PISTON</v>
          </cell>
          <cell r="P4323">
            <v>208</v>
          </cell>
        </row>
        <row r="4324">
          <cell r="B4324" t="str">
            <v>798-00</v>
          </cell>
          <cell r="C4324" t="str">
            <v>ROD GUIDE ASS'Y</v>
          </cell>
          <cell r="D4324">
            <v>261</v>
          </cell>
          <cell r="N4324" t="str">
            <v>798-00</v>
          </cell>
          <cell r="O4324" t="str">
            <v>ROD GUIDE ASS'Y</v>
          </cell>
          <cell r="P4324">
            <v>522</v>
          </cell>
        </row>
        <row r="4325">
          <cell r="B4325" t="str">
            <v>1027-00</v>
          </cell>
          <cell r="C4325" t="str">
            <v>ROD GUIDE ASS'Y</v>
          </cell>
          <cell r="D4325">
            <v>241</v>
          </cell>
          <cell r="N4325" t="str">
            <v>1027-00</v>
          </cell>
          <cell r="O4325" t="str">
            <v>ROD GUIDE ASS'Y</v>
          </cell>
          <cell r="P4325">
            <v>482</v>
          </cell>
        </row>
        <row r="4326">
          <cell r="B4326" t="str">
            <v>1027-00</v>
          </cell>
          <cell r="C4326" t="str">
            <v>ROD GUIDE ASS'Y</v>
          </cell>
          <cell r="D4326">
            <v>241</v>
          </cell>
          <cell r="N4326" t="str">
            <v>1027-00</v>
          </cell>
          <cell r="O4326" t="str">
            <v>ROD GUIDE ASS'Y</v>
          </cell>
          <cell r="P4326">
            <v>482</v>
          </cell>
        </row>
        <row r="4327">
          <cell r="B4327" t="str">
            <v>1030-00</v>
          </cell>
          <cell r="C4327" t="str">
            <v>ROD GUIDE ASS'Y</v>
          </cell>
          <cell r="D4327">
            <v>261.5</v>
          </cell>
          <cell r="N4327" t="str">
            <v>1030-00</v>
          </cell>
          <cell r="O4327" t="str">
            <v>ROD GUIDE ASS'Y</v>
          </cell>
          <cell r="P4327">
            <v>523</v>
          </cell>
        </row>
        <row r="4328">
          <cell r="B4328" t="str">
            <v>1589-04</v>
          </cell>
          <cell r="C4328" t="str">
            <v>REB,RETAINER</v>
          </cell>
          <cell r="D4328">
            <v>207.5</v>
          </cell>
          <cell r="N4328" t="str">
            <v>1589-04</v>
          </cell>
          <cell r="O4328" t="str">
            <v>REB,RETAINER</v>
          </cell>
          <cell r="P4328">
            <v>415</v>
          </cell>
        </row>
        <row r="4329">
          <cell r="B4329" t="str">
            <v>598-28</v>
          </cell>
          <cell r="C4329" t="str">
            <v>PISTON</v>
          </cell>
          <cell r="D4329">
            <v>256.5</v>
          </cell>
          <cell r="N4329" t="str">
            <v>598-28</v>
          </cell>
          <cell r="O4329" t="str">
            <v>PISTON</v>
          </cell>
          <cell r="P4329">
            <v>513</v>
          </cell>
        </row>
        <row r="4330">
          <cell r="B4330" t="str">
            <v>1554-08</v>
          </cell>
          <cell r="C4330" t="str">
            <v>RS RETAINER</v>
          </cell>
          <cell r="D4330">
            <v>90</v>
          </cell>
          <cell r="N4330" t="str">
            <v>1554-08</v>
          </cell>
          <cell r="O4330" t="str">
            <v>RS RETAINER</v>
          </cell>
          <cell r="P4330">
            <v>180</v>
          </cell>
        </row>
        <row r="4331">
          <cell r="B4331" t="str">
            <v>673-05</v>
          </cell>
          <cell r="C4331" t="str">
            <v>PISTON</v>
          </cell>
          <cell r="D4331">
            <v>121</v>
          </cell>
          <cell r="N4331" t="str">
            <v>673-05</v>
          </cell>
          <cell r="O4331" t="str">
            <v>PISTON</v>
          </cell>
          <cell r="P4331">
            <v>242</v>
          </cell>
        </row>
        <row r="4332">
          <cell r="B4332" t="str">
            <v>1027-00</v>
          </cell>
          <cell r="C4332" t="str">
            <v>ROD GUIDE ASS'Y</v>
          </cell>
          <cell r="D4332">
            <v>241</v>
          </cell>
          <cell r="N4332" t="str">
            <v>1027-00</v>
          </cell>
          <cell r="O4332" t="str">
            <v>ROD GUIDE ASS'Y</v>
          </cell>
          <cell r="P4332">
            <v>482</v>
          </cell>
        </row>
        <row r="4333">
          <cell r="B4333" t="str">
            <v>1181-06</v>
          </cell>
          <cell r="C4333" t="str">
            <v>VALVE PISTON</v>
          </cell>
          <cell r="D4333">
            <v>262.5</v>
          </cell>
          <cell r="N4333" t="str">
            <v>1181-06</v>
          </cell>
          <cell r="O4333" t="str">
            <v>VALVE PISTON</v>
          </cell>
          <cell r="P4333">
            <v>525</v>
          </cell>
        </row>
        <row r="4334">
          <cell r="B4334" t="str">
            <v>1181-06</v>
          </cell>
          <cell r="C4334" t="str">
            <v>VALVE PISTON</v>
          </cell>
          <cell r="D4334">
            <v>262.5</v>
          </cell>
          <cell r="N4334" t="str">
            <v>1181-06</v>
          </cell>
          <cell r="O4334" t="str">
            <v>VALVE PISTON</v>
          </cell>
          <cell r="P4334">
            <v>525</v>
          </cell>
        </row>
        <row r="4335">
          <cell r="B4335" t="str">
            <v>1181-07</v>
          </cell>
          <cell r="C4335" t="str">
            <v>VALVE PISTON</v>
          </cell>
          <cell r="D4335">
            <v>262.5</v>
          </cell>
          <cell r="N4335" t="str">
            <v>1181-07</v>
          </cell>
          <cell r="O4335" t="str">
            <v>VALVE PISTON</v>
          </cell>
          <cell r="P4335">
            <v>525</v>
          </cell>
        </row>
        <row r="4336">
          <cell r="B4336" t="str">
            <v>1181-07</v>
          </cell>
          <cell r="C4336" t="str">
            <v>VALVE PISTON</v>
          </cell>
          <cell r="D4336">
            <v>262.5</v>
          </cell>
          <cell r="N4336" t="str">
            <v>1181-07</v>
          </cell>
          <cell r="O4336" t="str">
            <v>VALVE PISTON</v>
          </cell>
          <cell r="P4336">
            <v>525</v>
          </cell>
        </row>
        <row r="4337">
          <cell r="B4337" t="str">
            <v>1274-05</v>
          </cell>
          <cell r="C4337" t="str">
            <v>PISTON</v>
          </cell>
          <cell r="D4337">
            <v>262.5</v>
          </cell>
          <cell r="N4337" t="str">
            <v>1274-05</v>
          </cell>
          <cell r="O4337" t="str">
            <v>PISTON</v>
          </cell>
          <cell r="P4337">
            <v>525</v>
          </cell>
        </row>
        <row r="4338">
          <cell r="B4338" t="str">
            <v>1318-00</v>
          </cell>
          <cell r="C4338" t="str">
            <v>ROD GUIDE ASS'Y</v>
          </cell>
          <cell r="D4338">
            <v>260.5</v>
          </cell>
          <cell r="N4338" t="str">
            <v>1318-00</v>
          </cell>
          <cell r="O4338" t="str">
            <v>ROD GUIDE ASS'Y</v>
          </cell>
          <cell r="P4338">
            <v>521</v>
          </cell>
        </row>
        <row r="4339">
          <cell r="B4339" t="str">
            <v>1630-02</v>
          </cell>
          <cell r="C4339" t="str">
            <v>RS RETAINER</v>
          </cell>
          <cell r="D4339">
            <v>215.5</v>
          </cell>
          <cell r="N4339" t="str">
            <v>1630-02</v>
          </cell>
          <cell r="O4339" t="str">
            <v>RS RETAINER</v>
          </cell>
          <cell r="P4339">
            <v>431</v>
          </cell>
        </row>
        <row r="4340">
          <cell r="B4340" t="str">
            <v>1027-00</v>
          </cell>
          <cell r="C4340" t="str">
            <v>ROD GUIDE ASS'Y</v>
          </cell>
          <cell r="D4340">
            <v>241</v>
          </cell>
          <cell r="N4340" t="str">
            <v>1027-00</v>
          </cell>
          <cell r="O4340" t="str">
            <v>ROD GUIDE ASS'Y</v>
          </cell>
          <cell r="P4340">
            <v>482</v>
          </cell>
        </row>
        <row r="4341">
          <cell r="B4341" t="str">
            <v>592-10</v>
          </cell>
          <cell r="C4341" t="str">
            <v>PISTON</v>
          </cell>
          <cell r="D4341">
            <v>263</v>
          </cell>
          <cell r="N4341" t="str">
            <v>592-10</v>
          </cell>
          <cell r="O4341" t="str">
            <v>PISTON</v>
          </cell>
          <cell r="P4341">
            <v>526</v>
          </cell>
        </row>
        <row r="4342">
          <cell r="B4342" t="str">
            <v>1371-02</v>
          </cell>
          <cell r="C4342" t="str">
            <v>VALVE PISTON</v>
          </cell>
          <cell r="D4342">
            <v>263.5</v>
          </cell>
          <cell r="N4342" t="str">
            <v>1371-02</v>
          </cell>
          <cell r="O4342" t="str">
            <v>VALVE PISTON</v>
          </cell>
          <cell r="P4342">
            <v>527</v>
          </cell>
        </row>
        <row r="4343">
          <cell r="B4343" t="str">
            <v>1371-02</v>
          </cell>
          <cell r="C4343" t="str">
            <v>VALVE PISTON</v>
          </cell>
          <cell r="D4343">
            <v>263.5</v>
          </cell>
          <cell r="N4343" t="str">
            <v>1371-02</v>
          </cell>
          <cell r="O4343" t="str">
            <v>VALVE PISTON</v>
          </cell>
          <cell r="P4343">
            <v>527</v>
          </cell>
        </row>
        <row r="4344">
          <cell r="B4344" t="str">
            <v>1525-03</v>
          </cell>
          <cell r="C4344" t="str">
            <v>BODY</v>
          </cell>
          <cell r="D4344">
            <v>249.5</v>
          </cell>
          <cell r="N4344" t="str">
            <v>1525-03</v>
          </cell>
          <cell r="O4344" t="str">
            <v>BODY</v>
          </cell>
          <cell r="P4344">
            <v>499</v>
          </cell>
        </row>
        <row r="4345">
          <cell r="B4345" t="str">
            <v>1588-06</v>
          </cell>
          <cell r="C4345" t="str">
            <v>PISTON</v>
          </cell>
          <cell r="D4345">
            <v>263.5</v>
          </cell>
          <cell r="N4345" t="str">
            <v>1588-06</v>
          </cell>
          <cell r="O4345" t="str">
            <v>PISTON</v>
          </cell>
          <cell r="P4345">
            <v>527</v>
          </cell>
        </row>
        <row r="4346">
          <cell r="B4346" t="str">
            <v>2000-02</v>
          </cell>
          <cell r="C4346" t="str">
            <v>PISTON</v>
          </cell>
          <cell r="D4346">
            <v>264.5</v>
          </cell>
          <cell r="N4346" t="str">
            <v>2000-02</v>
          </cell>
          <cell r="O4346" t="str">
            <v>PISTON</v>
          </cell>
          <cell r="P4346">
            <v>529</v>
          </cell>
        </row>
        <row r="4347">
          <cell r="B4347" t="str">
            <v>591-17</v>
          </cell>
          <cell r="C4347" t="str">
            <v>PISTON</v>
          </cell>
          <cell r="D4347">
            <v>264.5</v>
          </cell>
          <cell r="N4347" t="str">
            <v>591-17</v>
          </cell>
          <cell r="O4347" t="str">
            <v>PISTON</v>
          </cell>
          <cell r="P4347">
            <v>529</v>
          </cell>
        </row>
        <row r="4348">
          <cell r="B4348" t="str">
            <v>062-01</v>
          </cell>
          <cell r="C4348" t="str">
            <v>ROD GUIDE ASS'Y</v>
          </cell>
          <cell r="D4348">
            <v>212.5</v>
          </cell>
          <cell r="N4348" t="str">
            <v>062-01</v>
          </cell>
          <cell r="O4348" t="str">
            <v>ROD GUIDE ASS'Y</v>
          </cell>
          <cell r="P4348">
            <v>425</v>
          </cell>
        </row>
        <row r="4349">
          <cell r="B4349" t="str">
            <v>062-01</v>
          </cell>
          <cell r="C4349" t="str">
            <v>ROD GUIDE ASS'Y</v>
          </cell>
          <cell r="D4349">
            <v>212.5</v>
          </cell>
          <cell r="N4349" t="str">
            <v>062-01</v>
          </cell>
          <cell r="O4349" t="str">
            <v>ROD GUIDE ASS'Y</v>
          </cell>
          <cell r="P4349">
            <v>425</v>
          </cell>
        </row>
        <row r="4350">
          <cell r="B4350" t="str">
            <v>062-01</v>
          </cell>
          <cell r="C4350" t="str">
            <v>ROD GUIDE ASS'Y</v>
          </cell>
          <cell r="D4350">
            <v>212.5</v>
          </cell>
          <cell r="N4350" t="str">
            <v>062-01</v>
          </cell>
          <cell r="O4350" t="str">
            <v>ROD GUIDE ASS'Y</v>
          </cell>
          <cell r="P4350">
            <v>425</v>
          </cell>
        </row>
        <row r="4351">
          <cell r="B4351" t="str">
            <v>1182-08</v>
          </cell>
          <cell r="C4351" t="str">
            <v>VALVE PISTON</v>
          </cell>
          <cell r="D4351">
            <v>110</v>
          </cell>
          <cell r="N4351" t="str">
            <v>1182-08</v>
          </cell>
          <cell r="O4351" t="str">
            <v>VALVE PISTON</v>
          </cell>
          <cell r="P4351">
            <v>220</v>
          </cell>
        </row>
        <row r="4352">
          <cell r="B4352" t="str">
            <v>1182-08</v>
          </cell>
          <cell r="C4352" t="str">
            <v>VALVE PISTON</v>
          </cell>
          <cell r="D4352">
            <v>110</v>
          </cell>
          <cell r="N4352" t="str">
            <v>1182-08</v>
          </cell>
          <cell r="O4352" t="str">
            <v>VALVE PISTON</v>
          </cell>
          <cell r="P4352">
            <v>220</v>
          </cell>
        </row>
        <row r="4353">
          <cell r="B4353" t="str">
            <v>1371-01</v>
          </cell>
          <cell r="C4353" t="str">
            <v>VALVE PISTON</v>
          </cell>
          <cell r="D4353">
            <v>260</v>
          </cell>
          <cell r="N4353" t="str">
            <v>1371-01</v>
          </cell>
          <cell r="O4353" t="str">
            <v>VALVE PISTON</v>
          </cell>
          <cell r="P4353">
            <v>520</v>
          </cell>
        </row>
        <row r="4354">
          <cell r="B4354" t="str">
            <v>1687-04</v>
          </cell>
          <cell r="C4354" t="str">
            <v>BODY</v>
          </cell>
          <cell r="D4354">
            <v>257.5</v>
          </cell>
          <cell r="N4354" t="str">
            <v>1687-04</v>
          </cell>
          <cell r="O4354" t="str">
            <v>BODY</v>
          </cell>
          <cell r="P4354">
            <v>515</v>
          </cell>
        </row>
        <row r="4355">
          <cell r="B4355" t="str">
            <v>1687-07</v>
          </cell>
          <cell r="C4355" t="str">
            <v>BODY</v>
          </cell>
          <cell r="D4355">
            <v>265</v>
          </cell>
          <cell r="N4355" t="str">
            <v>1687-07</v>
          </cell>
          <cell r="O4355" t="str">
            <v>BODY</v>
          </cell>
          <cell r="P4355">
            <v>530</v>
          </cell>
        </row>
        <row r="4356">
          <cell r="B4356" t="str">
            <v>1996-07</v>
          </cell>
          <cell r="C4356" t="str">
            <v>BODY</v>
          </cell>
          <cell r="D4356">
            <v>265</v>
          </cell>
          <cell r="N4356" t="str">
            <v>1996-07</v>
          </cell>
          <cell r="O4356" t="str">
            <v>BODY</v>
          </cell>
          <cell r="P4356">
            <v>530</v>
          </cell>
        </row>
        <row r="4357">
          <cell r="B4357" t="str">
            <v>591-16</v>
          </cell>
          <cell r="C4357" t="str">
            <v>PISTON</v>
          </cell>
          <cell r="D4357">
            <v>265</v>
          </cell>
          <cell r="N4357" t="str">
            <v>591-16</v>
          </cell>
          <cell r="O4357" t="str">
            <v>PISTON</v>
          </cell>
          <cell r="P4357">
            <v>530</v>
          </cell>
        </row>
        <row r="4358">
          <cell r="B4358" t="str">
            <v>972-00</v>
          </cell>
          <cell r="C4358" t="str">
            <v>ROD GUIDE ASS'Y</v>
          </cell>
          <cell r="D4358">
            <v>244.5</v>
          </cell>
          <cell r="N4358" t="str">
            <v>972-00</v>
          </cell>
          <cell r="O4358" t="str">
            <v>ROD GUIDE ASS'Y</v>
          </cell>
          <cell r="P4358">
            <v>489</v>
          </cell>
        </row>
        <row r="4359">
          <cell r="B4359" t="str">
            <v>1027-00</v>
          </cell>
          <cell r="C4359" t="str">
            <v>ROD GUIDE ASS'Y</v>
          </cell>
          <cell r="D4359">
            <v>241</v>
          </cell>
          <cell r="N4359" t="str">
            <v>1027-00</v>
          </cell>
          <cell r="O4359" t="str">
            <v>ROD GUIDE ASS'Y</v>
          </cell>
          <cell r="P4359">
            <v>482</v>
          </cell>
        </row>
        <row r="4360">
          <cell r="B4360" t="str">
            <v>1862-00</v>
          </cell>
          <cell r="C4360" t="str">
            <v>MOVABLE GEAR</v>
          </cell>
          <cell r="D4360">
            <v>318.59999999999997</v>
          </cell>
          <cell r="N4360" t="str">
            <v>1862-00</v>
          </cell>
          <cell r="O4360" t="str">
            <v>MOVABLE GEAR</v>
          </cell>
          <cell r="P4360">
            <v>531</v>
          </cell>
        </row>
        <row r="4361">
          <cell r="B4361" t="str">
            <v>1525-11</v>
          </cell>
          <cell r="C4361" t="str">
            <v>BODY</v>
          </cell>
          <cell r="D4361">
            <v>266</v>
          </cell>
          <cell r="N4361" t="str">
            <v>1525-11</v>
          </cell>
          <cell r="O4361" t="str">
            <v>BODY</v>
          </cell>
          <cell r="P4361">
            <v>532</v>
          </cell>
        </row>
        <row r="4362">
          <cell r="B4362" t="str">
            <v>1665-05</v>
          </cell>
          <cell r="C4362" t="str">
            <v>BODY</v>
          </cell>
          <cell r="D4362">
            <v>141.5</v>
          </cell>
          <cell r="N4362" t="str">
            <v>1665-05</v>
          </cell>
          <cell r="O4362" t="str">
            <v>BODY</v>
          </cell>
          <cell r="P4362">
            <v>283</v>
          </cell>
        </row>
        <row r="4363">
          <cell r="B4363" t="str">
            <v>591-04</v>
          </cell>
          <cell r="C4363" t="str">
            <v>PISTON</v>
          </cell>
          <cell r="D4363">
            <v>189.5</v>
          </cell>
          <cell r="N4363" t="str">
            <v>591-04</v>
          </cell>
          <cell r="O4363" t="str">
            <v>PISTON</v>
          </cell>
          <cell r="P4363">
            <v>379</v>
          </cell>
        </row>
        <row r="4364">
          <cell r="B4364" t="str">
            <v>659-08</v>
          </cell>
          <cell r="C4364" t="str">
            <v>ROD GUIDE ASS'Y</v>
          </cell>
          <cell r="D4364">
            <v>193.5</v>
          </cell>
          <cell r="N4364" t="str">
            <v>659-08</v>
          </cell>
          <cell r="O4364" t="str">
            <v>ROD GUIDE ASS'Y</v>
          </cell>
          <cell r="P4364">
            <v>387</v>
          </cell>
        </row>
        <row r="4365">
          <cell r="B4365" t="str">
            <v>671-05</v>
          </cell>
          <cell r="C4365" t="str">
            <v>PISTON</v>
          </cell>
          <cell r="D4365">
            <v>106</v>
          </cell>
          <cell r="N4365" t="str">
            <v>671-05</v>
          </cell>
          <cell r="O4365" t="str">
            <v>PISTON</v>
          </cell>
          <cell r="P4365">
            <v>212</v>
          </cell>
        </row>
        <row r="4366">
          <cell r="B4366" t="str">
            <v>592-07</v>
          </cell>
          <cell r="C4366" t="str">
            <v>PISTON</v>
          </cell>
          <cell r="D4366">
            <v>160</v>
          </cell>
          <cell r="N4366" t="str">
            <v>592-07</v>
          </cell>
          <cell r="O4366" t="str">
            <v>PISTON</v>
          </cell>
          <cell r="P4366">
            <v>320</v>
          </cell>
        </row>
        <row r="4367">
          <cell r="B4367" t="str">
            <v>864-01</v>
          </cell>
          <cell r="C4367" t="str">
            <v>SLIDE BUSH</v>
          </cell>
          <cell r="D4367">
            <v>266.5</v>
          </cell>
          <cell r="N4367" t="str">
            <v>864-01</v>
          </cell>
          <cell r="O4367" t="str">
            <v>SLIDE BUSH</v>
          </cell>
          <cell r="P4367">
            <v>533</v>
          </cell>
        </row>
        <row r="4368">
          <cell r="B4368" t="str">
            <v>864-03</v>
          </cell>
          <cell r="C4368" t="str">
            <v>SLIDE BUSH</v>
          </cell>
          <cell r="D4368">
            <v>266.5</v>
          </cell>
          <cell r="N4368" t="str">
            <v>864-03</v>
          </cell>
          <cell r="O4368" t="str">
            <v>SLIDE BUSH</v>
          </cell>
          <cell r="P4368">
            <v>533</v>
          </cell>
        </row>
        <row r="4369">
          <cell r="B4369" t="str">
            <v>1027-00</v>
          </cell>
          <cell r="C4369" t="str">
            <v>ROD GUIDE ASS'Y</v>
          </cell>
          <cell r="D4369">
            <v>241</v>
          </cell>
          <cell r="N4369" t="str">
            <v>1027-00</v>
          </cell>
          <cell r="O4369" t="str">
            <v>ROD GUIDE ASS'Y</v>
          </cell>
          <cell r="P4369">
            <v>482</v>
          </cell>
        </row>
        <row r="4370">
          <cell r="B4370" t="str">
            <v>1336-09</v>
          </cell>
          <cell r="C4370" t="str">
            <v>BODY</v>
          </cell>
          <cell r="D4370">
            <v>267</v>
          </cell>
          <cell r="N4370" t="str">
            <v>1336-09</v>
          </cell>
          <cell r="O4370" t="str">
            <v>BODY</v>
          </cell>
          <cell r="P4370">
            <v>534</v>
          </cell>
        </row>
        <row r="4371">
          <cell r="B4371" t="str">
            <v>1583-00</v>
          </cell>
          <cell r="C4371" t="str">
            <v>ROD GUIDE ASS'Y</v>
          </cell>
          <cell r="D4371">
            <v>267</v>
          </cell>
          <cell r="N4371" t="str">
            <v>1583-00</v>
          </cell>
          <cell r="O4371" t="str">
            <v>ROD GUIDE ASS'Y</v>
          </cell>
          <cell r="P4371">
            <v>534</v>
          </cell>
        </row>
        <row r="4372">
          <cell r="B4372" t="str">
            <v>670-03</v>
          </cell>
          <cell r="C4372" t="str">
            <v>ROD GUIDE ASS'Y</v>
          </cell>
          <cell r="D4372">
            <v>225.5</v>
          </cell>
          <cell r="N4372" t="str">
            <v>670-03</v>
          </cell>
          <cell r="O4372" t="str">
            <v>ROD GUIDE ASS'Y</v>
          </cell>
          <cell r="P4372">
            <v>451</v>
          </cell>
        </row>
        <row r="4373">
          <cell r="B4373" t="str">
            <v>1027-00</v>
          </cell>
          <cell r="C4373" t="str">
            <v>ROD GUIDE ASS'Y</v>
          </cell>
          <cell r="D4373">
            <v>241</v>
          </cell>
          <cell r="N4373" t="str">
            <v>1027-00</v>
          </cell>
          <cell r="O4373" t="str">
            <v>ROD GUIDE ASS'Y</v>
          </cell>
          <cell r="P4373">
            <v>482</v>
          </cell>
        </row>
        <row r="4374">
          <cell r="B4374" t="str">
            <v>1181-06</v>
          </cell>
          <cell r="C4374" t="str">
            <v>VALVE PISTON</v>
          </cell>
          <cell r="D4374">
            <v>262.5</v>
          </cell>
          <cell r="N4374" t="str">
            <v>1181-06</v>
          </cell>
          <cell r="O4374" t="str">
            <v>VALVE PISTON</v>
          </cell>
          <cell r="P4374">
            <v>525</v>
          </cell>
        </row>
        <row r="4375">
          <cell r="B4375" t="str">
            <v>1181-06</v>
          </cell>
          <cell r="C4375" t="str">
            <v>VALVE PISTON</v>
          </cell>
          <cell r="D4375">
            <v>262.5</v>
          </cell>
          <cell r="N4375" t="str">
            <v>1181-06</v>
          </cell>
          <cell r="O4375" t="str">
            <v>VALVE PISTON</v>
          </cell>
          <cell r="P4375">
            <v>525</v>
          </cell>
        </row>
        <row r="4376">
          <cell r="B4376" t="str">
            <v>1181-09</v>
          </cell>
          <cell r="C4376" t="str">
            <v>VALVE PISTON</v>
          </cell>
          <cell r="D4376">
            <v>267.5</v>
          </cell>
          <cell r="N4376" t="str">
            <v>1181-09</v>
          </cell>
          <cell r="O4376" t="str">
            <v>VALVE PISTON</v>
          </cell>
          <cell r="P4376">
            <v>535</v>
          </cell>
        </row>
        <row r="4377">
          <cell r="B4377" t="str">
            <v>1181-09</v>
          </cell>
          <cell r="C4377" t="str">
            <v>VALVE PISTON</v>
          </cell>
          <cell r="D4377">
            <v>267.5</v>
          </cell>
          <cell r="N4377" t="str">
            <v>1181-09</v>
          </cell>
          <cell r="O4377" t="str">
            <v>VALVE PISTON</v>
          </cell>
          <cell r="P4377">
            <v>535</v>
          </cell>
        </row>
        <row r="4378">
          <cell r="B4378" t="str">
            <v>1182-14</v>
          </cell>
          <cell r="C4378" t="str">
            <v>VALVE PISTON</v>
          </cell>
          <cell r="D4378">
            <v>267.5</v>
          </cell>
          <cell r="N4378" t="str">
            <v>1182-14</v>
          </cell>
          <cell r="O4378" t="str">
            <v>VALVE PISTON</v>
          </cell>
          <cell r="P4378">
            <v>535</v>
          </cell>
        </row>
        <row r="4379">
          <cell r="B4379" t="str">
            <v>1482-01</v>
          </cell>
          <cell r="C4379" t="str">
            <v>VALVE PISTON</v>
          </cell>
          <cell r="D4379">
            <v>230</v>
          </cell>
          <cell r="N4379" t="str">
            <v>1482-01</v>
          </cell>
          <cell r="O4379" t="str">
            <v>VALVE PISTON</v>
          </cell>
          <cell r="P4379">
            <v>460</v>
          </cell>
        </row>
        <row r="4380">
          <cell r="B4380" t="str">
            <v>606-01</v>
          </cell>
          <cell r="C4380" t="str">
            <v>CONTROL SLEEVE</v>
          </cell>
          <cell r="D4380">
            <v>267.5</v>
          </cell>
          <cell r="N4380" t="str">
            <v>606-01</v>
          </cell>
          <cell r="O4380" t="str">
            <v>CONTROL SLEEVE</v>
          </cell>
          <cell r="P4380">
            <v>535</v>
          </cell>
        </row>
        <row r="4381">
          <cell r="B4381" t="str">
            <v>1027-00</v>
          </cell>
          <cell r="C4381" t="str">
            <v>ROD GUIDE ASS'Y</v>
          </cell>
          <cell r="D4381">
            <v>241</v>
          </cell>
          <cell r="N4381" t="str">
            <v>1027-00</v>
          </cell>
          <cell r="O4381" t="str">
            <v>ROD GUIDE ASS'Y</v>
          </cell>
          <cell r="P4381">
            <v>482</v>
          </cell>
        </row>
        <row r="4382">
          <cell r="B4382" t="str">
            <v>1031-01</v>
          </cell>
          <cell r="C4382" t="str">
            <v>ROD GUIDE ASS'Y</v>
          </cell>
          <cell r="D4382">
            <v>190.5</v>
          </cell>
          <cell r="N4382" t="str">
            <v>1031-01</v>
          </cell>
          <cell r="O4382" t="str">
            <v>ROD GUIDE ASS'Y</v>
          </cell>
          <cell r="P4382">
            <v>381</v>
          </cell>
        </row>
        <row r="4383">
          <cell r="B4383" t="str">
            <v>1151-01</v>
          </cell>
          <cell r="C4383" t="str">
            <v>VALVE PISTON</v>
          </cell>
          <cell r="D4383">
            <v>268</v>
          </cell>
          <cell r="N4383" t="str">
            <v>1151-01</v>
          </cell>
          <cell r="O4383" t="str">
            <v>VALVE PISTON</v>
          </cell>
          <cell r="P4383">
            <v>536</v>
          </cell>
        </row>
        <row r="4384">
          <cell r="B4384" t="str">
            <v>1151-01</v>
          </cell>
          <cell r="C4384" t="str">
            <v>VALVE PISTON</v>
          </cell>
          <cell r="D4384">
            <v>268</v>
          </cell>
          <cell r="N4384" t="str">
            <v>1151-01</v>
          </cell>
          <cell r="O4384" t="str">
            <v>VALVE PISTON</v>
          </cell>
          <cell r="P4384">
            <v>536</v>
          </cell>
        </row>
        <row r="4385">
          <cell r="B4385" t="str">
            <v>1151-02</v>
          </cell>
          <cell r="C4385" t="str">
            <v>VALVE PISTON</v>
          </cell>
          <cell r="D4385">
            <v>268</v>
          </cell>
          <cell r="N4385" t="str">
            <v>1151-02</v>
          </cell>
          <cell r="O4385" t="str">
            <v>VALVE PISTON</v>
          </cell>
          <cell r="P4385">
            <v>536</v>
          </cell>
        </row>
        <row r="4386">
          <cell r="B4386" t="str">
            <v>1151-02</v>
          </cell>
          <cell r="C4386" t="str">
            <v>VALVE PISTON</v>
          </cell>
          <cell r="D4386">
            <v>268</v>
          </cell>
          <cell r="N4386" t="str">
            <v>1151-02</v>
          </cell>
          <cell r="O4386" t="str">
            <v>VALVE PISTON</v>
          </cell>
          <cell r="P4386">
            <v>536</v>
          </cell>
        </row>
        <row r="4387">
          <cell r="B4387" t="str">
            <v>1151-03</v>
          </cell>
          <cell r="C4387" t="str">
            <v>VALVE PISTON</v>
          </cell>
          <cell r="D4387">
            <v>268</v>
          </cell>
          <cell r="N4387" t="str">
            <v>1151-03</v>
          </cell>
          <cell r="O4387" t="str">
            <v>VALVE PISTON</v>
          </cell>
          <cell r="P4387">
            <v>536</v>
          </cell>
        </row>
        <row r="4388">
          <cell r="B4388" t="str">
            <v>1151-03</v>
          </cell>
          <cell r="C4388" t="str">
            <v>VALVE PISTON</v>
          </cell>
          <cell r="D4388">
            <v>268</v>
          </cell>
          <cell r="N4388" t="str">
            <v>1151-03</v>
          </cell>
          <cell r="O4388" t="str">
            <v>VALVE PISTON</v>
          </cell>
          <cell r="P4388">
            <v>536</v>
          </cell>
        </row>
        <row r="4389">
          <cell r="B4389" t="str">
            <v>1151-04</v>
          </cell>
          <cell r="C4389" t="str">
            <v>VALVE PISTON</v>
          </cell>
          <cell r="D4389">
            <v>268</v>
          </cell>
          <cell r="N4389" t="str">
            <v>1151-04</v>
          </cell>
          <cell r="O4389" t="str">
            <v>VALVE PISTON</v>
          </cell>
          <cell r="P4389">
            <v>536</v>
          </cell>
        </row>
        <row r="4390">
          <cell r="B4390" t="str">
            <v>1151-04</v>
          </cell>
          <cell r="C4390" t="str">
            <v>VALVE PISTON</v>
          </cell>
          <cell r="D4390">
            <v>268</v>
          </cell>
          <cell r="N4390" t="str">
            <v>1151-04</v>
          </cell>
          <cell r="O4390" t="str">
            <v>VALVE PISTON</v>
          </cell>
          <cell r="P4390">
            <v>536</v>
          </cell>
        </row>
        <row r="4391">
          <cell r="B4391" t="str">
            <v>1151-06</v>
          </cell>
          <cell r="C4391" t="str">
            <v>VALVE PISTON</v>
          </cell>
          <cell r="D4391">
            <v>268</v>
          </cell>
          <cell r="N4391" t="str">
            <v>1151-06</v>
          </cell>
          <cell r="O4391" t="str">
            <v>VALVE PISTON</v>
          </cell>
          <cell r="P4391">
            <v>536</v>
          </cell>
        </row>
        <row r="4392">
          <cell r="B4392" t="str">
            <v>1151-06</v>
          </cell>
          <cell r="C4392" t="str">
            <v>VALVE PISTON</v>
          </cell>
          <cell r="D4392">
            <v>268</v>
          </cell>
          <cell r="N4392" t="str">
            <v>1151-06</v>
          </cell>
          <cell r="O4392" t="str">
            <v>VALVE PISTON</v>
          </cell>
          <cell r="P4392">
            <v>536</v>
          </cell>
        </row>
        <row r="4393">
          <cell r="B4393" t="str">
            <v>1151-07</v>
          </cell>
          <cell r="C4393" t="str">
            <v>VALVE PISTON</v>
          </cell>
          <cell r="D4393">
            <v>268</v>
          </cell>
          <cell r="N4393" t="str">
            <v>1151-07</v>
          </cell>
          <cell r="O4393" t="str">
            <v>VALVE PISTON</v>
          </cell>
          <cell r="P4393">
            <v>536</v>
          </cell>
        </row>
        <row r="4394">
          <cell r="B4394" t="str">
            <v>1151-07</v>
          </cell>
          <cell r="C4394" t="str">
            <v>VALVE PISTON</v>
          </cell>
          <cell r="D4394">
            <v>268</v>
          </cell>
          <cell r="N4394" t="str">
            <v>1151-07</v>
          </cell>
          <cell r="O4394" t="str">
            <v>VALVE PISTON</v>
          </cell>
          <cell r="P4394">
            <v>536</v>
          </cell>
        </row>
        <row r="4395">
          <cell r="B4395" t="str">
            <v>1151-09</v>
          </cell>
          <cell r="C4395" t="str">
            <v>VALVE PISTON</v>
          </cell>
          <cell r="D4395">
            <v>268</v>
          </cell>
          <cell r="N4395" t="str">
            <v>1151-09</v>
          </cell>
          <cell r="O4395" t="str">
            <v>VALVE PISTON</v>
          </cell>
          <cell r="P4395">
            <v>536</v>
          </cell>
        </row>
        <row r="4396">
          <cell r="B4396" t="str">
            <v>1151-09</v>
          </cell>
          <cell r="C4396" t="str">
            <v>VALVE PISTON</v>
          </cell>
          <cell r="D4396">
            <v>268</v>
          </cell>
          <cell r="N4396" t="str">
            <v>1151-09</v>
          </cell>
          <cell r="O4396" t="str">
            <v>VALVE PISTON</v>
          </cell>
          <cell r="P4396">
            <v>536</v>
          </cell>
        </row>
        <row r="4397">
          <cell r="B4397" t="str">
            <v>1151-09</v>
          </cell>
          <cell r="C4397" t="str">
            <v>VALVE PISTON</v>
          </cell>
          <cell r="D4397">
            <v>268</v>
          </cell>
          <cell r="N4397" t="str">
            <v>1151-09</v>
          </cell>
          <cell r="O4397" t="str">
            <v>VALVE PISTON</v>
          </cell>
          <cell r="P4397">
            <v>536</v>
          </cell>
        </row>
        <row r="4398">
          <cell r="B4398" t="str">
            <v>1181-02</v>
          </cell>
          <cell r="C4398" t="str">
            <v>VALVE PISTON</v>
          </cell>
          <cell r="D4398">
            <v>268</v>
          </cell>
          <cell r="N4398" t="str">
            <v>1181-02</v>
          </cell>
          <cell r="O4398" t="str">
            <v>VALVE PISTON</v>
          </cell>
          <cell r="P4398">
            <v>536</v>
          </cell>
        </row>
        <row r="4399">
          <cell r="B4399" t="str">
            <v>1181-03</v>
          </cell>
          <cell r="C4399" t="str">
            <v>VALVE PISTON</v>
          </cell>
          <cell r="D4399">
            <v>268</v>
          </cell>
          <cell r="N4399" t="str">
            <v>1181-03</v>
          </cell>
          <cell r="O4399" t="str">
            <v>VALVE PISTON</v>
          </cell>
          <cell r="P4399">
            <v>536</v>
          </cell>
        </row>
        <row r="4400">
          <cell r="B4400" t="str">
            <v>1181-03</v>
          </cell>
          <cell r="C4400" t="str">
            <v>VALVE PISTON</v>
          </cell>
          <cell r="D4400">
            <v>268</v>
          </cell>
          <cell r="N4400" t="str">
            <v>1181-03</v>
          </cell>
          <cell r="O4400" t="str">
            <v>VALVE PISTON</v>
          </cell>
          <cell r="P4400">
            <v>536</v>
          </cell>
        </row>
        <row r="4401">
          <cell r="B4401" t="str">
            <v>1181-04</v>
          </cell>
          <cell r="C4401" t="str">
            <v>VALVE PISTON</v>
          </cell>
          <cell r="D4401">
            <v>268</v>
          </cell>
          <cell r="N4401" t="str">
            <v>1181-04</v>
          </cell>
          <cell r="O4401" t="str">
            <v>VALVE PISTON</v>
          </cell>
          <cell r="P4401">
            <v>536</v>
          </cell>
        </row>
        <row r="4402">
          <cell r="B4402" t="str">
            <v>1181-05</v>
          </cell>
          <cell r="C4402" t="str">
            <v>VALVE PISTON</v>
          </cell>
          <cell r="D4402">
            <v>268</v>
          </cell>
          <cell r="N4402" t="str">
            <v>1181-05</v>
          </cell>
          <cell r="O4402" t="str">
            <v>VALVE PISTON</v>
          </cell>
          <cell r="P4402">
            <v>536</v>
          </cell>
        </row>
        <row r="4403">
          <cell r="B4403" t="str">
            <v>1181-05</v>
          </cell>
          <cell r="C4403" t="str">
            <v>VALVE PISTON</v>
          </cell>
          <cell r="D4403">
            <v>268</v>
          </cell>
          <cell r="N4403" t="str">
            <v>1181-05</v>
          </cell>
          <cell r="O4403" t="str">
            <v>VALVE PISTON</v>
          </cell>
          <cell r="P4403">
            <v>536</v>
          </cell>
        </row>
        <row r="4404">
          <cell r="B4404" t="str">
            <v>1191-02</v>
          </cell>
          <cell r="C4404" t="str">
            <v>VALVE PISTON</v>
          </cell>
          <cell r="D4404">
            <v>268</v>
          </cell>
          <cell r="N4404" t="str">
            <v>1191-02</v>
          </cell>
          <cell r="O4404" t="str">
            <v>VALVE PISTON</v>
          </cell>
          <cell r="P4404">
            <v>536</v>
          </cell>
        </row>
        <row r="4405">
          <cell r="B4405" t="str">
            <v>1191-02</v>
          </cell>
          <cell r="C4405" t="str">
            <v>VALVE PISTON</v>
          </cell>
          <cell r="D4405">
            <v>268</v>
          </cell>
          <cell r="N4405" t="str">
            <v>1191-02</v>
          </cell>
          <cell r="O4405" t="str">
            <v>VALVE PISTON</v>
          </cell>
          <cell r="P4405">
            <v>536</v>
          </cell>
        </row>
        <row r="4406">
          <cell r="B4406" t="str">
            <v>1219-00</v>
          </cell>
          <cell r="C4406" t="str">
            <v>TONE WHEEL</v>
          </cell>
          <cell r="D4406">
            <v>268</v>
          </cell>
          <cell r="N4406" t="str">
            <v>1219-00</v>
          </cell>
          <cell r="O4406" t="str">
            <v>TONE WHEEL</v>
          </cell>
          <cell r="P4406">
            <v>536</v>
          </cell>
        </row>
        <row r="4407">
          <cell r="B4407" t="str">
            <v>1219-00</v>
          </cell>
          <cell r="C4407" t="str">
            <v>TONE WHEEL</v>
          </cell>
          <cell r="D4407">
            <v>268</v>
          </cell>
          <cell r="N4407" t="str">
            <v>1219-00</v>
          </cell>
          <cell r="O4407" t="str">
            <v>TONE WHEEL</v>
          </cell>
          <cell r="P4407">
            <v>536</v>
          </cell>
        </row>
        <row r="4408">
          <cell r="B4408" t="str">
            <v>1219-00</v>
          </cell>
          <cell r="C4408" t="str">
            <v>TONE WHEEL</v>
          </cell>
          <cell r="D4408">
            <v>268</v>
          </cell>
          <cell r="N4408" t="str">
            <v>1219-00</v>
          </cell>
          <cell r="O4408" t="str">
            <v>TONE WHEEL</v>
          </cell>
          <cell r="P4408">
            <v>536</v>
          </cell>
        </row>
        <row r="4409">
          <cell r="B4409" t="str">
            <v>1342-02</v>
          </cell>
          <cell r="C4409" t="str">
            <v>VALVE PISTON</v>
          </cell>
          <cell r="D4409">
            <v>268</v>
          </cell>
          <cell r="N4409" t="str">
            <v>1342-02</v>
          </cell>
          <cell r="O4409" t="str">
            <v>VALVE PISTON</v>
          </cell>
          <cell r="P4409">
            <v>536</v>
          </cell>
        </row>
        <row r="4410">
          <cell r="B4410" t="str">
            <v>1342-02</v>
          </cell>
          <cell r="C4410" t="str">
            <v>VALVE PISTON</v>
          </cell>
          <cell r="D4410">
            <v>268</v>
          </cell>
          <cell r="N4410" t="str">
            <v>1342-02</v>
          </cell>
          <cell r="O4410" t="str">
            <v>VALVE PISTON</v>
          </cell>
          <cell r="P4410">
            <v>536</v>
          </cell>
        </row>
        <row r="4411">
          <cell r="B4411" t="str">
            <v>1342-03</v>
          </cell>
          <cell r="C4411" t="str">
            <v>VALVE PISTON</v>
          </cell>
          <cell r="D4411">
            <v>268</v>
          </cell>
          <cell r="N4411" t="str">
            <v>1342-03</v>
          </cell>
          <cell r="O4411" t="str">
            <v>VALVE PISTON</v>
          </cell>
          <cell r="P4411">
            <v>536</v>
          </cell>
        </row>
        <row r="4412">
          <cell r="B4412" t="str">
            <v>1342-03</v>
          </cell>
          <cell r="C4412" t="str">
            <v>VALVE PISTON</v>
          </cell>
          <cell r="D4412">
            <v>268</v>
          </cell>
          <cell r="N4412" t="str">
            <v>1342-03</v>
          </cell>
          <cell r="O4412" t="str">
            <v>VALVE PISTON</v>
          </cell>
          <cell r="P4412">
            <v>536</v>
          </cell>
        </row>
        <row r="4413">
          <cell r="B4413" t="str">
            <v>1525-10</v>
          </cell>
          <cell r="C4413" t="str">
            <v>BODY</v>
          </cell>
          <cell r="D4413">
            <v>268</v>
          </cell>
          <cell r="N4413" t="str">
            <v>1525-10</v>
          </cell>
          <cell r="O4413" t="str">
            <v>BODY</v>
          </cell>
          <cell r="P4413">
            <v>536</v>
          </cell>
        </row>
        <row r="4414">
          <cell r="B4414" t="str">
            <v>1525-10</v>
          </cell>
          <cell r="C4414" t="str">
            <v>BODY</v>
          </cell>
          <cell r="D4414">
            <v>268</v>
          </cell>
          <cell r="N4414" t="str">
            <v>1525-10</v>
          </cell>
          <cell r="O4414" t="str">
            <v>BODY</v>
          </cell>
          <cell r="P4414">
            <v>536</v>
          </cell>
        </row>
        <row r="4415">
          <cell r="B4415" t="str">
            <v>588-42</v>
          </cell>
          <cell r="C4415" t="str">
            <v>PISTON</v>
          </cell>
          <cell r="D4415">
            <v>268</v>
          </cell>
          <cell r="N4415" t="str">
            <v>588-42</v>
          </cell>
          <cell r="O4415" t="str">
            <v>PISTON</v>
          </cell>
          <cell r="P4415">
            <v>536</v>
          </cell>
        </row>
        <row r="4416">
          <cell r="B4416" t="str">
            <v>591-13</v>
          </cell>
          <cell r="C4416" t="str">
            <v>PISTON</v>
          </cell>
          <cell r="D4416">
            <v>158</v>
          </cell>
          <cell r="N4416" t="str">
            <v>591-13</v>
          </cell>
          <cell r="O4416" t="str">
            <v>PISTON</v>
          </cell>
          <cell r="P4416">
            <v>316</v>
          </cell>
        </row>
        <row r="4417">
          <cell r="B4417" t="str">
            <v>671-51</v>
          </cell>
          <cell r="C4417" t="str">
            <v>PISTON</v>
          </cell>
          <cell r="D4417">
            <v>268</v>
          </cell>
          <cell r="N4417" t="str">
            <v>671-51</v>
          </cell>
          <cell r="O4417" t="str">
            <v>PISTON</v>
          </cell>
          <cell r="P4417">
            <v>536</v>
          </cell>
        </row>
        <row r="4418">
          <cell r="B4418" t="str">
            <v>1371-02</v>
          </cell>
          <cell r="C4418" t="str">
            <v>VALVE PISTON</v>
          </cell>
          <cell r="D4418">
            <v>263.5</v>
          </cell>
          <cell r="N4418" t="str">
            <v>1371-02</v>
          </cell>
          <cell r="O4418" t="str">
            <v>VALVE PISTON</v>
          </cell>
          <cell r="P4418">
            <v>527</v>
          </cell>
        </row>
        <row r="4419">
          <cell r="B4419" t="str">
            <v>1371-02</v>
          </cell>
          <cell r="C4419" t="str">
            <v>VALVE PISTON</v>
          </cell>
          <cell r="D4419">
            <v>263.5</v>
          </cell>
          <cell r="N4419" t="str">
            <v>1371-02</v>
          </cell>
          <cell r="O4419" t="str">
            <v>VALVE PISTON</v>
          </cell>
          <cell r="P4419">
            <v>527</v>
          </cell>
        </row>
        <row r="4420">
          <cell r="B4420" t="str">
            <v>588-95</v>
          </cell>
          <cell r="C4420" t="str">
            <v>PISTON</v>
          </cell>
          <cell r="D4420">
            <v>268.5</v>
          </cell>
          <cell r="N4420" t="str">
            <v>588-95</v>
          </cell>
          <cell r="O4420" t="str">
            <v>PISTON</v>
          </cell>
          <cell r="P4420">
            <v>537</v>
          </cell>
        </row>
        <row r="4421">
          <cell r="B4421" t="str">
            <v>598-29</v>
          </cell>
          <cell r="C4421" t="str">
            <v>PISTON</v>
          </cell>
          <cell r="D4421">
            <v>268.5</v>
          </cell>
          <cell r="N4421" t="str">
            <v>598-29</v>
          </cell>
          <cell r="O4421" t="str">
            <v>PISTON</v>
          </cell>
          <cell r="P4421">
            <v>537</v>
          </cell>
        </row>
        <row r="4422">
          <cell r="B4422" t="str">
            <v>1027-00</v>
          </cell>
          <cell r="C4422" t="str">
            <v>ROD GUIDE ASS'Y</v>
          </cell>
          <cell r="D4422">
            <v>241</v>
          </cell>
          <cell r="N4422" t="str">
            <v>1027-00</v>
          </cell>
          <cell r="O4422" t="str">
            <v>ROD GUIDE ASS'Y</v>
          </cell>
          <cell r="P4422">
            <v>482</v>
          </cell>
        </row>
        <row r="4423">
          <cell r="B4423" t="str">
            <v>1027-00</v>
          </cell>
          <cell r="C4423" t="str">
            <v>ROD GUIDE ASS'Y</v>
          </cell>
          <cell r="D4423">
            <v>241</v>
          </cell>
          <cell r="N4423" t="str">
            <v>1027-00</v>
          </cell>
          <cell r="O4423" t="str">
            <v>ROD GUIDE ASS'Y</v>
          </cell>
          <cell r="P4423">
            <v>482</v>
          </cell>
        </row>
        <row r="4424">
          <cell r="B4424" t="str">
            <v>1242-01</v>
          </cell>
          <cell r="C4424" t="str">
            <v>VALVE PISTON</v>
          </cell>
          <cell r="D4424">
            <v>269.5</v>
          </cell>
          <cell r="N4424" t="str">
            <v>1242-01</v>
          </cell>
          <cell r="O4424" t="str">
            <v>VALVE PISTON</v>
          </cell>
          <cell r="P4424">
            <v>539</v>
          </cell>
        </row>
        <row r="4425">
          <cell r="B4425" t="str">
            <v>1242-02</v>
          </cell>
          <cell r="C4425" t="str">
            <v>VALVE PISTON</v>
          </cell>
          <cell r="D4425">
            <v>269.5</v>
          </cell>
          <cell r="N4425" t="str">
            <v>1242-02</v>
          </cell>
          <cell r="O4425" t="str">
            <v>VALVE PISTON</v>
          </cell>
          <cell r="P4425">
            <v>539</v>
          </cell>
        </row>
        <row r="4426">
          <cell r="B4426" t="str">
            <v>1242-02</v>
          </cell>
          <cell r="C4426" t="str">
            <v>VALVE PISTON</v>
          </cell>
          <cell r="D4426">
            <v>269.5</v>
          </cell>
          <cell r="N4426" t="str">
            <v>1242-02</v>
          </cell>
          <cell r="O4426" t="str">
            <v>VALVE PISTON</v>
          </cell>
          <cell r="P4426">
            <v>539</v>
          </cell>
        </row>
        <row r="4427">
          <cell r="B4427" t="str">
            <v>1342-04</v>
          </cell>
          <cell r="C4427" t="str">
            <v>VALVE PISTON</v>
          </cell>
          <cell r="D4427">
            <v>269.5</v>
          </cell>
          <cell r="N4427" t="str">
            <v>1342-04</v>
          </cell>
          <cell r="O4427" t="str">
            <v>VALVE PISTON</v>
          </cell>
          <cell r="P4427">
            <v>539</v>
          </cell>
        </row>
        <row r="4428">
          <cell r="B4428" t="str">
            <v>1342-04</v>
          </cell>
          <cell r="C4428" t="str">
            <v>VALVE PISTON</v>
          </cell>
          <cell r="D4428">
            <v>269.5</v>
          </cell>
          <cell r="N4428" t="str">
            <v>1342-04</v>
          </cell>
          <cell r="O4428" t="str">
            <v>VALVE PISTON</v>
          </cell>
          <cell r="P4428">
            <v>539</v>
          </cell>
        </row>
        <row r="4429">
          <cell r="B4429" t="str">
            <v>1371-03</v>
          </cell>
          <cell r="C4429" t="str">
            <v>VALVE PISTON</v>
          </cell>
          <cell r="D4429">
            <v>269.5</v>
          </cell>
          <cell r="N4429" t="str">
            <v>1371-03</v>
          </cell>
          <cell r="O4429" t="str">
            <v>VALVE PISTON</v>
          </cell>
          <cell r="P4429">
            <v>539</v>
          </cell>
        </row>
        <row r="4430">
          <cell r="B4430" t="str">
            <v>1996-06</v>
          </cell>
          <cell r="C4430" t="str">
            <v>BODY</v>
          </cell>
          <cell r="D4430">
            <v>269.5</v>
          </cell>
          <cell r="N4430" t="str">
            <v>1996-06</v>
          </cell>
          <cell r="O4430" t="str">
            <v>BODY</v>
          </cell>
          <cell r="P4430">
            <v>539</v>
          </cell>
        </row>
        <row r="4431">
          <cell r="B4431" t="str">
            <v>591-04</v>
          </cell>
          <cell r="C4431" t="str">
            <v>PISTON</v>
          </cell>
          <cell r="D4431">
            <v>189.5</v>
          </cell>
          <cell r="N4431" t="str">
            <v>591-04</v>
          </cell>
          <cell r="O4431" t="str">
            <v>PISTON</v>
          </cell>
          <cell r="P4431">
            <v>379</v>
          </cell>
        </row>
        <row r="4432">
          <cell r="B4432" t="str">
            <v>1013-00</v>
          </cell>
          <cell r="C4432" t="str">
            <v>PISTON</v>
          </cell>
          <cell r="D4432">
            <v>270</v>
          </cell>
          <cell r="N4432" t="str">
            <v>1013-00</v>
          </cell>
          <cell r="O4432" t="str">
            <v>PISTON</v>
          </cell>
          <cell r="P4432">
            <v>540</v>
          </cell>
        </row>
        <row r="4433">
          <cell r="B4433" t="str">
            <v>1183-01</v>
          </cell>
          <cell r="C4433" t="str">
            <v>VALVE PISTON</v>
          </cell>
          <cell r="D4433">
            <v>230</v>
          </cell>
          <cell r="N4433" t="str">
            <v>1183-01</v>
          </cell>
          <cell r="O4433" t="str">
            <v>VALVE PISTON</v>
          </cell>
          <cell r="P4433">
            <v>460</v>
          </cell>
        </row>
        <row r="4434">
          <cell r="B4434" t="str">
            <v>1183-01</v>
          </cell>
          <cell r="C4434" t="str">
            <v>VALVE PISTON</v>
          </cell>
          <cell r="D4434">
            <v>230</v>
          </cell>
          <cell r="N4434" t="str">
            <v>1183-01</v>
          </cell>
          <cell r="O4434" t="str">
            <v>VALVE PISTON</v>
          </cell>
          <cell r="P4434">
            <v>460</v>
          </cell>
        </row>
        <row r="4435">
          <cell r="B4435" t="str">
            <v>1240-00</v>
          </cell>
          <cell r="C4435" t="str">
            <v>TONE WHEEL</v>
          </cell>
          <cell r="D4435">
            <v>270</v>
          </cell>
          <cell r="N4435" t="str">
            <v>1240-00</v>
          </cell>
          <cell r="O4435" t="str">
            <v>TONE WHEEL</v>
          </cell>
          <cell r="P4435">
            <v>540</v>
          </cell>
        </row>
        <row r="4436">
          <cell r="B4436" t="str">
            <v>1240-00</v>
          </cell>
          <cell r="C4436" t="str">
            <v>TONE WHEEL</v>
          </cell>
          <cell r="D4436">
            <v>270</v>
          </cell>
          <cell r="N4436" t="str">
            <v>1240-00</v>
          </cell>
          <cell r="O4436" t="str">
            <v>TONE WHEEL</v>
          </cell>
          <cell r="P4436">
            <v>540</v>
          </cell>
        </row>
        <row r="4437">
          <cell r="B4437" t="str">
            <v>1240-00</v>
          </cell>
          <cell r="C4437" t="str">
            <v>TONE WHEEL</v>
          </cell>
          <cell r="D4437">
            <v>270</v>
          </cell>
          <cell r="N4437" t="str">
            <v>1240-00</v>
          </cell>
          <cell r="O4437" t="str">
            <v>TONE WHEEL</v>
          </cell>
          <cell r="P4437">
            <v>540</v>
          </cell>
        </row>
        <row r="4438">
          <cell r="B4438" t="str">
            <v>598-25</v>
          </cell>
          <cell r="C4438" t="str">
            <v>PISTON</v>
          </cell>
          <cell r="D4438">
            <v>150</v>
          </cell>
          <cell r="N4438" t="str">
            <v>598-25</v>
          </cell>
          <cell r="O4438" t="str">
            <v>PISTON</v>
          </cell>
          <cell r="P4438">
            <v>300</v>
          </cell>
        </row>
        <row r="4439">
          <cell r="B4439" t="str">
            <v>714-04</v>
          </cell>
          <cell r="C4439" t="str">
            <v>PISTON</v>
          </cell>
          <cell r="D4439">
            <v>270</v>
          </cell>
          <cell r="N4439" t="str">
            <v>714-04</v>
          </cell>
          <cell r="O4439" t="str">
            <v>PISTON</v>
          </cell>
          <cell r="P4439">
            <v>540</v>
          </cell>
        </row>
        <row r="4440">
          <cell r="B4440" t="str">
            <v>1191-03</v>
          </cell>
          <cell r="C4440" t="str">
            <v>VALVE PISTON</v>
          </cell>
          <cell r="D4440">
            <v>270.5</v>
          </cell>
          <cell r="N4440" t="str">
            <v>1191-03</v>
          </cell>
          <cell r="O4440" t="str">
            <v>VALVE PISTON</v>
          </cell>
          <cell r="P4440">
            <v>541</v>
          </cell>
        </row>
        <row r="4441">
          <cell r="B4441" t="str">
            <v>1191-03</v>
          </cell>
          <cell r="C4441" t="str">
            <v>VALVE PISTON</v>
          </cell>
          <cell r="D4441">
            <v>270.5</v>
          </cell>
          <cell r="N4441" t="str">
            <v>1191-03</v>
          </cell>
          <cell r="O4441" t="str">
            <v>VALVE PISTON</v>
          </cell>
          <cell r="P4441">
            <v>541</v>
          </cell>
        </row>
        <row r="4442">
          <cell r="B4442" t="str">
            <v>1525-07</v>
          </cell>
          <cell r="C4442" t="str">
            <v>BODY</v>
          </cell>
          <cell r="D4442">
            <v>256</v>
          </cell>
          <cell r="N4442" t="str">
            <v>1525-07</v>
          </cell>
          <cell r="O4442" t="str">
            <v>BODY</v>
          </cell>
          <cell r="P4442">
            <v>512</v>
          </cell>
        </row>
        <row r="4443">
          <cell r="B4443" t="str">
            <v>2046-01</v>
          </cell>
          <cell r="C4443" t="str">
            <v>PILOT CASE</v>
          </cell>
          <cell r="D4443">
            <v>270.5</v>
          </cell>
          <cell r="N4443" t="str">
            <v>2046-01</v>
          </cell>
          <cell r="O4443" t="str">
            <v>PILOT CASE</v>
          </cell>
          <cell r="P4443">
            <v>541</v>
          </cell>
        </row>
        <row r="4444">
          <cell r="B4444" t="str">
            <v>588-58</v>
          </cell>
          <cell r="C4444" t="str">
            <v>PISTON</v>
          </cell>
          <cell r="D4444">
            <v>193.5</v>
          </cell>
          <cell r="N4444" t="str">
            <v>588-58</v>
          </cell>
          <cell r="O4444" t="str">
            <v>PISTON</v>
          </cell>
          <cell r="P4444">
            <v>387</v>
          </cell>
        </row>
        <row r="4445">
          <cell r="B4445" t="str">
            <v>344-00</v>
          </cell>
          <cell r="C4445" t="str">
            <v>ROD GUIDE ASS'Y</v>
          </cell>
          <cell r="D4445">
            <v>244.5</v>
          </cell>
          <cell r="N4445" t="str">
            <v>344-00</v>
          </cell>
          <cell r="O4445" t="str">
            <v>ROD GUIDE ASS'Y</v>
          </cell>
          <cell r="P4445">
            <v>489</v>
          </cell>
        </row>
        <row r="4446">
          <cell r="B4446" t="str">
            <v>344-00</v>
          </cell>
          <cell r="C4446" t="str">
            <v>ROD GUIDE ASS'Y</v>
          </cell>
          <cell r="D4446">
            <v>244.5</v>
          </cell>
          <cell r="N4446" t="str">
            <v>344-00</v>
          </cell>
          <cell r="O4446" t="str">
            <v>ROD GUIDE ASS'Y</v>
          </cell>
          <cell r="P4446">
            <v>489</v>
          </cell>
        </row>
        <row r="4447">
          <cell r="B4447" t="str">
            <v>556-05</v>
          </cell>
          <cell r="C4447" t="str">
            <v>PISTON</v>
          </cell>
          <cell r="D4447">
            <v>271</v>
          </cell>
          <cell r="N4447" t="str">
            <v>556-05</v>
          </cell>
          <cell r="O4447" t="str">
            <v>PISTON</v>
          </cell>
          <cell r="P4447">
            <v>542</v>
          </cell>
        </row>
        <row r="4448">
          <cell r="B4448" t="str">
            <v>1030-02</v>
          </cell>
          <cell r="C4448" t="str">
            <v>ROD GUIDE ASS'Y</v>
          </cell>
          <cell r="D4448">
            <v>196</v>
          </cell>
          <cell r="N4448" t="str">
            <v>1030-02</v>
          </cell>
          <cell r="O4448" t="str">
            <v>ROD GUIDE ASS'Y</v>
          </cell>
          <cell r="P4448">
            <v>392</v>
          </cell>
        </row>
        <row r="4449">
          <cell r="B4449" t="str">
            <v>1770-02</v>
          </cell>
          <cell r="C4449" t="str">
            <v>VALVE RETAINER</v>
          </cell>
          <cell r="D4449">
            <v>271.5</v>
          </cell>
          <cell r="N4449" t="str">
            <v>1770-02</v>
          </cell>
          <cell r="O4449" t="str">
            <v>VALVE RETAINER</v>
          </cell>
          <cell r="P4449">
            <v>543</v>
          </cell>
        </row>
        <row r="4450">
          <cell r="B4450" t="str">
            <v>1996-08</v>
          </cell>
          <cell r="C4450" t="str">
            <v>BODY</v>
          </cell>
          <cell r="D4450">
            <v>271.5</v>
          </cell>
          <cell r="N4450" t="str">
            <v>1996-08</v>
          </cell>
          <cell r="O4450" t="str">
            <v>BODY</v>
          </cell>
          <cell r="P4450">
            <v>543</v>
          </cell>
        </row>
        <row r="4451">
          <cell r="B4451" t="str">
            <v>588-66</v>
          </cell>
          <cell r="C4451" t="str">
            <v>PISTON</v>
          </cell>
          <cell r="D4451">
            <v>271.5</v>
          </cell>
          <cell r="N4451" t="str">
            <v>588-66</v>
          </cell>
          <cell r="O4451" t="str">
            <v>PISTON</v>
          </cell>
          <cell r="P4451">
            <v>543</v>
          </cell>
        </row>
        <row r="4452">
          <cell r="B4452" t="str">
            <v>1037-00</v>
          </cell>
          <cell r="C4452" t="str">
            <v>MID PLATE</v>
          </cell>
          <cell r="D4452">
            <v>326.94</v>
          </cell>
          <cell r="N4452" t="str">
            <v>1037-00</v>
          </cell>
          <cell r="O4452" t="str">
            <v>MID PLATE</v>
          </cell>
          <cell r="P4452">
            <v>544.9</v>
          </cell>
        </row>
        <row r="4453">
          <cell r="B4453" t="str">
            <v>1027-00</v>
          </cell>
          <cell r="C4453" t="str">
            <v>ROD GUIDE ASS'Y</v>
          </cell>
          <cell r="D4453">
            <v>241</v>
          </cell>
          <cell r="N4453" t="str">
            <v>1027-00</v>
          </cell>
          <cell r="O4453" t="str">
            <v>ROD GUIDE ASS'Y</v>
          </cell>
          <cell r="P4453">
            <v>482</v>
          </cell>
        </row>
        <row r="4454">
          <cell r="B4454" t="str">
            <v>1182-09</v>
          </cell>
          <cell r="C4454" t="str">
            <v>VALVE PISTON</v>
          </cell>
          <cell r="D4454">
            <v>272.5</v>
          </cell>
          <cell r="N4454" t="str">
            <v>1182-09</v>
          </cell>
          <cell r="O4454" t="str">
            <v>VALVE PISTON</v>
          </cell>
          <cell r="P4454">
            <v>545</v>
          </cell>
        </row>
        <row r="4455">
          <cell r="B4455" t="str">
            <v>1182-09</v>
          </cell>
          <cell r="C4455" t="str">
            <v>VALVE PISTON</v>
          </cell>
          <cell r="D4455">
            <v>272.5</v>
          </cell>
          <cell r="N4455" t="str">
            <v>1182-09</v>
          </cell>
          <cell r="O4455" t="str">
            <v>VALVE PISTON</v>
          </cell>
          <cell r="P4455">
            <v>545</v>
          </cell>
        </row>
        <row r="4456">
          <cell r="B4456" t="str">
            <v>1182-10</v>
          </cell>
          <cell r="C4456" t="str">
            <v>VALVE PISTON</v>
          </cell>
          <cell r="D4456">
            <v>272.5</v>
          </cell>
          <cell r="N4456" t="str">
            <v>1182-10</v>
          </cell>
          <cell r="O4456" t="str">
            <v>VALVE PISTON</v>
          </cell>
          <cell r="P4456">
            <v>545</v>
          </cell>
        </row>
        <row r="4457">
          <cell r="B4457" t="str">
            <v>1182-10</v>
          </cell>
          <cell r="C4457" t="str">
            <v>VALVE PISTON</v>
          </cell>
          <cell r="D4457">
            <v>272.5</v>
          </cell>
          <cell r="N4457" t="str">
            <v>1182-10</v>
          </cell>
          <cell r="O4457" t="str">
            <v>VALVE PISTON</v>
          </cell>
          <cell r="P4457">
            <v>545</v>
          </cell>
        </row>
        <row r="4458">
          <cell r="B4458" t="str">
            <v>1383-03</v>
          </cell>
          <cell r="C4458" t="str">
            <v>PISTON</v>
          </cell>
          <cell r="D4458">
            <v>272.5</v>
          </cell>
          <cell r="N4458" t="str">
            <v>1383-03</v>
          </cell>
          <cell r="O4458" t="str">
            <v>PISTON</v>
          </cell>
          <cell r="P4458">
            <v>545</v>
          </cell>
        </row>
        <row r="4459">
          <cell r="B4459" t="str">
            <v>1687-08</v>
          </cell>
          <cell r="C4459" t="str">
            <v>BODY</v>
          </cell>
          <cell r="D4459">
            <v>272.5</v>
          </cell>
          <cell r="N4459" t="str">
            <v>1687-08</v>
          </cell>
          <cell r="O4459" t="str">
            <v>BODY</v>
          </cell>
          <cell r="P4459">
            <v>545</v>
          </cell>
        </row>
        <row r="4460">
          <cell r="B4460" t="str">
            <v>501-01</v>
          </cell>
          <cell r="C4460" t="str">
            <v>ORIFICE</v>
          </cell>
          <cell r="D4460">
            <v>327</v>
          </cell>
          <cell r="N4460" t="str">
            <v>501-01</v>
          </cell>
          <cell r="O4460" t="str">
            <v>ORIFICE</v>
          </cell>
          <cell r="P4460">
            <v>545</v>
          </cell>
        </row>
        <row r="4461">
          <cell r="B4461" t="str">
            <v>1151-06</v>
          </cell>
          <cell r="C4461" t="str">
            <v>VALVE PISTON</v>
          </cell>
          <cell r="D4461">
            <v>268</v>
          </cell>
          <cell r="N4461" t="str">
            <v>1151-06</v>
          </cell>
          <cell r="O4461" t="str">
            <v>VALVE PISTON</v>
          </cell>
          <cell r="P4461">
            <v>536</v>
          </cell>
        </row>
        <row r="4462">
          <cell r="B4462" t="str">
            <v>1151-06</v>
          </cell>
          <cell r="C4462" t="str">
            <v>VALVE PISTON</v>
          </cell>
          <cell r="D4462">
            <v>268</v>
          </cell>
          <cell r="N4462" t="str">
            <v>1151-06</v>
          </cell>
          <cell r="O4462" t="str">
            <v>VALVE PISTON</v>
          </cell>
          <cell r="P4462">
            <v>536</v>
          </cell>
        </row>
        <row r="4463">
          <cell r="B4463" t="str">
            <v>1151-09</v>
          </cell>
          <cell r="C4463" t="str">
            <v>VALVE PISTON</v>
          </cell>
          <cell r="D4463">
            <v>268</v>
          </cell>
          <cell r="N4463" t="str">
            <v>1151-09</v>
          </cell>
          <cell r="O4463" t="str">
            <v>VALVE PISTON</v>
          </cell>
          <cell r="P4463">
            <v>536</v>
          </cell>
        </row>
        <row r="4464">
          <cell r="B4464" t="str">
            <v>1151-09</v>
          </cell>
          <cell r="C4464" t="str">
            <v>VALVE PISTON</v>
          </cell>
          <cell r="D4464">
            <v>268</v>
          </cell>
          <cell r="N4464" t="str">
            <v>1151-09</v>
          </cell>
          <cell r="O4464" t="str">
            <v>VALVE PISTON</v>
          </cell>
          <cell r="P4464">
            <v>536</v>
          </cell>
        </row>
        <row r="4465">
          <cell r="B4465" t="str">
            <v>1851-02</v>
          </cell>
          <cell r="C4465" t="str">
            <v>VALVE RETAINER</v>
          </cell>
          <cell r="D4465">
            <v>273</v>
          </cell>
          <cell r="N4465" t="str">
            <v>1851-02</v>
          </cell>
          <cell r="O4465" t="str">
            <v>VALVE RETAINER</v>
          </cell>
          <cell r="P4465">
            <v>546</v>
          </cell>
        </row>
        <row r="4466">
          <cell r="B4466" t="str">
            <v>1851-02</v>
          </cell>
          <cell r="C4466" t="str">
            <v>VALVE RETAINER</v>
          </cell>
          <cell r="D4466">
            <v>273</v>
          </cell>
          <cell r="N4466" t="str">
            <v>1851-02</v>
          </cell>
          <cell r="O4466" t="str">
            <v>VALVE RETAINER</v>
          </cell>
          <cell r="P4466">
            <v>546</v>
          </cell>
        </row>
        <row r="4467">
          <cell r="B4467" t="str">
            <v>1076-00</v>
          </cell>
          <cell r="C4467" t="str">
            <v>ROD GUIDE ASS'Y</v>
          </cell>
          <cell r="D4467">
            <v>273.5</v>
          </cell>
          <cell r="N4467" t="str">
            <v>1076-00</v>
          </cell>
          <cell r="O4467" t="str">
            <v>ROD GUIDE ASS'Y</v>
          </cell>
          <cell r="P4467">
            <v>547</v>
          </cell>
        </row>
        <row r="4468">
          <cell r="B4468" t="str">
            <v>1182-12</v>
          </cell>
          <cell r="C4468" t="str">
            <v>VALVE PISTON</v>
          </cell>
          <cell r="D4468">
            <v>273.5</v>
          </cell>
          <cell r="N4468" t="str">
            <v>1182-12</v>
          </cell>
          <cell r="O4468" t="str">
            <v>VALVE PISTON</v>
          </cell>
          <cell r="P4468">
            <v>547</v>
          </cell>
        </row>
        <row r="4469">
          <cell r="B4469" t="str">
            <v>1182-12</v>
          </cell>
          <cell r="C4469" t="str">
            <v>VALVE PISTON</v>
          </cell>
          <cell r="D4469">
            <v>273.5</v>
          </cell>
          <cell r="N4469" t="str">
            <v>1182-12</v>
          </cell>
          <cell r="O4469" t="str">
            <v>VALVE PISTON</v>
          </cell>
          <cell r="P4469">
            <v>547</v>
          </cell>
        </row>
        <row r="4470">
          <cell r="B4470" t="str">
            <v>353-02</v>
          </cell>
          <cell r="C4470" t="str">
            <v>PISTON</v>
          </cell>
          <cell r="D4470">
            <v>274</v>
          </cell>
          <cell r="N4470" t="str">
            <v>353-02</v>
          </cell>
          <cell r="O4470" t="str">
            <v>PISTON</v>
          </cell>
          <cell r="P4470">
            <v>548</v>
          </cell>
        </row>
        <row r="4471">
          <cell r="B4471" t="str">
            <v>1182-08</v>
          </cell>
          <cell r="C4471" t="str">
            <v>VALVE PISTON</v>
          </cell>
          <cell r="D4471">
            <v>110</v>
          </cell>
          <cell r="N4471" t="str">
            <v>1182-08</v>
          </cell>
          <cell r="O4471" t="str">
            <v>VALVE PISTON</v>
          </cell>
          <cell r="P4471">
            <v>220</v>
          </cell>
        </row>
        <row r="4472">
          <cell r="B4472" t="str">
            <v>1242-02</v>
          </cell>
          <cell r="C4472" t="str">
            <v>VALVE PISTON</v>
          </cell>
          <cell r="D4472">
            <v>269.5</v>
          </cell>
          <cell r="N4472" t="str">
            <v>1242-02</v>
          </cell>
          <cell r="O4472" t="str">
            <v>VALVE PISTON</v>
          </cell>
          <cell r="P4472">
            <v>539</v>
          </cell>
        </row>
        <row r="4473">
          <cell r="B4473" t="str">
            <v>1242-02</v>
          </cell>
          <cell r="C4473" t="str">
            <v>VALVE PISTON</v>
          </cell>
          <cell r="D4473">
            <v>269.5</v>
          </cell>
          <cell r="N4473" t="str">
            <v>1242-02</v>
          </cell>
          <cell r="O4473" t="str">
            <v>VALVE PISTON</v>
          </cell>
          <cell r="P4473">
            <v>539</v>
          </cell>
        </row>
        <row r="4474">
          <cell r="B4474" t="str">
            <v>1342-04</v>
          </cell>
          <cell r="C4474" t="str">
            <v>VALVE PISTON</v>
          </cell>
          <cell r="D4474">
            <v>269.5</v>
          </cell>
          <cell r="N4474" t="str">
            <v>1342-04</v>
          </cell>
          <cell r="O4474" t="str">
            <v>VALVE PISTON</v>
          </cell>
          <cell r="P4474">
            <v>539</v>
          </cell>
        </row>
        <row r="4475">
          <cell r="B4475" t="str">
            <v>1342-04</v>
          </cell>
          <cell r="C4475" t="str">
            <v>VALVE PISTON</v>
          </cell>
          <cell r="D4475">
            <v>269.5</v>
          </cell>
          <cell r="N4475" t="str">
            <v>1342-04</v>
          </cell>
          <cell r="O4475" t="str">
            <v>VALVE PISTON</v>
          </cell>
          <cell r="P4475">
            <v>539</v>
          </cell>
        </row>
        <row r="4476">
          <cell r="B4476" t="str">
            <v>1371-03</v>
          </cell>
          <cell r="C4476" t="str">
            <v>VALVE PISTON</v>
          </cell>
          <cell r="D4476">
            <v>269.5</v>
          </cell>
          <cell r="N4476" t="str">
            <v>1371-03</v>
          </cell>
          <cell r="O4476" t="str">
            <v>VALVE PISTON</v>
          </cell>
          <cell r="P4476">
            <v>539</v>
          </cell>
        </row>
        <row r="4477">
          <cell r="B4477" t="str">
            <v>1630-08</v>
          </cell>
          <cell r="C4477" t="str">
            <v>RS RETAINER</v>
          </cell>
          <cell r="D4477">
            <v>82</v>
          </cell>
          <cell r="N4477" t="str">
            <v>1630-08</v>
          </cell>
          <cell r="O4477" t="str">
            <v>RS RETAINER</v>
          </cell>
          <cell r="P4477">
            <v>164</v>
          </cell>
        </row>
        <row r="4478">
          <cell r="B4478" t="str">
            <v>1027-00</v>
          </cell>
          <cell r="C4478" t="str">
            <v>ROD GUIDE ASS'Y</v>
          </cell>
          <cell r="D4478">
            <v>241</v>
          </cell>
          <cell r="N4478" t="str">
            <v>1027-00</v>
          </cell>
          <cell r="O4478" t="str">
            <v>ROD GUIDE ASS'Y</v>
          </cell>
          <cell r="P4478">
            <v>482</v>
          </cell>
        </row>
        <row r="4479">
          <cell r="B4479" t="str">
            <v>1076-00</v>
          </cell>
          <cell r="C4479" t="str">
            <v>ROD GUIDE ASS'Y</v>
          </cell>
          <cell r="D4479">
            <v>273.5</v>
          </cell>
          <cell r="N4479" t="str">
            <v>1076-00</v>
          </cell>
          <cell r="O4479" t="str">
            <v>ROD GUIDE ASS'Y</v>
          </cell>
          <cell r="P4479">
            <v>547</v>
          </cell>
        </row>
        <row r="4480">
          <cell r="B4480" t="str">
            <v>1182-18</v>
          </cell>
          <cell r="C4480" t="str">
            <v>VALVE PISTON</v>
          </cell>
          <cell r="D4480">
            <v>243.5</v>
          </cell>
          <cell r="N4480" t="str">
            <v>1182-18</v>
          </cell>
          <cell r="O4480" t="str">
            <v>VALVE PISTON</v>
          </cell>
          <cell r="P4480">
            <v>487</v>
          </cell>
        </row>
        <row r="4481">
          <cell r="B4481" t="str">
            <v>1771-02</v>
          </cell>
          <cell r="C4481" t="str">
            <v>VALVE RETAINER</v>
          </cell>
          <cell r="D4481">
            <v>275</v>
          </cell>
          <cell r="N4481" t="str">
            <v>1771-02</v>
          </cell>
          <cell r="O4481" t="str">
            <v>VALVE RETAINER</v>
          </cell>
          <cell r="P4481">
            <v>550</v>
          </cell>
        </row>
        <row r="4482">
          <cell r="B4482" t="str">
            <v>2100-00</v>
          </cell>
          <cell r="C4482" t="str">
            <v>RING GEAR</v>
          </cell>
          <cell r="D4482">
            <v>330</v>
          </cell>
          <cell r="N4482" t="str">
            <v>2100-00</v>
          </cell>
          <cell r="O4482" t="str">
            <v>RING GEAR</v>
          </cell>
          <cell r="P4482">
            <v>550</v>
          </cell>
        </row>
        <row r="4483">
          <cell r="B4483" t="str">
            <v>588-18</v>
          </cell>
          <cell r="C4483" t="str">
            <v>PISTON</v>
          </cell>
          <cell r="D4483">
            <v>85</v>
          </cell>
          <cell r="N4483" t="str">
            <v>588-18</v>
          </cell>
          <cell r="O4483" t="str">
            <v>PISTON</v>
          </cell>
          <cell r="P4483">
            <v>170</v>
          </cell>
        </row>
        <row r="4484">
          <cell r="B4484" t="str">
            <v>798-02</v>
          </cell>
          <cell r="C4484" t="str">
            <v>ROD GUIDE ASS'Y</v>
          </cell>
          <cell r="D4484">
            <v>242.5</v>
          </cell>
          <cell r="N4484" t="str">
            <v>798-02</v>
          </cell>
          <cell r="O4484" t="str">
            <v>ROD GUIDE ASS'Y</v>
          </cell>
          <cell r="P4484">
            <v>485</v>
          </cell>
        </row>
        <row r="4485">
          <cell r="B4485" t="str">
            <v>798-02</v>
          </cell>
          <cell r="C4485" t="str">
            <v>ROD GUIDE ASS'Y</v>
          </cell>
          <cell r="D4485">
            <v>242.5</v>
          </cell>
          <cell r="N4485" t="str">
            <v>798-02</v>
          </cell>
          <cell r="O4485" t="str">
            <v>ROD GUIDE ASS'Y</v>
          </cell>
          <cell r="P4485">
            <v>485</v>
          </cell>
        </row>
        <row r="4486">
          <cell r="B4486" t="str">
            <v>800-51</v>
          </cell>
          <cell r="C4486" t="str">
            <v>PISTON</v>
          </cell>
          <cell r="D4486">
            <v>275</v>
          </cell>
          <cell r="N4486" t="str">
            <v>800-51</v>
          </cell>
          <cell r="O4486" t="str">
            <v>PISTON</v>
          </cell>
          <cell r="P4486">
            <v>550</v>
          </cell>
        </row>
        <row r="4487">
          <cell r="B4487" t="str">
            <v>948-02</v>
          </cell>
          <cell r="C4487" t="str">
            <v>VALVE RETAINER</v>
          </cell>
          <cell r="D4487">
            <v>275</v>
          </cell>
          <cell r="N4487" t="str">
            <v>948-02</v>
          </cell>
          <cell r="O4487" t="str">
            <v>VALVE RETAINER</v>
          </cell>
          <cell r="P4487">
            <v>550</v>
          </cell>
        </row>
        <row r="4488">
          <cell r="B4488" t="str">
            <v>1191-03</v>
          </cell>
          <cell r="C4488" t="str">
            <v>VALVE PISTON</v>
          </cell>
          <cell r="D4488">
            <v>270.5</v>
          </cell>
          <cell r="N4488" t="str">
            <v>1191-03</v>
          </cell>
          <cell r="O4488" t="str">
            <v>VALVE PISTON</v>
          </cell>
          <cell r="P4488">
            <v>541</v>
          </cell>
        </row>
        <row r="4489">
          <cell r="B4489" t="str">
            <v>588-26</v>
          </cell>
          <cell r="C4489" t="str">
            <v>PISTON</v>
          </cell>
          <cell r="D4489">
            <v>117.5</v>
          </cell>
          <cell r="N4489" t="str">
            <v>588-26</v>
          </cell>
          <cell r="O4489" t="str">
            <v>PISTON</v>
          </cell>
          <cell r="P4489">
            <v>235</v>
          </cell>
        </row>
        <row r="4490">
          <cell r="B4490" t="str">
            <v>588-59</v>
          </cell>
          <cell r="C4490" t="str">
            <v>PISTON</v>
          </cell>
          <cell r="D4490">
            <v>198.5</v>
          </cell>
          <cell r="N4490" t="str">
            <v>588-59</v>
          </cell>
          <cell r="O4490" t="str">
            <v>PISTON</v>
          </cell>
          <cell r="P4490">
            <v>397</v>
          </cell>
        </row>
        <row r="4491">
          <cell r="B4491" t="str">
            <v>1027-00</v>
          </cell>
          <cell r="C4491" t="str">
            <v>ROD GUIDE ASS'Y</v>
          </cell>
          <cell r="D4491">
            <v>241</v>
          </cell>
          <cell r="N4491" t="str">
            <v>1027-00</v>
          </cell>
          <cell r="O4491" t="str">
            <v>ROD GUIDE ASS'Y</v>
          </cell>
          <cell r="P4491">
            <v>482</v>
          </cell>
        </row>
        <row r="4492">
          <cell r="B4492" t="str">
            <v>1644-02</v>
          </cell>
          <cell r="C4492" t="str">
            <v>PISTON</v>
          </cell>
          <cell r="D4492">
            <v>276</v>
          </cell>
          <cell r="N4492" t="str">
            <v>1644-02</v>
          </cell>
          <cell r="O4492" t="str">
            <v>PISTON</v>
          </cell>
          <cell r="P4492">
            <v>552</v>
          </cell>
        </row>
        <row r="4493">
          <cell r="B4493" t="str">
            <v>2046-01</v>
          </cell>
          <cell r="C4493" t="str">
            <v>PILOT CASE</v>
          </cell>
          <cell r="D4493">
            <v>270.5</v>
          </cell>
          <cell r="N4493" t="str">
            <v>2046-01</v>
          </cell>
          <cell r="O4493" t="str">
            <v>PILOT CASE</v>
          </cell>
          <cell r="P4493">
            <v>541</v>
          </cell>
        </row>
        <row r="4494">
          <cell r="B4494" t="str">
            <v>2046-01</v>
          </cell>
          <cell r="C4494" t="str">
            <v>PILOT CASE</v>
          </cell>
          <cell r="D4494">
            <v>270.5</v>
          </cell>
          <cell r="N4494" t="str">
            <v>2046-01</v>
          </cell>
          <cell r="O4494" t="str">
            <v>PILOT CASE</v>
          </cell>
          <cell r="P4494">
            <v>541</v>
          </cell>
        </row>
        <row r="4495">
          <cell r="B4495" t="str">
            <v>2046-01</v>
          </cell>
          <cell r="C4495" t="str">
            <v>PILOT CASE</v>
          </cell>
          <cell r="D4495">
            <v>270.5</v>
          </cell>
          <cell r="N4495" t="str">
            <v>2046-01</v>
          </cell>
          <cell r="O4495" t="str">
            <v>PILOT CASE</v>
          </cell>
          <cell r="P4495">
            <v>541</v>
          </cell>
        </row>
        <row r="4496">
          <cell r="B4496" t="str">
            <v>384-06</v>
          </cell>
          <cell r="C4496" t="str">
            <v>SUPPORT YOKE ASS'Y</v>
          </cell>
          <cell r="D4496">
            <v>276</v>
          </cell>
          <cell r="N4496" t="str">
            <v>384-06</v>
          </cell>
          <cell r="O4496" t="str">
            <v>SUPPORT YOKE ASS'Y</v>
          </cell>
          <cell r="P4496">
            <v>552</v>
          </cell>
        </row>
        <row r="4497">
          <cell r="B4497" t="str">
            <v>598-28</v>
          </cell>
          <cell r="C4497" t="str">
            <v>PISTON</v>
          </cell>
          <cell r="D4497">
            <v>256.5</v>
          </cell>
          <cell r="N4497" t="str">
            <v>598-28</v>
          </cell>
          <cell r="O4497" t="str">
            <v>PISTON</v>
          </cell>
          <cell r="P4497">
            <v>513</v>
          </cell>
        </row>
        <row r="4498">
          <cell r="B4498" t="str">
            <v>798-02</v>
          </cell>
          <cell r="C4498" t="str">
            <v>ROD GUIDE ASS'Y</v>
          </cell>
          <cell r="D4498">
            <v>242.5</v>
          </cell>
          <cell r="N4498" t="str">
            <v>798-02</v>
          </cell>
          <cell r="O4498" t="str">
            <v>ROD GUIDE ASS'Y</v>
          </cell>
          <cell r="P4498">
            <v>485</v>
          </cell>
        </row>
        <row r="4499">
          <cell r="B4499" t="str">
            <v>1069-01</v>
          </cell>
          <cell r="C4499" t="str">
            <v>PISTON</v>
          </cell>
          <cell r="D4499">
            <v>99</v>
          </cell>
          <cell r="N4499" t="str">
            <v>1069-01</v>
          </cell>
          <cell r="O4499" t="str">
            <v>PISTON</v>
          </cell>
          <cell r="P4499">
            <v>198</v>
          </cell>
        </row>
        <row r="4500">
          <cell r="B4500" t="str">
            <v>1635-00</v>
          </cell>
          <cell r="C4500" t="str">
            <v>PISTON</v>
          </cell>
          <cell r="D4500">
            <v>239</v>
          </cell>
          <cell r="N4500" t="str">
            <v>1635-00</v>
          </cell>
          <cell r="O4500" t="str">
            <v>PISTON</v>
          </cell>
          <cell r="P4500">
            <v>478</v>
          </cell>
        </row>
        <row r="4501">
          <cell r="B4501" t="str">
            <v>588-09</v>
          </cell>
          <cell r="C4501" t="str">
            <v>PISTON</v>
          </cell>
          <cell r="D4501">
            <v>103</v>
          </cell>
          <cell r="N4501" t="str">
            <v>588-09</v>
          </cell>
          <cell r="O4501" t="str">
            <v>PISTON</v>
          </cell>
          <cell r="P4501">
            <v>206</v>
          </cell>
        </row>
        <row r="4502">
          <cell r="B4502" t="str">
            <v>588-93</v>
          </cell>
          <cell r="C4502" t="str">
            <v>PISTON</v>
          </cell>
          <cell r="D4502">
            <v>276.5</v>
          </cell>
          <cell r="N4502" t="str">
            <v>588-93</v>
          </cell>
          <cell r="O4502" t="str">
            <v>PISTON</v>
          </cell>
          <cell r="P4502">
            <v>553</v>
          </cell>
        </row>
        <row r="4503">
          <cell r="B4503" t="str">
            <v>588-99</v>
          </cell>
          <cell r="C4503" t="str">
            <v>PISTON</v>
          </cell>
          <cell r="D4503">
            <v>276.5</v>
          </cell>
          <cell r="N4503" t="str">
            <v>588-99</v>
          </cell>
          <cell r="O4503" t="str">
            <v>PISTON</v>
          </cell>
          <cell r="P4503">
            <v>553</v>
          </cell>
        </row>
        <row r="4504">
          <cell r="B4504" t="str">
            <v>591-18</v>
          </cell>
          <cell r="C4504" t="str">
            <v>PISTON</v>
          </cell>
          <cell r="D4504">
            <v>276.5</v>
          </cell>
          <cell r="N4504" t="str">
            <v>591-18</v>
          </cell>
          <cell r="O4504" t="str">
            <v>PISTON</v>
          </cell>
          <cell r="P4504">
            <v>553</v>
          </cell>
        </row>
        <row r="4505">
          <cell r="B4505" t="str">
            <v>1345-01</v>
          </cell>
          <cell r="C4505" t="str">
            <v>HUB(RS15)</v>
          </cell>
          <cell r="D4505">
            <v>332.4</v>
          </cell>
          <cell r="N4505" t="str">
            <v>1345-01</v>
          </cell>
          <cell r="O4505" t="str">
            <v>HUB(RS15)</v>
          </cell>
          <cell r="P4505">
            <v>554</v>
          </cell>
        </row>
        <row r="4506">
          <cell r="B4506" t="str">
            <v>1687-08</v>
          </cell>
          <cell r="C4506" t="str">
            <v>BODY</v>
          </cell>
          <cell r="D4506">
            <v>272.5</v>
          </cell>
          <cell r="N4506" t="str">
            <v>1687-08</v>
          </cell>
          <cell r="O4506" t="str">
            <v>BODY</v>
          </cell>
          <cell r="P4506">
            <v>545</v>
          </cell>
        </row>
        <row r="4507">
          <cell r="B4507" t="str">
            <v>948-06</v>
          </cell>
          <cell r="C4507" t="str">
            <v>VALVE RETAINER</v>
          </cell>
          <cell r="D4507">
            <v>277</v>
          </cell>
          <cell r="N4507" t="str">
            <v>948-06</v>
          </cell>
          <cell r="O4507" t="str">
            <v>VALVE RETAINER</v>
          </cell>
          <cell r="P4507">
            <v>554</v>
          </cell>
        </row>
        <row r="4508">
          <cell r="B4508" t="str">
            <v>972-00</v>
          </cell>
          <cell r="C4508" t="str">
            <v>ROD GUIDE ASS'Y</v>
          </cell>
          <cell r="D4508">
            <v>244.5</v>
          </cell>
          <cell r="N4508" t="str">
            <v>972-00</v>
          </cell>
          <cell r="O4508" t="str">
            <v>ROD GUIDE ASS'Y</v>
          </cell>
          <cell r="P4508">
            <v>489</v>
          </cell>
        </row>
        <row r="4509">
          <cell r="B4509" t="str">
            <v>1018-11</v>
          </cell>
          <cell r="C4509" t="str">
            <v>PISTON</v>
          </cell>
          <cell r="D4509">
            <v>277.5</v>
          </cell>
          <cell r="N4509" t="str">
            <v>1018-11</v>
          </cell>
          <cell r="O4509" t="str">
            <v>PISTON</v>
          </cell>
          <cell r="P4509">
            <v>555</v>
          </cell>
        </row>
        <row r="4510">
          <cell r="B4510" t="str">
            <v>1182-09</v>
          </cell>
          <cell r="C4510" t="str">
            <v>VALVE PISTON</v>
          </cell>
          <cell r="D4510">
            <v>272.5</v>
          </cell>
          <cell r="N4510" t="str">
            <v>1182-09</v>
          </cell>
          <cell r="O4510" t="str">
            <v>VALVE PISTON</v>
          </cell>
          <cell r="P4510">
            <v>545</v>
          </cell>
        </row>
        <row r="4511">
          <cell r="B4511" t="str">
            <v>1182-09</v>
          </cell>
          <cell r="C4511" t="str">
            <v>VALVE PISTON</v>
          </cell>
          <cell r="D4511">
            <v>272.5</v>
          </cell>
          <cell r="N4511" t="str">
            <v>1182-09</v>
          </cell>
          <cell r="O4511" t="str">
            <v>VALVE PISTON</v>
          </cell>
          <cell r="P4511">
            <v>545</v>
          </cell>
        </row>
        <row r="4512">
          <cell r="B4512" t="str">
            <v>1182-10</v>
          </cell>
          <cell r="C4512" t="str">
            <v>VALVE PISTON</v>
          </cell>
          <cell r="D4512">
            <v>272.5</v>
          </cell>
          <cell r="N4512" t="str">
            <v>1182-10</v>
          </cell>
          <cell r="O4512" t="str">
            <v>VALVE PISTON</v>
          </cell>
          <cell r="P4512">
            <v>545</v>
          </cell>
        </row>
        <row r="4513">
          <cell r="B4513" t="str">
            <v>1182-10</v>
          </cell>
          <cell r="C4513" t="str">
            <v>VALVE PISTON</v>
          </cell>
          <cell r="D4513">
            <v>272.5</v>
          </cell>
          <cell r="N4513" t="str">
            <v>1182-10</v>
          </cell>
          <cell r="O4513" t="str">
            <v>VALVE PISTON</v>
          </cell>
          <cell r="P4513">
            <v>545</v>
          </cell>
        </row>
        <row r="4514">
          <cell r="B4514" t="str">
            <v>1441-01</v>
          </cell>
          <cell r="C4514" t="str">
            <v>PISTON</v>
          </cell>
          <cell r="D4514">
            <v>277.5</v>
          </cell>
          <cell r="N4514" t="str">
            <v>1441-01</v>
          </cell>
          <cell r="O4514" t="str">
            <v>PISTON</v>
          </cell>
          <cell r="P4514">
            <v>555</v>
          </cell>
        </row>
        <row r="4515">
          <cell r="B4515" t="str">
            <v>2001-00</v>
          </cell>
          <cell r="C4515" t="str">
            <v>PISTON</v>
          </cell>
          <cell r="D4515">
            <v>260.5</v>
          </cell>
          <cell r="N4515" t="str">
            <v>2001-00</v>
          </cell>
          <cell r="O4515" t="str">
            <v>PISTON</v>
          </cell>
          <cell r="P4515">
            <v>521</v>
          </cell>
        </row>
        <row r="4516">
          <cell r="B4516" t="str">
            <v>588-32</v>
          </cell>
          <cell r="C4516" t="str">
            <v>PISTON</v>
          </cell>
          <cell r="D4516">
            <v>132.5</v>
          </cell>
          <cell r="N4516" t="str">
            <v>588-32</v>
          </cell>
          <cell r="O4516" t="str">
            <v>PISTON</v>
          </cell>
          <cell r="P4516">
            <v>265</v>
          </cell>
        </row>
        <row r="4517">
          <cell r="B4517" t="str">
            <v>673-05</v>
          </cell>
          <cell r="C4517" t="str">
            <v>PISTON</v>
          </cell>
          <cell r="D4517">
            <v>121</v>
          </cell>
          <cell r="N4517" t="str">
            <v>673-05</v>
          </cell>
          <cell r="O4517" t="str">
            <v>PISTON</v>
          </cell>
          <cell r="P4517">
            <v>242</v>
          </cell>
        </row>
        <row r="4518">
          <cell r="B4518" t="str">
            <v>696-00</v>
          </cell>
          <cell r="C4518" t="str">
            <v>ROD GUIDE ASS'Y</v>
          </cell>
          <cell r="D4518">
            <v>277.5</v>
          </cell>
          <cell r="N4518" t="str">
            <v>696-00</v>
          </cell>
          <cell r="O4518" t="str">
            <v>ROD GUIDE ASS'Y</v>
          </cell>
          <cell r="P4518">
            <v>555</v>
          </cell>
        </row>
        <row r="4519">
          <cell r="B4519" t="str">
            <v>948-07</v>
          </cell>
          <cell r="C4519" t="str">
            <v>VALVE RETAINER</v>
          </cell>
          <cell r="D4519">
            <v>277.5</v>
          </cell>
          <cell r="N4519" t="str">
            <v>948-07</v>
          </cell>
          <cell r="O4519" t="str">
            <v>VALVE RETAINER</v>
          </cell>
          <cell r="P4519">
            <v>555</v>
          </cell>
        </row>
        <row r="4520">
          <cell r="B4520" t="str">
            <v>1688-02</v>
          </cell>
          <cell r="C4520" t="str">
            <v>VALVE RETAINER</v>
          </cell>
          <cell r="D4520">
            <v>278</v>
          </cell>
          <cell r="N4520" t="str">
            <v>1688-02</v>
          </cell>
          <cell r="O4520" t="str">
            <v>VALVE RETAINER</v>
          </cell>
          <cell r="P4520">
            <v>556</v>
          </cell>
        </row>
        <row r="4521">
          <cell r="B4521" t="str">
            <v>1182-12</v>
          </cell>
          <cell r="C4521" t="str">
            <v>VALVE PISTON</v>
          </cell>
          <cell r="D4521">
            <v>273.5</v>
          </cell>
          <cell r="N4521" t="str">
            <v>1182-12</v>
          </cell>
          <cell r="O4521" t="str">
            <v>VALVE PISTON</v>
          </cell>
          <cell r="P4521">
            <v>547</v>
          </cell>
        </row>
        <row r="4522">
          <cell r="B4522" t="str">
            <v>1345-01</v>
          </cell>
          <cell r="C4522" t="str">
            <v>HUB(RS15)</v>
          </cell>
          <cell r="D4522">
            <v>332.4</v>
          </cell>
          <cell r="N4522" t="str">
            <v>1345-01</v>
          </cell>
          <cell r="O4522" t="str">
            <v>HUB(RS15)</v>
          </cell>
          <cell r="P4522">
            <v>554</v>
          </cell>
        </row>
        <row r="4523">
          <cell r="B4523" t="str">
            <v>1770-03</v>
          </cell>
          <cell r="C4523" t="str">
            <v>VALVE RETAINER</v>
          </cell>
          <cell r="D4523">
            <v>278.5</v>
          </cell>
          <cell r="N4523" t="str">
            <v>1770-03</v>
          </cell>
          <cell r="O4523" t="str">
            <v>VALVE RETAINER</v>
          </cell>
          <cell r="P4523">
            <v>557</v>
          </cell>
        </row>
        <row r="4524">
          <cell r="B4524" t="str">
            <v>1771-03</v>
          </cell>
          <cell r="C4524" t="str">
            <v>VALVE RETAINER</v>
          </cell>
          <cell r="D4524">
            <v>278.5</v>
          </cell>
          <cell r="N4524" t="str">
            <v>1771-03</v>
          </cell>
          <cell r="O4524" t="str">
            <v>VALVE RETAINER</v>
          </cell>
          <cell r="P4524">
            <v>557</v>
          </cell>
        </row>
        <row r="4525">
          <cell r="B4525" t="str">
            <v>1996-09</v>
          </cell>
          <cell r="C4525" t="str">
            <v>BODY</v>
          </cell>
          <cell r="D4525">
            <v>278.5</v>
          </cell>
          <cell r="N4525" t="str">
            <v>1996-09</v>
          </cell>
          <cell r="O4525" t="str">
            <v>BODY</v>
          </cell>
          <cell r="P4525">
            <v>557</v>
          </cell>
        </row>
        <row r="4526">
          <cell r="B4526" t="str">
            <v>588-31</v>
          </cell>
          <cell r="C4526" t="str">
            <v>PISTON</v>
          </cell>
          <cell r="D4526">
            <v>125.5</v>
          </cell>
          <cell r="N4526" t="str">
            <v>588-31</v>
          </cell>
          <cell r="O4526" t="str">
            <v>PISTON</v>
          </cell>
          <cell r="P4526">
            <v>251</v>
          </cell>
        </row>
        <row r="4527">
          <cell r="B4527" t="str">
            <v>598-17</v>
          </cell>
          <cell r="C4527" t="str">
            <v>PISTON</v>
          </cell>
          <cell r="D4527">
            <v>278.5</v>
          </cell>
          <cell r="N4527" t="str">
            <v>598-17</v>
          </cell>
          <cell r="O4527" t="str">
            <v>PISTON</v>
          </cell>
          <cell r="P4527">
            <v>557</v>
          </cell>
        </row>
        <row r="4528">
          <cell r="B4528" t="str">
            <v>798-02</v>
          </cell>
          <cell r="C4528" t="str">
            <v>ROD GUIDE ASS'Y</v>
          </cell>
          <cell r="D4528">
            <v>242.5</v>
          </cell>
          <cell r="N4528" t="str">
            <v>798-02</v>
          </cell>
          <cell r="O4528" t="str">
            <v>ROD GUIDE ASS'Y</v>
          </cell>
          <cell r="P4528">
            <v>485</v>
          </cell>
        </row>
        <row r="4529">
          <cell r="B4529" t="str">
            <v>798-02</v>
          </cell>
          <cell r="C4529" t="str">
            <v>ROD GUIDE ASS'Y</v>
          </cell>
          <cell r="D4529">
            <v>242.5</v>
          </cell>
          <cell r="N4529" t="str">
            <v>798-02</v>
          </cell>
          <cell r="O4529" t="str">
            <v>ROD GUIDE ASS'Y</v>
          </cell>
          <cell r="P4529">
            <v>485</v>
          </cell>
        </row>
        <row r="4530">
          <cell r="B4530" t="str">
            <v>798-02</v>
          </cell>
          <cell r="C4530" t="str">
            <v>ROD GUIDE ASS'Y</v>
          </cell>
          <cell r="D4530">
            <v>242.5</v>
          </cell>
          <cell r="N4530" t="str">
            <v>798-02</v>
          </cell>
          <cell r="O4530" t="str">
            <v>ROD GUIDE ASS'Y</v>
          </cell>
          <cell r="P4530">
            <v>485</v>
          </cell>
        </row>
        <row r="4531">
          <cell r="B4531" t="str">
            <v>678-05</v>
          </cell>
          <cell r="C4531" t="str">
            <v>SLIDE BUSH</v>
          </cell>
          <cell r="D4531">
            <v>279.44499999999999</v>
          </cell>
          <cell r="N4531" t="str">
            <v>678-05</v>
          </cell>
          <cell r="O4531" t="str">
            <v>SLIDE BUSH</v>
          </cell>
          <cell r="P4531">
            <v>558.89</v>
          </cell>
        </row>
        <row r="4532">
          <cell r="B4532" t="str">
            <v>1525-06</v>
          </cell>
          <cell r="C4532" t="str">
            <v>BODY</v>
          </cell>
          <cell r="D4532">
            <v>256.5</v>
          </cell>
          <cell r="N4532" t="str">
            <v>1525-06</v>
          </cell>
          <cell r="O4532" t="str">
            <v>BODY</v>
          </cell>
          <cell r="P4532">
            <v>513</v>
          </cell>
        </row>
        <row r="4533">
          <cell r="B4533" t="str">
            <v>1799-05</v>
          </cell>
          <cell r="C4533" t="str">
            <v>PISTON</v>
          </cell>
          <cell r="D4533">
            <v>279.5</v>
          </cell>
          <cell r="N4533" t="str">
            <v>1799-05</v>
          </cell>
          <cell r="O4533" t="str">
            <v>PISTON</v>
          </cell>
          <cell r="P4533">
            <v>559</v>
          </cell>
        </row>
        <row r="4534">
          <cell r="B4534" t="str">
            <v>1871-00</v>
          </cell>
          <cell r="C4534" t="str">
            <v>ROD GUIDE ASS'Y</v>
          </cell>
          <cell r="D4534">
            <v>279.5</v>
          </cell>
          <cell r="N4534" t="str">
            <v>1871-00</v>
          </cell>
          <cell r="O4534" t="str">
            <v>ROD GUIDE ASS'Y</v>
          </cell>
          <cell r="P4534">
            <v>559</v>
          </cell>
        </row>
        <row r="4535">
          <cell r="B4535" t="str">
            <v>678-05</v>
          </cell>
          <cell r="C4535" t="str">
            <v>SLIDE BUSH</v>
          </cell>
          <cell r="D4535">
            <v>279.44499999999999</v>
          </cell>
          <cell r="N4535" t="str">
            <v>678-05</v>
          </cell>
          <cell r="O4535" t="str">
            <v>SLIDE BUSH</v>
          </cell>
          <cell r="P4535">
            <v>558.89</v>
          </cell>
        </row>
        <row r="4536">
          <cell r="B4536" t="str">
            <v>678-02</v>
          </cell>
          <cell r="C4536" t="str">
            <v>SLIDE BUSH</v>
          </cell>
          <cell r="D4536">
            <v>279.94499999999999</v>
          </cell>
          <cell r="N4536" t="str">
            <v>678-02</v>
          </cell>
          <cell r="O4536" t="str">
            <v>SLIDE BUSH</v>
          </cell>
          <cell r="P4536">
            <v>559.89</v>
          </cell>
        </row>
        <row r="4537">
          <cell r="B4537" t="str">
            <v>678-02</v>
          </cell>
          <cell r="C4537" t="str">
            <v>SLIDE BUSH</v>
          </cell>
          <cell r="D4537">
            <v>279.94499999999999</v>
          </cell>
          <cell r="N4537" t="str">
            <v>678-02</v>
          </cell>
          <cell r="O4537" t="str">
            <v>SLIDE BUSH</v>
          </cell>
          <cell r="P4537">
            <v>559.89</v>
          </cell>
        </row>
        <row r="4538">
          <cell r="B4538" t="str">
            <v>1182-19</v>
          </cell>
          <cell r="C4538" t="str">
            <v>VALVE PISTON</v>
          </cell>
          <cell r="D4538">
            <v>243.5</v>
          </cell>
          <cell r="N4538" t="str">
            <v>1182-19</v>
          </cell>
          <cell r="O4538" t="str">
            <v>VALVE PISTON</v>
          </cell>
          <cell r="P4538">
            <v>487</v>
          </cell>
        </row>
        <row r="4539">
          <cell r="B4539" t="str">
            <v>1636-03</v>
          </cell>
          <cell r="C4539" t="str">
            <v>PISTON</v>
          </cell>
          <cell r="D4539">
            <v>280</v>
          </cell>
          <cell r="N4539" t="str">
            <v>1636-03</v>
          </cell>
          <cell r="O4539" t="str">
            <v>PISTON</v>
          </cell>
          <cell r="P4539">
            <v>560</v>
          </cell>
        </row>
        <row r="4540">
          <cell r="B4540" t="str">
            <v>464-21</v>
          </cell>
          <cell r="C4540" t="str">
            <v>PISTON</v>
          </cell>
          <cell r="D4540">
            <v>120.5</v>
          </cell>
          <cell r="N4540" t="str">
            <v>464-21</v>
          </cell>
          <cell r="O4540" t="str">
            <v>PISTON</v>
          </cell>
          <cell r="P4540">
            <v>241</v>
          </cell>
        </row>
        <row r="4541">
          <cell r="B4541" t="str">
            <v>534-01</v>
          </cell>
          <cell r="C4541" t="str">
            <v>LEVER</v>
          </cell>
          <cell r="D4541">
            <v>336</v>
          </cell>
          <cell r="N4541" t="str">
            <v>534-01</v>
          </cell>
          <cell r="O4541" t="str">
            <v>LEVER</v>
          </cell>
          <cell r="P4541">
            <v>560</v>
          </cell>
        </row>
        <row r="4542">
          <cell r="B4542" t="str">
            <v>671-05</v>
          </cell>
          <cell r="C4542" t="str">
            <v>PISTON</v>
          </cell>
          <cell r="D4542">
            <v>106</v>
          </cell>
          <cell r="N4542" t="str">
            <v>671-05</v>
          </cell>
          <cell r="O4542" t="str">
            <v>PISTON</v>
          </cell>
          <cell r="P4542">
            <v>212</v>
          </cell>
        </row>
        <row r="4543">
          <cell r="B4543" t="str">
            <v>1525-11</v>
          </cell>
          <cell r="C4543" t="str">
            <v>BODY</v>
          </cell>
          <cell r="D4543">
            <v>266</v>
          </cell>
          <cell r="N4543" t="str">
            <v>1525-11</v>
          </cell>
          <cell r="O4543" t="str">
            <v>BODY</v>
          </cell>
          <cell r="P4543">
            <v>532</v>
          </cell>
        </row>
        <row r="4544">
          <cell r="B4544" t="str">
            <v>1636-00</v>
          </cell>
          <cell r="C4544" t="str">
            <v>PISTON</v>
          </cell>
          <cell r="D4544">
            <v>280.5</v>
          </cell>
          <cell r="N4544" t="str">
            <v>1636-00</v>
          </cell>
          <cell r="O4544" t="str">
            <v>PISTON</v>
          </cell>
          <cell r="P4544">
            <v>561</v>
          </cell>
        </row>
        <row r="4545">
          <cell r="B4545" t="str">
            <v>1661-04</v>
          </cell>
          <cell r="C4545" t="str">
            <v>PISTON</v>
          </cell>
          <cell r="D4545">
            <v>281</v>
          </cell>
          <cell r="N4545" t="str">
            <v>1661-04</v>
          </cell>
          <cell r="O4545" t="str">
            <v>PISTON</v>
          </cell>
          <cell r="P4545">
            <v>562</v>
          </cell>
        </row>
        <row r="4546">
          <cell r="B4546" t="str">
            <v>384-01</v>
          </cell>
          <cell r="C4546" t="str">
            <v>SUPPORT YOKE ASS'Y</v>
          </cell>
          <cell r="D4546">
            <v>281</v>
          </cell>
          <cell r="N4546" t="str">
            <v>384-01</v>
          </cell>
          <cell r="O4546" t="str">
            <v>SUPPORT YOKE ASS'Y</v>
          </cell>
          <cell r="P4546">
            <v>562</v>
          </cell>
        </row>
        <row r="4547">
          <cell r="B4547" t="str">
            <v>464-16</v>
          </cell>
          <cell r="C4547" t="str">
            <v>PISTON</v>
          </cell>
          <cell r="D4547">
            <v>128</v>
          </cell>
          <cell r="N4547" t="str">
            <v>464-16</v>
          </cell>
          <cell r="O4547" t="str">
            <v>PISTON</v>
          </cell>
          <cell r="P4547">
            <v>256</v>
          </cell>
        </row>
        <row r="4548">
          <cell r="B4548" t="str">
            <v>659-08</v>
          </cell>
          <cell r="C4548" t="str">
            <v>ROD GUIDE ASS'Y</v>
          </cell>
          <cell r="D4548">
            <v>193.5</v>
          </cell>
          <cell r="N4548" t="str">
            <v>659-08</v>
          </cell>
          <cell r="O4548" t="str">
            <v>ROD GUIDE ASS'Y</v>
          </cell>
          <cell r="P4548">
            <v>387</v>
          </cell>
        </row>
        <row r="4549">
          <cell r="B4549" t="str">
            <v>670-03</v>
          </cell>
          <cell r="C4549" t="str">
            <v>ROD GUIDE ASS'Y</v>
          </cell>
          <cell r="D4549">
            <v>225.5</v>
          </cell>
          <cell r="N4549" t="str">
            <v>670-03</v>
          </cell>
          <cell r="O4549" t="str">
            <v>ROD GUIDE ASS'Y</v>
          </cell>
          <cell r="P4549">
            <v>451</v>
          </cell>
        </row>
        <row r="4550">
          <cell r="B4550" t="str">
            <v>671-06</v>
          </cell>
          <cell r="C4550" t="str">
            <v>PISTON</v>
          </cell>
          <cell r="D4550">
            <v>104</v>
          </cell>
          <cell r="N4550" t="str">
            <v>671-06</v>
          </cell>
          <cell r="O4550" t="str">
            <v>PISTON</v>
          </cell>
          <cell r="P4550">
            <v>208</v>
          </cell>
        </row>
        <row r="4551">
          <cell r="B4551" t="str">
            <v>1636-00</v>
          </cell>
          <cell r="C4551" t="str">
            <v>PISTON</v>
          </cell>
          <cell r="D4551">
            <v>280.5</v>
          </cell>
          <cell r="N4551" t="str">
            <v>1636-00</v>
          </cell>
          <cell r="O4551" t="str">
            <v>PISTON</v>
          </cell>
          <cell r="P4551">
            <v>561</v>
          </cell>
        </row>
        <row r="4552">
          <cell r="B4552" t="str">
            <v>1636-03</v>
          </cell>
          <cell r="C4552" t="str">
            <v>PISTON</v>
          </cell>
          <cell r="D4552">
            <v>280</v>
          </cell>
          <cell r="N4552" t="str">
            <v>1636-03</v>
          </cell>
          <cell r="O4552" t="str">
            <v>PISTON</v>
          </cell>
          <cell r="P4552">
            <v>560</v>
          </cell>
        </row>
        <row r="4553">
          <cell r="B4553" t="str">
            <v>1851-03</v>
          </cell>
          <cell r="C4553" t="str">
            <v>VALVE RETAINER</v>
          </cell>
          <cell r="D4553">
            <v>204</v>
          </cell>
          <cell r="N4553" t="str">
            <v>1851-03</v>
          </cell>
          <cell r="O4553" t="str">
            <v>VALVE RETAINER</v>
          </cell>
          <cell r="P4553">
            <v>408</v>
          </cell>
        </row>
        <row r="4554">
          <cell r="B4554" t="str">
            <v>1274-05</v>
          </cell>
          <cell r="C4554" t="str">
            <v>PISTON</v>
          </cell>
          <cell r="D4554">
            <v>262.5</v>
          </cell>
          <cell r="N4554" t="str">
            <v>1274-05</v>
          </cell>
          <cell r="O4554" t="str">
            <v>PISTON</v>
          </cell>
          <cell r="P4554">
            <v>525</v>
          </cell>
        </row>
        <row r="4555">
          <cell r="B4555" t="str">
            <v>1274-05</v>
          </cell>
          <cell r="C4555" t="str">
            <v>PISTON</v>
          </cell>
          <cell r="D4555">
            <v>262.5</v>
          </cell>
          <cell r="N4555" t="str">
            <v>1274-05</v>
          </cell>
          <cell r="O4555" t="str">
            <v>PISTON</v>
          </cell>
          <cell r="P4555">
            <v>525</v>
          </cell>
        </row>
        <row r="4556">
          <cell r="B4556" t="str">
            <v>588-27</v>
          </cell>
          <cell r="C4556" t="str">
            <v>PISTON</v>
          </cell>
          <cell r="D4556">
            <v>117</v>
          </cell>
          <cell r="N4556" t="str">
            <v>588-27</v>
          </cell>
          <cell r="O4556" t="str">
            <v>PISTON</v>
          </cell>
          <cell r="P4556">
            <v>234</v>
          </cell>
        </row>
        <row r="4557">
          <cell r="B4557" t="str">
            <v>724-18</v>
          </cell>
          <cell r="C4557" t="str">
            <v>PISTON</v>
          </cell>
          <cell r="D4557">
            <v>142.5</v>
          </cell>
          <cell r="N4557" t="str">
            <v>724-18</v>
          </cell>
          <cell r="O4557" t="str">
            <v>PISTON</v>
          </cell>
          <cell r="P4557">
            <v>285</v>
          </cell>
        </row>
        <row r="4558">
          <cell r="B4558" t="str">
            <v>798-02</v>
          </cell>
          <cell r="C4558" t="str">
            <v>ROD GUIDE ASS'Y</v>
          </cell>
          <cell r="D4558">
            <v>242.5</v>
          </cell>
          <cell r="N4558" t="str">
            <v>798-02</v>
          </cell>
          <cell r="O4558" t="str">
            <v>ROD GUIDE ASS'Y</v>
          </cell>
          <cell r="P4558">
            <v>485</v>
          </cell>
        </row>
        <row r="4559">
          <cell r="B4559" t="str">
            <v>1137-02</v>
          </cell>
          <cell r="C4559" t="str">
            <v>SUPPORT YOKE ASS'Y</v>
          </cell>
          <cell r="D4559">
            <v>282.5</v>
          </cell>
          <cell r="N4559" t="str">
            <v>1137-02</v>
          </cell>
          <cell r="O4559" t="str">
            <v>SUPPORT YOKE ASS'Y</v>
          </cell>
          <cell r="P4559">
            <v>565</v>
          </cell>
        </row>
        <row r="4560">
          <cell r="B4560" t="str">
            <v>1636-00</v>
          </cell>
          <cell r="C4560" t="str">
            <v>PISTON</v>
          </cell>
          <cell r="D4560">
            <v>280.5</v>
          </cell>
          <cell r="N4560" t="str">
            <v>1636-00</v>
          </cell>
          <cell r="O4560" t="str">
            <v>PISTON</v>
          </cell>
          <cell r="P4560">
            <v>561</v>
          </cell>
        </row>
        <row r="4561">
          <cell r="B4561" t="str">
            <v>1859-00</v>
          </cell>
          <cell r="C4561" t="str">
            <v>PISTON</v>
          </cell>
          <cell r="D4561">
            <v>282.5</v>
          </cell>
          <cell r="N4561" t="str">
            <v>1859-00</v>
          </cell>
          <cell r="O4561" t="str">
            <v>PISTON</v>
          </cell>
          <cell r="P4561">
            <v>565</v>
          </cell>
        </row>
        <row r="4562">
          <cell r="B4562" t="str">
            <v>591-06</v>
          </cell>
          <cell r="C4562" t="str">
            <v>PISTON</v>
          </cell>
          <cell r="D4562">
            <v>202.5</v>
          </cell>
          <cell r="N4562" t="str">
            <v>591-06</v>
          </cell>
          <cell r="O4562" t="str">
            <v>PISTON</v>
          </cell>
          <cell r="P4562">
            <v>405</v>
          </cell>
        </row>
        <row r="4563">
          <cell r="B4563" t="str">
            <v>1391-00</v>
          </cell>
          <cell r="C4563" t="str">
            <v>ROD GUIDE ASS'Y</v>
          </cell>
          <cell r="D4563">
            <v>283</v>
          </cell>
          <cell r="N4563" t="str">
            <v>1391-00</v>
          </cell>
          <cell r="O4563" t="str">
            <v>ROD GUIDE ASS'Y</v>
          </cell>
          <cell r="P4563">
            <v>566</v>
          </cell>
        </row>
        <row r="4564">
          <cell r="B4564" t="str">
            <v>1588-02</v>
          </cell>
          <cell r="C4564" t="str">
            <v>PISTON</v>
          </cell>
          <cell r="D4564">
            <v>184</v>
          </cell>
          <cell r="N4564" t="str">
            <v>1588-02</v>
          </cell>
          <cell r="O4564" t="str">
            <v>PISTON</v>
          </cell>
          <cell r="P4564">
            <v>368</v>
          </cell>
        </row>
        <row r="4565">
          <cell r="B4565" t="str">
            <v>708-05</v>
          </cell>
          <cell r="C4565" t="str">
            <v>SLIDE BUSH</v>
          </cell>
          <cell r="D4565">
            <v>283.5</v>
          </cell>
          <cell r="N4565" t="str">
            <v>708-05</v>
          </cell>
          <cell r="O4565" t="str">
            <v>SLIDE BUSH</v>
          </cell>
          <cell r="P4565">
            <v>567</v>
          </cell>
        </row>
        <row r="4566">
          <cell r="B4566" t="str">
            <v>798-02</v>
          </cell>
          <cell r="C4566" t="str">
            <v>ROD GUIDE ASS'Y</v>
          </cell>
          <cell r="D4566">
            <v>242.5</v>
          </cell>
          <cell r="N4566" t="str">
            <v>798-02</v>
          </cell>
          <cell r="O4566" t="str">
            <v>ROD GUIDE ASS'Y</v>
          </cell>
          <cell r="P4566">
            <v>485</v>
          </cell>
        </row>
        <row r="4567">
          <cell r="B4567" t="str">
            <v>1859-00</v>
          </cell>
          <cell r="C4567" t="str">
            <v>PISTON</v>
          </cell>
          <cell r="D4567">
            <v>282.5</v>
          </cell>
          <cell r="N4567" t="str">
            <v>1859-00</v>
          </cell>
          <cell r="O4567" t="str">
            <v>PISTON</v>
          </cell>
          <cell r="P4567">
            <v>565</v>
          </cell>
        </row>
        <row r="4568">
          <cell r="B4568" t="str">
            <v>1999-00</v>
          </cell>
          <cell r="C4568" t="str">
            <v>PISTON</v>
          </cell>
          <cell r="D4568">
            <v>284</v>
          </cell>
          <cell r="N4568" t="str">
            <v>1999-00</v>
          </cell>
          <cell r="O4568" t="str">
            <v>PISTON</v>
          </cell>
          <cell r="P4568">
            <v>568</v>
          </cell>
        </row>
        <row r="4569">
          <cell r="B4569" t="str">
            <v>1999-00</v>
          </cell>
          <cell r="C4569" t="str">
            <v>PISTON</v>
          </cell>
          <cell r="D4569">
            <v>284</v>
          </cell>
          <cell r="N4569" t="str">
            <v>1999-00</v>
          </cell>
          <cell r="O4569" t="str">
            <v>PISTON</v>
          </cell>
          <cell r="P4569">
            <v>568</v>
          </cell>
        </row>
        <row r="4570">
          <cell r="B4570" t="str">
            <v>886-00</v>
          </cell>
          <cell r="C4570" t="str">
            <v>SLIDE BUSH</v>
          </cell>
          <cell r="D4570">
            <v>284</v>
          </cell>
          <cell r="N4570" t="str">
            <v>886-00</v>
          </cell>
          <cell r="O4570" t="str">
            <v>SLIDE BUSH</v>
          </cell>
          <cell r="P4570">
            <v>568</v>
          </cell>
        </row>
        <row r="4571">
          <cell r="B4571" t="str">
            <v>1323-00</v>
          </cell>
          <cell r="C4571" t="str">
            <v>ROD GUIDE ASS'Y</v>
          </cell>
          <cell r="D4571">
            <v>284.5</v>
          </cell>
          <cell r="N4571" t="str">
            <v>1323-00</v>
          </cell>
          <cell r="O4571" t="str">
            <v>ROD GUIDE ASS'Y</v>
          </cell>
          <cell r="P4571">
            <v>569</v>
          </cell>
        </row>
        <row r="4572">
          <cell r="B4572" t="str">
            <v>1588-04</v>
          </cell>
          <cell r="C4572" t="str">
            <v>PISTON</v>
          </cell>
          <cell r="D4572">
            <v>193.5</v>
          </cell>
          <cell r="N4572" t="str">
            <v>1588-04</v>
          </cell>
          <cell r="O4572" t="str">
            <v>PISTON</v>
          </cell>
          <cell r="P4572">
            <v>387</v>
          </cell>
        </row>
        <row r="4573">
          <cell r="B4573" t="str">
            <v>1859-00</v>
          </cell>
          <cell r="C4573" t="str">
            <v>PISTON</v>
          </cell>
          <cell r="D4573">
            <v>282.5</v>
          </cell>
          <cell r="N4573" t="str">
            <v>1859-00</v>
          </cell>
          <cell r="O4573" t="str">
            <v>PISTON</v>
          </cell>
          <cell r="P4573">
            <v>565</v>
          </cell>
        </row>
        <row r="4574">
          <cell r="B4574" t="str">
            <v>588-92</v>
          </cell>
          <cell r="C4574" t="str">
            <v>PISTON</v>
          </cell>
          <cell r="D4574">
            <v>284.5</v>
          </cell>
          <cell r="N4574" t="str">
            <v>588-92</v>
          </cell>
          <cell r="O4574" t="str">
            <v>PISTON</v>
          </cell>
          <cell r="P4574">
            <v>569</v>
          </cell>
        </row>
        <row r="4575">
          <cell r="B4575" t="str">
            <v>1771-05</v>
          </cell>
          <cell r="C4575" t="str">
            <v>VALVE RETAINER</v>
          </cell>
          <cell r="D4575">
            <v>285</v>
          </cell>
          <cell r="N4575" t="str">
            <v>1771-05</v>
          </cell>
          <cell r="O4575" t="str">
            <v>VALVE RETAINER</v>
          </cell>
          <cell r="P4575">
            <v>570</v>
          </cell>
        </row>
        <row r="4576">
          <cell r="B4576" t="str">
            <v>598-31</v>
          </cell>
          <cell r="C4576" t="str">
            <v>PISTON</v>
          </cell>
          <cell r="D4576">
            <v>198</v>
          </cell>
          <cell r="N4576" t="str">
            <v>598-31</v>
          </cell>
          <cell r="O4576" t="str">
            <v>PISTON</v>
          </cell>
          <cell r="P4576">
            <v>396</v>
          </cell>
        </row>
        <row r="4577">
          <cell r="B4577" t="str">
            <v>947-06</v>
          </cell>
          <cell r="C4577" t="str">
            <v>VALVE RETAINER</v>
          </cell>
          <cell r="D4577">
            <v>285</v>
          </cell>
          <cell r="N4577" t="str">
            <v>947-06</v>
          </cell>
          <cell r="O4577" t="str">
            <v>VALVE RETAINER</v>
          </cell>
          <cell r="P4577">
            <v>570</v>
          </cell>
        </row>
        <row r="4578">
          <cell r="B4578" t="str">
            <v>1636-00</v>
          </cell>
          <cell r="C4578" t="str">
            <v>PISTON</v>
          </cell>
          <cell r="D4578">
            <v>280.5</v>
          </cell>
          <cell r="N4578" t="str">
            <v>1636-00</v>
          </cell>
          <cell r="O4578" t="str">
            <v>PISTON</v>
          </cell>
          <cell r="P4578">
            <v>561</v>
          </cell>
        </row>
        <row r="4579">
          <cell r="B4579" t="str">
            <v>588-30</v>
          </cell>
          <cell r="C4579" t="str">
            <v>PISTON</v>
          </cell>
          <cell r="D4579">
            <v>123.5</v>
          </cell>
          <cell r="N4579" t="str">
            <v>588-30</v>
          </cell>
          <cell r="O4579" t="str">
            <v>PISTON</v>
          </cell>
          <cell r="P4579">
            <v>247</v>
          </cell>
        </row>
        <row r="4580">
          <cell r="B4580" t="str">
            <v>588-94</v>
          </cell>
          <cell r="C4580" t="str">
            <v>PISTON</v>
          </cell>
          <cell r="D4580">
            <v>285.5</v>
          </cell>
          <cell r="N4580" t="str">
            <v>588-94</v>
          </cell>
          <cell r="O4580" t="str">
            <v>PISTON</v>
          </cell>
          <cell r="P4580">
            <v>571</v>
          </cell>
        </row>
        <row r="4581">
          <cell r="B4581" t="str">
            <v>985-03</v>
          </cell>
          <cell r="C4581" t="str">
            <v>BODY</v>
          </cell>
          <cell r="D4581">
            <v>285.5</v>
          </cell>
          <cell r="N4581" t="str">
            <v>985-03</v>
          </cell>
          <cell r="O4581" t="str">
            <v>BODY</v>
          </cell>
          <cell r="P4581">
            <v>571</v>
          </cell>
        </row>
        <row r="4582">
          <cell r="B4582" t="str">
            <v>1851-03</v>
          </cell>
          <cell r="C4582" t="str">
            <v>VALVE RETAINER</v>
          </cell>
          <cell r="D4582">
            <v>204</v>
          </cell>
          <cell r="N4582" t="str">
            <v>1851-03</v>
          </cell>
          <cell r="O4582" t="str">
            <v>VALVE RETAINER</v>
          </cell>
          <cell r="P4582">
            <v>408</v>
          </cell>
        </row>
        <row r="4583">
          <cell r="B4583" t="str">
            <v>2046-01</v>
          </cell>
          <cell r="C4583" t="str">
            <v>PILOT CASE</v>
          </cell>
          <cell r="D4583">
            <v>270.5</v>
          </cell>
          <cell r="N4583" t="str">
            <v>2046-01</v>
          </cell>
          <cell r="O4583" t="str">
            <v>PILOT CASE</v>
          </cell>
          <cell r="P4583">
            <v>541</v>
          </cell>
        </row>
        <row r="4584">
          <cell r="B4584" t="str">
            <v>1864-00</v>
          </cell>
          <cell r="C4584" t="str">
            <v>PISTON</v>
          </cell>
          <cell r="D4584">
            <v>286.5</v>
          </cell>
          <cell r="N4584" t="str">
            <v>1864-00</v>
          </cell>
          <cell r="O4584" t="str">
            <v>PISTON</v>
          </cell>
          <cell r="P4584">
            <v>573</v>
          </cell>
        </row>
        <row r="4585">
          <cell r="B4585" t="str">
            <v>2003-00</v>
          </cell>
          <cell r="C4585" t="str">
            <v>PISTON</v>
          </cell>
          <cell r="D4585">
            <v>286.5</v>
          </cell>
          <cell r="N4585" t="str">
            <v>2003-00</v>
          </cell>
          <cell r="O4585" t="str">
            <v>PISTON</v>
          </cell>
          <cell r="P4585">
            <v>573</v>
          </cell>
        </row>
        <row r="4586">
          <cell r="B4586" t="str">
            <v>588-65</v>
          </cell>
          <cell r="C4586" t="str">
            <v>PISTON</v>
          </cell>
          <cell r="D4586">
            <v>218</v>
          </cell>
          <cell r="N4586" t="str">
            <v>588-65</v>
          </cell>
          <cell r="O4586" t="str">
            <v>PISTON</v>
          </cell>
          <cell r="P4586">
            <v>436</v>
          </cell>
        </row>
        <row r="4587">
          <cell r="B4587" t="str">
            <v>598-31</v>
          </cell>
          <cell r="C4587" t="str">
            <v>PISTON</v>
          </cell>
          <cell r="D4587">
            <v>198</v>
          </cell>
          <cell r="N4587" t="str">
            <v>598-31</v>
          </cell>
          <cell r="O4587" t="str">
            <v>PISTON</v>
          </cell>
          <cell r="P4587">
            <v>396</v>
          </cell>
        </row>
        <row r="4588">
          <cell r="B4588" t="str">
            <v>598-31</v>
          </cell>
          <cell r="C4588" t="str">
            <v>PISTON</v>
          </cell>
          <cell r="D4588">
            <v>198</v>
          </cell>
          <cell r="N4588" t="str">
            <v>598-31</v>
          </cell>
          <cell r="O4588" t="str">
            <v>PISTON</v>
          </cell>
          <cell r="P4588">
            <v>396</v>
          </cell>
        </row>
        <row r="4589">
          <cell r="B4589" t="str">
            <v>895-03</v>
          </cell>
          <cell r="C4589" t="str">
            <v>BODY</v>
          </cell>
          <cell r="D4589">
            <v>286.5</v>
          </cell>
          <cell r="N4589" t="str">
            <v>895-03</v>
          </cell>
          <cell r="O4589" t="str">
            <v>BODY</v>
          </cell>
          <cell r="P4589">
            <v>573</v>
          </cell>
        </row>
        <row r="4590">
          <cell r="B4590" t="str">
            <v>588-10</v>
          </cell>
          <cell r="C4590" t="str">
            <v>PISTON</v>
          </cell>
          <cell r="D4590">
            <v>111</v>
          </cell>
          <cell r="N4590" t="str">
            <v>588-10</v>
          </cell>
          <cell r="O4590" t="str">
            <v>PISTON</v>
          </cell>
          <cell r="P4590">
            <v>222</v>
          </cell>
        </row>
        <row r="4591">
          <cell r="B4591" t="str">
            <v>591-20</v>
          </cell>
          <cell r="C4591" t="str">
            <v>PISTON</v>
          </cell>
          <cell r="D4591">
            <v>287</v>
          </cell>
          <cell r="N4591" t="str">
            <v>591-20</v>
          </cell>
          <cell r="O4591" t="str">
            <v>PISTON</v>
          </cell>
          <cell r="P4591">
            <v>574</v>
          </cell>
        </row>
        <row r="4592">
          <cell r="B4592" t="str">
            <v>1636-00</v>
          </cell>
          <cell r="C4592" t="str">
            <v>PISTON</v>
          </cell>
          <cell r="D4592">
            <v>280.5</v>
          </cell>
          <cell r="N4592" t="str">
            <v>1636-00</v>
          </cell>
          <cell r="O4592" t="str">
            <v>PISTON</v>
          </cell>
          <cell r="P4592">
            <v>561</v>
          </cell>
        </row>
        <row r="4593">
          <cell r="B4593" t="str">
            <v>1688-04</v>
          </cell>
          <cell r="C4593" t="str">
            <v>VALVE RETAINER</v>
          </cell>
          <cell r="D4593">
            <v>287.5</v>
          </cell>
          <cell r="N4593" t="str">
            <v>1688-04</v>
          </cell>
          <cell r="O4593" t="str">
            <v>VALVE RETAINER</v>
          </cell>
          <cell r="P4593">
            <v>575</v>
          </cell>
        </row>
        <row r="4594">
          <cell r="B4594" t="str">
            <v>1841-00</v>
          </cell>
          <cell r="C4594" t="str">
            <v>PISTON</v>
          </cell>
          <cell r="D4594">
            <v>287.5</v>
          </cell>
          <cell r="N4594" t="str">
            <v>1841-00</v>
          </cell>
          <cell r="O4594" t="str">
            <v>PISTON</v>
          </cell>
          <cell r="P4594">
            <v>575</v>
          </cell>
        </row>
        <row r="4595">
          <cell r="B4595" t="str">
            <v>671-08</v>
          </cell>
          <cell r="C4595" t="str">
            <v>PISTON</v>
          </cell>
          <cell r="D4595">
            <v>109.5</v>
          </cell>
          <cell r="N4595" t="str">
            <v>671-08</v>
          </cell>
          <cell r="O4595" t="str">
            <v>PISTON</v>
          </cell>
          <cell r="P4595">
            <v>219</v>
          </cell>
        </row>
        <row r="4596">
          <cell r="B4596" t="str">
            <v>1859-00</v>
          </cell>
          <cell r="C4596" t="str">
            <v>PISTON</v>
          </cell>
          <cell r="D4596">
            <v>282.5</v>
          </cell>
          <cell r="N4596" t="str">
            <v>1859-00</v>
          </cell>
          <cell r="O4596" t="str">
            <v>PISTON</v>
          </cell>
          <cell r="P4596">
            <v>565</v>
          </cell>
        </row>
        <row r="4597">
          <cell r="B4597" t="str">
            <v>671-54</v>
          </cell>
          <cell r="C4597" t="str">
            <v>PISTON</v>
          </cell>
          <cell r="D4597">
            <v>288</v>
          </cell>
          <cell r="N4597" t="str">
            <v>671-54</v>
          </cell>
          <cell r="O4597" t="str">
            <v>PISTON</v>
          </cell>
          <cell r="P4597">
            <v>576</v>
          </cell>
        </row>
        <row r="4598">
          <cell r="B4598" t="str">
            <v>800-51</v>
          </cell>
          <cell r="C4598" t="str">
            <v>PISTON</v>
          </cell>
          <cell r="D4598">
            <v>275</v>
          </cell>
          <cell r="N4598" t="str">
            <v>800-51</v>
          </cell>
          <cell r="O4598" t="str">
            <v>PISTON</v>
          </cell>
          <cell r="P4598">
            <v>550</v>
          </cell>
        </row>
        <row r="4599">
          <cell r="B4599" t="str">
            <v>985-03</v>
          </cell>
          <cell r="C4599" t="str">
            <v>BODY</v>
          </cell>
          <cell r="D4599">
            <v>285.5</v>
          </cell>
          <cell r="N4599" t="str">
            <v>985-03</v>
          </cell>
          <cell r="O4599" t="str">
            <v>BODY</v>
          </cell>
          <cell r="P4599">
            <v>571</v>
          </cell>
        </row>
        <row r="4600">
          <cell r="B4600" t="str">
            <v>1076-00</v>
          </cell>
          <cell r="C4600" t="str">
            <v>ROD GUIDE ASS'Y</v>
          </cell>
          <cell r="D4600">
            <v>273.5</v>
          </cell>
          <cell r="N4600" t="str">
            <v>1076-00</v>
          </cell>
          <cell r="O4600" t="str">
            <v>ROD GUIDE ASS'Y</v>
          </cell>
          <cell r="P4600">
            <v>547</v>
          </cell>
        </row>
        <row r="4601">
          <cell r="B4601" t="str">
            <v>2016-01</v>
          </cell>
          <cell r="C4601" t="str">
            <v>BODY</v>
          </cell>
          <cell r="D4601">
            <v>288.5</v>
          </cell>
          <cell r="N4601" t="str">
            <v>2016-01</v>
          </cell>
          <cell r="O4601" t="str">
            <v>BODY</v>
          </cell>
          <cell r="P4601">
            <v>577</v>
          </cell>
        </row>
        <row r="4602">
          <cell r="B4602" t="str">
            <v>2016-01</v>
          </cell>
          <cell r="C4602" t="str">
            <v>BODY</v>
          </cell>
          <cell r="D4602">
            <v>288.5</v>
          </cell>
          <cell r="N4602" t="str">
            <v>2016-01</v>
          </cell>
          <cell r="O4602" t="str">
            <v>BODY</v>
          </cell>
          <cell r="P4602">
            <v>577</v>
          </cell>
        </row>
        <row r="4603">
          <cell r="B4603" t="str">
            <v>588-37</v>
          </cell>
          <cell r="C4603" t="str">
            <v>PISTON</v>
          </cell>
          <cell r="D4603">
            <v>182</v>
          </cell>
          <cell r="N4603" t="str">
            <v>588-37</v>
          </cell>
          <cell r="O4603" t="str">
            <v>PISTON</v>
          </cell>
          <cell r="P4603">
            <v>364</v>
          </cell>
        </row>
        <row r="4604">
          <cell r="B4604" t="str">
            <v>1018-10</v>
          </cell>
          <cell r="C4604" t="str">
            <v>PISTON</v>
          </cell>
          <cell r="D4604">
            <v>289</v>
          </cell>
          <cell r="N4604" t="str">
            <v>1018-10</v>
          </cell>
          <cell r="O4604" t="str">
            <v>PISTON</v>
          </cell>
          <cell r="P4604">
            <v>578</v>
          </cell>
        </row>
        <row r="4605">
          <cell r="B4605" t="str">
            <v>1207-02</v>
          </cell>
          <cell r="C4605" t="str">
            <v>ROD GUIDE ASS'Y</v>
          </cell>
          <cell r="D4605">
            <v>289</v>
          </cell>
          <cell r="N4605" t="str">
            <v>1207-02</v>
          </cell>
          <cell r="O4605" t="str">
            <v>ROD GUIDE ASS'Y</v>
          </cell>
          <cell r="P4605">
            <v>578</v>
          </cell>
        </row>
        <row r="4606">
          <cell r="B4606" t="str">
            <v>1572-03</v>
          </cell>
          <cell r="C4606" t="str">
            <v>PISTON</v>
          </cell>
          <cell r="D4606">
            <v>289</v>
          </cell>
          <cell r="N4606" t="str">
            <v>1572-03</v>
          </cell>
          <cell r="O4606" t="str">
            <v>PISTON</v>
          </cell>
          <cell r="P4606">
            <v>578</v>
          </cell>
        </row>
        <row r="4607">
          <cell r="B4607" t="str">
            <v>1636-00</v>
          </cell>
          <cell r="C4607" t="str">
            <v>PISTON</v>
          </cell>
          <cell r="D4607">
            <v>280.5</v>
          </cell>
          <cell r="N4607" t="str">
            <v>1636-00</v>
          </cell>
          <cell r="O4607" t="str">
            <v>PISTON</v>
          </cell>
          <cell r="P4607">
            <v>561</v>
          </cell>
        </row>
        <row r="4608">
          <cell r="B4608" t="str">
            <v>948-12</v>
          </cell>
          <cell r="C4608" t="str">
            <v>VALVE RETAINER</v>
          </cell>
          <cell r="D4608">
            <v>289</v>
          </cell>
          <cell r="N4608" t="str">
            <v>948-12</v>
          </cell>
          <cell r="O4608" t="str">
            <v>VALVE RETAINER</v>
          </cell>
          <cell r="P4608">
            <v>578</v>
          </cell>
        </row>
        <row r="4609">
          <cell r="B4609" t="str">
            <v>1634-46</v>
          </cell>
          <cell r="C4609" t="str">
            <v>RS RETAINER</v>
          </cell>
          <cell r="D4609">
            <v>230</v>
          </cell>
          <cell r="N4609" t="str">
            <v>1634-46</v>
          </cell>
          <cell r="O4609" t="str">
            <v>RS RETAINER</v>
          </cell>
          <cell r="P4609">
            <v>460</v>
          </cell>
        </row>
        <row r="4610">
          <cell r="B4610" t="str">
            <v>1925-00</v>
          </cell>
          <cell r="C4610" t="str">
            <v>PISTON</v>
          </cell>
          <cell r="D4610">
            <v>289.5</v>
          </cell>
          <cell r="N4610" t="str">
            <v>1925-00</v>
          </cell>
          <cell r="O4610" t="str">
            <v>PISTON</v>
          </cell>
          <cell r="P4610">
            <v>579</v>
          </cell>
        </row>
        <row r="4611">
          <cell r="B4611" t="str">
            <v>598-99</v>
          </cell>
          <cell r="C4611" t="str">
            <v>PISTON</v>
          </cell>
          <cell r="D4611">
            <v>289.5</v>
          </cell>
          <cell r="N4611" t="str">
            <v>598-99</v>
          </cell>
          <cell r="O4611" t="str">
            <v>PISTON</v>
          </cell>
          <cell r="P4611">
            <v>579</v>
          </cell>
        </row>
        <row r="4612">
          <cell r="B4612" t="str">
            <v>1278-00</v>
          </cell>
          <cell r="C4612" t="str">
            <v>SUPPORT YOKE ASS'Y</v>
          </cell>
          <cell r="D4612">
            <v>290</v>
          </cell>
          <cell r="N4612" t="str">
            <v>1278-00</v>
          </cell>
          <cell r="O4612" t="str">
            <v>SUPPORT YOKE ASS'Y</v>
          </cell>
          <cell r="P4612">
            <v>580</v>
          </cell>
        </row>
        <row r="4613">
          <cell r="B4613" t="str">
            <v>1462-00</v>
          </cell>
          <cell r="C4613" t="str">
            <v>ROD GUIDE ASS'Y</v>
          </cell>
          <cell r="D4613">
            <v>290</v>
          </cell>
          <cell r="N4613" t="str">
            <v>1462-00</v>
          </cell>
          <cell r="O4613" t="str">
            <v>ROD GUIDE ASS'Y</v>
          </cell>
          <cell r="P4613">
            <v>580</v>
          </cell>
        </row>
        <row r="4614">
          <cell r="B4614" t="str">
            <v>948-04</v>
          </cell>
          <cell r="C4614" t="str">
            <v>VALVE RETAINER</v>
          </cell>
          <cell r="D4614">
            <v>290</v>
          </cell>
          <cell r="N4614" t="str">
            <v>948-04</v>
          </cell>
          <cell r="O4614" t="str">
            <v>VALVE RETAINER</v>
          </cell>
          <cell r="P4614">
            <v>580</v>
          </cell>
        </row>
        <row r="4615">
          <cell r="B4615" t="str">
            <v>1688-05</v>
          </cell>
          <cell r="C4615" t="str">
            <v>VALVE RETAINER</v>
          </cell>
          <cell r="D4615">
            <v>290.5</v>
          </cell>
          <cell r="N4615" t="str">
            <v>1688-05</v>
          </cell>
          <cell r="O4615" t="str">
            <v>VALVE RETAINER</v>
          </cell>
          <cell r="P4615">
            <v>581</v>
          </cell>
        </row>
        <row r="4616">
          <cell r="B4616" t="str">
            <v>598-51</v>
          </cell>
          <cell r="C4616" t="str">
            <v>PISTON</v>
          </cell>
          <cell r="D4616">
            <v>290.5</v>
          </cell>
          <cell r="N4616" t="str">
            <v>598-51</v>
          </cell>
          <cell r="O4616" t="str">
            <v>PISTON</v>
          </cell>
          <cell r="P4616">
            <v>581</v>
          </cell>
        </row>
        <row r="4617">
          <cell r="B4617" t="str">
            <v>798-02</v>
          </cell>
          <cell r="C4617" t="str">
            <v>ROD GUIDE ASS'Y</v>
          </cell>
          <cell r="D4617">
            <v>242.5</v>
          </cell>
          <cell r="N4617" t="str">
            <v>798-02</v>
          </cell>
          <cell r="O4617" t="str">
            <v>ROD GUIDE ASS'Y</v>
          </cell>
          <cell r="P4617">
            <v>485</v>
          </cell>
        </row>
        <row r="4618">
          <cell r="B4618" t="str">
            <v>1006-00</v>
          </cell>
          <cell r="C4618" t="str">
            <v>PISTON</v>
          </cell>
          <cell r="D4618">
            <v>291</v>
          </cell>
          <cell r="N4618" t="str">
            <v>1006-00</v>
          </cell>
          <cell r="O4618" t="str">
            <v>PISTON</v>
          </cell>
          <cell r="P4618">
            <v>582</v>
          </cell>
        </row>
        <row r="4619">
          <cell r="B4619" t="str">
            <v>1689-00</v>
          </cell>
          <cell r="C4619" t="str">
            <v>ROD GUIDE ASS'Y</v>
          </cell>
          <cell r="D4619">
            <v>291.5</v>
          </cell>
          <cell r="N4619" t="str">
            <v>1689-00</v>
          </cell>
          <cell r="O4619" t="str">
            <v>ROD GUIDE ASS'Y</v>
          </cell>
          <cell r="P4619">
            <v>583</v>
          </cell>
        </row>
        <row r="4620">
          <cell r="B4620" t="str">
            <v>726-07</v>
          </cell>
          <cell r="C4620" t="str">
            <v>ROD GUIDE ASS'Y</v>
          </cell>
          <cell r="D4620">
            <v>291.5</v>
          </cell>
          <cell r="N4620" t="str">
            <v>726-07</v>
          </cell>
          <cell r="O4620" t="str">
            <v>ROD GUIDE ASS'Y</v>
          </cell>
          <cell r="P4620">
            <v>583</v>
          </cell>
        </row>
        <row r="4621">
          <cell r="B4621" t="str">
            <v>895-01</v>
          </cell>
          <cell r="C4621" t="str">
            <v>BODY</v>
          </cell>
          <cell r="D4621">
            <v>292</v>
          </cell>
          <cell r="N4621" t="str">
            <v>895-01</v>
          </cell>
          <cell r="O4621" t="str">
            <v>BODY</v>
          </cell>
          <cell r="P4621">
            <v>584</v>
          </cell>
        </row>
        <row r="4622">
          <cell r="B4622" t="str">
            <v>1186-00</v>
          </cell>
          <cell r="C4622" t="str">
            <v>BODY</v>
          </cell>
          <cell r="D4622">
            <v>292.5</v>
          </cell>
          <cell r="N4622" t="str">
            <v>1186-00</v>
          </cell>
          <cell r="O4622" t="str">
            <v>BODY</v>
          </cell>
          <cell r="P4622">
            <v>585</v>
          </cell>
        </row>
        <row r="4623">
          <cell r="B4623" t="str">
            <v>1525-05</v>
          </cell>
          <cell r="C4623" t="str">
            <v>BODY</v>
          </cell>
          <cell r="D4623">
            <v>292.5</v>
          </cell>
          <cell r="N4623" t="str">
            <v>1525-05</v>
          </cell>
          <cell r="O4623" t="str">
            <v>BODY</v>
          </cell>
          <cell r="P4623">
            <v>585</v>
          </cell>
        </row>
        <row r="4624">
          <cell r="B4624" t="str">
            <v>1473-00</v>
          </cell>
          <cell r="C4624" t="str">
            <v>PISTON</v>
          </cell>
          <cell r="D4624">
            <v>293</v>
          </cell>
          <cell r="N4624" t="str">
            <v>1473-00</v>
          </cell>
          <cell r="O4624" t="str">
            <v>PISTON</v>
          </cell>
          <cell r="P4624">
            <v>586</v>
          </cell>
        </row>
        <row r="4625">
          <cell r="B4625" t="str">
            <v>1525-05</v>
          </cell>
          <cell r="C4625" t="str">
            <v>BODY</v>
          </cell>
          <cell r="D4625">
            <v>292.5</v>
          </cell>
          <cell r="N4625" t="str">
            <v>1525-05</v>
          </cell>
          <cell r="O4625" t="str">
            <v>BODY</v>
          </cell>
          <cell r="P4625">
            <v>585</v>
          </cell>
        </row>
        <row r="4626">
          <cell r="B4626" t="str">
            <v>1689-00</v>
          </cell>
          <cell r="C4626" t="str">
            <v>ROD GUIDE ASS'Y</v>
          </cell>
          <cell r="D4626">
            <v>291.5</v>
          </cell>
          <cell r="N4626" t="str">
            <v>1689-00</v>
          </cell>
          <cell r="O4626" t="str">
            <v>ROD GUIDE ASS'Y</v>
          </cell>
          <cell r="P4626">
            <v>583</v>
          </cell>
        </row>
        <row r="4627">
          <cell r="B4627" t="str">
            <v>1323-00</v>
          </cell>
          <cell r="C4627" t="str">
            <v>ROD GUIDE ASS'Y</v>
          </cell>
          <cell r="D4627">
            <v>284.5</v>
          </cell>
          <cell r="N4627" t="str">
            <v>1323-00</v>
          </cell>
          <cell r="O4627" t="str">
            <v>ROD GUIDE ASS'Y</v>
          </cell>
          <cell r="P4627">
            <v>569</v>
          </cell>
        </row>
        <row r="4628">
          <cell r="B4628" t="str">
            <v>1999-00</v>
          </cell>
          <cell r="C4628" t="str">
            <v>PISTON</v>
          </cell>
          <cell r="D4628">
            <v>284</v>
          </cell>
          <cell r="N4628" t="str">
            <v>1999-00</v>
          </cell>
          <cell r="O4628" t="str">
            <v>PISTON</v>
          </cell>
          <cell r="P4628">
            <v>568</v>
          </cell>
        </row>
        <row r="4629">
          <cell r="B4629" t="str">
            <v>1999-00</v>
          </cell>
          <cell r="C4629" t="str">
            <v>PISTON</v>
          </cell>
          <cell r="D4629">
            <v>284</v>
          </cell>
          <cell r="N4629" t="str">
            <v>1999-00</v>
          </cell>
          <cell r="O4629" t="str">
            <v>PISTON</v>
          </cell>
          <cell r="P4629">
            <v>568</v>
          </cell>
        </row>
        <row r="4630">
          <cell r="B4630" t="str">
            <v>1999-00</v>
          </cell>
          <cell r="C4630" t="str">
            <v>PISTON</v>
          </cell>
          <cell r="D4630">
            <v>284</v>
          </cell>
          <cell r="N4630" t="str">
            <v>1999-00</v>
          </cell>
          <cell r="O4630" t="str">
            <v>PISTON</v>
          </cell>
          <cell r="P4630">
            <v>568</v>
          </cell>
        </row>
        <row r="4631">
          <cell r="B4631" t="str">
            <v>1999-00</v>
          </cell>
          <cell r="C4631" t="str">
            <v>PISTON</v>
          </cell>
          <cell r="D4631">
            <v>284</v>
          </cell>
          <cell r="N4631" t="str">
            <v>1999-00</v>
          </cell>
          <cell r="O4631" t="str">
            <v>PISTON</v>
          </cell>
          <cell r="P4631">
            <v>568</v>
          </cell>
        </row>
        <row r="4632">
          <cell r="B4632" t="str">
            <v>1999-00</v>
          </cell>
          <cell r="C4632" t="str">
            <v>PISTON</v>
          </cell>
          <cell r="D4632">
            <v>284</v>
          </cell>
          <cell r="N4632" t="str">
            <v>1999-00</v>
          </cell>
          <cell r="O4632" t="str">
            <v>PISTON</v>
          </cell>
          <cell r="P4632">
            <v>568</v>
          </cell>
        </row>
        <row r="4633">
          <cell r="B4633" t="str">
            <v>1999-00</v>
          </cell>
          <cell r="C4633" t="str">
            <v>PISTON</v>
          </cell>
          <cell r="D4633">
            <v>284</v>
          </cell>
          <cell r="N4633" t="str">
            <v>1999-00</v>
          </cell>
          <cell r="O4633" t="str">
            <v>PISTON</v>
          </cell>
          <cell r="P4633">
            <v>568</v>
          </cell>
        </row>
        <row r="4634">
          <cell r="B4634" t="str">
            <v>1851-04</v>
          </cell>
          <cell r="C4634" t="str">
            <v>VALVE RETAINER</v>
          </cell>
          <cell r="D4634">
            <v>204</v>
          </cell>
          <cell r="N4634" t="str">
            <v>1851-04</v>
          </cell>
          <cell r="O4634" t="str">
            <v>VALVE RETAINER</v>
          </cell>
          <cell r="P4634">
            <v>408</v>
          </cell>
        </row>
        <row r="4635">
          <cell r="B4635" t="str">
            <v>798-02</v>
          </cell>
          <cell r="C4635" t="str">
            <v>ROD GUIDE ASS'Y</v>
          </cell>
          <cell r="D4635">
            <v>242.5</v>
          </cell>
          <cell r="N4635" t="str">
            <v>798-02</v>
          </cell>
          <cell r="O4635" t="str">
            <v>ROD GUIDE ASS'Y</v>
          </cell>
          <cell r="P4635">
            <v>485</v>
          </cell>
        </row>
        <row r="4636">
          <cell r="B4636" t="str">
            <v>1018-00</v>
          </cell>
          <cell r="C4636" t="str">
            <v>PISTON</v>
          </cell>
          <cell r="D4636">
            <v>295</v>
          </cell>
          <cell r="N4636" t="str">
            <v>1018-00</v>
          </cell>
          <cell r="O4636" t="str">
            <v>PISTON</v>
          </cell>
          <cell r="P4636">
            <v>590</v>
          </cell>
        </row>
        <row r="4637">
          <cell r="B4637" t="str">
            <v>1588-03</v>
          </cell>
          <cell r="C4637" t="str">
            <v>PISTON</v>
          </cell>
          <cell r="D4637">
            <v>205.5</v>
          </cell>
          <cell r="N4637" t="str">
            <v>1588-03</v>
          </cell>
          <cell r="O4637" t="str">
            <v>PISTON</v>
          </cell>
          <cell r="P4637">
            <v>411</v>
          </cell>
        </row>
        <row r="4638">
          <cell r="B4638" t="str">
            <v>1636-00</v>
          </cell>
          <cell r="C4638" t="str">
            <v>PISTON</v>
          </cell>
          <cell r="D4638">
            <v>280.5</v>
          </cell>
          <cell r="N4638" t="str">
            <v>1636-00</v>
          </cell>
          <cell r="O4638" t="str">
            <v>PISTON</v>
          </cell>
          <cell r="P4638">
            <v>561</v>
          </cell>
        </row>
        <row r="4639">
          <cell r="B4639" t="str">
            <v>1645-01</v>
          </cell>
          <cell r="C4639" t="str">
            <v>PISTON</v>
          </cell>
          <cell r="D4639">
            <v>295</v>
          </cell>
          <cell r="N4639" t="str">
            <v>1645-01</v>
          </cell>
          <cell r="O4639" t="str">
            <v>PISTON</v>
          </cell>
          <cell r="P4639">
            <v>590</v>
          </cell>
        </row>
        <row r="4640">
          <cell r="B4640" t="str">
            <v>1661-01</v>
          </cell>
          <cell r="C4640" t="str">
            <v>PISTON</v>
          </cell>
          <cell r="D4640">
            <v>295</v>
          </cell>
          <cell r="N4640" t="str">
            <v>1661-01</v>
          </cell>
          <cell r="O4640" t="str">
            <v>PISTON</v>
          </cell>
          <cell r="P4640">
            <v>590</v>
          </cell>
        </row>
        <row r="4641">
          <cell r="B4641" t="str">
            <v>1268-00</v>
          </cell>
          <cell r="C4641" t="str">
            <v>SUPPORT YOKE ASS'Y</v>
          </cell>
          <cell r="D4641">
            <v>295.5</v>
          </cell>
          <cell r="N4641" t="str">
            <v>1268-00</v>
          </cell>
          <cell r="O4641" t="str">
            <v>SUPPORT YOKE ASS'Y</v>
          </cell>
          <cell r="P4641">
            <v>591</v>
          </cell>
        </row>
        <row r="4642">
          <cell r="B4642" t="str">
            <v>1636-00</v>
          </cell>
          <cell r="C4642" t="str">
            <v>PISTON</v>
          </cell>
          <cell r="D4642">
            <v>280.5</v>
          </cell>
          <cell r="N4642" t="str">
            <v>1636-00</v>
          </cell>
          <cell r="O4642" t="str">
            <v>PISTON</v>
          </cell>
          <cell r="P4642">
            <v>561</v>
          </cell>
        </row>
        <row r="4643">
          <cell r="B4643" t="str">
            <v>1851-05</v>
          </cell>
          <cell r="C4643" t="str">
            <v>VALVE RETAINER</v>
          </cell>
          <cell r="D4643">
            <v>259.5</v>
          </cell>
          <cell r="N4643" t="str">
            <v>1851-05</v>
          </cell>
          <cell r="O4643" t="str">
            <v>VALVE RETAINER</v>
          </cell>
          <cell r="P4643">
            <v>519</v>
          </cell>
        </row>
        <row r="4644">
          <cell r="B4644" t="str">
            <v>2003-00</v>
          </cell>
          <cell r="C4644" t="str">
            <v>PISTON</v>
          </cell>
          <cell r="D4644">
            <v>286.5</v>
          </cell>
          <cell r="N4644" t="str">
            <v>2003-00</v>
          </cell>
          <cell r="O4644" t="str">
            <v>PISTON</v>
          </cell>
          <cell r="P4644">
            <v>573</v>
          </cell>
        </row>
        <row r="4645">
          <cell r="B4645" t="str">
            <v>2003-00</v>
          </cell>
          <cell r="C4645" t="str">
            <v>PISTON</v>
          </cell>
          <cell r="D4645">
            <v>286.5</v>
          </cell>
          <cell r="N4645" t="str">
            <v>2003-00</v>
          </cell>
          <cell r="O4645" t="str">
            <v>PISTON</v>
          </cell>
          <cell r="P4645">
            <v>573</v>
          </cell>
        </row>
        <row r="4646">
          <cell r="B4646" t="str">
            <v>2003-00</v>
          </cell>
          <cell r="C4646" t="str">
            <v>PISTON</v>
          </cell>
          <cell r="D4646">
            <v>286.5</v>
          </cell>
          <cell r="N4646" t="str">
            <v>2003-00</v>
          </cell>
          <cell r="O4646" t="str">
            <v>PISTON</v>
          </cell>
          <cell r="P4646">
            <v>573</v>
          </cell>
        </row>
        <row r="4647">
          <cell r="B4647" t="str">
            <v>829-05</v>
          </cell>
          <cell r="C4647" t="str">
            <v>HUB(RS13)</v>
          </cell>
          <cell r="D4647">
            <v>355.2</v>
          </cell>
          <cell r="N4647" t="str">
            <v>829-05</v>
          </cell>
          <cell r="O4647" t="str">
            <v>HUB(RS13)</v>
          </cell>
          <cell r="P4647">
            <v>592</v>
          </cell>
        </row>
        <row r="4648">
          <cell r="B4648" t="str">
            <v>829-05</v>
          </cell>
          <cell r="C4648" t="str">
            <v>HUB(RS13)</v>
          </cell>
          <cell r="D4648">
            <v>355.2</v>
          </cell>
          <cell r="N4648" t="str">
            <v>829-05</v>
          </cell>
          <cell r="O4648" t="str">
            <v>HUB(RS13)</v>
          </cell>
          <cell r="P4648">
            <v>592</v>
          </cell>
        </row>
        <row r="4649">
          <cell r="B4649" t="str">
            <v>972-00</v>
          </cell>
          <cell r="C4649" t="str">
            <v>ROD GUIDE ASS'Y</v>
          </cell>
          <cell r="D4649">
            <v>244.5</v>
          </cell>
          <cell r="N4649" t="str">
            <v>972-00</v>
          </cell>
          <cell r="O4649" t="str">
            <v>ROD GUIDE ASS'Y</v>
          </cell>
          <cell r="P4649">
            <v>489</v>
          </cell>
        </row>
        <row r="4650">
          <cell r="B4650" t="str">
            <v>707-01</v>
          </cell>
          <cell r="C4650" t="str">
            <v>PISTON</v>
          </cell>
          <cell r="D4650">
            <v>296.5</v>
          </cell>
          <cell r="N4650" t="str">
            <v>707-01</v>
          </cell>
          <cell r="O4650" t="str">
            <v>PISTON</v>
          </cell>
          <cell r="P4650">
            <v>593</v>
          </cell>
        </row>
        <row r="4651">
          <cell r="B4651" t="str">
            <v>1137-02</v>
          </cell>
          <cell r="C4651" t="str">
            <v>SUPPORT YOKE ASS'Y</v>
          </cell>
          <cell r="D4651">
            <v>282.5</v>
          </cell>
          <cell r="N4651" t="str">
            <v>1137-02</v>
          </cell>
          <cell r="O4651" t="str">
            <v>SUPPORT YOKE ASS'Y</v>
          </cell>
          <cell r="P4651">
            <v>565</v>
          </cell>
        </row>
        <row r="4652">
          <cell r="B4652" t="str">
            <v>798-01</v>
          </cell>
          <cell r="C4652" t="str">
            <v>ROD GUIDE ASS'Y</v>
          </cell>
          <cell r="D4652">
            <v>297</v>
          </cell>
          <cell r="N4652" t="str">
            <v>798-01</v>
          </cell>
          <cell r="O4652" t="str">
            <v>ROD GUIDE ASS'Y</v>
          </cell>
          <cell r="P4652">
            <v>594</v>
          </cell>
        </row>
        <row r="4653">
          <cell r="B4653" t="str">
            <v>829-05</v>
          </cell>
          <cell r="C4653" t="str">
            <v>HUB(RS13)</v>
          </cell>
          <cell r="D4653">
            <v>355.2</v>
          </cell>
          <cell r="N4653" t="str">
            <v>829-05</v>
          </cell>
          <cell r="O4653" t="str">
            <v>HUB(RS13)</v>
          </cell>
          <cell r="P4653">
            <v>592</v>
          </cell>
        </row>
        <row r="4654">
          <cell r="B4654" t="str">
            <v>829-05</v>
          </cell>
          <cell r="C4654" t="str">
            <v>HUB(RS13)</v>
          </cell>
          <cell r="D4654">
            <v>355.2</v>
          </cell>
          <cell r="N4654" t="str">
            <v>829-05</v>
          </cell>
          <cell r="O4654" t="str">
            <v>HUB(RS13)</v>
          </cell>
          <cell r="P4654">
            <v>592</v>
          </cell>
        </row>
        <row r="4655">
          <cell r="B4655" t="str">
            <v>829-05</v>
          </cell>
          <cell r="C4655" t="str">
            <v>HUB(RS13)</v>
          </cell>
          <cell r="D4655">
            <v>355.2</v>
          </cell>
          <cell r="N4655" t="str">
            <v>829-05</v>
          </cell>
          <cell r="O4655" t="str">
            <v>HUB(RS13)</v>
          </cell>
          <cell r="P4655">
            <v>592</v>
          </cell>
        </row>
        <row r="4656">
          <cell r="B4656" t="str">
            <v>829-05</v>
          </cell>
          <cell r="C4656" t="str">
            <v>HUB(RS13)</v>
          </cell>
          <cell r="D4656">
            <v>355.2</v>
          </cell>
          <cell r="N4656" t="str">
            <v>829-05</v>
          </cell>
          <cell r="O4656" t="str">
            <v>HUB(RS13)</v>
          </cell>
          <cell r="P4656">
            <v>592</v>
          </cell>
        </row>
        <row r="4657">
          <cell r="B4657" t="str">
            <v>829-05</v>
          </cell>
          <cell r="C4657" t="str">
            <v>HUB(RS13)</v>
          </cell>
          <cell r="D4657">
            <v>355.2</v>
          </cell>
          <cell r="N4657" t="str">
            <v>829-05</v>
          </cell>
          <cell r="O4657" t="str">
            <v>HUB(RS13)</v>
          </cell>
          <cell r="P4657">
            <v>592</v>
          </cell>
        </row>
        <row r="4658">
          <cell r="B4658" t="str">
            <v>859-00</v>
          </cell>
          <cell r="C4658" t="str">
            <v>HUB</v>
          </cell>
          <cell r="D4658">
            <v>356.4</v>
          </cell>
          <cell r="N4658" t="str">
            <v>859-00</v>
          </cell>
          <cell r="O4658" t="str">
            <v>HUB</v>
          </cell>
          <cell r="P4658">
            <v>594</v>
          </cell>
        </row>
        <row r="4659">
          <cell r="B4659" t="str">
            <v>798-02</v>
          </cell>
          <cell r="C4659" t="str">
            <v>ROD GUIDE ASS'Y</v>
          </cell>
          <cell r="D4659">
            <v>242.5</v>
          </cell>
          <cell r="N4659" t="str">
            <v>798-02</v>
          </cell>
          <cell r="O4659" t="str">
            <v>ROD GUIDE ASS'Y</v>
          </cell>
          <cell r="P4659">
            <v>485</v>
          </cell>
        </row>
        <row r="4660">
          <cell r="B4660" t="str">
            <v>588-97</v>
          </cell>
          <cell r="C4660" t="str">
            <v>PISTON</v>
          </cell>
          <cell r="D4660">
            <v>298</v>
          </cell>
          <cell r="N4660" t="str">
            <v>588-97</v>
          </cell>
          <cell r="O4660" t="str">
            <v>PISTON</v>
          </cell>
          <cell r="P4660">
            <v>596</v>
          </cell>
        </row>
        <row r="4661">
          <cell r="B4661" t="str">
            <v>948-03</v>
          </cell>
          <cell r="C4661" t="str">
            <v>VALVE RETAINER</v>
          </cell>
          <cell r="D4661">
            <v>298</v>
          </cell>
          <cell r="N4661" t="str">
            <v>948-03</v>
          </cell>
          <cell r="O4661" t="str">
            <v>VALVE RETAINER</v>
          </cell>
          <cell r="P4661">
            <v>596</v>
          </cell>
        </row>
        <row r="4662">
          <cell r="B4662" t="str">
            <v>1149-00</v>
          </cell>
          <cell r="C4662" t="str">
            <v>SUPPORT YOKE ASS'Y</v>
          </cell>
          <cell r="D4662">
            <v>298.5</v>
          </cell>
          <cell r="N4662" t="str">
            <v>1149-00</v>
          </cell>
          <cell r="O4662" t="str">
            <v>SUPPORT YOKE ASS'Y</v>
          </cell>
          <cell r="P4662">
            <v>597</v>
          </cell>
        </row>
        <row r="4663">
          <cell r="B4663" t="str">
            <v>1241-01</v>
          </cell>
          <cell r="C4663" t="str">
            <v>SUPPORT YOKE ASS'Y</v>
          </cell>
          <cell r="D4663">
            <v>298.5</v>
          </cell>
          <cell r="N4663" t="str">
            <v>1241-01</v>
          </cell>
          <cell r="O4663" t="str">
            <v>SUPPORT YOKE ASS'Y</v>
          </cell>
          <cell r="P4663">
            <v>597</v>
          </cell>
        </row>
        <row r="4664">
          <cell r="B4664" t="str">
            <v>1925-00</v>
          </cell>
          <cell r="C4664" t="str">
            <v>PISTON</v>
          </cell>
          <cell r="D4664">
            <v>289.5</v>
          </cell>
          <cell r="N4664" t="str">
            <v>1925-00</v>
          </cell>
          <cell r="O4664" t="str">
            <v>PISTON</v>
          </cell>
          <cell r="P4664">
            <v>579</v>
          </cell>
        </row>
        <row r="4665">
          <cell r="B4665" t="str">
            <v>1533-01</v>
          </cell>
          <cell r="C4665" t="str">
            <v>PISTON</v>
          </cell>
          <cell r="D4665">
            <v>299</v>
          </cell>
          <cell r="N4665" t="str">
            <v>1533-01</v>
          </cell>
          <cell r="O4665" t="str">
            <v>PISTON</v>
          </cell>
          <cell r="P4665">
            <v>598</v>
          </cell>
        </row>
        <row r="4666">
          <cell r="B4666" t="str">
            <v>1770-08</v>
          </cell>
          <cell r="C4666" t="str">
            <v>VALVE RETAINER</v>
          </cell>
          <cell r="D4666">
            <v>299</v>
          </cell>
          <cell r="N4666" t="str">
            <v>1770-08</v>
          </cell>
          <cell r="O4666" t="str">
            <v>VALVE RETAINER</v>
          </cell>
          <cell r="P4666">
            <v>598</v>
          </cell>
        </row>
        <row r="4667">
          <cell r="B4667" t="str">
            <v>1888-00</v>
          </cell>
          <cell r="C4667" t="str">
            <v>HUB</v>
          </cell>
          <cell r="D4667">
            <v>358.8</v>
          </cell>
          <cell r="N4667" t="str">
            <v>1888-00</v>
          </cell>
          <cell r="O4667" t="str">
            <v>HUB</v>
          </cell>
          <cell r="P4667">
            <v>598</v>
          </cell>
        </row>
        <row r="4668">
          <cell r="B4668" t="str">
            <v>1888-00</v>
          </cell>
          <cell r="C4668" t="str">
            <v>HUB</v>
          </cell>
          <cell r="D4668">
            <v>358.8</v>
          </cell>
          <cell r="N4668" t="str">
            <v>1888-00</v>
          </cell>
          <cell r="O4668" t="str">
            <v>HUB</v>
          </cell>
          <cell r="P4668">
            <v>598</v>
          </cell>
        </row>
        <row r="4669">
          <cell r="B4669" t="str">
            <v>1888-00</v>
          </cell>
          <cell r="C4669" t="str">
            <v>HUB</v>
          </cell>
          <cell r="D4669">
            <v>358.8</v>
          </cell>
          <cell r="N4669" t="str">
            <v>1888-00</v>
          </cell>
          <cell r="O4669" t="str">
            <v>HUB</v>
          </cell>
          <cell r="P4669">
            <v>598</v>
          </cell>
        </row>
        <row r="4670">
          <cell r="B4670" t="str">
            <v>1925-00</v>
          </cell>
          <cell r="C4670" t="str">
            <v>PISTON</v>
          </cell>
          <cell r="D4670">
            <v>289.5</v>
          </cell>
          <cell r="N4670" t="str">
            <v>1925-00</v>
          </cell>
          <cell r="O4670" t="str">
            <v>PISTON</v>
          </cell>
          <cell r="P4670">
            <v>579</v>
          </cell>
        </row>
        <row r="4671">
          <cell r="B4671" t="str">
            <v>829-05</v>
          </cell>
          <cell r="C4671" t="str">
            <v>HUB(RS13)</v>
          </cell>
          <cell r="D4671">
            <v>355.2</v>
          </cell>
          <cell r="N4671" t="str">
            <v>829-05</v>
          </cell>
          <cell r="O4671" t="str">
            <v>HUB(RS13)</v>
          </cell>
          <cell r="P4671">
            <v>592</v>
          </cell>
        </row>
        <row r="4672">
          <cell r="B4672" t="str">
            <v>829-05</v>
          </cell>
          <cell r="C4672" t="str">
            <v>HUB(RS13)</v>
          </cell>
          <cell r="D4672">
            <v>355.2</v>
          </cell>
          <cell r="N4672" t="str">
            <v>829-05</v>
          </cell>
          <cell r="O4672" t="str">
            <v>HUB(RS13)</v>
          </cell>
          <cell r="P4672">
            <v>592</v>
          </cell>
        </row>
        <row r="4673">
          <cell r="B4673" t="str">
            <v>1135-00</v>
          </cell>
          <cell r="C4673" t="str">
            <v>HUB</v>
          </cell>
          <cell r="D4673">
            <v>359.4</v>
          </cell>
          <cell r="N4673" t="str">
            <v>1135-00</v>
          </cell>
          <cell r="O4673" t="str">
            <v>HUB</v>
          </cell>
          <cell r="P4673">
            <v>599</v>
          </cell>
        </row>
        <row r="4674">
          <cell r="B4674" t="str">
            <v>1345-00</v>
          </cell>
          <cell r="C4674" t="str">
            <v>HUB(PBT)</v>
          </cell>
          <cell r="D4674">
            <v>359.4</v>
          </cell>
          <cell r="N4674" t="str">
            <v>1345-00</v>
          </cell>
          <cell r="O4674" t="str">
            <v>HUB(PBT)</v>
          </cell>
          <cell r="P4674">
            <v>599</v>
          </cell>
        </row>
        <row r="4675">
          <cell r="B4675" t="str">
            <v>709-00</v>
          </cell>
          <cell r="C4675" t="str">
            <v>CONTROL SLEEVE</v>
          </cell>
          <cell r="D4675">
            <v>299.5</v>
          </cell>
          <cell r="N4675" t="str">
            <v>709-00</v>
          </cell>
          <cell r="O4675" t="str">
            <v>CONTROL SLEEVE</v>
          </cell>
          <cell r="P4675">
            <v>599</v>
          </cell>
        </row>
        <row r="4676">
          <cell r="B4676" t="str">
            <v>1427-00</v>
          </cell>
          <cell r="C4676" t="str">
            <v>PISTON</v>
          </cell>
          <cell r="D4676">
            <v>300</v>
          </cell>
          <cell r="N4676" t="str">
            <v>1427-00</v>
          </cell>
          <cell r="O4676" t="str">
            <v>PISTON</v>
          </cell>
          <cell r="P4676">
            <v>600</v>
          </cell>
        </row>
        <row r="4677">
          <cell r="B4677" t="str">
            <v>1427-01</v>
          </cell>
          <cell r="C4677" t="str">
            <v>PISTON</v>
          </cell>
          <cell r="D4677">
            <v>300</v>
          </cell>
          <cell r="N4677" t="str">
            <v>1427-01</v>
          </cell>
          <cell r="O4677" t="str">
            <v>PISTON</v>
          </cell>
          <cell r="P4677">
            <v>600</v>
          </cell>
        </row>
        <row r="4678">
          <cell r="B4678" t="str">
            <v>1691-00</v>
          </cell>
          <cell r="C4678" t="str">
            <v>SHAFT SPLINE</v>
          </cell>
          <cell r="D4678">
            <v>360</v>
          </cell>
          <cell r="N4678" t="str">
            <v>1691-00</v>
          </cell>
          <cell r="O4678" t="str">
            <v>SHAFT SPLINE</v>
          </cell>
          <cell r="P4678">
            <v>600</v>
          </cell>
        </row>
        <row r="4679">
          <cell r="B4679" t="str">
            <v>1888-00</v>
          </cell>
          <cell r="C4679" t="str">
            <v>HUB</v>
          </cell>
          <cell r="D4679">
            <v>358.8</v>
          </cell>
          <cell r="N4679" t="str">
            <v>1888-00</v>
          </cell>
          <cell r="O4679" t="str">
            <v>HUB</v>
          </cell>
          <cell r="P4679">
            <v>598</v>
          </cell>
        </row>
        <row r="4680">
          <cell r="B4680" t="str">
            <v>1888-00</v>
          </cell>
          <cell r="C4680" t="str">
            <v>HUB</v>
          </cell>
          <cell r="D4680">
            <v>358.8</v>
          </cell>
          <cell r="N4680" t="str">
            <v>1888-00</v>
          </cell>
          <cell r="O4680" t="str">
            <v>HUB</v>
          </cell>
          <cell r="P4680">
            <v>598</v>
          </cell>
        </row>
        <row r="4681">
          <cell r="B4681" t="str">
            <v>1888-00</v>
          </cell>
          <cell r="C4681" t="str">
            <v>HUB</v>
          </cell>
          <cell r="D4681">
            <v>358.8</v>
          </cell>
          <cell r="N4681" t="str">
            <v>1888-00</v>
          </cell>
          <cell r="O4681" t="str">
            <v>HUB</v>
          </cell>
          <cell r="P4681">
            <v>598</v>
          </cell>
        </row>
        <row r="4682">
          <cell r="B4682" t="str">
            <v>1888-00</v>
          </cell>
          <cell r="C4682" t="str">
            <v>HUB</v>
          </cell>
          <cell r="D4682">
            <v>358.8</v>
          </cell>
          <cell r="N4682" t="str">
            <v>1888-00</v>
          </cell>
          <cell r="O4682" t="str">
            <v>HUB</v>
          </cell>
          <cell r="P4682">
            <v>598</v>
          </cell>
        </row>
        <row r="4683">
          <cell r="B4683" t="str">
            <v>985-00</v>
          </cell>
          <cell r="C4683" t="str">
            <v>BODY</v>
          </cell>
          <cell r="D4683">
            <v>300</v>
          </cell>
          <cell r="N4683" t="str">
            <v>985-00</v>
          </cell>
          <cell r="O4683" t="str">
            <v>BODY</v>
          </cell>
          <cell r="P4683">
            <v>600</v>
          </cell>
        </row>
        <row r="4684">
          <cell r="B4684" t="str">
            <v>1069-02</v>
          </cell>
          <cell r="C4684" t="str">
            <v>PISTON</v>
          </cell>
          <cell r="D4684">
            <v>126</v>
          </cell>
          <cell r="N4684" t="str">
            <v>1069-02</v>
          </cell>
          <cell r="O4684" t="str">
            <v>PISTON</v>
          </cell>
          <cell r="P4684">
            <v>252</v>
          </cell>
        </row>
        <row r="4685">
          <cell r="B4685" t="str">
            <v>1362-00</v>
          </cell>
          <cell r="C4685" t="str">
            <v>ROD GUIDE ASS'Y</v>
          </cell>
          <cell r="D4685">
            <v>300.5</v>
          </cell>
          <cell r="N4685" t="str">
            <v>1362-00</v>
          </cell>
          <cell r="O4685" t="str">
            <v>ROD GUIDE ASS'Y</v>
          </cell>
          <cell r="P4685">
            <v>601</v>
          </cell>
        </row>
        <row r="4686">
          <cell r="B4686" t="str">
            <v>1688-06</v>
          </cell>
          <cell r="C4686" t="str">
            <v>VALVE RETAINER</v>
          </cell>
          <cell r="D4686">
            <v>300.5</v>
          </cell>
          <cell r="N4686" t="str">
            <v>1688-06</v>
          </cell>
          <cell r="O4686" t="str">
            <v>VALVE RETAINER</v>
          </cell>
          <cell r="P4686">
            <v>601</v>
          </cell>
        </row>
        <row r="4687">
          <cell r="B4687" t="str">
            <v>1888-00</v>
          </cell>
          <cell r="C4687" t="str">
            <v>HUB</v>
          </cell>
          <cell r="D4687">
            <v>358.8</v>
          </cell>
          <cell r="N4687" t="str">
            <v>1888-00</v>
          </cell>
          <cell r="O4687" t="str">
            <v>HUB</v>
          </cell>
          <cell r="P4687">
            <v>598</v>
          </cell>
        </row>
        <row r="4688">
          <cell r="B4688" t="str">
            <v>769-00</v>
          </cell>
          <cell r="C4688" t="str">
            <v>ROD GUIDE ASS'Y</v>
          </cell>
          <cell r="D4688">
            <v>301</v>
          </cell>
          <cell r="N4688" t="str">
            <v>769-00</v>
          </cell>
          <cell r="O4688" t="str">
            <v>ROD GUIDE ASS'Y</v>
          </cell>
          <cell r="P4688">
            <v>602</v>
          </cell>
        </row>
        <row r="4689">
          <cell r="B4689" t="str">
            <v>989-00</v>
          </cell>
          <cell r="C4689" t="str">
            <v>HUB</v>
          </cell>
          <cell r="D4689">
            <v>361.2</v>
          </cell>
          <cell r="N4689" t="str">
            <v>989-00</v>
          </cell>
          <cell r="O4689" t="str">
            <v>HUB</v>
          </cell>
          <cell r="P4689">
            <v>602</v>
          </cell>
        </row>
        <row r="4690">
          <cell r="B4690" t="str">
            <v>1034-01</v>
          </cell>
          <cell r="C4690" t="str">
            <v>HUB</v>
          </cell>
          <cell r="D4690">
            <v>361.8</v>
          </cell>
          <cell r="N4690" t="str">
            <v>1034-01</v>
          </cell>
          <cell r="O4690" t="str">
            <v>HUB</v>
          </cell>
          <cell r="P4690">
            <v>603</v>
          </cell>
        </row>
        <row r="4691">
          <cell r="B4691" t="str">
            <v>1149-00</v>
          </cell>
          <cell r="C4691" t="str">
            <v>SUPPORT YOKE ASS'Y</v>
          </cell>
          <cell r="D4691">
            <v>298.5</v>
          </cell>
          <cell r="N4691" t="str">
            <v>1149-00</v>
          </cell>
          <cell r="O4691" t="str">
            <v>SUPPORT YOKE ASS'Y</v>
          </cell>
          <cell r="P4691">
            <v>597</v>
          </cell>
        </row>
        <row r="4692">
          <cell r="B4692" t="str">
            <v>1336-03</v>
          </cell>
          <cell r="C4692" t="str">
            <v>BODY</v>
          </cell>
          <cell r="D4692">
            <v>301.5</v>
          </cell>
          <cell r="N4692" t="str">
            <v>1336-03</v>
          </cell>
          <cell r="O4692" t="str">
            <v>BODY</v>
          </cell>
          <cell r="P4692">
            <v>603</v>
          </cell>
        </row>
        <row r="4693">
          <cell r="B4693" t="str">
            <v>1391-00</v>
          </cell>
          <cell r="C4693" t="str">
            <v>ROD GUIDE ASS'Y</v>
          </cell>
          <cell r="D4693">
            <v>283</v>
          </cell>
          <cell r="N4693" t="str">
            <v>1391-00</v>
          </cell>
          <cell r="O4693" t="str">
            <v>ROD GUIDE ASS'Y</v>
          </cell>
          <cell r="P4693">
            <v>566</v>
          </cell>
        </row>
        <row r="4694">
          <cell r="B4694" t="str">
            <v>1525-08</v>
          </cell>
          <cell r="C4694" t="str">
            <v>BODY</v>
          </cell>
          <cell r="D4694">
            <v>301.5</v>
          </cell>
          <cell r="N4694" t="str">
            <v>1525-08</v>
          </cell>
          <cell r="O4694" t="str">
            <v>BODY</v>
          </cell>
          <cell r="P4694">
            <v>603</v>
          </cell>
        </row>
        <row r="4695">
          <cell r="B4695" t="str">
            <v>1636-03</v>
          </cell>
          <cell r="C4695" t="str">
            <v>PISTON</v>
          </cell>
          <cell r="D4695">
            <v>280</v>
          </cell>
          <cell r="N4695" t="str">
            <v>1636-03</v>
          </cell>
          <cell r="O4695" t="str">
            <v>PISTON</v>
          </cell>
          <cell r="P4695">
            <v>560</v>
          </cell>
        </row>
        <row r="4696">
          <cell r="B4696" t="str">
            <v>1730-01</v>
          </cell>
          <cell r="C4696" t="str">
            <v>PISTON</v>
          </cell>
          <cell r="D4696">
            <v>301.5</v>
          </cell>
          <cell r="N4696" t="str">
            <v>1730-01</v>
          </cell>
          <cell r="O4696" t="str">
            <v>PISTON</v>
          </cell>
          <cell r="P4696">
            <v>603</v>
          </cell>
        </row>
        <row r="4697">
          <cell r="B4697" t="str">
            <v>669-05</v>
          </cell>
          <cell r="C4697" t="str">
            <v>ROD GUIDE ASS'Y</v>
          </cell>
          <cell r="D4697">
            <v>301.5</v>
          </cell>
          <cell r="N4697" t="str">
            <v>669-05</v>
          </cell>
          <cell r="O4697" t="str">
            <v>ROD GUIDE ASS'Y</v>
          </cell>
          <cell r="P4697">
            <v>603</v>
          </cell>
        </row>
        <row r="4698">
          <cell r="B4698" t="str">
            <v>948-09</v>
          </cell>
          <cell r="C4698" t="str">
            <v>VALVE RETAINER</v>
          </cell>
          <cell r="D4698">
            <v>301.5</v>
          </cell>
          <cell r="N4698" t="str">
            <v>948-09</v>
          </cell>
          <cell r="O4698" t="str">
            <v>VALVE RETAINER</v>
          </cell>
          <cell r="P4698">
            <v>603</v>
          </cell>
        </row>
        <row r="4699">
          <cell r="B4699" t="str">
            <v>1731-01</v>
          </cell>
          <cell r="C4699" t="str">
            <v>PISTON</v>
          </cell>
          <cell r="D4699">
            <v>302</v>
          </cell>
          <cell r="N4699" t="str">
            <v>1731-01</v>
          </cell>
          <cell r="O4699" t="str">
            <v>PISTON</v>
          </cell>
          <cell r="P4699">
            <v>604</v>
          </cell>
        </row>
        <row r="4700">
          <cell r="B4700" t="str">
            <v>1691-00</v>
          </cell>
          <cell r="C4700" t="str">
            <v>SHAFT SPLINE</v>
          </cell>
          <cell r="D4700">
            <v>360</v>
          </cell>
          <cell r="N4700" t="str">
            <v>1691-00</v>
          </cell>
          <cell r="O4700" t="str">
            <v>SHAFT SPLINE</v>
          </cell>
          <cell r="P4700">
            <v>600</v>
          </cell>
        </row>
        <row r="4701">
          <cell r="B4701" t="str">
            <v>1888-00</v>
          </cell>
          <cell r="C4701" t="str">
            <v>HUB</v>
          </cell>
          <cell r="D4701">
            <v>358.8</v>
          </cell>
          <cell r="N4701" t="str">
            <v>1888-00</v>
          </cell>
          <cell r="O4701" t="str">
            <v>HUB</v>
          </cell>
          <cell r="P4701">
            <v>598</v>
          </cell>
        </row>
        <row r="4702">
          <cell r="B4702" t="str">
            <v>1999-00</v>
          </cell>
          <cell r="C4702" t="str">
            <v>PISTON</v>
          </cell>
          <cell r="D4702">
            <v>284</v>
          </cell>
          <cell r="N4702" t="str">
            <v>1999-00</v>
          </cell>
          <cell r="O4702" t="str">
            <v>PISTON</v>
          </cell>
          <cell r="P4702">
            <v>568</v>
          </cell>
        </row>
        <row r="4703">
          <cell r="B4703" t="str">
            <v>1999-00</v>
          </cell>
          <cell r="C4703" t="str">
            <v>PISTON</v>
          </cell>
          <cell r="D4703">
            <v>284</v>
          </cell>
          <cell r="N4703" t="str">
            <v>1999-00</v>
          </cell>
          <cell r="O4703" t="str">
            <v>PISTON</v>
          </cell>
          <cell r="P4703">
            <v>568</v>
          </cell>
        </row>
        <row r="4704">
          <cell r="B4704" t="str">
            <v>1382-00</v>
          </cell>
          <cell r="C4704" t="str">
            <v>SUPPORT YOKE ASS'Y</v>
          </cell>
          <cell r="D4704">
            <v>303</v>
          </cell>
          <cell r="N4704" t="str">
            <v>1382-00</v>
          </cell>
          <cell r="O4704" t="str">
            <v>SUPPORT YOKE ASS'Y</v>
          </cell>
          <cell r="P4704">
            <v>606</v>
          </cell>
        </row>
        <row r="4705">
          <cell r="B4705" t="str">
            <v>1988-00</v>
          </cell>
          <cell r="C4705" t="str">
            <v>PISTON</v>
          </cell>
          <cell r="D4705">
            <v>303</v>
          </cell>
          <cell r="N4705" t="str">
            <v>1988-00</v>
          </cell>
          <cell r="O4705" t="str">
            <v>PISTON</v>
          </cell>
          <cell r="P4705">
            <v>606</v>
          </cell>
        </row>
        <row r="4706">
          <cell r="B4706" t="str">
            <v>2041-01</v>
          </cell>
          <cell r="C4706" t="str">
            <v>PISTON</v>
          </cell>
          <cell r="D4706">
            <v>303</v>
          </cell>
          <cell r="N4706" t="str">
            <v>2041-01</v>
          </cell>
          <cell r="O4706" t="str">
            <v>PISTON</v>
          </cell>
          <cell r="P4706">
            <v>606</v>
          </cell>
        </row>
        <row r="4707">
          <cell r="B4707" t="str">
            <v>2041-01</v>
          </cell>
          <cell r="C4707" t="str">
            <v>PISTON</v>
          </cell>
          <cell r="D4707">
            <v>303</v>
          </cell>
          <cell r="N4707" t="str">
            <v>2041-01</v>
          </cell>
          <cell r="O4707" t="str">
            <v>PISTON</v>
          </cell>
          <cell r="P4707">
            <v>606</v>
          </cell>
        </row>
        <row r="4708">
          <cell r="B4708" t="str">
            <v>2041-01</v>
          </cell>
          <cell r="C4708" t="str">
            <v>PISTON</v>
          </cell>
          <cell r="D4708">
            <v>303</v>
          </cell>
          <cell r="N4708" t="str">
            <v>2041-01</v>
          </cell>
          <cell r="O4708" t="str">
            <v>PISTON</v>
          </cell>
          <cell r="P4708">
            <v>606</v>
          </cell>
        </row>
        <row r="4709">
          <cell r="B4709" t="str">
            <v>1014-00</v>
          </cell>
          <cell r="C4709" t="str">
            <v>BODY</v>
          </cell>
          <cell r="D4709">
            <v>303.5</v>
          </cell>
          <cell r="N4709" t="str">
            <v>1014-00</v>
          </cell>
          <cell r="O4709" t="str">
            <v>BODY</v>
          </cell>
          <cell r="P4709">
            <v>607</v>
          </cell>
        </row>
        <row r="4710">
          <cell r="B4710" t="str">
            <v>1533-01</v>
          </cell>
          <cell r="C4710" t="str">
            <v>PISTON</v>
          </cell>
          <cell r="D4710">
            <v>299</v>
          </cell>
          <cell r="N4710" t="str">
            <v>1533-01</v>
          </cell>
          <cell r="O4710" t="str">
            <v>PISTON</v>
          </cell>
          <cell r="P4710">
            <v>598</v>
          </cell>
        </row>
        <row r="4711">
          <cell r="B4711" t="str">
            <v>671-52</v>
          </cell>
          <cell r="C4711" t="str">
            <v>PISTON</v>
          </cell>
          <cell r="D4711">
            <v>303.5</v>
          </cell>
          <cell r="N4711" t="str">
            <v>671-52</v>
          </cell>
          <cell r="O4711" t="str">
            <v>PISTON</v>
          </cell>
          <cell r="P4711">
            <v>607</v>
          </cell>
        </row>
        <row r="4712">
          <cell r="B4712" t="str">
            <v>1609-00</v>
          </cell>
          <cell r="C4712" t="str">
            <v>PISTON</v>
          </cell>
          <cell r="D4712">
            <v>304</v>
          </cell>
          <cell r="N4712" t="str">
            <v>1609-00</v>
          </cell>
          <cell r="O4712" t="str">
            <v>PISTON</v>
          </cell>
          <cell r="P4712">
            <v>608</v>
          </cell>
        </row>
        <row r="4713">
          <cell r="B4713" t="str">
            <v>1352-07</v>
          </cell>
          <cell r="C4713" t="str">
            <v>PISTON</v>
          </cell>
          <cell r="D4713">
            <v>304.5</v>
          </cell>
          <cell r="N4713" t="str">
            <v>1352-07</v>
          </cell>
          <cell r="O4713" t="str">
            <v>PISTON</v>
          </cell>
          <cell r="P4713">
            <v>609</v>
          </cell>
        </row>
        <row r="4714">
          <cell r="B4714" t="str">
            <v>2063-00</v>
          </cell>
          <cell r="C4714" t="str">
            <v>PISTON</v>
          </cell>
          <cell r="D4714">
            <v>304.5</v>
          </cell>
          <cell r="N4714" t="str">
            <v>2063-00</v>
          </cell>
          <cell r="O4714" t="str">
            <v>PISTON</v>
          </cell>
          <cell r="P4714">
            <v>609</v>
          </cell>
        </row>
        <row r="4715">
          <cell r="B4715" t="str">
            <v>5007-00</v>
          </cell>
          <cell r="C4715" t="str">
            <v>PLATE 4-5-6 CLU BKG</v>
          </cell>
          <cell r="D4715">
            <v>241.79999999999998</v>
          </cell>
          <cell r="N4715" t="str">
            <v>5007-00</v>
          </cell>
          <cell r="O4715" t="str">
            <v>PLATE 4-5-6 CLU BKG</v>
          </cell>
          <cell r="P4715">
            <v>403</v>
          </cell>
        </row>
        <row r="4716">
          <cell r="B4716" t="str">
            <v>669-55</v>
          </cell>
          <cell r="C4716" t="str">
            <v>ROD GUIDE ASS'Y</v>
          </cell>
          <cell r="D4716">
            <v>304.5</v>
          </cell>
          <cell r="N4716" t="str">
            <v>669-55</v>
          </cell>
          <cell r="O4716" t="str">
            <v>ROD GUIDE ASS'Y</v>
          </cell>
          <cell r="P4716">
            <v>609</v>
          </cell>
        </row>
        <row r="4717">
          <cell r="B4717" t="str">
            <v>893-04</v>
          </cell>
          <cell r="C4717" t="str">
            <v>PISTON</v>
          </cell>
          <cell r="D4717">
            <v>304.5</v>
          </cell>
          <cell r="N4717" t="str">
            <v>893-04</v>
          </cell>
          <cell r="O4717" t="str">
            <v>PISTON</v>
          </cell>
          <cell r="P4717">
            <v>609</v>
          </cell>
        </row>
        <row r="4718">
          <cell r="B4718" t="str">
            <v>720*720</v>
          </cell>
          <cell r="C4718" t="str">
            <v>VCI PAD</v>
          </cell>
          <cell r="D4718">
            <v>366</v>
          </cell>
          <cell r="N4718" t="str">
            <v>720*720</v>
          </cell>
          <cell r="O4718" t="str">
            <v>VCI PAD</v>
          </cell>
          <cell r="P4718">
            <v>610</v>
          </cell>
        </row>
        <row r="4719">
          <cell r="B4719" t="str">
            <v>1584-01</v>
          </cell>
          <cell r="C4719" t="str">
            <v>PISTON</v>
          </cell>
          <cell r="D4719">
            <v>305.5</v>
          </cell>
          <cell r="N4719" t="str">
            <v>1584-01</v>
          </cell>
          <cell r="O4719" t="str">
            <v>PISTON</v>
          </cell>
          <cell r="P4719">
            <v>611</v>
          </cell>
        </row>
        <row r="4720">
          <cell r="B4720" t="str">
            <v>1782-00</v>
          </cell>
          <cell r="C4720" t="str">
            <v>PISTON</v>
          </cell>
          <cell r="D4720">
            <v>305.5</v>
          </cell>
          <cell r="N4720" t="str">
            <v>1782-00</v>
          </cell>
          <cell r="O4720" t="str">
            <v>PISTON</v>
          </cell>
          <cell r="P4720">
            <v>611</v>
          </cell>
        </row>
        <row r="4721">
          <cell r="B4721" t="str">
            <v>1104-00</v>
          </cell>
          <cell r="C4721" t="str">
            <v>GEAR OUTPUT</v>
          </cell>
          <cell r="D4721">
            <v>367.2</v>
          </cell>
          <cell r="N4721" t="str">
            <v>1104-00</v>
          </cell>
          <cell r="O4721" t="str">
            <v>GEAR OUTPUT</v>
          </cell>
          <cell r="P4721">
            <v>612</v>
          </cell>
        </row>
        <row r="4722">
          <cell r="B4722" t="str">
            <v>1688-03</v>
          </cell>
          <cell r="C4722" t="str">
            <v>VALVE RETAINER</v>
          </cell>
          <cell r="D4722">
            <v>306</v>
          </cell>
          <cell r="N4722" t="str">
            <v>1688-03</v>
          </cell>
          <cell r="O4722" t="str">
            <v>VALVE RETAINER</v>
          </cell>
          <cell r="P4722">
            <v>612</v>
          </cell>
        </row>
        <row r="4723">
          <cell r="B4723" t="str">
            <v>714-01</v>
          </cell>
          <cell r="C4723" t="str">
            <v>PISTON</v>
          </cell>
          <cell r="D4723">
            <v>129.5</v>
          </cell>
          <cell r="N4723" t="str">
            <v>714-01</v>
          </cell>
          <cell r="O4723" t="str">
            <v>PISTON</v>
          </cell>
          <cell r="P4723">
            <v>259</v>
          </cell>
        </row>
        <row r="4724">
          <cell r="B4724" t="str">
            <v>2031-00</v>
          </cell>
          <cell r="C4724" t="str">
            <v>ROD GUIDE ASS'Y</v>
          </cell>
          <cell r="D4724">
            <v>306.5</v>
          </cell>
          <cell r="N4724" t="str">
            <v>2031-00</v>
          </cell>
          <cell r="O4724" t="str">
            <v>ROD GUIDE ASS'Y</v>
          </cell>
          <cell r="P4724">
            <v>613</v>
          </cell>
        </row>
        <row r="4725">
          <cell r="B4725" t="str">
            <v>1835-01</v>
          </cell>
          <cell r="C4725" t="str">
            <v>PISTON</v>
          </cell>
          <cell r="D4725">
            <v>307</v>
          </cell>
          <cell r="N4725" t="str">
            <v>1835-01</v>
          </cell>
          <cell r="O4725" t="str">
            <v>PISTON</v>
          </cell>
          <cell r="P4725">
            <v>614</v>
          </cell>
        </row>
        <row r="4726">
          <cell r="B4726" t="str">
            <v>1835-01</v>
          </cell>
          <cell r="C4726" t="str">
            <v>PISTON</v>
          </cell>
          <cell r="D4726">
            <v>307</v>
          </cell>
          <cell r="N4726" t="str">
            <v>1835-01</v>
          </cell>
          <cell r="O4726" t="str">
            <v>PISTON</v>
          </cell>
          <cell r="P4726">
            <v>614</v>
          </cell>
        </row>
        <row r="4727">
          <cell r="B4727" t="str">
            <v>708-02</v>
          </cell>
          <cell r="C4727" t="str">
            <v>SLIDE BUSH</v>
          </cell>
          <cell r="D4727">
            <v>307.44499999999999</v>
          </cell>
          <cell r="N4727" t="str">
            <v>708-02</v>
          </cell>
          <cell r="O4727" t="str">
            <v>SLIDE BUSH</v>
          </cell>
          <cell r="P4727">
            <v>614.89</v>
          </cell>
        </row>
        <row r="4728">
          <cell r="B4728" t="str">
            <v>708-02</v>
          </cell>
          <cell r="C4728" t="str">
            <v>SLIDE BUSH</v>
          </cell>
          <cell r="D4728">
            <v>307.44499999999999</v>
          </cell>
          <cell r="N4728" t="str">
            <v>708-02</v>
          </cell>
          <cell r="O4728" t="str">
            <v>SLIDE BUSH</v>
          </cell>
          <cell r="P4728">
            <v>614.89</v>
          </cell>
        </row>
        <row r="4729">
          <cell r="B4729" t="str">
            <v>678-04</v>
          </cell>
          <cell r="C4729" t="str">
            <v>SLIDE BUSH</v>
          </cell>
          <cell r="D4729">
            <v>307.45</v>
          </cell>
          <cell r="N4729" t="str">
            <v>678-04</v>
          </cell>
          <cell r="O4729" t="str">
            <v>SLIDE BUSH</v>
          </cell>
          <cell r="P4729">
            <v>614.9</v>
          </cell>
        </row>
        <row r="4730">
          <cell r="B4730" t="str">
            <v>678-04</v>
          </cell>
          <cell r="C4730" t="str">
            <v>SLIDE BUSH</v>
          </cell>
          <cell r="D4730">
            <v>307.45</v>
          </cell>
          <cell r="N4730" t="str">
            <v>678-04</v>
          </cell>
          <cell r="O4730" t="str">
            <v>SLIDE BUSH</v>
          </cell>
          <cell r="P4730">
            <v>614.9</v>
          </cell>
        </row>
        <row r="4731">
          <cell r="B4731" t="str">
            <v>696-02</v>
          </cell>
          <cell r="C4731" t="str">
            <v>ROD GUIDE ASS'Y</v>
          </cell>
          <cell r="D4731">
            <v>307.5</v>
          </cell>
          <cell r="N4731" t="str">
            <v>696-02</v>
          </cell>
          <cell r="O4731" t="str">
            <v>ROD GUIDE ASS'Y</v>
          </cell>
          <cell r="P4731">
            <v>615</v>
          </cell>
        </row>
        <row r="4732">
          <cell r="B4732" t="str">
            <v>1352-01</v>
          </cell>
          <cell r="C4732" t="str">
            <v>PISTON</v>
          </cell>
          <cell r="D4732">
            <v>308</v>
          </cell>
          <cell r="N4732" t="str">
            <v>1352-01</v>
          </cell>
          <cell r="O4732" t="str">
            <v>PISTON</v>
          </cell>
          <cell r="P4732">
            <v>616</v>
          </cell>
        </row>
        <row r="4733">
          <cell r="B4733" t="str">
            <v>1878-00</v>
          </cell>
          <cell r="C4733" t="str">
            <v>HUB(BA)</v>
          </cell>
          <cell r="D4733">
            <v>369.59999999999997</v>
          </cell>
          <cell r="N4733" t="str">
            <v>1878-00</v>
          </cell>
          <cell r="O4733" t="str">
            <v>HUB(BA)</v>
          </cell>
          <cell r="P4733">
            <v>616</v>
          </cell>
        </row>
        <row r="4734">
          <cell r="B4734" t="str">
            <v>1878-00</v>
          </cell>
          <cell r="C4734" t="str">
            <v>HUB(BA)</v>
          </cell>
          <cell r="D4734">
            <v>369.59999999999997</v>
          </cell>
          <cell r="N4734" t="str">
            <v>1878-00</v>
          </cell>
          <cell r="O4734" t="str">
            <v>HUB(BA)</v>
          </cell>
          <cell r="P4734">
            <v>616</v>
          </cell>
        </row>
        <row r="4735">
          <cell r="B4735" t="str">
            <v>1878-00</v>
          </cell>
          <cell r="C4735" t="str">
            <v>HUB(BA)</v>
          </cell>
          <cell r="D4735">
            <v>369.59999999999997</v>
          </cell>
          <cell r="N4735" t="str">
            <v>1878-00</v>
          </cell>
          <cell r="O4735" t="str">
            <v>HUB(BA)</v>
          </cell>
          <cell r="P4735">
            <v>616</v>
          </cell>
        </row>
        <row r="4736">
          <cell r="B4736" t="str">
            <v>1012-00</v>
          </cell>
          <cell r="C4736" t="str">
            <v>ROD GUIDE</v>
          </cell>
          <cell r="D4736">
            <v>308.5</v>
          </cell>
          <cell r="N4736" t="str">
            <v>1012-00</v>
          </cell>
          <cell r="O4736" t="str">
            <v>ROD GUIDE</v>
          </cell>
          <cell r="P4736">
            <v>617</v>
          </cell>
        </row>
        <row r="4737">
          <cell r="B4737" t="str">
            <v>1336-10</v>
          </cell>
          <cell r="C4737" t="str">
            <v>BODY</v>
          </cell>
          <cell r="D4737">
            <v>308.5</v>
          </cell>
          <cell r="N4737" t="str">
            <v>1336-10</v>
          </cell>
          <cell r="O4737" t="str">
            <v>BODY</v>
          </cell>
          <cell r="P4737">
            <v>617</v>
          </cell>
        </row>
        <row r="4738">
          <cell r="B4738" t="str">
            <v>1345-00</v>
          </cell>
          <cell r="C4738" t="str">
            <v>HUB(PBT)</v>
          </cell>
          <cell r="D4738">
            <v>359.4</v>
          </cell>
          <cell r="N4738" t="str">
            <v>1345-00</v>
          </cell>
          <cell r="O4738" t="str">
            <v>HUB(PBT)</v>
          </cell>
          <cell r="P4738">
            <v>599</v>
          </cell>
        </row>
        <row r="4739">
          <cell r="B4739" t="str">
            <v>1345-00</v>
          </cell>
          <cell r="C4739" t="str">
            <v>HUB(PBT)</v>
          </cell>
          <cell r="D4739">
            <v>359.4</v>
          </cell>
          <cell r="N4739" t="str">
            <v>1345-00</v>
          </cell>
          <cell r="O4739" t="str">
            <v>HUB(PBT)</v>
          </cell>
          <cell r="P4739">
            <v>599</v>
          </cell>
        </row>
        <row r="4740">
          <cell r="B4740" t="str">
            <v>1345-00</v>
          </cell>
          <cell r="C4740" t="str">
            <v>HUB(PBT)</v>
          </cell>
          <cell r="D4740">
            <v>359.4</v>
          </cell>
          <cell r="N4740" t="str">
            <v>1345-00</v>
          </cell>
          <cell r="O4740" t="str">
            <v>HUB(PBT)</v>
          </cell>
          <cell r="P4740">
            <v>599</v>
          </cell>
        </row>
        <row r="4741">
          <cell r="B4741" t="str">
            <v>1345-00</v>
          </cell>
          <cell r="C4741" t="str">
            <v>HUB(PBT)</v>
          </cell>
          <cell r="D4741">
            <v>359.4</v>
          </cell>
          <cell r="N4741" t="str">
            <v>1345-00</v>
          </cell>
          <cell r="O4741" t="str">
            <v>HUB(PBT)</v>
          </cell>
          <cell r="P4741">
            <v>599</v>
          </cell>
        </row>
        <row r="4742">
          <cell r="B4742" t="str">
            <v>1735-00</v>
          </cell>
          <cell r="C4742" t="str">
            <v>HUB(HONDA)</v>
          </cell>
          <cell r="D4742">
            <v>370.2</v>
          </cell>
          <cell r="N4742" t="str">
            <v>1735-00</v>
          </cell>
          <cell r="O4742" t="str">
            <v>HUB(HONDA)</v>
          </cell>
          <cell r="P4742">
            <v>617</v>
          </cell>
        </row>
        <row r="4743">
          <cell r="B4743" t="str">
            <v>682-04</v>
          </cell>
          <cell r="C4743" t="str">
            <v>PISTON</v>
          </cell>
          <cell r="D4743">
            <v>308.5</v>
          </cell>
          <cell r="N4743" t="str">
            <v>682-04</v>
          </cell>
          <cell r="O4743" t="str">
            <v>PISTON</v>
          </cell>
          <cell r="P4743">
            <v>617</v>
          </cell>
        </row>
        <row r="4744">
          <cell r="B4744" t="str">
            <v>948-11</v>
          </cell>
          <cell r="C4744" t="str">
            <v>VALVE RETAINER</v>
          </cell>
          <cell r="D4744">
            <v>308.5</v>
          </cell>
          <cell r="N4744" t="str">
            <v>948-11</v>
          </cell>
          <cell r="O4744" t="str">
            <v>VALVE RETAINER</v>
          </cell>
          <cell r="P4744">
            <v>617</v>
          </cell>
        </row>
        <row r="4745">
          <cell r="B4745" t="str">
            <v>1504-00</v>
          </cell>
          <cell r="C4745" t="str">
            <v>PISTON</v>
          </cell>
          <cell r="D4745">
            <v>309</v>
          </cell>
          <cell r="N4745" t="str">
            <v>1504-00</v>
          </cell>
          <cell r="O4745" t="str">
            <v>PISTON</v>
          </cell>
          <cell r="P4745">
            <v>618</v>
          </cell>
        </row>
        <row r="4746">
          <cell r="B4746" t="str">
            <v>1689-00</v>
          </cell>
          <cell r="C4746" t="str">
            <v>ROD GUIDE ASS'Y</v>
          </cell>
          <cell r="D4746">
            <v>291.5</v>
          </cell>
          <cell r="N4746" t="str">
            <v>1689-00</v>
          </cell>
          <cell r="O4746" t="str">
            <v>ROD GUIDE ASS'Y</v>
          </cell>
          <cell r="P4746">
            <v>583</v>
          </cell>
        </row>
        <row r="4747">
          <cell r="B4747" t="str">
            <v>1735-00</v>
          </cell>
          <cell r="C4747" t="str">
            <v>HUB(HONDA)</v>
          </cell>
          <cell r="D4747">
            <v>370.2</v>
          </cell>
          <cell r="N4747" t="str">
            <v>1735-00</v>
          </cell>
          <cell r="O4747" t="str">
            <v>HUB(HONDA)</v>
          </cell>
          <cell r="P4747">
            <v>617</v>
          </cell>
        </row>
        <row r="4748">
          <cell r="B4748" t="str">
            <v>2063-00</v>
          </cell>
          <cell r="C4748" t="str">
            <v>PISTON</v>
          </cell>
          <cell r="D4748">
            <v>304.5</v>
          </cell>
          <cell r="N4748" t="str">
            <v>2063-00</v>
          </cell>
          <cell r="O4748" t="str">
            <v>PISTON</v>
          </cell>
          <cell r="P4748">
            <v>609</v>
          </cell>
        </row>
        <row r="4749">
          <cell r="B4749" t="str">
            <v>2063-00</v>
          </cell>
          <cell r="C4749" t="str">
            <v>PISTON</v>
          </cell>
          <cell r="D4749">
            <v>304.5</v>
          </cell>
          <cell r="N4749" t="str">
            <v>2063-00</v>
          </cell>
          <cell r="O4749" t="str">
            <v>PISTON</v>
          </cell>
          <cell r="P4749">
            <v>609</v>
          </cell>
        </row>
        <row r="4750">
          <cell r="B4750" t="str">
            <v>051-03</v>
          </cell>
          <cell r="C4750" t="str">
            <v>PISTON</v>
          </cell>
          <cell r="D4750">
            <v>309.5</v>
          </cell>
          <cell r="N4750" t="str">
            <v>051-03</v>
          </cell>
          <cell r="O4750" t="str">
            <v>PISTON</v>
          </cell>
          <cell r="P4750">
            <v>619</v>
          </cell>
        </row>
        <row r="4751">
          <cell r="B4751" t="str">
            <v>1462-00</v>
          </cell>
          <cell r="C4751" t="str">
            <v>ROD GUIDE ASS'Y</v>
          </cell>
          <cell r="D4751">
            <v>290</v>
          </cell>
          <cell r="N4751" t="str">
            <v>1462-00</v>
          </cell>
          <cell r="O4751" t="str">
            <v>ROD GUIDE ASS'Y</v>
          </cell>
          <cell r="P4751">
            <v>580</v>
          </cell>
        </row>
        <row r="4752">
          <cell r="B4752" t="str">
            <v>1630-09</v>
          </cell>
          <cell r="C4752" t="str">
            <v>RS RETAINER</v>
          </cell>
          <cell r="D4752">
            <v>242</v>
          </cell>
          <cell r="N4752" t="str">
            <v>1630-09</v>
          </cell>
          <cell r="O4752" t="str">
            <v>RS RETAINER</v>
          </cell>
          <cell r="P4752">
            <v>484</v>
          </cell>
        </row>
        <row r="4753">
          <cell r="B4753" t="str">
            <v>1644-00</v>
          </cell>
          <cell r="C4753" t="str">
            <v>PISTON</v>
          </cell>
          <cell r="D4753">
            <v>309.5</v>
          </cell>
          <cell r="N4753" t="str">
            <v>1644-00</v>
          </cell>
          <cell r="O4753" t="str">
            <v>PISTON</v>
          </cell>
          <cell r="P4753">
            <v>619</v>
          </cell>
        </row>
        <row r="4754">
          <cell r="B4754" t="str">
            <v>1644-00</v>
          </cell>
          <cell r="C4754" t="str">
            <v>PISTON</v>
          </cell>
          <cell r="D4754">
            <v>309.5</v>
          </cell>
          <cell r="N4754" t="str">
            <v>1644-00</v>
          </cell>
          <cell r="O4754" t="str">
            <v>PISTON</v>
          </cell>
          <cell r="P4754">
            <v>619</v>
          </cell>
        </row>
        <row r="4755">
          <cell r="B4755" t="str">
            <v>1878-00</v>
          </cell>
          <cell r="C4755" t="str">
            <v>HUB(BA)</v>
          </cell>
          <cell r="D4755">
            <v>369.59999999999997</v>
          </cell>
          <cell r="N4755" t="str">
            <v>1878-00</v>
          </cell>
          <cell r="O4755" t="str">
            <v>HUB(BA)</v>
          </cell>
          <cell r="P4755">
            <v>616</v>
          </cell>
        </row>
        <row r="4756">
          <cell r="B4756" t="str">
            <v>670-03</v>
          </cell>
          <cell r="C4756" t="str">
            <v>ROD GUIDE ASS'Y</v>
          </cell>
          <cell r="D4756">
            <v>225.5</v>
          </cell>
          <cell r="N4756" t="str">
            <v>670-03</v>
          </cell>
          <cell r="O4756" t="str">
            <v>ROD GUIDE ASS'Y</v>
          </cell>
          <cell r="P4756">
            <v>451</v>
          </cell>
        </row>
        <row r="4757">
          <cell r="B4757" t="str">
            <v>714-02</v>
          </cell>
          <cell r="C4757" t="str">
            <v>PISTON</v>
          </cell>
          <cell r="D4757">
            <v>237</v>
          </cell>
          <cell r="N4757" t="str">
            <v>714-02</v>
          </cell>
          <cell r="O4757" t="str">
            <v>PISTON</v>
          </cell>
          <cell r="P4757">
            <v>474</v>
          </cell>
        </row>
        <row r="4758">
          <cell r="B4758" t="str">
            <v>1345-00</v>
          </cell>
          <cell r="C4758" t="str">
            <v>HUB(PBT)</v>
          </cell>
          <cell r="D4758">
            <v>359.4</v>
          </cell>
          <cell r="N4758" t="str">
            <v>1345-00</v>
          </cell>
          <cell r="O4758" t="str">
            <v>HUB(PBT)</v>
          </cell>
          <cell r="P4758">
            <v>599</v>
          </cell>
        </row>
        <row r="4759">
          <cell r="B4759" t="str">
            <v>1345-00</v>
          </cell>
          <cell r="C4759" t="str">
            <v>HUB(PBT)</v>
          </cell>
          <cell r="D4759">
            <v>359.4</v>
          </cell>
          <cell r="N4759" t="str">
            <v>1345-00</v>
          </cell>
          <cell r="O4759" t="str">
            <v>HUB(PBT)</v>
          </cell>
          <cell r="P4759">
            <v>599</v>
          </cell>
        </row>
        <row r="4760">
          <cell r="B4760" t="str">
            <v>230-00</v>
          </cell>
          <cell r="C4760" t="str">
            <v>ROD GUIDE ASS'Y</v>
          </cell>
          <cell r="D4760">
            <v>310.5</v>
          </cell>
          <cell r="N4760" t="str">
            <v>230-00</v>
          </cell>
          <cell r="O4760" t="str">
            <v>ROD GUIDE ASS'Y</v>
          </cell>
          <cell r="P4760">
            <v>621</v>
          </cell>
        </row>
        <row r="4761">
          <cell r="B4761" t="str">
            <v>230-00</v>
          </cell>
          <cell r="C4761" t="str">
            <v>ROD GUIDE ASS'Y</v>
          </cell>
          <cell r="D4761">
            <v>310.5</v>
          </cell>
          <cell r="N4761" t="str">
            <v>230-00</v>
          </cell>
          <cell r="O4761" t="str">
            <v>ROD GUIDE ASS'Y</v>
          </cell>
          <cell r="P4761">
            <v>621</v>
          </cell>
        </row>
        <row r="4762">
          <cell r="B4762" t="str">
            <v>1123-00</v>
          </cell>
          <cell r="C4762" t="str">
            <v>SUPPORT YOKE ASS'Y</v>
          </cell>
          <cell r="D4762">
            <v>311</v>
          </cell>
          <cell r="N4762" t="str">
            <v>1123-00</v>
          </cell>
          <cell r="O4762" t="str">
            <v>SUPPORT YOKE ASS'Y</v>
          </cell>
          <cell r="P4762">
            <v>622</v>
          </cell>
        </row>
        <row r="4763">
          <cell r="B4763" t="str">
            <v>017-02</v>
          </cell>
          <cell r="C4763" t="str">
            <v>PISTON</v>
          </cell>
          <cell r="D4763">
            <v>190</v>
          </cell>
          <cell r="N4763" t="str">
            <v>017-02</v>
          </cell>
          <cell r="O4763" t="str">
            <v>PISTON</v>
          </cell>
          <cell r="P4763">
            <v>380</v>
          </cell>
        </row>
        <row r="4764">
          <cell r="B4764" t="str">
            <v>086-06</v>
          </cell>
          <cell r="C4764" t="str">
            <v>ROD GUIDE ASS'Y</v>
          </cell>
          <cell r="D4764">
            <v>311.5</v>
          </cell>
          <cell r="N4764" t="str">
            <v>086-06</v>
          </cell>
          <cell r="O4764" t="str">
            <v>ROD GUIDE ASS'Y</v>
          </cell>
          <cell r="P4764">
            <v>623</v>
          </cell>
        </row>
        <row r="4765">
          <cell r="B4765" t="str">
            <v>479-00</v>
          </cell>
          <cell r="C4765" t="str">
            <v>SUPPORT YOKE ASS'Y</v>
          </cell>
          <cell r="D4765">
            <v>311.5</v>
          </cell>
          <cell r="N4765" t="str">
            <v>479-00</v>
          </cell>
          <cell r="O4765" t="str">
            <v>SUPPORT YOKE ASS'Y</v>
          </cell>
          <cell r="P4765">
            <v>623</v>
          </cell>
        </row>
        <row r="4766">
          <cell r="B4766" t="str">
            <v>598-03</v>
          </cell>
          <cell r="C4766" t="str">
            <v>PISTON</v>
          </cell>
          <cell r="D4766">
            <v>311.5</v>
          </cell>
          <cell r="N4766" t="str">
            <v>598-03</v>
          </cell>
          <cell r="O4766" t="str">
            <v>PISTON</v>
          </cell>
          <cell r="P4766">
            <v>623</v>
          </cell>
        </row>
        <row r="4767">
          <cell r="B4767" t="str">
            <v>017-02</v>
          </cell>
          <cell r="C4767" t="str">
            <v>PISTON</v>
          </cell>
          <cell r="D4767">
            <v>190</v>
          </cell>
          <cell r="N4767" t="str">
            <v>017-02</v>
          </cell>
          <cell r="O4767" t="str">
            <v>PISTON</v>
          </cell>
          <cell r="P4767">
            <v>380</v>
          </cell>
        </row>
        <row r="4768">
          <cell r="B4768" t="str">
            <v>1509-00</v>
          </cell>
          <cell r="C4768" t="str">
            <v>COM NUT SPANNER</v>
          </cell>
          <cell r="D4768">
            <v>312</v>
          </cell>
          <cell r="N4768" t="str">
            <v>1509-00</v>
          </cell>
          <cell r="O4768" t="str">
            <v>COM NUT SPANNER</v>
          </cell>
          <cell r="P4768">
            <v>624</v>
          </cell>
        </row>
        <row r="4769">
          <cell r="B4769" t="str">
            <v>1573-01</v>
          </cell>
          <cell r="C4769" t="str">
            <v>PISTON</v>
          </cell>
          <cell r="D4769">
            <v>312</v>
          </cell>
          <cell r="N4769" t="str">
            <v>1573-01</v>
          </cell>
          <cell r="O4769" t="str">
            <v>PISTON</v>
          </cell>
          <cell r="P4769">
            <v>624</v>
          </cell>
        </row>
        <row r="4770">
          <cell r="B4770" t="str">
            <v>1988-00</v>
          </cell>
          <cell r="C4770" t="str">
            <v>PISTON</v>
          </cell>
          <cell r="D4770">
            <v>303</v>
          </cell>
          <cell r="N4770" t="str">
            <v>1988-00</v>
          </cell>
          <cell r="O4770" t="str">
            <v>PISTON</v>
          </cell>
          <cell r="P4770">
            <v>606</v>
          </cell>
        </row>
        <row r="4771">
          <cell r="B4771" t="str">
            <v>1396-00</v>
          </cell>
          <cell r="C4771" t="str">
            <v>1ST STAGE GEAR</v>
          </cell>
          <cell r="D4771">
            <v>375</v>
          </cell>
          <cell r="N4771" t="str">
            <v>1396-00</v>
          </cell>
          <cell r="O4771" t="str">
            <v>1ST STAGE GEAR</v>
          </cell>
          <cell r="P4771">
            <v>625</v>
          </cell>
        </row>
        <row r="4772">
          <cell r="B4772" t="str">
            <v>1396-00</v>
          </cell>
          <cell r="C4772" t="str">
            <v>1ST STAGE GEAR</v>
          </cell>
          <cell r="D4772">
            <v>375</v>
          </cell>
          <cell r="N4772" t="str">
            <v>1396-00</v>
          </cell>
          <cell r="O4772" t="str">
            <v>1ST STAGE GEAR</v>
          </cell>
          <cell r="P4772">
            <v>625</v>
          </cell>
        </row>
        <row r="4773">
          <cell r="B4773" t="str">
            <v>1396-00</v>
          </cell>
          <cell r="C4773" t="str">
            <v>1ST STAGE GEAR</v>
          </cell>
          <cell r="D4773">
            <v>375</v>
          </cell>
          <cell r="N4773" t="str">
            <v>1396-00</v>
          </cell>
          <cell r="O4773" t="str">
            <v>1ST STAGE GEAR</v>
          </cell>
          <cell r="P4773">
            <v>625</v>
          </cell>
        </row>
        <row r="4774">
          <cell r="B4774" t="str">
            <v>1396-00</v>
          </cell>
          <cell r="C4774" t="str">
            <v>1ST STAGE GEAR</v>
          </cell>
          <cell r="D4774">
            <v>375</v>
          </cell>
          <cell r="N4774" t="str">
            <v>1396-00</v>
          </cell>
          <cell r="O4774" t="str">
            <v>1ST STAGE GEAR</v>
          </cell>
          <cell r="P4774">
            <v>625</v>
          </cell>
        </row>
        <row r="4775">
          <cell r="B4775" t="str">
            <v>1396-00</v>
          </cell>
          <cell r="C4775" t="str">
            <v>1ST STAGE GEAR</v>
          </cell>
          <cell r="D4775">
            <v>375</v>
          </cell>
          <cell r="N4775" t="str">
            <v>1396-00</v>
          </cell>
          <cell r="O4775" t="str">
            <v>1ST STAGE GEAR</v>
          </cell>
          <cell r="P4775">
            <v>625</v>
          </cell>
        </row>
        <row r="4776">
          <cell r="B4776" t="str">
            <v>1396-00</v>
          </cell>
          <cell r="C4776" t="str">
            <v>1ST STAGE GEAR</v>
          </cell>
          <cell r="D4776">
            <v>375</v>
          </cell>
          <cell r="N4776" t="str">
            <v>1396-00</v>
          </cell>
          <cell r="O4776" t="str">
            <v>1ST STAGE GEAR</v>
          </cell>
          <cell r="P4776">
            <v>625</v>
          </cell>
        </row>
        <row r="4777">
          <cell r="B4777" t="str">
            <v>708-03</v>
          </cell>
          <cell r="C4777" t="str">
            <v>SLIDE BUSH</v>
          </cell>
          <cell r="D4777">
            <v>312.94499999999999</v>
          </cell>
          <cell r="N4777" t="str">
            <v>708-03</v>
          </cell>
          <cell r="O4777" t="str">
            <v>SLIDE BUSH</v>
          </cell>
          <cell r="P4777">
            <v>625.89</v>
          </cell>
        </row>
        <row r="4778">
          <cell r="B4778" t="str">
            <v>708-03</v>
          </cell>
          <cell r="C4778" t="str">
            <v>SLIDE BUSH</v>
          </cell>
          <cell r="D4778">
            <v>312.94499999999999</v>
          </cell>
          <cell r="N4778" t="str">
            <v>708-03</v>
          </cell>
          <cell r="O4778" t="str">
            <v>SLIDE BUSH</v>
          </cell>
          <cell r="P4778">
            <v>625.89</v>
          </cell>
        </row>
        <row r="4779">
          <cell r="B4779" t="str">
            <v>672-03</v>
          </cell>
          <cell r="C4779" t="str">
            <v>PISTON</v>
          </cell>
          <cell r="D4779">
            <v>313</v>
          </cell>
          <cell r="N4779" t="str">
            <v>672-03</v>
          </cell>
          <cell r="O4779" t="str">
            <v>PISTON</v>
          </cell>
          <cell r="P4779">
            <v>626</v>
          </cell>
        </row>
        <row r="4780">
          <cell r="B4780" t="str">
            <v>818-06</v>
          </cell>
          <cell r="C4780" t="str">
            <v>VALVE RETAINER ASS'Y</v>
          </cell>
          <cell r="D4780">
            <v>313</v>
          </cell>
          <cell r="N4780" t="str">
            <v>818-06</v>
          </cell>
          <cell r="O4780" t="str">
            <v>VALVE RETAINER ASS'Y</v>
          </cell>
          <cell r="P4780">
            <v>626</v>
          </cell>
        </row>
        <row r="4781">
          <cell r="B4781" t="str">
            <v>955-02</v>
          </cell>
          <cell r="C4781" t="str">
            <v>HUB</v>
          </cell>
          <cell r="D4781">
            <v>375.59999999999997</v>
          </cell>
          <cell r="N4781" t="str">
            <v>955-02</v>
          </cell>
          <cell r="O4781" t="str">
            <v>HUB</v>
          </cell>
          <cell r="P4781">
            <v>626</v>
          </cell>
        </row>
        <row r="4782">
          <cell r="B4782" t="str">
            <v>1685-00</v>
          </cell>
          <cell r="C4782" t="str">
            <v>ROD GUIDE ASS'Y</v>
          </cell>
          <cell r="D4782">
            <v>313.5</v>
          </cell>
          <cell r="N4782" t="str">
            <v>1685-00</v>
          </cell>
          <cell r="O4782" t="str">
            <v>ROD GUIDE ASS'Y</v>
          </cell>
          <cell r="P4782">
            <v>627</v>
          </cell>
        </row>
        <row r="4783">
          <cell r="B4783" t="str">
            <v>669-05</v>
          </cell>
          <cell r="C4783" t="str">
            <v>ROD GUIDE ASS'Y</v>
          </cell>
          <cell r="D4783">
            <v>301.5</v>
          </cell>
          <cell r="N4783" t="str">
            <v>669-05</v>
          </cell>
          <cell r="O4783" t="str">
            <v>ROD GUIDE ASS'Y</v>
          </cell>
          <cell r="P4783">
            <v>603</v>
          </cell>
        </row>
        <row r="4784">
          <cell r="B4784" t="str">
            <v>724-05</v>
          </cell>
          <cell r="C4784" t="str">
            <v>PISTON</v>
          </cell>
          <cell r="D4784">
            <v>313.5</v>
          </cell>
          <cell r="N4784" t="str">
            <v>724-05</v>
          </cell>
          <cell r="O4784" t="str">
            <v>PISTON</v>
          </cell>
          <cell r="P4784">
            <v>627</v>
          </cell>
        </row>
        <row r="4785">
          <cell r="B4785" t="str">
            <v>1233-00</v>
          </cell>
          <cell r="C4785" t="str">
            <v>HUB</v>
          </cell>
          <cell r="D4785">
            <v>376.8</v>
          </cell>
          <cell r="N4785" t="str">
            <v>1233-00</v>
          </cell>
          <cell r="O4785" t="str">
            <v>HUB</v>
          </cell>
          <cell r="P4785">
            <v>628</v>
          </cell>
        </row>
        <row r="4786">
          <cell r="B4786" t="str">
            <v>1636-02</v>
          </cell>
          <cell r="C4786" t="str">
            <v>PISTON</v>
          </cell>
          <cell r="D4786">
            <v>314.5</v>
          </cell>
          <cell r="N4786" t="str">
            <v>1636-02</v>
          </cell>
          <cell r="O4786" t="str">
            <v>PISTON</v>
          </cell>
          <cell r="P4786">
            <v>629</v>
          </cell>
        </row>
        <row r="4787">
          <cell r="B4787" t="str">
            <v>1636-02</v>
          </cell>
          <cell r="C4787" t="str">
            <v>PISTON</v>
          </cell>
          <cell r="D4787">
            <v>314.5</v>
          </cell>
          <cell r="N4787" t="str">
            <v>1636-02</v>
          </cell>
          <cell r="O4787" t="str">
            <v>PISTON</v>
          </cell>
          <cell r="P4787">
            <v>629</v>
          </cell>
        </row>
        <row r="4788">
          <cell r="B4788" t="str">
            <v>948-08</v>
          </cell>
          <cell r="C4788" t="str">
            <v>VALVE RETAINER</v>
          </cell>
          <cell r="D4788">
            <v>314.5</v>
          </cell>
          <cell r="N4788" t="str">
            <v>948-08</v>
          </cell>
          <cell r="O4788" t="str">
            <v>VALVE RETAINER</v>
          </cell>
          <cell r="P4788">
            <v>629</v>
          </cell>
        </row>
        <row r="4789">
          <cell r="B4789" t="str">
            <v>1130-00</v>
          </cell>
          <cell r="C4789" t="str">
            <v>HUB</v>
          </cell>
          <cell r="D4789">
            <v>378</v>
          </cell>
          <cell r="N4789" t="str">
            <v>1130-00</v>
          </cell>
          <cell r="O4789" t="str">
            <v>HUB</v>
          </cell>
          <cell r="P4789">
            <v>630</v>
          </cell>
        </row>
        <row r="4790">
          <cell r="B4790" t="str">
            <v>1782-00</v>
          </cell>
          <cell r="C4790" t="str">
            <v>PISTON</v>
          </cell>
          <cell r="D4790">
            <v>305.5</v>
          </cell>
          <cell r="N4790" t="str">
            <v>1782-00</v>
          </cell>
          <cell r="O4790" t="str">
            <v>PISTON</v>
          </cell>
          <cell r="P4790">
            <v>611</v>
          </cell>
        </row>
        <row r="4791">
          <cell r="B4791" t="str">
            <v>1878-00</v>
          </cell>
          <cell r="C4791" t="str">
            <v>HUB(BA)</v>
          </cell>
          <cell r="D4791">
            <v>369.59999999999997</v>
          </cell>
          <cell r="N4791" t="str">
            <v>1878-00</v>
          </cell>
          <cell r="O4791" t="str">
            <v>HUB(BA)</v>
          </cell>
          <cell r="P4791">
            <v>616</v>
          </cell>
        </row>
        <row r="4792">
          <cell r="B4792" t="str">
            <v>682-02</v>
          </cell>
          <cell r="C4792" t="str">
            <v>PISTON</v>
          </cell>
          <cell r="D4792">
            <v>315</v>
          </cell>
          <cell r="N4792" t="str">
            <v>682-02</v>
          </cell>
          <cell r="O4792" t="str">
            <v>PISTON</v>
          </cell>
          <cell r="P4792">
            <v>630</v>
          </cell>
        </row>
        <row r="4793">
          <cell r="B4793" t="str">
            <v>1153-00</v>
          </cell>
          <cell r="C4793" t="str">
            <v>MOBAVEL GEAR TELES</v>
          </cell>
          <cell r="D4793">
            <v>379.2</v>
          </cell>
          <cell r="N4793" t="str">
            <v>1153-00</v>
          </cell>
          <cell r="O4793" t="str">
            <v>MOBAVEL GEAR TELES</v>
          </cell>
          <cell r="P4793">
            <v>632</v>
          </cell>
        </row>
        <row r="4794">
          <cell r="B4794" t="str">
            <v>1685-00</v>
          </cell>
          <cell r="C4794" t="str">
            <v>ROD GUIDE ASS'Y</v>
          </cell>
          <cell r="D4794">
            <v>313.5</v>
          </cell>
          <cell r="N4794" t="str">
            <v>1685-00</v>
          </cell>
          <cell r="O4794" t="str">
            <v>ROD GUIDE ASS'Y</v>
          </cell>
          <cell r="P4794">
            <v>627</v>
          </cell>
        </row>
        <row r="4795">
          <cell r="B4795" t="str">
            <v>708-04</v>
          </cell>
          <cell r="C4795" t="str">
            <v>SLIDE BUSH</v>
          </cell>
          <cell r="D4795">
            <v>316</v>
          </cell>
          <cell r="N4795" t="str">
            <v>708-04</v>
          </cell>
          <cell r="O4795" t="str">
            <v>SLIDE BUSH</v>
          </cell>
          <cell r="P4795">
            <v>632</v>
          </cell>
        </row>
        <row r="4796">
          <cell r="B4796" t="str">
            <v>948-10</v>
          </cell>
          <cell r="C4796" t="str">
            <v>VALVE RETAINER</v>
          </cell>
          <cell r="D4796">
            <v>316</v>
          </cell>
          <cell r="N4796" t="str">
            <v>948-10</v>
          </cell>
          <cell r="O4796" t="str">
            <v>VALVE RETAINER</v>
          </cell>
          <cell r="P4796">
            <v>632</v>
          </cell>
        </row>
        <row r="4797">
          <cell r="B4797" t="str">
            <v>1323-00</v>
          </cell>
          <cell r="C4797" t="str">
            <v>ROD GUIDE ASS'Y</v>
          </cell>
          <cell r="D4797">
            <v>284.5</v>
          </cell>
          <cell r="N4797" t="str">
            <v>1323-00</v>
          </cell>
          <cell r="O4797" t="str">
            <v>ROD GUIDE ASS'Y</v>
          </cell>
          <cell r="P4797">
            <v>569</v>
          </cell>
        </row>
        <row r="4798">
          <cell r="B4798" t="str">
            <v>1233-00</v>
          </cell>
          <cell r="C4798" t="str">
            <v>HUB</v>
          </cell>
          <cell r="D4798">
            <v>376.8</v>
          </cell>
          <cell r="N4798" t="str">
            <v>1233-00</v>
          </cell>
          <cell r="O4798" t="str">
            <v>HUB</v>
          </cell>
          <cell r="P4798">
            <v>628</v>
          </cell>
        </row>
        <row r="4799">
          <cell r="B4799" t="str">
            <v>591-03</v>
          </cell>
          <cell r="C4799" t="str">
            <v>PISTON</v>
          </cell>
          <cell r="D4799">
            <v>253</v>
          </cell>
          <cell r="N4799" t="str">
            <v>591-03</v>
          </cell>
          <cell r="O4799" t="str">
            <v>PISTON</v>
          </cell>
          <cell r="P4799">
            <v>506</v>
          </cell>
        </row>
        <row r="4800">
          <cell r="B4800" t="str">
            <v>1137-00</v>
          </cell>
          <cell r="C4800" t="str">
            <v>SUPPORT YOKE ASS'Y</v>
          </cell>
          <cell r="D4800">
            <v>317.5</v>
          </cell>
          <cell r="N4800" t="str">
            <v>1137-00</v>
          </cell>
          <cell r="O4800" t="str">
            <v>SUPPORT YOKE ASS'Y</v>
          </cell>
          <cell r="P4800">
            <v>635</v>
          </cell>
        </row>
        <row r="4801">
          <cell r="B4801" t="str">
            <v>1137-00</v>
          </cell>
          <cell r="C4801" t="str">
            <v>SUPPORT YOKE ASS'Y</v>
          </cell>
          <cell r="D4801">
            <v>317.5</v>
          </cell>
          <cell r="N4801" t="str">
            <v>1137-00</v>
          </cell>
          <cell r="O4801" t="str">
            <v>SUPPORT YOKE ASS'Y</v>
          </cell>
          <cell r="P4801">
            <v>635</v>
          </cell>
        </row>
        <row r="4802">
          <cell r="B4802" t="str">
            <v>1351-05</v>
          </cell>
          <cell r="C4802" t="str">
            <v>PISTON</v>
          </cell>
          <cell r="D4802">
            <v>317.5</v>
          </cell>
          <cell r="N4802" t="str">
            <v>1351-05</v>
          </cell>
          <cell r="O4802" t="str">
            <v>PISTON</v>
          </cell>
          <cell r="P4802">
            <v>635</v>
          </cell>
        </row>
        <row r="4803">
          <cell r="B4803" t="str">
            <v>1834-01</v>
          </cell>
          <cell r="C4803" t="str">
            <v>PISTON</v>
          </cell>
          <cell r="D4803">
            <v>317.5</v>
          </cell>
          <cell r="N4803" t="str">
            <v>1834-01</v>
          </cell>
          <cell r="O4803" t="str">
            <v>PISTON</v>
          </cell>
          <cell r="P4803">
            <v>635</v>
          </cell>
        </row>
        <row r="4804">
          <cell r="B4804" t="str">
            <v>704-02</v>
          </cell>
          <cell r="C4804" t="str">
            <v>PISTON</v>
          </cell>
          <cell r="D4804">
            <v>317.5</v>
          </cell>
          <cell r="N4804" t="str">
            <v>704-02</v>
          </cell>
          <cell r="O4804" t="str">
            <v>PISTON</v>
          </cell>
          <cell r="P4804">
            <v>635</v>
          </cell>
        </row>
        <row r="4805">
          <cell r="B4805" t="str">
            <v>592-03</v>
          </cell>
          <cell r="C4805" t="str">
            <v>PISTON</v>
          </cell>
          <cell r="D4805">
            <v>114.5</v>
          </cell>
          <cell r="N4805" t="str">
            <v>592-03</v>
          </cell>
          <cell r="O4805" t="str">
            <v>PISTON</v>
          </cell>
          <cell r="P4805">
            <v>229</v>
          </cell>
        </row>
        <row r="4806">
          <cell r="B4806" t="str">
            <v>726-55</v>
          </cell>
          <cell r="C4806" t="str">
            <v>ROD GUIDE ASS'Y</v>
          </cell>
          <cell r="D4806">
            <v>318</v>
          </cell>
          <cell r="N4806" t="str">
            <v>726-55</v>
          </cell>
          <cell r="O4806" t="str">
            <v>ROD GUIDE ASS'Y</v>
          </cell>
          <cell r="P4806">
            <v>636</v>
          </cell>
        </row>
        <row r="4807">
          <cell r="B4807" t="str">
            <v>1382-00</v>
          </cell>
          <cell r="C4807" t="str">
            <v>SUPPORT YOKE ASS'Y</v>
          </cell>
          <cell r="D4807">
            <v>303</v>
          </cell>
          <cell r="N4807" t="str">
            <v>1382-00</v>
          </cell>
          <cell r="O4807" t="str">
            <v>SUPPORT YOKE ASS'Y</v>
          </cell>
          <cell r="P4807">
            <v>606</v>
          </cell>
        </row>
        <row r="4808">
          <cell r="B4808" t="str">
            <v>1644-00</v>
          </cell>
          <cell r="C4808" t="str">
            <v>PISTON</v>
          </cell>
          <cell r="D4808">
            <v>309.5</v>
          </cell>
          <cell r="N4808" t="str">
            <v>1644-00</v>
          </cell>
          <cell r="O4808" t="str">
            <v>PISTON</v>
          </cell>
          <cell r="P4808">
            <v>619</v>
          </cell>
        </row>
        <row r="4809">
          <cell r="B4809" t="str">
            <v>2039-00</v>
          </cell>
          <cell r="C4809" t="str">
            <v>HUB</v>
          </cell>
          <cell r="D4809">
            <v>382.2</v>
          </cell>
          <cell r="N4809" t="str">
            <v>2039-00</v>
          </cell>
          <cell r="O4809" t="str">
            <v>HUB</v>
          </cell>
          <cell r="P4809">
            <v>637</v>
          </cell>
        </row>
        <row r="4810">
          <cell r="B4810" t="str">
            <v>726-55</v>
          </cell>
          <cell r="C4810" t="str">
            <v>ROD GUIDE ASS'Y</v>
          </cell>
          <cell r="D4810">
            <v>318</v>
          </cell>
          <cell r="N4810" t="str">
            <v>726-55</v>
          </cell>
          <cell r="O4810" t="str">
            <v>ROD GUIDE ASS'Y</v>
          </cell>
          <cell r="P4810">
            <v>636</v>
          </cell>
        </row>
        <row r="4811">
          <cell r="B4811" t="str">
            <v>1233-00</v>
          </cell>
          <cell r="C4811" t="str">
            <v>HUB</v>
          </cell>
          <cell r="D4811">
            <v>376.8</v>
          </cell>
          <cell r="N4811" t="str">
            <v>1233-00</v>
          </cell>
          <cell r="O4811" t="str">
            <v>HUB</v>
          </cell>
          <cell r="P4811">
            <v>628</v>
          </cell>
        </row>
        <row r="4812">
          <cell r="B4812" t="str">
            <v>1525-08</v>
          </cell>
          <cell r="C4812" t="str">
            <v>BODY</v>
          </cell>
          <cell r="D4812">
            <v>301.5</v>
          </cell>
          <cell r="N4812" t="str">
            <v>1525-08</v>
          </cell>
          <cell r="O4812" t="str">
            <v>BODY</v>
          </cell>
          <cell r="P4812">
            <v>603</v>
          </cell>
        </row>
        <row r="4813">
          <cell r="B4813" t="str">
            <v>714-02</v>
          </cell>
          <cell r="C4813" t="str">
            <v>PISTON</v>
          </cell>
          <cell r="D4813">
            <v>237</v>
          </cell>
          <cell r="N4813" t="str">
            <v>714-02</v>
          </cell>
          <cell r="O4813" t="str">
            <v>PISTON</v>
          </cell>
          <cell r="P4813">
            <v>474</v>
          </cell>
        </row>
        <row r="4814">
          <cell r="B4814" t="str">
            <v>1218-10</v>
          </cell>
          <cell r="C4814" t="str">
            <v>VALVE PISTON</v>
          </cell>
          <cell r="D4814">
            <v>320</v>
          </cell>
          <cell r="N4814" t="str">
            <v>1218-10</v>
          </cell>
          <cell r="O4814" t="str">
            <v>VALVE PISTON</v>
          </cell>
          <cell r="P4814">
            <v>640</v>
          </cell>
        </row>
        <row r="4815">
          <cell r="B4815" t="str">
            <v>1234-05</v>
          </cell>
          <cell r="C4815" t="str">
            <v>VALVE PISTON</v>
          </cell>
          <cell r="D4815">
            <v>320</v>
          </cell>
          <cell r="N4815" t="str">
            <v>1234-05</v>
          </cell>
          <cell r="O4815" t="str">
            <v>VALVE PISTON</v>
          </cell>
          <cell r="P4815">
            <v>640</v>
          </cell>
        </row>
        <row r="4816">
          <cell r="B4816" t="str">
            <v>1234-05</v>
          </cell>
          <cell r="C4816" t="str">
            <v>VALVE PISTON</v>
          </cell>
          <cell r="D4816">
            <v>320</v>
          </cell>
          <cell r="N4816" t="str">
            <v>1234-05</v>
          </cell>
          <cell r="O4816" t="str">
            <v>VALVE PISTON</v>
          </cell>
          <cell r="P4816">
            <v>640</v>
          </cell>
        </row>
        <row r="4817">
          <cell r="B4817" t="str">
            <v>1234-12</v>
          </cell>
          <cell r="C4817" t="str">
            <v>VALVE PISTON</v>
          </cell>
          <cell r="D4817">
            <v>320</v>
          </cell>
          <cell r="N4817" t="str">
            <v>1234-12</v>
          </cell>
          <cell r="O4817" t="str">
            <v>VALVE PISTON</v>
          </cell>
          <cell r="P4817">
            <v>640</v>
          </cell>
        </row>
        <row r="4818">
          <cell r="B4818" t="str">
            <v>1274-02</v>
          </cell>
          <cell r="C4818" t="str">
            <v>PISTON</v>
          </cell>
          <cell r="D4818">
            <v>320</v>
          </cell>
          <cell r="N4818" t="str">
            <v>1274-02</v>
          </cell>
          <cell r="O4818" t="str">
            <v>PISTON</v>
          </cell>
          <cell r="P4818">
            <v>640</v>
          </cell>
        </row>
        <row r="4819">
          <cell r="B4819" t="str">
            <v>2025-00</v>
          </cell>
          <cell r="C4819" t="str">
            <v>HUB</v>
          </cell>
          <cell r="D4819">
            <v>384</v>
          </cell>
          <cell r="N4819" t="str">
            <v>2025-00</v>
          </cell>
          <cell r="O4819" t="str">
            <v>HUB</v>
          </cell>
          <cell r="P4819">
            <v>640</v>
          </cell>
        </row>
        <row r="4820">
          <cell r="B4820" t="str">
            <v>714-02</v>
          </cell>
          <cell r="C4820" t="str">
            <v>PISTON</v>
          </cell>
          <cell r="D4820">
            <v>237</v>
          </cell>
          <cell r="N4820" t="str">
            <v>714-02</v>
          </cell>
          <cell r="O4820" t="str">
            <v>PISTON</v>
          </cell>
          <cell r="P4820">
            <v>474</v>
          </cell>
        </row>
        <row r="4821">
          <cell r="B4821" t="str">
            <v>726-06</v>
          </cell>
          <cell r="C4821" t="str">
            <v>ROD GUIDE ASS'Y</v>
          </cell>
          <cell r="D4821">
            <v>320</v>
          </cell>
          <cell r="N4821" t="str">
            <v>726-06</v>
          </cell>
          <cell r="O4821" t="str">
            <v>ROD GUIDE ASS'Y</v>
          </cell>
          <cell r="P4821">
            <v>640</v>
          </cell>
        </row>
        <row r="4822">
          <cell r="B4822" t="str">
            <v>726-07</v>
          </cell>
          <cell r="C4822" t="str">
            <v>ROD GUIDE ASS'Y</v>
          </cell>
          <cell r="D4822">
            <v>291.5</v>
          </cell>
          <cell r="N4822" t="str">
            <v>726-07</v>
          </cell>
          <cell r="O4822" t="str">
            <v>ROD GUIDE ASS'Y</v>
          </cell>
          <cell r="P4822">
            <v>583</v>
          </cell>
        </row>
        <row r="4823">
          <cell r="B4823" t="str">
            <v>992-01</v>
          </cell>
          <cell r="C4823" t="str">
            <v>HOLDER</v>
          </cell>
          <cell r="D4823">
            <v>384.59999999999997</v>
          </cell>
          <cell r="N4823" t="str">
            <v>992-01</v>
          </cell>
          <cell r="O4823" t="str">
            <v>HOLDER</v>
          </cell>
          <cell r="P4823">
            <v>641</v>
          </cell>
        </row>
        <row r="4824">
          <cell r="B4824" t="str">
            <v>1636-02</v>
          </cell>
          <cell r="C4824" t="str">
            <v>PISTON</v>
          </cell>
          <cell r="D4824">
            <v>314.5</v>
          </cell>
          <cell r="N4824" t="str">
            <v>1636-02</v>
          </cell>
          <cell r="O4824" t="str">
            <v>PISTON</v>
          </cell>
          <cell r="P4824">
            <v>629</v>
          </cell>
        </row>
        <row r="4825">
          <cell r="B4825" t="str">
            <v>1667-00</v>
          </cell>
          <cell r="C4825" t="str">
            <v>ROD GUIDE ASS'Y</v>
          </cell>
          <cell r="D4825">
            <v>321</v>
          </cell>
          <cell r="N4825" t="str">
            <v>1667-00</v>
          </cell>
          <cell r="O4825" t="str">
            <v>ROD GUIDE ASS'Y</v>
          </cell>
          <cell r="P4825">
            <v>642</v>
          </cell>
        </row>
        <row r="4826">
          <cell r="B4826" t="str">
            <v>2001-02</v>
          </cell>
          <cell r="C4826" t="str">
            <v>PISTON</v>
          </cell>
          <cell r="D4826">
            <v>321</v>
          </cell>
          <cell r="N4826" t="str">
            <v>2001-02</v>
          </cell>
          <cell r="O4826" t="str">
            <v>PISTON</v>
          </cell>
          <cell r="P4826">
            <v>642</v>
          </cell>
        </row>
        <row r="4827">
          <cell r="B4827" t="str">
            <v>708-06</v>
          </cell>
          <cell r="C4827" t="str">
            <v>SLIDE BUSH</v>
          </cell>
          <cell r="D4827">
            <v>321.44499999999999</v>
          </cell>
          <cell r="N4827" t="str">
            <v>708-06</v>
          </cell>
          <cell r="O4827" t="str">
            <v>SLIDE BUSH</v>
          </cell>
          <cell r="P4827">
            <v>642.89</v>
          </cell>
        </row>
        <row r="4828">
          <cell r="B4828" t="str">
            <v>708-06</v>
          </cell>
          <cell r="C4828" t="str">
            <v>SLIDE BUSH</v>
          </cell>
          <cell r="D4828">
            <v>321.44499999999999</v>
          </cell>
          <cell r="N4828" t="str">
            <v>708-06</v>
          </cell>
          <cell r="O4828" t="str">
            <v>SLIDE BUSH</v>
          </cell>
          <cell r="P4828">
            <v>642.89</v>
          </cell>
        </row>
        <row r="4829">
          <cell r="B4829" t="str">
            <v>989-02</v>
          </cell>
          <cell r="C4829" t="str">
            <v>HUB(JM)</v>
          </cell>
          <cell r="D4829">
            <v>385.8</v>
          </cell>
          <cell r="N4829" t="str">
            <v>989-02</v>
          </cell>
          <cell r="O4829" t="str">
            <v>HUB(JM)</v>
          </cell>
          <cell r="P4829">
            <v>643</v>
          </cell>
        </row>
        <row r="4830">
          <cell r="B4830" t="str">
            <v>989-02</v>
          </cell>
          <cell r="C4830" t="str">
            <v>HUB(JM)</v>
          </cell>
          <cell r="D4830">
            <v>385.8</v>
          </cell>
          <cell r="N4830" t="str">
            <v>989-02</v>
          </cell>
          <cell r="O4830" t="str">
            <v>HUB(JM)</v>
          </cell>
          <cell r="P4830">
            <v>643</v>
          </cell>
        </row>
        <row r="4831">
          <cell r="B4831" t="str">
            <v>1351-07</v>
          </cell>
          <cell r="C4831" t="str">
            <v>PISTON</v>
          </cell>
          <cell r="D4831">
            <v>322</v>
          </cell>
          <cell r="N4831" t="str">
            <v>1351-07</v>
          </cell>
          <cell r="O4831" t="str">
            <v>PISTON</v>
          </cell>
          <cell r="P4831">
            <v>644</v>
          </cell>
        </row>
        <row r="4832">
          <cell r="B4832" t="str">
            <v>1878-00</v>
          </cell>
          <cell r="C4832" t="str">
            <v>HUB(BA)</v>
          </cell>
          <cell r="D4832">
            <v>369.59999999999997</v>
          </cell>
          <cell r="N4832" t="str">
            <v>1878-00</v>
          </cell>
          <cell r="O4832" t="str">
            <v>HUB(BA)</v>
          </cell>
          <cell r="P4832">
            <v>616</v>
          </cell>
        </row>
        <row r="4833">
          <cell r="B4833" t="str">
            <v>1993-00</v>
          </cell>
          <cell r="C4833" t="str">
            <v>HUB</v>
          </cell>
          <cell r="D4833">
            <v>386.4</v>
          </cell>
          <cell r="N4833" t="str">
            <v>1993-00</v>
          </cell>
          <cell r="O4833" t="str">
            <v>HUB</v>
          </cell>
          <cell r="P4833">
            <v>644</v>
          </cell>
        </row>
        <row r="4834">
          <cell r="B4834" t="str">
            <v>1993-00</v>
          </cell>
          <cell r="C4834" t="str">
            <v>HUB</v>
          </cell>
          <cell r="D4834">
            <v>386.4</v>
          </cell>
          <cell r="N4834" t="str">
            <v>1993-00</v>
          </cell>
          <cell r="O4834" t="str">
            <v>HUB</v>
          </cell>
          <cell r="P4834">
            <v>644</v>
          </cell>
        </row>
        <row r="4835">
          <cell r="B4835" t="str">
            <v>592-04</v>
          </cell>
          <cell r="C4835" t="str">
            <v>PISTON</v>
          </cell>
          <cell r="D4835">
            <v>119</v>
          </cell>
          <cell r="N4835" t="str">
            <v>592-04</v>
          </cell>
          <cell r="O4835" t="str">
            <v>PISTON</v>
          </cell>
          <cell r="P4835">
            <v>238</v>
          </cell>
        </row>
        <row r="4836">
          <cell r="B4836" t="str">
            <v>859-01</v>
          </cell>
          <cell r="C4836" t="str">
            <v>HUB</v>
          </cell>
          <cell r="D4836">
            <v>386.4</v>
          </cell>
          <cell r="N4836" t="str">
            <v>859-01</v>
          </cell>
          <cell r="O4836" t="str">
            <v>HUB</v>
          </cell>
          <cell r="P4836">
            <v>644</v>
          </cell>
        </row>
        <row r="4837">
          <cell r="B4837" t="str">
            <v>1689-00</v>
          </cell>
          <cell r="C4837" t="str">
            <v>ROD GUIDE ASS'Y</v>
          </cell>
          <cell r="D4837">
            <v>291.5</v>
          </cell>
          <cell r="N4837" t="str">
            <v>1689-00</v>
          </cell>
          <cell r="O4837" t="str">
            <v>ROD GUIDE ASS'Y</v>
          </cell>
          <cell r="P4837">
            <v>583</v>
          </cell>
        </row>
        <row r="4838">
          <cell r="B4838" t="str">
            <v>965-03</v>
          </cell>
          <cell r="C4838" t="str">
            <v>VALVE RETAINER</v>
          </cell>
          <cell r="D4838">
            <v>323</v>
          </cell>
          <cell r="N4838" t="str">
            <v>965-03</v>
          </cell>
          <cell r="O4838" t="str">
            <v>VALVE RETAINER</v>
          </cell>
          <cell r="P4838">
            <v>646</v>
          </cell>
        </row>
        <row r="4839">
          <cell r="B4839" t="str">
            <v>090-02</v>
          </cell>
          <cell r="C4839" t="str">
            <v>PISTON</v>
          </cell>
          <cell r="D4839">
            <v>323.5</v>
          </cell>
          <cell r="N4839" t="str">
            <v>090-02</v>
          </cell>
          <cell r="O4839" t="str">
            <v>PISTON</v>
          </cell>
          <cell r="P4839">
            <v>647</v>
          </cell>
        </row>
        <row r="4840">
          <cell r="B4840" t="str">
            <v>1386-01</v>
          </cell>
          <cell r="C4840" t="str">
            <v>PISTON</v>
          </cell>
          <cell r="D4840">
            <v>323.5</v>
          </cell>
          <cell r="N4840" t="str">
            <v>1386-01</v>
          </cell>
          <cell r="O4840" t="str">
            <v>PISTON</v>
          </cell>
          <cell r="P4840">
            <v>647</v>
          </cell>
        </row>
        <row r="4841">
          <cell r="B4841" t="str">
            <v>1386-07</v>
          </cell>
          <cell r="C4841" t="str">
            <v>PISTON</v>
          </cell>
          <cell r="D4841">
            <v>323.5</v>
          </cell>
          <cell r="N4841" t="str">
            <v>1386-07</v>
          </cell>
          <cell r="O4841" t="str">
            <v>PISTON</v>
          </cell>
          <cell r="P4841">
            <v>647</v>
          </cell>
        </row>
        <row r="4842">
          <cell r="B4842" t="str">
            <v>1730-02</v>
          </cell>
          <cell r="C4842" t="str">
            <v>PISTON</v>
          </cell>
          <cell r="D4842">
            <v>323.5</v>
          </cell>
          <cell r="N4842" t="str">
            <v>1730-02</v>
          </cell>
          <cell r="O4842" t="str">
            <v>PISTON</v>
          </cell>
          <cell r="P4842">
            <v>647</v>
          </cell>
        </row>
        <row r="4843">
          <cell r="B4843" t="str">
            <v>2002-02</v>
          </cell>
          <cell r="C4843" t="str">
            <v>PISTON</v>
          </cell>
          <cell r="D4843">
            <v>323.5</v>
          </cell>
          <cell r="N4843" t="str">
            <v>2002-02</v>
          </cell>
          <cell r="O4843" t="str">
            <v>PISTON</v>
          </cell>
          <cell r="P4843">
            <v>647</v>
          </cell>
        </row>
        <row r="4844">
          <cell r="B4844" t="str">
            <v>989-02</v>
          </cell>
          <cell r="C4844" t="str">
            <v>HUB(JM)</v>
          </cell>
          <cell r="D4844">
            <v>385.8</v>
          </cell>
          <cell r="N4844" t="str">
            <v>989-02</v>
          </cell>
          <cell r="O4844" t="str">
            <v>HUB(JM)</v>
          </cell>
          <cell r="P4844">
            <v>643</v>
          </cell>
        </row>
        <row r="4845">
          <cell r="B4845" t="str">
            <v>989-02</v>
          </cell>
          <cell r="C4845" t="str">
            <v>HUB(JM)</v>
          </cell>
          <cell r="D4845">
            <v>385.8</v>
          </cell>
          <cell r="N4845" t="str">
            <v>989-02</v>
          </cell>
          <cell r="O4845" t="str">
            <v>HUB(JM)</v>
          </cell>
          <cell r="P4845">
            <v>643</v>
          </cell>
        </row>
        <row r="4846">
          <cell r="B4846" t="str">
            <v>1186-02</v>
          </cell>
          <cell r="C4846" t="str">
            <v>BODY</v>
          </cell>
          <cell r="D4846">
            <v>324</v>
          </cell>
          <cell r="N4846" t="str">
            <v>1186-02</v>
          </cell>
          <cell r="O4846" t="str">
            <v>BODY</v>
          </cell>
          <cell r="P4846">
            <v>648</v>
          </cell>
        </row>
        <row r="4847">
          <cell r="B4847" t="str">
            <v>1186-04</v>
          </cell>
          <cell r="C4847" t="str">
            <v>BODY</v>
          </cell>
          <cell r="D4847">
            <v>324</v>
          </cell>
          <cell r="N4847" t="str">
            <v>1186-04</v>
          </cell>
          <cell r="O4847" t="str">
            <v>BODY</v>
          </cell>
          <cell r="P4847">
            <v>648</v>
          </cell>
        </row>
        <row r="4848">
          <cell r="B4848" t="str">
            <v>1241-03</v>
          </cell>
          <cell r="C4848" t="str">
            <v>SUPPORT YOKE ASS'Y</v>
          </cell>
          <cell r="D4848">
            <v>324</v>
          </cell>
          <cell r="N4848" t="str">
            <v>1241-03</v>
          </cell>
          <cell r="O4848" t="str">
            <v>SUPPORT YOKE ASS'Y</v>
          </cell>
          <cell r="P4848">
            <v>648</v>
          </cell>
        </row>
        <row r="4849">
          <cell r="B4849" t="str">
            <v>1345-00</v>
          </cell>
          <cell r="C4849" t="str">
            <v>HUB(PBT)</v>
          </cell>
          <cell r="D4849">
            <v>359.4</v>
          </cell>
          <cell r="N4849" t="str">
            <v>1345-00</v>
          </cell>
          <cell r="O4849" t="str">
            <v>HUB(PBT)</v>
          </cell>
          <cell r="P4849">
            <v>599</v>
          </cell>
        </row>
        <row r="4850">
          <cell r="B4850" t="str">
            <v>1351-02</v>
          </cell>
          <cell r="C4850" t="str">
            <v>PISTON</v>
          </cell>
          <cell r="D4850">
            <v>324</v>
          </cell>
          <cell r="N4850" t="str">
            <v>1351-02</v>
          </cell>
          <cell r="O4850" t="str">
            <v>PISTON</v>
          </cell>
          <cell r="P4850">
            <v>648</v>
          </cell>
        </row>
        <row r="4851">
          <cell r="B4851" t="str">
            <v>1351-03</v>
          </cell>
          <cell r="C4851" t="str">
            <v>PISTON</v>
          </cell>
          <cell r="D4851">
            <v>324</v>
          </cell>
          <cell r="N4851" t="str">
            <v>1351-03</v>
          </cell>
          <cell r="O4851" t="str">
            <v>PISTON</v>
          </cell>
          <cell r="P4851">
            <v>648</v>
          </cell>
        </row>
        <row r="4852">
          <cell r="B4852" t="str">
            <v>1588-05</v>
          </cell>
          <cell r="C4852" t="str">
            <v>PISTON</v>
          </cell>
          <cell r="D4852">
            <v>239</v>
          </cell>
          <cell r="N4852" t="str">
            <v>1588-05</v>
          </cell>
          <cell r="O4852" t="str">
            <v>PISTON</v>
          </cell>
          <cell r="P4852">
            <v>478</v>
          </cell>
        </row>
        <row r="4853">
          <cell r="B4853" t="str">
            <v>1993-00</v>
          </cell>
          <cell r="C4853" t="str">
            <v>HUB</v>
          </cell>
          <cell r="D4853">
            <v>386.4</v>
          </cell>
          <cell r="N4853" t="str">
            <v>1993-00</v>
          </cell>
          <cell r="O4853" t="str">
            <v>HUB</v>
          </cell>
          <cell r="P4853">
            <v>644</v>
          </cell>
        </row>
        <row r="4854">
          <cell r="B4854" t="str">
            <v>947-04</v>
          </cell>
          <cell r="C4854" t="str">
            <v>VALVE RETAINER</v>
          </cell>
          <cell r="D4854">
            <v>324</v>
          </cell>
          <cell r="N4854" t="str">
            <v>947-04</v>
          </cell>
          <cell r="O4854" t="str">
            <v>VALVE RETAINER</v>
          </cell>
          <cell r="P4854">
            <v>648</v>
          </cell>
        </row>
        <row r="4855">
          <cell r="B4855" t="str">
            <v>1352-16</v>
          </cell>
          <cell r="C4855" t="str">
            <v>PISTON</v>
          </cell>
          <cell r="D4855">
            <v>324.5</v>
          </cell>
          <cell r="N4855" t="str">
            <v>1352-16</v>
          </cell>
          <cell r="O4855" t="str">
            <v>PISTON</v>
          </cell>
          <cell r="P4855">
            <v>649</v>
          </cell>
        </row>
        <row r="4856">
          <cell r="B4856" t="str">
            <v>1636-00</v>
          </cell>
          <cell r="C4856" t="str">
            <v>PISTON</v>
          </cell>
          <cell r="D4856">
            <v>280.5</v>
          </cell>
          <cell r="N4856" t="str">
            <v>1636-00</v>
          </cell>
          <cell r="O4856" t="str">
            <v>PISTON</v>
          </cell>
          <cell r="P4856">
            <v>561</v>
          </cell>
        </row>
        <row r="4857">
          <cell r="B4857" t="str">
            <v>2075-00</v>
          </cell>
          <cell r="C4857" t="str">
            <v>HUB</v>
          </cell>
          <cell r="D4857">
            <v>389.4</v>
          </cell>
          <cell r="N4857" t="str">
            <v>2075-00</v>
          </cell>
          <cell r="O4857" t="str">
            <v>HUB</v>
          </cell>
          <cell r="P4857">
            <v>649</v>
          </cell>
        </row>
        <row r="4858">
          <cell r="B4858" t="str">
            <v>800-53</v>
          </cell>
          <cell r="C4858" t="str">
            <v>PISTON</v>
          </cell>
          <cell r="D4858">
            <v>324.5</v>
          </cell>
          <cell r="N4858" t="str">
            <v>800-53</v>
          </cell>
          <cell r="O4858" t="str">
            <v>PISTON</v>
          </cell>
          <cell r="P4858">
            <v>649</v>
          </cell>
        </row>
        <row r="4859">
          <cell r="B4859" t="str">
            <v>1345-00</v>
          </cell>
          <cell r="C4859" t="str">
            <v>HUB(PBT)</v>
          </cell>
          <cell r="D4859">
            <v>359.4</v>
          </cell>
          <cell r="N4859" t="str">
            <v>1345-00</v>
          </cell>
          <cell r="O4859" t="str">
            <v>HUB(PBT)</v>
          </cell>
          <cell r="P4859">
            <v>599</v>
          </cell>
        </row>
        <row r="4860">
          <cell r="B4860" t="str">
            <v>1345-00</v>
          </cell>
          <cell r="C4860" t="str">
            <v>HUB(PBT)</v>
          </cell>
          <cell r="D4860">
            <v>359.4</v>
          </cell>
          <cell r="N4860" t="str">
            <v>1345-00</v>
          </cell>
          <cell r="O4860" t="str">
            <v>HUB(PBT)</v>
          </cell>
          <cell r="P4860">
            <v>599</v>
          </cell>
        </row>
        <row r="4861">
          <cell r="B4861" t="str">
            <v>1345-00</v>
          </cell>
          <cell r="C4861" t="str">
            <v>HUB(PBT)</v>
          </cell>
          <cell r="D4861">
            <v>359.4</v>
          </cell>
          <cell r="N4861" t="str">
            <v>1345-00</v>
          </cell>
          <cell r="O4861" t="str">
            <v>HUB(PBT)</v>
          </cell>
          <cell r="P4861">
            <v>599</v>
          </cell>
        </row>
        <row r="4862">
          <cell r="B4862" t="str">
            <v>1352-16</v>
          </cell>
          <cell r="C4862" t="str">
            <v>PISTON</v>
          </cell>
          <cell r="D4862">
            <v>324.5</v>
          </cell>
          <cell r="N4862" t="str">
            <v>1352-16</v>
          </cell>
          <cell r="O4862" t="str">
            <v>PISTON</v>
          </cell>
          <cell r="P4862">
            <v>649</v>
          </cell>
        </row>
        <row r="4863">
          <cell r="B4863" t="str">
            <v>230-00</v>
          </cell>
          <cell r="C4863" t="str">
            <v>ROD GUIDE ASS'Y</v>
          </cell>
          <cell r="D4863">
            <v>310.5</v>
          </cell>
          <cell r="N4863" t="str">
            <v>230-00</v>
          </cell>
          <cell r="O4863" t="str">
            <v>ROD GUIDE ASS'Y</v>
          </cell>
          <cell r="P4863">
            <v>621</v>
          </cell>
        </row>
        <row r="4864">
          <cell r="B4864" t="str">
            <v>1351-05</v>
          </cell>
          <cell r="C4864" t="str">
            <v>PISTON</v>
          </cell>
          <cell r="D4864">
            <v>317.5</v>
          </cell>
          <cell r="N4864" t="str">
            <v>1351-05</v>
          </cell>
          <cell r="O4864" t="str">
            <v>PISTON</v>
          </cell>
          <cell r="P4864">
            <v>635</v>
          </cell>
        </row>
        <row r="4865">
          <cell r="B4865" t="str">
            <v>1509-00</v>
          </cell>
          <cell r="C4865" t="str">
            <v>COM NUT SPANNER</v>
          </cell>
          <cell r="D4865">
            <v>312</v>
          </cell>
          <cell r="N4865" t="str">
            <v>1509-00</v>
          </cell>
          <cell r="O4865" t="str">
            <v>COM NUT SPANNER</v>
          </cell>
          <cell r="P4865">
            <v>624</v>
          </cell>
        </row>
        <row r="4866">
          <cell r="B4866" t="str">
            <v>1533-01</v>
          </cell>
          <cell r="C4866" t="str">
            <v>PISTON</v>
          </cell>
          <cell r="D4866">
            <v>299</v>
          </cell>
          <cell r="N4866" t="str">
            <v>1533-01</v>
          </cell>
          <cell r="O4866" t="str">
            <v>PISTON</v>
          </cell>
          <cell r="P4866">
            <v>598</v>
          </cell>
        </row>
        <row r="4867">
          <cell r="B4867" t="str">
            <v>1685-00</v>
          </cell>
          <cell r="C4867" t="str">
            <v>ROD GUIDE ASS'Y</v>
          </cell>
          <cell r="D4867">
            <v>313.5</v>
          </cell>
          <cell r="N4867" t="str">
            <v>1685-00</v>
          </cell>
          <cell r="O4867" t="str">
            <v>ROD GUIDE ASS'Y</v>
          </cell>
          <cell r="P4867">
            <v>627</v>
          </cell>
        </row>
        <row r="4868">
          <cell r="B4868" t="str">
            <v>714-02</v>
          </cell>
          <cell r="C4868" t="str">
            <v>PISTON</v>
          </cell>
          <cell r="D4868">
            <v>237</v>
          </cell>
          <cell r="N4868" t="str">
            <v>714-02</v>
          </cell>
          <cell r="O4868" t="str">
            <v>PISTON</v>
          </cell>
          <cell r="P4868">
            <v>474</v>
          </cell>
        </row>
        <row r="4869">
          <cell r="B4869" t="str">
            <v>800-02</v>
          </cell>
          <cell r="C4869" t="str">
            <v>PISTON</v>
          </cell>
          <cell r="D4869">
            <v>129.5</v>
          </cell>
          <cell r="N4869" t="str">
            <v>800-02</v>
          </cell>
          <cell r="O4869" t="str">
            <v>PISTON</v>
          </cell>
          <cell r="P4869">
            <v>259</v>
          </cell>
        </row>
        <row r="4870">
          <cell r="B4870" t="str">
            <v>800-53</v>
          </cell>
          <cell r="C4870" t="str">
            <v>PISTON</v>
          </cell>
          <cell r="D4870">
            <v>324.5</v>
          </cell>
          <cell r="N4870" t="str">
            <v>800-53</v>
          </cell>
          <cell r="O4870" t="str">
            <v>PISTON</v>
          </cell>
          <cell r="P4870">
            <v>649</v>
          </cell>
        </row>
        <row r="4871">
          <cell r="B4871" t="str">
            <v>948-05</v>
          </cell>
          <cell r="C4871" t="str">
            <v>VALVE RETAINER</v>
          </cell>
          <cell r="D4871">
            <v>325.5</v>
          </cell>
          <cell r="N4871" t="str">
            <v>948-05</v>
          </cell>
          <cell r="O4871" t="str">
            <v>VALVE RETAINER</v>
          </cell>
          <cell r="P4871">
            <v>651</v>
          </cell>
        </row>
        <row r="4872">
          <cell r="B4872" t="str">
            <v>1165-00</v>
          </cell>
          <cell r="C4872" t="str">
            <v>HUB</v>
          </cell>
          <cell r="D4872">
            <v>391.2</v>
          </cell>
          <cell r="N4872" t="str">
            <v>1165-00</v>
          </cell>
          <cell r="O4872" t="str">
            <v>HUB</v>
          </cell>
          <cell r="P4872">
            <v>652</v>
          </cell>
        </row>
        <row r="4873">
          <cell r="B4873" t="str">
            <v>1165-00</v>
          </cell>
          <cell r="C4873" t="str">
            <v>HUB</v>
          </cell>
          <cell r="D4873">
            <v>391.2</v>
          </cell>
          <cell r="N4873" t="str">
            <v>1165-00</v>
          </cell>
          <cell r="O4873" t="str">
            <v>HUB</v>
          </cell>
          <cell r="P4873">
            <v>652</v>
          </cell>
        </row>
        <row r="4874">
          <cell r="B4874" t="str">
            <v>1165-00</v>
          </cell>
          <cell r="C4874" t="str">
            <v>HUB</v>
          </cell>
          <cell r="D4874">
            <v>391.2</v>
          </cell>
          <cell r="N4874" t="str">
            <v>1165-00</v>
          </cell>
          <cell r="O4874" t="str">
            <v>HUB</v>
          </cell>
          <cell r="P4874">
            <v>652</v>
          </cell>
        </row>
        <row r="4875">
          <cell r="B4875" t="str">
            <v>1352-07</v>
          </cell>
          <cell r="C4875" t="str">
            <v>PISTON</v>
          </cell>
          <cell r="D4875">
            <v>304.5</v>
          </cell>
          <cell r="N4875" t="str">
            <v>1352-07</v>
          </cell>
          <cell r="O4875" t="str">
            <v>PISTON</v>
          </cell>
          <cell r="P4875">
            <v>609</v>
          </cell>
        </row>
        <row r="4876">
          <cell r="B4876" t="str">
            <v>1587-03</v>
          </cell>
          <cell r="C4876" t="str">
            <v>PISTON</v>
          </cell>
          <cell r="D4876">
            <v>326</v>
          </cell>
          <cell r="N4876" t="str">
            <v>1587-03</v>
          </cell>
          <cell r="O4876" t="str">
            <v>PISTON</v>
          </cell>
          <cell r="P4876">
            <v>652</v>
          </cell>
        </row>
        <row r="4877">
          <cell r="B4877" t="str">
            <v>464-33</v>
          </cell>
          <cell r="C4877" t="str">
            <v>PISTON</v>
          </cell>
          <cell r="D4877">
            <v>232</v>
          </cell>
          <cell r="N4877" t="str">
            <v>464-33</v>
          </cell>
          <cell r="O4877" t="str">
            <v>PISTON</v>
          </cell>
          <cell r="P4877">
            <v>464</v>
          </cell>
        </row>
        <row r="4878">
          <cell r="B4878" t="str">
            <v>1352-06</v>
          </cell>
          <cell r="C4878" t="str">
            <v>PISTON</v>
          </cell>
          <cell r="D4878">
            <v>326.5</v>
          </cell>
          <cell r="N4878" t="str">
            <v>1352-06</v>
          </cell>
          <cell r="O4878" t="str">
            <v>PISTON</v>
          </cell>
          <cell r="P4878">
            <v>653</v>
          </cell>
        </row>
        <row r="4879">
          <cell r="B4879" t="str">
            <v>829-01</v>
          </cell>
          <cell r="C4879" t="str">
            <v>HUB</v>
          </cell>
          <cell r="D4879">
            <v>392.4</v>
          </cell>
          <cell r="N4879" t="str">
            <v>829-01</v>
          </cell>
          <cell r="O4879" t="str">
            <v>HUB</v>
          </cell>
          <cell r="P4879">
            <v>654</v>
          </cell>
        </row>
        <row r="4880">
          <cell r="B4880" t="str">
            <v>1511-00</v>
          </cell>
          <cell r="C4880" t="str">
            <v>COM NUT SPANNER</v>
          </cell>
          <cell r="D4880">
            <v>327.5</v>
          </cell>
          <cell r="N4880" t="str">
            <v>1511-00</v>
          </cell>
          <cell r="O4880" t="str">
            <v>COM NUT SPANNER</v>
          </cell>
          <cell r="P4880">
            <v>655</v>
          </cell>
        </row>
        <row r="4881">
          <cell r="B4881" t="str">
            <v>1511-00</v>
          </cell>
          <cell r="C4881" t="str">
            <v>COM NUT SPANNER</v>
          </cell>
          <cell r="D4881">
            <v>327.5</v>
          </cell>
          <cell r="N4881" t="str">
            <v>1511-00</v>
          </cell>
          <cell r="O4881" t="str">
            <v>COM NUT SPANNER</v>
          </cell>
          <cell r="P4881">
            <v>655</v>
          </cell>
        </row>
        <row r="4882">
          <cell r="B4882" t="str">
            <v>1689-00</v>
          </cell>
          <cell r="C4882" t="str">
            <v>ROD GUIDE ASS'Y</v>
          </cell>
          <cell r="D4882">
            <v>291.5</v>
          </cell>
          <cell r="N4882" t="str">
            <v>1689-00</v>
          </cell>
          <cell r="O4882" t="str">
            <v>ROD GUIDE ASS'Y</v>
          </cell>
          <cell r="P4882">
            <v>583</v>
          </cell>
        </row>
        <row r="4883">
          <cell r="B4883" t="str">
            <v>1880-00</v>
          </cell>
          <cell r="C4883" t="str">
            <v>COM NUT SPANNER</v>
          </cell>
          <cell r="D4883">
            <v>327.5</v>
          </cell>
          <cell r="N4883" t="str">
            <v>1880-00</v>
          </cell>
          <cell r="O4883" t="str">
            <v>COM NUT SPANNER</v>
          </cell>
          <cell r="P4883">
            <v>655</v>
          </cell>
        </row>
        <row r="4884">
          <cell r="B4884" t="str">
            <v>2005-00</v>
          </cell>
          <cell r="C4884" t="str">
            <v>HUB</v>
          </cell>
          <cell r="D4884">
            <v>393</v>
          </cell>
          <cell r="N4884" t="str">
            <v>2005-00</v>
          </cell>
          <cell r="O4884" t="str">
            <v>HUB</v>
          </cell>
          <cell r="P4884">
            <v>655</v>
          </cell>
        </row>
        <row r="4885">
          <cell r="B4885" t="str">
            <v>2005-00</v>
          </cell>
          <cell r="C4885" t="str">
            <v>HUB</v>
          </cell>
          <cell r="D4885">
            <v>393</v>
          </cell>
          <cell r="N4885" t="str">
            <v>2005-00</v>
          </cell>
          <cell r="O4885" t="str">
            <v>HUB</v>
          </cell>
          <cell r="P4885">
            <v>655</v>
          </cell>
        </row>
        <row r="4886">
          <cell r="B4886" t="str">
            <v>447-02</v>
          </cell>
          <cell r="C4886" t="str">
            <v>SUPPORT YOKE ASS'Y</v>
          </cell>
          <cell r="D4886">
            <v>327.5</v>
          </cell>
          <cell r="N4886" t="str">
            <v>447-02</v>
          </cell>
          <cell r="O4886" t="str">
            <v>SUPPORT YOKE ASS'Y</v>
          </cell>
          <cell r="P4886">
            <v>655</v>
          </cell>
        </row>
        <row r="4887">
          <cell r="B4887" t="str">
            <v>829-03</v>
          </cell>
          <cell r="C4887" t="str">
            <v>HUB</v>
          </cell>
          <cell r="D4887">
            <v>393</v>
          </cell>
          <cell r="N4887" t="str">
            <v>829-03</v>
          </cell>
          <cell r="O4887" t="str">
            <v>HUB</v>
          </cell>
          <cell r="P4887">
            <v>655</v>
          </cell>
        </row>
        <row r="4888">
          <cell r="B4888" t="str">
            <v>1027-00</v>
          </cell>
          <cell r="C4888" t="str">
            <v>ROD GUIDE ASS'Y</v>
          </cell>
          <cell r="D4888">
            <v>241</v>
          </cell>
          <cell r="N4888" t="str">
            <v>1027-00</v>
          </cell>
          <cell r="O4888" t="str">
            <v>ROD GUIDE ASS'Y</v>
          </cell>
          <cell r="P4888">
            <v>482</v>
          </cell>
        </row>
        <row r="4889">
          <cell r="B4889" t="str">
            <v>1027-00</v>
          </cell>
          <cell r="C4889" t="str">
            <v>ROD GUIDE ASS'Y</v>
          </cell>
          <cell r="D4889">
            <v>241</v>
          </cell>
          <cell r="N4889" t="str">
            <v>1027-00</v>
          </cell>
          <cell r="O4889" t="str">
            <v>ROD GUIDE ASS'Y</v>
          </cell>
          <cell r="P4889">
            <v>482</v>
          </cell>
        </row>
        <row r="4890">
          <cell r="B4890" t="str">
            <v>1034-02</v>
          </cell>
          <cell r="C4890" t="str">
            <v>HUB(FS20)</v>
          </cell>
          <cell r="D4890">
            <v>394.2</v>
          </cell>
          <cell r="N4890" t="str">
            <v>1034-02</v>
          </cell>
          <cell r="O4890" t="str">
            <v>HUB(FS20)</v>
          </cell>
          <cell r="P4890">
            <v>657</v>
          </cell>
        </row>
        <row r="4891">
          <cell r="B4891" t="str">
            <v>1034-02</v>
          </cell>
          <cell r="C4891" t="str">
            <v>HUB(FS20)</v>
          </cell>
          <cell r="D4891">
            <v>394.2</v>
          </cell>
          <cell r="N4891" t="str">
            <v>1034-02</v>
          </cell>
          <cell r="O4891" t="str">
            <v>HUB(FS20)</v>
          </cell>
          <cell r="P4891">
            <v>657</v>
          </cell>
        </row>
        <row r="4892">
          <cell r="B4892" t="str">
            <v>1352-02</v>
          </cell>
          <cell r="C4892" t="str">
            <v>PISTON</v>
          </cell>
          <cell r="D4892">
            <v>328.5</v>
          </cell>
          <cell r="N4892" t="str">
            <v>1352-02</v>
          </cell>
          <cell r="O4892" t="str">
            <v>PISTON</v>
          </cell>
          <cell r="P4892">
            <v>657</v>
          </cell>
        </row>
        <row r="4893">
          <cell r="B4893" t="str">
            <v>1352-06</v>
          </cell>
          <cell r="C4893" t="str">
            <v>PISTON</v>
          </cell>
          <cell r="D4893">
            <v>326.5</v>
          </cell>
          <cell r="N4893" t="str">
            <v>1352-06</v>
          </cell>
          <cell r="O4893" t="str">
            <v>PISTON</v>
          </cell>
          <cell r="P4893">
            <v>653</v>
          </cell>
        </row>
        <row r="4894">
          <cell r="B4894" t="str">
            <v>829-03</v>
          </cell>
          <cell r="C4894" t="str">
            <v>HUB</v>
          </cell>
          <cell r="D4894">
            <v>393</v>
          </cell>
          <cell r="N4894" t="str">
            <v>829-03</v>
          </cell>
          <cell r="O4894" t="str">
            <v>HUB</v>
          </cell>
          <cell r="P4894">
            <v>655</v>
          </cell>
        </row>
        <row r="4895">
          <cell r="B4895" t="str">
            <v>829-03</v>
          </cell>
          <cell r="C4895" t="str">
            <v>HUB</v>
          </cell>
          <cell r="D4895">
            <v>393</v>
          </cell>
          <cell r="N4895" t="str">
            <v>829-03</v>
          </cell>
          <cell r="O4895" t="str">
            <v>HUB</v>
          </cell>
          <cell r="P4895">
            <v>655</v>
          </cell>
        </row>
        <row r="4896">
          <cell r="B4896" t="str">
            <v>829-03</v>
          </cell>
          <cell r="C4896" t="str">
            <v>HUB</v>
          </cell>
          <cell r="D4896">
            <v>393</v>
          </cell>
          <cell r="N4896" t="str">
            <v>829-03</v>
          </cell>
          <cell r="O4896" t="str">
            <v>HUB</v>
          </cell>
          <cell r="P4896">
            <v>655</v>
          </cell>
        </row>
        <row r="4897">
          <cell r="B4897" t="str">
            <v>1069-02</v>
          </cell>
          <cell r="C4897" t="str">
            <v>PISTON</v>
          </cell>
          <cell r="D4897">
            <v>126</v>
          </cell>
          <cell r="N4897" t="str">
            <v>1069-02</v>
          </cell>
          <cell r="O4897" t="str">
            <v>PISTON</v>
          </cell>
          <cell r="P4897">
            <v>252</v>
          </cell>
        </row>
        <row r="4898">
          <cell r="B4898" t="str">
            <v>1165-00</v>
          </cell>
          <cell r="C4898" t="str">
            <v>HUB</v>
          </cell>
          <cell r="D4898">
            <v>391.2</v>
          </cell>
          <cell r="N4898" t="str">
            <v>1165-00</v>
          </cell>
          <cell r="O4898" t="str">
            <v>HUB</v>
          </cell>
          <cell r="P4898">
            <v>652</v>
          </cell>
        </row>
        <row r="4899">
          <cell r="B4899" t="str">
            <v>1386-09</v>
          </cell>
          <cell r="C4899" t="str">
            <v>PISTON</v>
          </cell>
          <cell r="D4899">
            <v>329</v>
          </cell>
          <cell r="N4899" t="str">
            <v>1386-09</v>
          </cell>
          <cell r="O4899" t="str">
            <v>PISTON</v>
          </cell>
          <cell r="P4899">
            <v>658</v>
          </cell>
        </row>
        <row r="4900">
          <cell r="B4900" t="str">
            <v>1778-00</v>
          </cell>
          <cell r="C4900" t="str">
            <v>ROD GUIDE ASS'Y</v>
          </cell>
          <cell r="D4900">
            <v>329</v>
          </cell>
          <cell r="N4900" t="str">
            <v>1778-00</v>
          </cell>
          <cell r="O4900" t="str">
            <v>ROD GUIDE ASS'Y</v>
          </cell>
          <cell r="P4900">
            <v>658</v>
          </cell>
        </row>
        <row r="4901">
          <cell r="B4901" t="str">
            <v>989-02</v>
          </cell>
          <cell r="C4901" t="str">
            <v>HUB(JM)</v>
          </cell>
          <cell r="D4901">
            <v>385.8</v>
          </cell>
          <cell r="N4901" t="str">
            <v>989-02</v>
          </cell>
          <cell r="O4901" t="str">
            <v>HUB(JM)</v>
          </cell>
          <cell r="P4901">
            <v>643</v>
          </cell>
        </row>
        <row r="4902">
          <cell r="B4902" t="str">
            <v>046-00</v>
          </cell>
          <cell r="C4902" t="str">
            <v>ROD GUIDE ASS'Y</v>
          </cell>
          <cell r="D4902">
            <v>329.5</v>
          </cell>
          <cell r="N4902" t="str">
            <v>046-00</v>
          </cell>
          <cell r="O4902" t="str">
            <v>ROD GUIDE ASS'Y</v>
          </cell>
          <cell r="P4902">
            <v>659</v>
          </cell>
        </row>
        <row r="4903">
          <cell r="B4903" t="str">
            <v>1077-00</v>
          </cell>
          <cell r="C4903" t="str">
            <v>HUB</v>
          </cell>
          <cell r="D4903">
            <v>395.4</v>
          </cell>
          <cell r="N4903" t="str">
            <v>1077-00</v>
          </cell>
          <cell r="O4903" t="str">
            <v>HUB</v>
          </cell>
          <cell r="P4903">
            <v>659</v>
          </cell>
        </row>
        <row r="4904">
          <cell r="B4904" t="str">
            <v>1077-01</v>
          </cell>
          <cell r="C4904" t="str">
            <v>HUB</v>
          </cell>
          <cell r="D4904">
            <v>395.4</v>
          </cell>
          <cell r="N4904" t="str">
            <v>1077-01</v>
          </cell>
          <cell r="O4904" t="str">
            <v>HUB</v>
          </cell>
          <cell r="P4904">
            <v>659</v>
          </cell>
        </row>
        <row r="4905">
          <cell r="B4905" t="str">
            <v>1782-00</v>
          </cell>
          <cell r="C4905" t="str">
            <v>PISTON</v>
          </cell>
          <cell r="D4905">
            <v>305.5</v>
          </cell>
          <cell r="N4905" t="str">
            <v>1782-00</v>
          </cell>
          <cell r="O4905" t="str">
            <v>PISTON</v>
          </cell>
          <cell r="P4905">
            <v>611</v>
          </cell>
        </row>
        <row r="4906">
          <cell r="B4906" t="str">
            <v>1782-00</v>
          </cell>
          <cell r="C4906" t="str">
            <v>PISTON</v>
          </cell>
          <cell r="D4906">
            <v>305.5</v>
          </cell>
          <cell r="N4906" t="str">
            <v>1782-00</v>
          </cell>
          <cell r="O4906" t="str">
            <v>PISTON</v>
          </cell>
          <cell r="P4906">
            <v>611</v>
          </cell>
        </row>
        <row r="4907">
          <cell r="B4907" t="str">
            <v>1782-00</v>
          </cell>
          <cell r="C4907" t="str">
            <v>PISTON</v>
          </cell>
          <cell r="D4907">
            <v>305.5</v>
          </cell>
          <cell r="N4907" t="str">
            <v>1782-00</v>
          </cell>
          <cell r="O4907" t="str">
            <v>PISTON</v>
          </cell>
          <cell r="P4907">
            <v>611</v>
          </cell>
        </row>
        <row r="4908">
          <cell r="B4908" t="str">
            <v>829-03</v>
          </cell>
          <cell r="C4908" t="str">
            <v>HUB</v>
          </cell>
          <cell r="D4908">
            <v>393</v>
          </cell>
          <cell r="N4908" t="str">
            <v>829-03</v>
          </cell>
          <cell r="O4908" t="str">
            <v>HUB</v>
          </cell>
          <cell r="P4908">
            <v>655</v>
          </cell>
        </row>
        <row r="4909">
          <cell r="B4909" t="str">
            <v>829-04</v>
          </cell>
          <cell r="C4909" t="str">
            <v>HUB</v>
          </cell>
          <cell r="D4909">
            <v>396</v>
          </cell>
          <cell r="N4909" t="str">
            <v>829-04</v>
          </cell>
          <cell r="O4909" t="str">
            <v>HUB</v>
          </cell>
          <cell r="P4909">
            <v>660</v>
          </cell>
        </row>
        <row r="4910">
          <cell r="B4910" t="str">
            <v>947-03</v>
          </cell>
          <cell r="C4910" t="str">
            <v>VALVE RETAINER</v>
          </cell>
          <cell r="D4910">
            <v>330</v>
          </cell>
          <cell r="N4910" t="str">
            <v>947-03</v>
          </cell>
          <cell r="O4910" t="str">
            <v>VALVE RETAINER</v>
          </cell>
          <cell r="P4910">
            <v>660</v>
          </cell>
        </row>
        <row r="4911">
          <cell r="B4911" t="str">
            <v>955-00</v>
          </cell>
          <cell r="C4911" t="str">
            <v>HUB</v>
          </cell>
          <cell r="D4911">
            <v>396</v>
          </cell>
          <cell r="N4911" t="str">
            <v>955-00</v>
          </cell>
          <cell r="O4911" t="str">
            <v>HUB</v>
          </cell>
          <cell r="P4911">
            <v>660</v>
          </cell>
        </row>
        <row r="4912">
          <cell r="B4912" t="str">
            <v>1685-00</v>
          </cell>
          <cell r="C4912" t="str">
            <v>ROD GUIDE ASS'Y</v>
          </cell>
          <cell r="D4912">
            <v>313.5</v>
          </cell>
          <cell r="N4912" t="str">
            <v>1685-00</v>
          </cell>
          <cell r="O4912" t="str">
            <v>ROD GUIDE ASS'Y</v>
          </cell>
          <cell r="P4912">
            <v>627</v>
          </cell>
        </row>
        <row r="4913">
          <cell r="B4913" t="str">
            <v>669-05</v>
          </cell>
          <cell r="C4913" t="str">
            <v>ROD GUIDE ASS'Y</v>
          </cell>
          <cell r="D4913">
            <v>301.5</v>
          </cell>
          <cell r="N4913" t="str">
            <v>669-05</v>
          </cell>
          <cell r="O4913" t="str">
            <v>ROD GUIDE ASS'Y</v>
          </cell>
          <cell r="P4913">
            <v>603</v>
          </cell>
        </row>
        <row r="4914">
          <cell r="B4914" t="str">
            <v>800-54</v>
          </cell>
          <cell r="C4914" t="str">
            <v>PISTON</v>
          </cell>
          <cell r="D4914">
            <v>330.5</v>
          </cell>
          <cell r="N4914" t="str">
            <v>800-54</v>
          </cell>
          <cell r="O4914" t="str">
            <v>PISTON</v>
          </cell>
          <cell r="P4914">
            <v>661</v>
          </cell>
        </row>
        <row r="4915">
          <cell r="B4915" t="str">
            <v>829-03</v>
          </cell>
          <cell r="C4915" t="str">
            <v>HUB</v>
          </cell>
          <cell r="D4915">
            <v>393</v>
          </cell>
          <cell r="N4915" t="str">
            <v>829-03</v>
          </cell>
          <cell r="O4915" t="str">
            <v>HUB</v>
          </cell>
          <cell r="P4915">
            <v>655</v>
          </cell>
        </row>
        <row r="4916">
          <cell r="B4916" t="str">
            <v>1034-02</v>
          </cell>
          <cell r="C4916" t="str">
            <v>HUB(FS20)</v>
          </cell>
          <cell r="D4916">
            <v>394.2</v>
          </cell>
          <cell r="N4916" t="str">
            <v>1034-02</v>
          </cell>
          <cell r="O4916" t="str">
            <v>HUB(FS20)</v>
          </cell>
          <cell r="P4916">
            <v>657</v>
          </cell>
        </row>
        <row r="4917">
          <cell r="B4917" t="str">
            <v>1034-02</v>
          </cell>
          <cell r="C4917" t="str">
            <v>HUB(FS20)</v>
          </cell>
          <cell r="D4917">
            <v>394.2</v>
          </cell>
          <cell r="N4917" t="str">
            <v>1034-02</v>
          </cell>
          <cell r="O4917" t="str">
            <v>HUB(FS20)</v>
          </cell>
          <cell r="P4917">
            <v>657</v>
          </cell>
        </row>
        <row r="4918">
          <cell r="B4918" t="str">
            <v>1653-00</v>
          </cell>
          <cell r="C4918" t="str">
            <v>TILT CAM</v>
          </cell>
          <cell r="D4918">
            <v>214.79999999999998</v>
          </cell>
          <cell r="N4918" t="str">
            <v>1653-00</v>
          </cell>
          <cell r="O4918" t="str">
            <v>TILT CAM</v>
          </cell>
          <cell r="P4918">
            <v>358</v>
          </cell>
        </row>
        <row r="4919">
          <cell r="B4919" t="str">
            <v>2071-00</v>
          </cell>
          <cell r="C4919" t="str">
            <v>PISTON</v>
          </cell>
          <cell r="D4919">
            <v>331</v>
          </cell>
          <cell r="N4919" t="str">
            <v>2071-00</v>
          </cell>
          <cell r="O4919" t="str">
            <v>PISTON</v>
          </cell>
          <cell r="P4919">
            <v>662</v>
          </cell>
        </row>
        <row r="4920">
          <cell r="B4920" t="str">
            <v>5002-00</v>
          </cell>
          <cell r="C4920" t="str">
            <v>PLATE 4-5-6 CLU BKG</v>
          </cell>
          <cell r="D4920">
            <v>397.2</v>
          </cell>
          <cell r="N4920" t="str">
            <v>5002-00</v>
          </cell>
          <cell r="O4920" t="str">
            <v>PLATE 4-5-6 CLU BKG</v>
          </cell>
          <cell r="P4920">
            <v>662</v>
          </cell>
        </row>
        <row r="4921">
          <cell r="B4921" t="str">
            <v>955-03</v>
          </cell>
          <cell r="C4921" t="str">
            <v>HUB</v>
          </cell>
          <cell r="D4921">
            <v>397.2</v>
          </cell>
          <cell r="N4921" t="str">
            <v>955-03</v>
          </cell>
          <cell r="O4921" t="str">
            <v>HUB</v>
          </cell>
          <cell r="P4921">
            <v>662</v>
          </cell>
        </row>
        <row r="4922">
          <cell r="B4922" t="str">
            <v>955-03</v>
          </cell>
          <cell r="C4922" t="str">
            <v>HUB</v>
          </cell>
          <cell r="D4922">
            <v>397.2</v>
          </cell>
          <cell r="N4922" t="str">
            <v>955-03</v>
          </cell>
          <cell r="O4922" t="str">
            <v>HUB</v>
          </cell>
          <cell r="P4922">
            <v>662</v>
          </cell>
        </row>
        <row r="4923">
          <cell r="B4923" t="str">
            <v>1909-00</v>
          </cell>
          <cell r="C4923" t="str">
            <v>MOVABLE GEAR</v>
          </cell>
          <cell r="D4923">
            <v>397.8</v>
          </cell>
          <cell r="N4923" t="str">
            <v>1909-00</v>
          </cell>
          <cell r="O4923" t="str">
            <v>MOVABLE GEAR</v>
          </cell>
          <cell r="P4923">
            <v>663</v>
          </cell>
        </row>
        <row r="4924">
          <cell r="B4924" t="str">
            <v>1352-10</v>
          </cell>
          <cell r="C4924" t="str">
            <v>PISTON</v>
          </cell>
          <cell r="D4924">
            <v>332</v>
          </cell>
          <cell r="N4924" t="str">
            <v>1352-10</v>
          </cell>
          <cell r="O4924" t="str">
            <v>PISTON</v>
          </cell>
          <cell r="P4924">
            <v>664</v>
          </cell>
        </row>
        <row r="4925">
          <cell r="B4925" t="str">
            <v>817-00</v>
          </cell>
          <cell r="C4925" t="str">
            <v>RETAINER GUIDE ASS'Y</v>
          </cell>
          <cell r="D4925">
            <v>190</v>
          </cell>
          <cell r="N4925" t="str">
            <v>817-00</v>
          </cell>
          <cell r="O4925" t="str">
            <v>RETAINER GUIDE ASS'Y</v>
          </cell>
          <cell r="P4925">
            <v>380</v>
          </cell>
        </row>
        <row r="4926">
          <cell r="B4926" t="str">
            <v>955-00</v>
          </cell>
          <cell r="C4926" t="str">
            <v>HUB</v>
          </cell>
          <cell r="D4926">
            <v>396</v>
          </cell>
          <cell r="N4926" t="str">
            <v>955-00</v>
          </cell>
          <cell r="O4926" t="str">
            <v>HUB</v>
          </cell>
          <cell r="P4926">
            <v>660</v>
          </cell>
        </row>
        <row r="4927">
          <cell r="B4927" t="str">
            <v>955-00</v>
          </cell>
          <cell r="C4927" t="str">
            <v>HUB</v>
          </cell>
          <cell r="D4927">
            <v>396</v>
          </cell>
          <cell r="N4927" t="str">
            <v>955-00</v>
          </cell>
          <cell r="O4927" t="str">
            <v>HUB</v>
          </cell>
          <cell r="P4927">
            <v>660</v>
          </cell>
        </row>
        <row r="4928">
          <cell r="B4928" t="str">
            <v>1730-03</v>
          </cell>
          <cell r="C4928" t="str">
            <v>PISTON</v>
          </cell>
          <cell r="D4928">
            <v>332.5</v>
          </cell>
          <cell r="N4928" t="str">
            <v>1730-03</v>
          </cell>
          <cell r="O4928" t="str">
            <v>PISTON</v>
          </cell>
          <cell r="P4928">
            <v>665</v>
          </cell>
        </row>
        <row r="4929">
          <cell r="B4929" t="str">
            <v>588-39</v>
          </cell>
          <cell r="C4929" t="str">
            <v>PISTON</v>
          </cell>
          <cell r="D4929">
            <v>159</v>
          </cell>
          <cell r="N4929" t="str">
            <v>588-39</v>
          </cell>
          <cell r="O4929" t="str">
            <v>PISTON</v>
          </cell>
          <cell r="P4929">
            <v>318</v>
          </cell>
        </row>
        <row r="4930">
          <cell r="B4930" t="str">
            <v>640-00</v>
          </cell>
          <cell r="C4930" t="str">
            <v>GEAR SENSING</v>
          </cell>
          <cell r="D4930">
            <v>399</v>
          </cell>
          <cell r="N4930" t="str">
            <v>640-00</v>
          </cell>
          <cell r="O4930" t="str">
            <v>GEAR SENSING</v>
          </cell>
          <cell r="P4930">
            <v>665</v>
          </cell>
        </row>
        <row r="4931">
          <cell r="B4931" t="str">
            <v>829-03</v>
          </cell>
          <cell r="C4931" t="str">
            <v>HUB</v>
          </cell>
          <cell r="D4931">
            <v>393</v>
          </cell>
          <cell r="N4931" t="str">
            <v>829-03</v>
          </cell>
          <cell r="O4931" t="str">
            <v>HUB</v>
          </cell>
          <cell r="P4931">
            <v>655</v>
          </cell>
        </row>
        <row r="4932">
          <cell r="B4932" t="str">
            <v>829-04</v>
          </cell>
          <cell r="C4932" t="str">
            <v>HUB</v>
          </cell>
          <cell r="D4932">
            <v>396</v>
          </cell>
          <cell r="N4932" t="str">
            <v>829-04</v>
          </cell>
          <cell r="O4932" t="str">
            <v>HUB</v>
          </cell>
          <cell r="P4932">
            <v>660</v>
          </cell>
        </row>
        <row r="4933">
          <cell r="B4933" t="str">
            <v>955-00</v>
          </cell>
          <cell r="C4933" t="str">
            <v>HUB</v>
          </cell>
          <cell r="D4933">
            <v>396</v>
          </cell>
          <cell r="N4933" t="str">
            <v>955-00</v>
          </cell>
          <cell r="O4933" t="str">
            <v>HUB</v>
          </cell>
          <cell r="P4933">
            <v>660</v>
          </cell>
        </row>
        <row r="4934">
          <cell r="B4934" t="str">
            <v>955-01</v>
          </cell>
          <cell r="C4934" t="str">
            <v>HUB(VQ)</v>
          </cell>
          <cell r="D4934">
            <v>399</v>
          </cell>
          <cell r="N4934" t="str">
            <v>955-01</v>
          </cell>
          <cell r="O4934" t="str">
            <v>HUB(VQ)</v>
          </cell>
          <cell r="P4934">
            <v>665</v>
          </cell>
        </row>
        <row r="4935">
          <cell r="B4935" t="str">
            <v>955-03</v>
          </cell>
          <cell r="C4935" t="str">
            <v>HUB</v>
          </cell>
          <cell r="D4935">
            <v>397.2</v>
          </cell>
          <cell r="N4935" t="str">
            <v>955-03</v>
          </cell>
          <cell r="O4935" t="str">
            <v>HUB</v>
          </cell>
          <cell r="P4935">
            <v>662</v>
          </cell>
        </row>
        <row r="4936">
          <cell r="B4936" t="str">
            <v>955-03</v>
          </cell>
          <cell r="C4936" t="str">
            <v>HUB</v>
          </cell>
          <cell r="D4936">
            <v>397.2</v>
          </cell>
          <cell r="N4936" t="str">
            <v>955-03</v>
          </cell>
          <cell r="O4936" t="str">
            <v>HUB</v>
          </cell>
          <cell r="P4936">
            <v>662</v>
          </cell>
        </row>
        <row r="4937">
          <cell r="B4937" t="str">
            <v>1352-17</v>
          </cell>
          <cell r="C4937" t="str">
            <v>PISTON</v>
          </cell>
          <cell r="D4937">
            <v>333</v>
          </cell>
          <cell r="N4937" t="str">
            <v>1352-17</v>
          </cell>
          <cell r="O4937" t="str">
            <v>PISTON</v>
          </cell>
          <cell r="P4937">
            <v>666</v>
          </cell>
        </row>
        <row r="4938">
          <cell r="B4938" t="str">
            <v>1999-00</v>
          </cell>
          <cell r="C4938" t="str">
            <v>PISTON</v>
          </cell>
          <cell r="D4938">
            <v>284</v>
          </cell>
          <cell r="N4938" t="str">
            <v>1999-00</v>
          </cell>
          <cell r="O4938" t="str">
            <v>PISTON</v>
          </cell>
          <cell r="P4938">
            <v>568</v>
          </cell>
        </row>
        <row r="4939">
          <cell r="B4939" t="str">
            <v>1077-01</v>
          </cell>
          <cell r="C4939" t="str">
            <v>HUB</v>
          </cell>
          <cell r="D4939">
            <v>395.4</v>
          </cell>
          <cell r="N4939" t="str">
            <v>1077-01</v>
          </cell>
          <cell r="O4939" t="str">
            <v>HUB</v>
          </cell>
          <cell r="P4939">
            <v>659</v>
          </cell>
        </row>
        <row r="4940">
          <cell r="B4940" t="str">
            <v>669-05</v>
          </cell>
          <cell r="C4940" t="str">
            <v>ROD GUIDE ASS'Y</v>
          </cell>
          <cell r="D4940">
            <v>301.5</v>
          </cell>
          <cell r="N4940" t="str">
            <v>669-05</v>
          </cell>
          <cell r="O4940" t="str">
            <v>ROD GUIDE ASS'Y</v>
          </cell>
          <cell r="P4940">
            <v>603</v>
          </cell>
        </row>
        <row r="4941">
          <cell r="B4941" t="str">
            <v>893-02</v>
          </cell>
          <cell r="C4941" t="str">
            <v>PISTON</v>
          </cell>
          <cell r="D4941">
            <v>333.5</v>
          </cell>
          <cell r="N4941" t="str">
            <v>893-02</v>
          </cell>
          <cell r="O4941" t="str">
            <v>PISTON</v>
          </cell>
          <cell r="P4941">
            <v>667</v>
          </cell>
        </row>
        <row r="4942">
          <cell r="B4942" t="str">
            <v>893-02</v>
          </cell>
          <cell r="C4942" t="str">
            <v>PISTON</v>
          </cell>
          <cell r="D4942">
            <v>333.5</v>
          </cell>
          <cell r="N4942" t="str">
            <v>893-02</v>
          </cell>
          <cell r="O4942" t="str">
            <v>PISTON</v>
          </cell>
          <cell r="P4942">
            <v>667</v>
          </cell>
        </row>
        <row r="4943">
          <cell r="B4943" t="str">
            <v>1435-00</v>
          </cell>
          <cell r="C4943" t="str">
            <v>HUB</v>
          </cell>
          <cell r="D4943">
            <v>400.8</v>
          </cell>
          <cell r="N4943" t="str">
            <v>1435-00</v>
          </cell>
          <cell r="O4943" t="str">
            <v>HUB</v>
          </cell>
          <cell r="P4943">
            <v>668</v>
          </cell>
        </row>
        <row r="4944">
          <cell r="B4944" t="str">
            <v>1435-00</v>
          </cell>
          <cell r="C4944" t="str">
            <v>HUB</v>
          </cell>
          <cell r="D4944">
            <v>400.8</v>
          </cell>
          <cell r="N4944" t="str">
            <v>1435-00</v>
          </cell>
          <cell r="O4944" t="str">
            <v>HUB</v>
          </cell>
          <cell r="P4944">
            <v>668</v>
          </cell>
        </row>
        <row r="4945">
          <cell r="B4945" t="str">
            <v>669-05</v>
          </cell>
          <cell r="C4945" t="str">
            <v>ROD GUIDE ASS'Y</v>
          </cell>
          <cell r="D4945">
            <v>301.5</v>
          </cell>
          <cell r="N4945" t="str">
            <v>669-05</v>
          </cell>
          <cell r="O4945" t="str">
            <v>ROD GUIDE ASS'Y</v>
          </cell>
          <cell r="P4945">
            <v>603</v>
          </cell>
        </row>
        <row r="4946">
          <cell r="B4946" t="str">
            <v>669-05</v>
          </cell>
          <cell r="C4946" t="str">
            <v>ROD GUIDE ASS'Y</v>
          </cell>
          <cell r="D4946">
            <v>301.5</v>
          </cell>
          <cell r="N4946" t="str">
            <v>669-05</v>
          </cell>
          <cell r="O4946" t="str">
            <v>ROD GUIDE ASS'Y</v>
          </cell>
          <cell r="P4946">
            <v>603</v>
          </cell>
        </row>
        <row r="4947">
          <cell r="B4947" t="str">
            <v>726-55</v>
          </cell>
          <cell r="C4947" t="str">
            <v>ROD GUIDE ASS'Y</v>
          </cell>
          <cell r="D4947">
            <v>318</v>
          </cell>
          <cell r="N4947" t="str">
            <v>726-55</v>
          </cell>
          <cell r="O4947" t="str">
            <v>ROD GUIDE ASS'Y</v>
          </cell>
          <cell r="P4947">
            <v>636</v>
          </cell>
        </row>
        <row r="4948">
          <cell r="B4948" t="str">
            <v>669-05</v>
          </cell>
          <cell r="C4948" t="str">
            <v>ROD GUIDE ASS'Y</v>
          </cell>
          <cell r="D4948">
            <v>301.5</v>
          </cell>
          <cell r="N4948" t="str">
            <v>669-05</v>
          </cell>
          <cell r="O4948" t="str">
            <v>ROD GUIDE ASS'Y</v>
          </cell>
          <cell r="P4948">
            <v>603</v>
          </cell>
        </row>
        <row r="4949">
          <cell r="B4949" t="str">
            <v>1034-03</v>
          </cell>
          <cell r="C4949" t="str">
            <v>HUB</v>
          </cell>
          <cell r="D4949">
            <v>402</v>
          </cell>
          <cell r="N4949" t="str">
            <v>1034-03</v>
          </cell>
          <cell r="O4949" t="str">
            <v>HUB</v>
          </cell>
          <cell r="P4949">
            <v>670</v>
          </cell>
        </row>
        <row r="4950">
          <cell r="B4950" t="str">
            <v>1034-03</v>
          </cell>
          <cell r="C4950" t="str">
            <v>HUB</v>
          </cell>
          <cell r="D4950">
            <v>402</v>
          </cell>
          <cell r="N4950" t="str">
            <v>1034-03</v>
          </cell>
          <cell r="O4950" t="str">
            <v>HUB</v>
          </cell>
          <cell r="P4950">
            <v>670</v>
          </cell>
        </row>
        <row r="4951">
          <cell r="B4951" t="str">
            <v>1034-03</v>
          </cell>
          <cell r="C4951" t="str">
            <v>HUB</v>
          </cell>
          <cell r="D4951">
            <v>402</v>
          </cell>
          <cell r="N4951" t="str">
            <v>1034-03</v>
          </cell>
          <cell r="O4951" t="str">
            <v>HUB</v>
          </cell>
          <cell r="P4951">
            <v>670</v>
          </cell>
        </row>
        <row r="4952">
          <cell r="B4952" t="str">
            <v>1069-03</v>
          </cell>
          <cell r="C4952" t="str">
            <v>PISTON</v>
          </cell>
          <cell r="D4952">
            <v>93.5</v>
          </cell>
          <cell r="N4952" t="str">
            <v>1069-03</v>
          </cell>
          <cell r="O4952" t="str">
            <v>PISTON</v>
          </cell>
          <cell r="P4952">
            <v>187</v>
          </cell>
        </row>
        <row r="4953">
          <cell r="B4953" t="str">
            <v>1363-00</v>
          </cell>
          <cell r="C4953" t="str">
            <v>HUB</v>
          </cell>
          <cell r="D4953">
            <v>402</v>
          </cell>
          <cell r="N4953" t="str">
            <v>1363-00</v>
          </cell>
          <cell r="O4953" t="str">
            <v>HUB</v>
          </cell>
          <cell r="P4953">
            <v>670</v>
          </cell>
        </row>
        <row r="4954">
          <cell r="B4954" t="str">
            <v>1363-00</v>
          </cell>
          <cell r="C4954" t="str">
            <v>HUB</v>
          </cell>
          <cell r="D4954">
            <v>402</v>
          </cell>
          <cell r="N4954" t="str">
            <v>1363-00</v>
          </cell>
          <cell r="O4954" t="str">
            <v>HUB</v>
          </cell>
          <cell r="P4954">
            <v>670</v>
          </cell>
        </row>
        <row r="4955">
          <cell r="B4955" t="str">
            <v>1363-00</v>
          </cell>
          <cell r="C4955" t="str">
            <v>HUB</v>
          </cell>
          <cell r="D4955">
            <v>402</v>
          </cell>
          <cell r="N4955" t="str">
            <v>1363-00</v>
          </cell>
          <cell r="O4955" t="str">
            <v>HUB</v>
          </cell>
          <cell r="P4955">
            <v>670</v>
          </cell>
        </row>
        <row r="4956">
          <cell r="B4956" t="str">
            <v>1363-00</v>
          </cell>
          <cell r="C4956" t="str">
            <v>HUB</v>
          </cell>
          <cell r="D4956">
            <v>402</v>
          </cell>
          <cell r="N4956" t="str">
            <v>1363-00</v>
          </cell>
          <cell r="O4956" t="str">
            <v>HUB</v>
          </cell>
          <cell r="P4956">
            <v>670</v>
          </cell>
        </row>
        <row r="4957">
          <cell r="B4957" t="str">
            <v>1685-00</v>
          </cell>
          <cell r="C4957" t="str">
            <v>ROD GUIDE ASS'Y</v>
          </cell>
          <cell r="D4957">
            <v>313.5</v>
          </cell>
          <cell r="N4957" t="str">
            <v>1685-00</v>
          </cell>
          <cell r="O4957" t="str">
            <v>ROD GUIDE ASS'Y</v>
          </cell>
          <cell r="P4957">
            <v>627</v>
          </cell>
        </row>
        <row r="4958">
          <cell r="B4958" t="str">
            <v>1768-00</v>
          </cell>
          <cell r="C4958" t="str">
            <v>HUB</v>
          </cell>
          <cell r="D4958">
            <v>402</v>
          </cell>
          <cell r="N4958" t="str">
            <v>1768-00</v>
          </cell>
          <cell r="O4958" t="str">
            <v>HUB</v>
          </cell>
          <cell r="P4958">
            <v>670</v>
          </cell>
        </row>
        <row r="4959">
          <cell r="B4959" t="str">
            <v>464-33</v>
          </cell>
          <cell r="C4959" t="str">
            <v>PISTON</v>
          </cell>
          <cell r="D4959">
            <v>232</v>
          </cell>
          <cell r="N4959" t="str">
            <v>464-33</v>
          </cell>
          <cell r="O4959" t="str">
            <v>PISTON</v>
          </cell>
          <cell r="P4959">
            <v>464</v>
          </cell>
        </row>
        <row r="4960">
          <cell r="B4960" t="str">
            <v>464-33</v>
          </cell>
          <cell r="C4960" t="str">
            <v>PISTON</v>
          </cell>
          <cell r="D4960">
            <v>232</v>
          </cell>
          <cell r="N4960" t="str">
            <v>464-33</v>
          </cell>
          <cell r="O4960" t="str">
            <v>PISTON</v>
          </cell>
          <cell r="P4960">
            <v>464</v>
          </cell>
        </row>
        <row r="4961">
          <cell r="B4961" t="str">
            <v>859-02</v>
          </cell>
          <cell r="C4961" t="str">
            <v>HUB</v>
          </cell>
          <cell r="D4961">
            <v>402</v>
          </cell>
          <cell r="N4961" t="str">
            <v>859-02</v>
          </cell>
          <cell r="O4961" t="str">
            <v>HUB</v>
          </cell>
          <cell r="P4961">
            <v>670</v>
          </cell>
        </row>
        <row r="4962">
          <cell r="B4962" t="str">
            <v>1435-00</v>
          </cell>
          <cell r="C4962" t="str">
            <v>HUB</v>
          </cell>
          <cell r="D4962">
            <v>400.8</v>
          </cell>
          <cell r="N4962" t="str">
            <v>1435-00</v>
          </cell>
          <cell r="O4962" t="str">
            <v>HUB</v>
          </cell>
          <cell r="P4962">
            <v>668</v>
          </cell>
        </row>
        <row r="4963">
          <cell r="B4963" t="str">
            <v>1768-00</v>
          </cell>
          <cell r="C4963" t="str">
            <v>HUB</v>
          </cell>
          <cell r="D4963">
            <v>402</v>
          </cell>
          <cell r="N4963" t="str">
            <v>1768-00</v>
          </cell>
          <cell r="O4963" t="str">
            <v>HUB</v>
          </cell>
          <cell r="P4963">
            <v>670</v>
          </cell>
        </row>
        <row r="4964">
          <cell r="B4964" t="str">
            <v>1768-00</v>
          </cell>
          <cell r="C4964" t="str">
            <v>HUB</v>
          </cell>
          <cell r="D4964">
            <v>402</v>
          </cell>
          <cell r="N4964" t="str">
            <v>1768-00</v>
          </cell>
          <cell r="O4964" t="str">
            <v>HUB</v>
          </cell>
          <cell r="P4964">
            <v>670</v>
          </cell>
        </row>
        <row r="4965">
          <cell r="B4965" t="str">
            <v>1768-00</v>
          </cell>
          <cell r="C4965" t="str">
            <v>HUB</v>
          </cell>
          <cell r="D4965">
            <v>402</v>
          </cell>
          <cell r="N4965" t="str">
            <v>1768-00</v>
          </cell>
          <cell r="O4965" t="str">
            <v>HUB</v>
          </cell>
          <cell r="P4965">
            <v>670</v>
          </cell>
        </row>
        <row r="4966">
          <cell r="B4966" t="str">
            <v>588-39</v>
          </cell>
          <cell r="C4966" t="str">
            <v>PISTON</v>
          </cell>
          <cell r="D4966">
            <v>159</v>
          </cell>
          <cell r="N4966" t="str">
            <v>588-39</v>
          </cell>
          <cell r="O4966" t="str">
            <v>PISTON</v>
          </cell>
          <cell r="P4966">
            <v>318</v>
          </cell>
        </row>
        <row r="4967">
          <cell r="B4967" t="str">
            <v>1768-00</v>
          </cell>
          <cell r="C4967" t="str">
            <v>HUB</v>
          </cell>
          <cell r="D4967">
            <v>402</v>
          </cell>
          <cell r="N4967" t="str">
            <v>1768-00</v>
          </cell>
          <cell r="O4967" t="str">
            <v>HUB</v>
          </cell>
          <cell r="P4967">
            <v>670</v>
          </cell>
        </row>
        <row r="4968">
          <cell r="B4968" t="str">
            <v>1768-00</v>
          </cell>
          <cell r="C4968" t="str">
            <v>HUB</v>
          </cell>
          <cell r="D4968">
            <v>402</v>
          </cell>
          <cell r="N4968" t="str">
            <v>1768-00</v>
          </cell>
          <cell r="O4968" t="str">
            <v>HUB</v>
          </cell>
          <cell r="P4968">
            <v>670</v>
          </cell>
        </row>
        <row r="4969">
          <cell r="B4969" t="str">
            <v>1834-01</v>
          </cell>
          <cell r="C4969" t="str">
            <v>PISTON</v>
          </cell>
          <cell r="D4969">
            <v>317.5</v>
          </cell>
          <cell r="N4969" t="str">
            <v>1834-01</v>
          </cell>
          <cell r="O4969" t="str">
            <v>PISTON</v>
          </cell>
          <cell r="P4969">
            <v>635</v>
          </cell>
        </row>
        <row r="4970">
          <cell r="B4970" t="str">
            <v>726-55</v>
          </cell>
          <cell r="C4970" t="str">
            <v>ROD GUIDE ASS'Y</v>
          </cell>
          <cell r="D4970">
            <v>318</v>
          </cell>
          <cell r="N4970" t="str">
            <v>726-55</v>
          </cell>
          <cell r="O4970" t="str">
            <v>ROD GUIDE ASS'Y</v>
          </cell>
          <cell r="P4970">
            <v>636</v>
          </cell>
        </row>
        <row r="4971">
          <cell r="B4971" t="str">
            <v>531-00</v>
          </cell>
          <cell r="C4971" t="str">
            <v>ROD GUIDE ASS'Y</v>
          </cell>
          <cell r="D4971">
            <v>337</v>
          </cell>
          <cell r="N4971" t="str">
            <v>531-00</v>
          </cell>
          <cell r="O4971" t="str">
            <v>ROD GUIDE ASS'Y</v>
          </cell>
          <cell r="P4971">
            <v>674</v>
          </cell>
        </row>
        <row r="4972">
          <cell r="B4972" t="str">
            <v>673-08</v>
          </cell>
          <cell r="C4972" t="str">
            <v>PISTON</v>
          </cell>
          <cell r="D4972">
            <v>118</v>
          </cell>
          <cell r="N4972" t="str">
            <v>673-08</v>
          </cell>
          <cell r="O4972" t="str">
            <v>PISTON</v>
          </cell>
          <cell r="P4972">
            <v>236</v>
          </cell>
        </row>
        <row r="4973">
          <cell r="B4973" t="str">
            <v>1386-03</v>
          </cell>
          <cell r="C4973" t="str">
            <v>PISTON</v>
          </cell>
          <cell r="D4973">
            <v>337.5</v>
          </cell>
          <cell r="N4973" t="str">
            <v>1386-03</v>
          </cell>
          <cell r="O4973" t="str">
            <v>PISTON</v>
          </cell>
          <cell r="P4973">
            <v>675</v>
          </cell>
        </row>
        <row r="4974">
          <cell r="B4974" t="str">
            <v>1521-01</v>
          </cell>
          <cell r="C4974" t="str">
            <v>SUPPORT YOKE ASS'Y</v>
          </cell>
          <cell r="D4974">
            <v>337.5</v>
          </cell>
          <cell r="N4974" t="str">
            <v>1521-01</v>
          </cell>
          <cell r="O4974" t="str">
            <v>SUPPORT YOKE ASS'Y</v>
          </cell>
          <cell r="P4974">
            <v>675</v>
          </cell>
        </row>
        <row r="4975">
          <cell r="B4975" t="str">
            <v>1654-00</v>
          </cell>
          <cell r="C4975" t="str">
            <v>PISTON</v>
          </cell>
          <cell r="D4975">
            <v>337.5</v>
          </cell>
          <cell r="N4975" t="str">
            <v>1654-00</v>
          </cell>
          <cell r="O4975" t="str">
            <v>PISTON</v>
          </cell>
          <cell r="P4975">
            <v>675</v>
          </cell>
        </row>
        <row r="4976">
          <cell r="B4976" t="str">
            <v>1654-00</v>
          </cell>
          <cell r="C4976" t="str">
            <v>PISTON</v>
          </cell>
          <cell r="D4976">
            <v>337.5</v>
          </cell>
          <cell r="N4976" t="str">
            <v>1654-00</v>
          </cell>
          <cell r="O4976" t="str">
            <v>PISTON</v>
          </cell>
          <cell r="P4976">
            <v>675</v>
          </cell>
        </row>
        <row r="4977">
          <cell r="B4977" t="str">
            <v>1654-00</v>
          </cell>
          <cell r="C4977" t="str">
            <v>PISTON</v>
          </cell>
          <cell r="D4977">
            <v>337.5</v>
          </cell>
          <cell r="N4977" t="str">
            <v>1654-00</v>
          </cell>
          <cell r="O4977" t="str">
            <v>PISTON</v>
          </cell>
          <cell r="P4977">
            <v>675</v>
          </cell>
        </row>
        <row r="4978">
          <cell r="B4978" t="str">
            <v>1654-00</v>
          </cell>
          <cell r="C4978" t="str">
            <v>PISTON</v>
          </cell>
          <cell r="D4978">
            <v>337.5</v>
          </cell>
          <cell r="N4978" t="str">
            <v>1654-00</v>
          </cell>
          <cell r="O4978" t="str">
            <v>PISTON</v>
          </cell>
          <cell r="P4978">
            <v>675</v>
          </cell>
        </row>
        <row r="4979">
          <cell r="B4979" t="str">
            <v>2111-00</v>
          </cell>
          <cell r="C4979" t="str">
            <v>PISTON</v>
          </cell>
          <cell r="D4979">
            <v>337.5</v>
          </cell>
          <cell r="N4979" t="str">
            <v>2111-00</v>
          </cell>
          <cell r="O4979" t="str">
            <v>PISTON</v>
          </cell>
          <cell r="P4979">
            <v>675</v>
          </cell>
        </row>
        <row r="4980">
          <cell r="B4980" t="str">
            <v>592-05</v>
          </cell>
          <cell r="C4980" t="str">
            <v>PISTON</v>
          </cell>
          <cell r="D4980">
            <v>119</v>
          </cell>
          <cell r="N4980" t="str">
            <v>592-05</v>
          </cell>
          <cell r="O4980" t="str">
            <v>PISTON</v>
          </cell>
          <cell r="P4980">
            <v>238</v>
          </cell>
        </row>
        <row r="4981">
          <cell r="B4981" t="str">
            <v>989-02</v>
          </cell>
          <cell r="C4981" t="str">
            <v>HUB(JM)</v>
          </cell>
          <cell r="D4981">
            <v>385.8</v>
          </cell>
          <cell r="N4981" t="str">
            <v>989-02</v>
          </cell>
          <cell r="O4981" t="str">
            <v>HUB(JM)</v>
          </cell>
          <cell r="P4981">
            <v>643</v>
          </cell>
        </row>
        <row r="4982">
          <cell r="B4982" t="str">
            <v>1165-00</v>
          </cell>
          <cell r="C4982" t="str">
            <v>HUB</v>
          </cell>
          <cell r="D4982">
            <v>391.2</v>
          </cell>
          <cell r="N4982" t="str">
            <v>1165-00</v>
          </cell>
          <cell r="O4982" t="str">
            <v>HUB</v>
          </cell>
          <cell r="P4982">
            <v>652</v>
          </cell>
        </row>
        <row r="4983">
          <cell r="B4983" t="str">
            <v>1352-20</v>
          </cell>
          <cell r="C4983" t="str">
            <v>PISTON</v>
          </cell>
          <cell r="D4983">
            <v>338</v>
          </cell>
          <cell r="N4983" t="str">
            <v>1352-20</v>
          </cell>
          <cell r="O4983" t="str">
            <v>PISTON</v>
          </cell>
          <cell r="P4983">
            <v>676</v>
          </cell>
        </row>
        <row r="4984">
          <cell r="B4984" t="str">
            <v>588-22</v>
          </cell>
          <cell r="C4984" t="str">
            <v>PISTON</v>
          </cell>
          <cell r="D4984">
            <v>117.5</v>
          </cell>
          <cell r="N4984" t="str">
            <v>588-22</v>
          </cell>
          <cell r="O4984" t="str">
            <v>PISTON</v>
          </cell>
          <cell r="P4984">
            <v>235</v>
          </cell>
        </row>
        <row r="4985">
          <cell r="B4985" t="str">
            <v>989-02</v>
          </cell>
          <cell r="C4985" t="str">
            <v>HUB(JM)</v>
          </cell>
          <cell r="D4985">
            <v>385.8</v>
          </cell>
          <cell r="N4985" t="str">
            <v>989-02</v>
          </cell>
          <cell r="O4985" t="str">
            <v>HUB(JM)</v>
          </cell>
          <cell r="P4985">
            <v>643</v>
          </cell>
        </row>
        <row r="4986">
          <cell r="B4986" t="str">
            <v>989-02</v>
          </cell>
          <cell r="C4986" t="str">
            <v>HUB(JM)</v>
          </cell>
          <cell r="D4986">
            <v>385.8</v>
          </cell>
          <cell r="N4986" t="str">
            <v>989-02</v>
          </cell>
          <cell r="O4986" t="str">
            <v>HUB(JM)</v>
          </cell>
          <cell r="P4986">
            <v>643</v>
          </cell>
        </row>
        <row r="4987">
          <cell r="B4987" t="str">
            <v>1289-06</v>
          </cell>
          <cell r="C4987" t="str">
            <v>PISTON</v>
          </cell>
          <cell r="D4987">
            <v>338.5</v>
          </cell>
          <cell r="N4987" t="str">
            <v>1289-06</v>
          </cell>
          <cell r="O4987" t="str">
            <v>PISTON</v>
          </cell>
          <cell r="P4987">
            <v>677</v>
          </cell>
        </row>
        <row r="4988">
          <cell r="B4988" t="str">
            <v>1289-06</v>
          </cell>
          <cell r="C4988" t="str">
            <v>PISTON</v>
          </cell>
          <cell r="D4988">
            <v>338.5</v>
          </cell>
          <cell r="N4988" t="str">
            <v>1289-06</v>
          </cell>
          <cell r="O4988" t="str">
            <v>PISTON</v>
          </cell>
          <cell r="P4988">
            <v>677</v>
          </cell>
        </row>
        <row r="4989">
          <cell r="B4989" t="str">
            <v>1587-03</v>
          </cell>
          <cell r="C4989" t="str">
            <v>PISTON</v>
          </cell>
          <cell r="D4989">
            <v>326</v>
          </cell>
          <cell r="N4989" t="str">
            <v>1587-03</v>
          </cell>
          <cell r="O4989" t="str">
            <v>PISTON</v>
          </cell>
          <cell r="P4989">
            <v>652</v>
          </cell>
        </row>
        <row r="4990">
          <cell r="B4990" t="str">
            <v>714-03</v>
          </cell>
          <cell r="C4990" t="str">
            <v>PISTON</v>
          </cell>
          <cell r="D4990">
            <v>338.5</v>
          </cell>
          <cell r="N4990" t="str">
            <v>714-03</v>
          </cell>
          <cell r="O4990" t="str">
            <v>PISTON</v>
          </cell>
          <cell r="P4990">
            <v>677</v>
          </cell>
        </row>
        <row r="4991">
          <cell r="B4991" t="str">
            <v>714-03</v>
          </cell>
          <cell r="C4991" t="str">
            <v>PISTON</v>
          </cell>
          <cell r="D4991">
            <v>338.5</v>
          </cell>
          <cell r="N4991" t="str">
            <v>714-03</v>
          </cell>
          <cell r="O4991" t="str">
            <v>PISTON</v>
          </cell>
          <cell r="P4991">
            <v>677</v>
          </cell>
        </row>
        <row r="4992">
          <cell r="B4992" t="str">
            <v>1030-02</v>
          </cell>
          <cell r="C4992" t="str">
            <v>ROD GUIDE ASS'Y</v>
          </cell>
          <cell r="D4992">
            <v>196</v>
          </cell>
          <cell r="N4992" t="str">
            <v>1030-02</v>
          </cell>
          <cell r="O4992" t="str">
            <v>ROD GUIDE ASS'Y</v>
          </cell>
          <cell r="P4992">
            <v>392</v>
          </cell>
        </row>
        <row r="4993">
          <cell r="B4993" t="str">
            <v>1069-02</v>
          </cell>
          <cell r="C4993" t="str">
            <v>PISTON</v>
          </cell>
          <cell r="D4993">
            <v>126</v>
          </cell>
          <cell r="N4993" t="str">
            <v>1069-02</v>
          </cell>
          <cell r="O4993" t="str">
            <v>PISTON</v>
          </cell>
          <cell r="P4993">
            <v>252</v>
          </cell>
        </row>
        <row r="4994">
          <cell r="B4994" t="str">
            <v>1352-02</v>
          </cell>
          <cell r="C4994" t="str">
            <v>PISTON</v>
          </cell>
          <cell r="D4994">
            <v>328.5</v>
          </cell>
          <cell r="N4994" t="str">
            <v>1352-02</v>
          </cell>
          <cell r="O4994" t="str">
            <v>PISTON</v>
          </cell>
          <cell r="P4994">
            <v>657</v>
          </cell>
        </row>
        <row r="4995">
          <cell r="B4995" t="str">
            <v>1352-06</v>
          </cell>
          <cell r="C4995" t="str">
            <v>PISTON</v>
          </cell>
          <cell r="D4995">
            <v>326.5</v>
          </cell>
          <cell r="N4995" t="str">
            <v>1352-06</v>
          </cell>
          <cell r="O4995" t="str">
            <v>PISTON</v>
          </cell>
          <cell r="P4995">
            <v>653</v>
          </cell>
        </row>
        <row r="4996">
          <cell r="B4996" t="str">
            <v>1352-30</v>
          </cell>
          <cell r="C4996" t="str">
            <v>PISTON</v>
          </cell>
          <cell r="D4996">
            <v>339</v>
          </cell>
          <cell r="N4996" t="str">
            <v>1352-30</v>
          </cell>
          <cell r="O4996" t="str">
            <v>PISTON</v>
          </cell>
          <cell r="P4996">
            <v>678</v>
          </cell>
        </row>
        <row r="4997">
          <cell r="B4997" t="str">
            <v>1788-00</v>
          </cell>
          <cell r="C4997" t="str">
            <v>HUB</v>
          </cell>
          <cell r="D4997">
            <v>406.8</v>
          </cell>
          <cell r="N4997" t="str">
            <v>1788-00</v>
          </cell>
          <cell r="O4997" t="str">
            <v>HUB</v>
          </cell>
          <cell r="P4997">
            <v>678</v>
          </cell>
        </row>
        <row r="4998">
          <cell r="B4998" t="str">
            <v>588-05</v>
          </cell>
          <cell r="C4998" t="str">
            <v>PISTON</v>
          </cell>
          <cell r="D4998">
            <v>110.5</v>
          </cell>
          <cell r="N4998" t="str">
            <v>588-05</v>
          </cell>
          <cell r="O4998" t="str">
            <v>PISTON</v>
          </cell>
          <cell r="P4998">
            <v>221</v>
          </cell>
        </row>
        <row r="4999">
          <cell r="B4999" t="str">
            <v>588-57</v>
          </cell>
          <cell r="C4999" t="str">
            <v>PISTON</v>
          </cell>
          <cell r="D4999">
            <v>156</v>
          </cell>
          <cell r="N4999" t="str">
            <v>588-57</v>
          </cell>
          <cell r="O4999" t="str">
            <v>PISTON</v>
          </cell>
          <cell r="P4999">
            <v>312</v>
          </cell>
        </row>
        <row r="5000">
          <cell r="B5000" t="str">
            <v>1730-04</v>
          </cell>
          <cell r="C5000" t="str">
            <v>PISTON</v>
          </cell>
          <cell r="D5000">
            <v>339.5</v>
          </cell>
          <cell r="N5000" t="str">
            <v>1730-04</v>
          </cell>
          <cell r="O5000" t="str">
            <v>PISTON</v>
          </cell>
          <cell r="P5000">
            <v>679</v>
          </cell>
        </row>
        <row r="5001">
          <cell r="B5001" t="str">
            <v>726-55</v>
          </cell>
          <cell r="C5001" t="str">
            <v>ROD GUIDE ASS'Y</v>
          </cell>
          <cell r="D5001">
            <v>318</v>
          </cell>
          <cell r="N5001" t="str">
            <v>726-55</v>
          </cell>
          <cell r="O5001" t="str">
            <v>ROD GUIDE ASS'Y</v>
          </cell>
          <cell r="P5001">
            <v>636</v>
          </cell>
        </row>
        <row r="5002">
          <cell r="B5002" t="str">
            <v>1682-00</v>
          </cell>
          <cell r="C5002" t="str">
            <v>HUB(BMW)</v>
          </cell>
          <cell r="D5002">
            <v>408</v>
          </cell>
          <cell r="N5002" t="str">
            <v>1682-00</v>
          </cell>
          <cell r="O5002" t="str">
            <v>HUB(BMW)</v>
          </cell>
          <cell r="P5002">
            <v>680</v>
          </cell>
        </row>
        <row r="5003">
          <cell r="B5003" t="str">
            <v>1722-00</v>
          </cell>
          <cell r="C5003" t="str">
            <v>HUB</v>
          </cell>
          <cell r="D5003">
            <v>408</v>
          </cell>
          <cell r="N5003" t="str">
            <v>1722-00</v>
          </cell>
          <cell r="O5003" t="str">
            <v>HUB</v>
          </cell>
          <cell r="P5003">
            <v>680</v>
          </cell>
        </row>
        <row r="5004">
          <cell r="B5004" t="str">
            <v>1722-00</v>
          </cell>
          <cell r="C5004" t="str">
            <v>HUB</v>
          </cell>
          <cell r="D5004">
            <v>408</v>
          </cell>
          <cell r="N5004" t="str">
            <v>1722-00</v>
          </cell>
          <cell r="O5004" t="str">
            <v>HUB</v>
          </cell>
          <cell r="P5004">
            <v>680</v>
          </cell>
        </row>
        <row r="5005">
          <cell r="B5005" t="str">
            <v>1722-00</v>
          </cell>
          <cell r="C5005" t="str">
            <v>HUB</v>
          </cell>
          <cell r="D5005">
            <v>408</v>
          </cell>
          <cell r="N5005" t="str">
            <v>1722-00</v>
          </cell>
          <cell r="O5005" t="str">
            <v>HUB</v>
          </cell>
          <cell r="P5005">
            <v>680</v>
          </cell>
        </row>
        <row r="5006">
          <cell r="B5006" t="str">
            <v>1837-00</v>
          </cell>
          <cell r="C5006" t="str">
            <v>HUB</v>
          </cell>
          <cell r="D5006">
            <v>408</v>
          </cell>
          <cell r="N5006" t="str">
            <v>1837-00</v>
          </cell>
          <cell r="O5006" t="str">
            <v>HUB</v>
          </cell>
          <cell r="P5006">
            <v>680</v>
          </cell>
        </row>
        <row r="5007">
          <cell r="B5007" t="str">
            <v>1889-00</v>
          </cell>
          <cell r="C5007" t="str">
            <v>HUB</v>
          </cell>
          <cell r="D5007">
            <v>408</v>
          </cell>
          <cell r="N5007" t="str">
            <v>1889-00</v>
          </cell>
          <cell r="O5007" t="str">
            <v>HUB</v>
          </cell>
          <cell r="P5007">
            <v>680</v>
          </cell>
        </row>
        <row r="5008">
          <cell r="B5008" t="str">
            <v>2039-00</v>
          </cell>
          <cell r="C5008" t="str">
            <v>HUB</v>
          </cell>
          <cell r="D5008">
            <v>382.2</v>
          </cell>
          <cell r="N5008" t="str">
            <v>2039-00</v>
          </cell>
          <cell r="O5008" t="str">
            <v>HUB</v>
          </cell>
          <cell r="P5008">
            <v>637</v>
          </cell>
        </row>
        <row r="5009">
          <cell r="B5009" t="str">
            <v>800-55</v>
          </cell>
          <cell r="C5009" t="str">
            <v>PISTON</v>
          </cell>
          <cell r="D5009">
            <v>340</v>
          </cell>
          <cell r="N5009" t="str">
            <v>800-55</v>
          </cell>
          <cell r="O5009" t="str">
            <v>PISTON</v>
          </cell>
          <cell r="P5009">
            <v>680</v>
          </cell>
        </row>
        <row r="5010">
          <cell r="B5010" t="str">
            <v>893-05</v>
          </cell>
          <cell r="C5010" t="str">
            <v>PISTON</v>
          </cell>
          <cell r="D5010">
            <v>340.5</v>
          </cell>
          <cell r="N5010" t="str">
            <v>893-05</v>
          </cell>
          <cell r="O5010" t="str">
            <v>PISTON</v>
          </cell>
          <cell r="P5010">
            <v>681</v>
          </cell>
        </row>
        <row r="5011">
          <cell r="B5011" t="str">
            <v>1069-01</v>
          </cell>
          <cell r="C5011" t="str">
            <v>PISTON</v>
          </cell>
          <cell r="D5011">
            <v>99</v>
          </cell>
          <cell r="N5011" t="str">
            <v>1069-01</v>
          </cell>
          <cell r="O5011" t="str">
            <v>PISTON</v>
          </cell>
          <cell r="P5011">
            <v>198</v>
          </cell>
        </row>
        <row r="5012">
          <cell r="B5012" t="str">
            <v>1768-00</v>
          </cell>
          <cell r="C5012" t="str">
            <v>HUB</v>
          </cell>
          <cell r="D5012">
            <v>402</v>
          </cell>
          <cell r="N5012" t="str">
            <v>1768-00</v>
          </cell>
          <cell r="O5012" t="str">
            <v>HUB</v>
          </cell>
          <cell r="P5012">
            <v>670</v>
          </cell>
        </row>
        <row r="5013">
          <cell r="B5013" t="str">
            <v>1768-00</v>
          </cell>
          <cell r="C5013" t="str">
            <v>HUB</v>
          </cell>
          <cell r="D5013">
            <v>402</v>
          </cell>
          <cell r="N5013" t="str">
            <v>1768-00</v>
          </cell>
          <cell r="O5013" t="str">
            <v>HUB</v>
          </cell>
          <cell r="P5013">
            <v>670</v>
          </cell>
        </row>
        <row r="5014">
          <cell r="B5014" t="str">
            <v>726-55</v>
          </cell>
          <cell r="C5014" t="str">
            <v>ROD GUIDE ASS'Y</v>
          </cell>
          <cell r="D5014">
            <v>318</v>
          </cell>
          <cell r="N5014" t="str">
            <v>726-55</v>
          </cell>
          <cell r="O5014" t="str">
            <v>ROD GUIDE ASS'Y</v>
          </cell>
          <cell r="P5014">
            <v>636</v>
          </cell>
        </row>
        <row r="5015">
          <cell r="B5015" t="str">
            <v>829-02</v>
          </cell>
          <cell r="C5015" t="str">
            <v>HUB</v>
          </cell>
          <cell r="D5015">
            <v>409.2</v>
          </cell>
          <cell r="N5015" t="str">
            <v>829-02</v>
          </cell>
          <cell r="O5015" t="str">
            <v>HUB</v>
          </cell>
          <cell r="P5015">
            <v>682</v>
          </cell>
        </row>
        <row r="5016">
          <cell r="B5016" t="str">
            <v>829-02</v>
          </cell>
          <cell r="C5016" t="str">
            <v>HUB</v>
          </cell>
          <cell r="D5016">
            <v>409.2</v>
          </cell>
          <cell r="N5016" t="str">
            <v>829-02</v>
          </cell>
          <cell r="O5016" t="str">
            <v>HUB</v>
          </cell>
          <cell r="P5016">
            <v>682</v>
          </cell>
        </row>
        <row r="5017">
          <cell r="B5017" t="str">
            <v>1909-00</v>
          </cell>
          <cell r="C5017" t="str">
            <v>MOVABLE GEAR</v>
          </cell>
          <cell r="D5017">
            <v>397.8</v>
          </cell>
          <cell r="N5017" t="str">
            <v>1909-00</v>
          </cell>
          <cell r="O5017" t="str">
            <v>MOVABLE GEAR</v>
          </cell>
          <cell r="P5017">
            <v>663</v>
          </cell>
        </row>
        <row r="5018">
          <cell r="B5018" t="str">
            <v>1909-01</v>
          </cell>
          <cell r="C5018" t="str">
            <v>MOVABLE GEAR</v>
          </cell>
          <cell r="D5018">
            <v>409.8</v>
          </cell>
          <cell r="N5018" t="str">
            <v>1909-01</v>
          </cell>
          <cell r="O5018" t="str">
            <v>MOVABLE GEAR</v>
          </cell>
          <cell r="P5018">
            <v>683</v>
          </cell>
        </row>
        <row r="5019">
          <cell r="B5019" t="str">
            <v>714-03</v>
          </cell>
          <cell r="C5019" t="str">
            <v>PISTON</v>
          </cell>
          <cell r="D5019">
            <v>338.5</v>
          </cell>
          <cell r="N5019" t="str">
            <v>714-03</v>
          </cell>
          <cell r="O5019" t="str">
            <v>PISTON</v>
          </cell>
          <cell r="P5019">
            <v>677</v>
          </cell>
        </row>
        <row r="5020">
          <cell r="B5020" t="str">
            <v>908-00</v>
          </cell>
          <cell r="C5020" t="str">
            <v>ROD GUIDE</v>
          </cell>
          <cell r="D5020">
            <v>341.5</v>
          </cell>
          <cell r="N5020" t="str">
            <v>908-00</v>
          </cell>
          <cell r="O5020" t="str">
            <v>ROD GUIDE</v>
          </cell>
          <cell r="P5020">
            <v>683</v>
          </cell>
        </row>
        <row r="5021">
          <cell r="B5021" t="str">
            <v>1352-23</v>
          </cell>
          <cell r="C5021" t="str">
            <v>PISTON</v>
          </cell>
          <cell r="D5021">
            <v>342</v>
          </cell>
          <cell r="N5021" t="str">
            <v>1352-23</v>
          </cell>
          <cell r="O5021" t="str">
            <v>PISTON</v>
          </cell>
          <cell r="P5021">
            <v>684</v>
          </cell>
        </row>
        <row r="5022">
          <cell r="B5022" t="str">
            <v>1837-00</v>
          </cell>
          <cell r="C5022" t="str">
            <v>HUB</v>
          </cell>
          <cell r="D5022">
            <v>408</v>
          </cell>
          <cell r="N5022" t="str">
            <v>1837-00</v>
          </cell>
          <cell r="O5022" t="str">
            <v>HUB</v>
          </cell>
          <cell r="P5022">
            <v>680</v>
          </cell>
        </row>
        <row r="5023">
          <cell r="B5023" t="str">
            <v>1837-00</v>
          </cell>
          <cell r="C5023" t="str">
            <v>HUB</v>
          </cell>
          <cell r="D5023">
            <v>408</v>
          </cell>
          <cell r="N5023" t="str">
            <v>1837-00</v>
          </cell>
          <cell r="O5023" t="str">
            <v>HUB</v>
          </cell>
          <cell r="P5023">
            <v>680</v>
          </cell>
        </row>
        <row r="5024">
          <cell r="B5024" t="str">
            <v>464-25</v>
          </cell>
          <cell r="C5024" t="str">
            <v>PISTON</v>
          </cell>
          <cell r="D5024">
            <v>214.5</v>
          </cell>
          <cell r="N5024" t="str">
            <v>464-25</v>
          </cell>
          <cell r="O5024" t="str">
            <v>PISTON</v>
          </cell>
          <cell r="P5024">
            <v>429</v>
          </cell>
        </row>
        <row r="5025">
          <cell r="B5025" t="str">
            <v>1351-07</v>
          </cell>
          <cell r="C5025" t="str">
            <v>PISTON</v>
          </cell>
          <cell r="D5025">
            <v>322</v>
          </cell>
          <cell r="N5025" t="str">
            <v>1351-07</v>
          </cell>
          <cell r="O5025" t="str">
            <v>PISTON</v>
          </cell>
          <cell r="P5025">
            <v>644</v>
          </cell>
        </row>
        <row r="5026">
          <cell r="B5026" t="str">
            <v>726-06</v>
          </cell>
          <cell r="C5026" t="str">
            <v>ROD GUIDE ASS'Y</v>
          </cell>
          <cell r="D5026">
            <v>320</v>
          </cell>
          <cell r="N5026" t="str">
            <v>726-06</v>
          </cell>
          <cell r="O5026" t="str">
            <v>ROD GUIDE ASS'Y</v>
          </cell>
          <cell r="P5026">
            <v>640</v>
          </cell>
        </row>
        <row r="5027">
          <cell r="B5027" t="str">
            <v>086-08</v>
          </cell>
          <cell r="C5027" t="str">
            <v>ROD GUIDE ASS'Y</v>
          </cell>
          <cell r="D5027">
            <v>226.5</v>
          </cell>
          <cell r="N5027" t="str">
            <v>086-08</v>
          </cell>
          <cell r="O5027" t="str">
            <v>ROD GUIDE ASS'Y</v>
          </cell>
          <cell r="P5027">
            <v>453</v>
          </cell>
        </row>
        <row r="5028">
          <cell r="B5028" t="str">
            <v>1722-00</v>
          </cell>
          <cell r="C5028" t="str">
            <v>HUB</v>
          </cell>
          <cell r="D5028">
            <v>408</v>
          </cell>
          <cell r="N5028" t="str">
            <v>1722-00</v>
          </cell>
          <cell r="O5028" t="str">
            <v>HUB</v>
          </cell>
          <cell r="P5028">
            <v>680</v>
          </cell>
        </row>
        <row r="5029">
          <cell r="B5029" t="str">
            <v>1808-00</v>
          </cell>
          <cell r="C5029" t="str">
            <v>PISTON</v>
          </cell>
          <cell r="D5029">
            <v>343</v>
          </cell>
          <cell r="N5029" t="str">
            <v>1808-00</v>
          </cell>
          <cell r="O5029" t="str">
            <v>PISTON</v>
          </cell>
          <cell r="P5029">
            <v>686</v>
          </cell>
        </row>
        <row r="5030">
          <cell r="B5030" t="str">
            <v>592-02</v>
          </cell>
          <cell r="C5030" t="str">
            <v>PISTON</v>
          </cell>
          <cell r="D5030">
            <v>139.5</v>
          </cell>
          <cell r="N5030" t="str">
            <v>592-02</v>
          </cell>
          <cell r="O5030" t="str">
            <v>PISTON</v>
          </cell>
          <cell r="P5030">
            <v>279</v>
          </cell>
        </row>
        <row r="5031">
          <cell r="B5031" t="str">
            <v>714-03</v>
          </cell>
          <cell r="C5031" t="str">
            <v>PISTON</v>
          </cell>
          <cell r="D5031">
            <v>338.5</v>
          </cell>
          <cell r="N5031" t="str">
            <v>714-03</v>
          </cell>
          <cell r="O5031" t="str">
            <v>PISTON</v>
          </cell>
          <cell r="P5031">
            <v>677</v>
          </cell>
        </row>
        <row r="5032">
          <cell r="B5032" t="str">
            <v>1352-24</v>
          </cell>
          <cell r="C5032" t="str">
            <v>PISTON</v>
          </cell>
          <cell r="D5032">
            <v>343.5</v>
          </cell>
          <cell r="N5032" t="str">
            <v>1352-24</v>
          </cell>
          <cell r="O5032" t="str">
            <v>PISTON</v>
          </cell>
          <cell r="P5032">
            <v>687</v>
          </cell>
        </row>
        <row r="5033">
          <cell r="B5033" t="str">
            <v>1352-31</v>
          </cell>
          <cell r="C5033" t="str">
            <v>PISTON</v>
          </cell>
          <cell r="D5033">
            <v>343.5</v>
          </cell>
          <cell r="N5033" t="str">
            <v>1352-31</v>
          </cell>
          <cell r="O5033" t="str">
            <v>PISTON</v>
          </cell>
          <cell r="P5033">
            <v>687</v>
          </cell>
        </row>
        <row r="5034">
          <cell r="B5034" t="str">
            <v>1352-32</v>
          </cell>
          <cell r="C5034" t="str">
            <v>PISTON</v>
          </cell>
          <cell r="D5034">
            <v>343.5</v>
          </cell>
          <cell r="N5034" t="str">
            <v>1352-32</v>
          </cell>
          <cell r="O5034" t="str">
            <v>PISTON</v>
          </cell>
          <cell r="P5034">
            <v>687</v>
          </cell>
        </row>
        <row r="5035">
          <cell r="B5035" t="str">
            <v>1352-33</v>
          </cell>
          <cell r="C5035" t="str">
            <v>PISTON</v>
          </cell>
          <cell r="D5035">
            <v>343.5</v>
          </cell>
          <cell r="N5035" t="str">
            <v>1352-33</v>
          </cell>
          <cell r="O5035" t="str">
            <v>PISTON</v>
          </cell>
          <cell r="P5035">
            <v>687</v>
          </cell>
        </row>
        <row r="5036">
          <cell r="B5036" t="str">
            <v>1352-34</v>
          </cell>
          <cell r="C5036" t="str">
            <v>PISTON</v>
          </cell>
          <cell r="D5036">
            <v>343.5</v>
          </cell>
          <cell r="N5036" t="str">
            <v>1352-34</v>
          </cell>
          <cell r="O5036" t="str">
            <v>PISTON</v>
          </cell>
          <cell r="P5036">
            <v>687</v>
          </cell>
        </row>
        <row r="5037">
          <cell r="B5037" t="str">
            <v>726-07</v>
          </cell>
          <cell r="C5037" t="str">
            <v>ROD GUIDE ASS'Y</v>
          </cell>
          <cell r="D5037">
            <v>291.5</v>
          </cell>
          <cell r="N5037" t="str">
            <v>726-07</v>
          </cell>
          <cell r="O5037" t="str">
            <v>ROD GUIDE ASS'Y</v>
          </cell>
          <cell r="P5037">
            <v>583</v>
          </cell>
        </row>
        <row r="5038">
          <cell r="B5038" t="str">
            <v>947-05</v>
          </cell>
          <cell r="C5038" t="str">
            <v>VALVE RETAINER</v>
          </cell>
          <cell r="D5038">
            <v>343.5</v>
          </cell>
          <cell r="N5038" t="str">
            <v>947-05</v>
          </cell>
          <cell r="O5038" t="str">
            <v>VALVE RETAINER</v>
          </cell>
          <cell r="P5038">
            <v>687</v>
          </cell>
        </row>
        <row r="5039">
          <cell r="B5039" t="str">
            <v>017-02</v>
          </cell>
          <cell r="C5039" t="str">
            <v>PISTON</v>
          </cell>
          <cell r="D5039">
            <v>190</v>
          </cell>
          <cell r="N5039" t="str">
            <v>017-02</v>
          </cell>
          <cell r="O5039" t="str">
            <v>PISTON</v>
          </cell>
          <cell r="P5039">
            <v>380</v>
          </cell>
        </row>
        <row r="5040">
          <cell r="B5040" t="str">
            <v>2046-02</v>
          </cell>
          <cell r="C5040" t="str">
            <v>PILOT CASE</v>
          </cell>
          <cell r="D5040">
            <v>344</v>
          </cell>
          <cell r="N5040" t="str">
            <v>2046-02</v>
          </cell>
          <cell r="O5040" t="str">
            <v>PILOT CASE</v>
          </cell>
          <cell r="P5040">
            <v>688</v>
          </cell>
        </row>
        <row r="5041">
          <cell r="B5041" t="str">
            <v>1386-03</v>
          </cell>
          <cell r="C5041" t="str">
            <v>PISTON</v>
          </cell>
          <cell r="D5041">
            <v>337.5</v>
          </cell>
          <cell r="N5041" t="str">
            <v>1386-03</v>
          </cell>
          <cell r="O5041" t="str">
            <v>PISTON</v>
          </cell>
          <cell r="P5041">
            <v>675</v>
          </cell>
        </row>
        <row r="5042">
          <cell r="B5042" t="str">
            <v>1386-05</v>
          </cell>
          <cell r="C5042" t="str">
            <v>PISTON</v>
          </cell>
          <cell r="D5042">
            <v>344.5</v>
          </cell>
          <cell r="N5042" t="str">
            <v>1386-05</v>
          </cell>
          <cell r="O5042" t="str">
            <v>PISTON</v>
          </cell>
          <cell r="P5042">
            <v>689</v>
          </cell>
        </row>
        <row r="5043">
          <cell r="B5043" t="str">
            <v>1386-07</v>
          </cell>
          <cell r="C5043" t="str">
            <v>PISTON</v>
          </cell>
          <cell r="D5043">
            <v>323.5</v>
          </cell>
          <cell r="N5043" t="str">
            <v>1386-07</v>
          </cell>
          <cell r="O5043" t="str">
            <v>PISTON</v>
          </cell>
          <cell r="P5043">
            <v>647</v>
          </cell>
        </row>
        <row r="5044">
          <cell r="B5044" t="str">
            <v>1837-00</v>
          </cell>
          <cell r="C5044" t="str">
            <v>HUB</v>
          </cell>
          <cell r="D5044">
            <v>408</v>
          </cell>
          <cell r="N5044" t="str">
            <v>1837-00</v>
          </cell>
          <cell r="O5044" t="str">
            <v>HUB</v>
          </cell>
          <cell r="P5044">
            <v>680</v>
          </cell>
        </row>
        <row r="5045">
          <cell r="B5045" t="str">
            <v>1889-00</v>
          </cell>
          <cell r="C5045" t="str">
            <v>HUB</v>
          </cell>
          <cell r="D5045">
            <v>408</v>
          </cell>
          <cell r="N5045" t="str">
            <v>1889-00</v>
          </cell>
          <cell r="O5045" t="str">
            <v>HUB</v>
          </cell>
          <cell r="P5045">
            <v>680</v>
          </cell>
        </row>
        <row r="5046">
          <cell r="B5046" t="str">
            <v>2046-02</v>
          </cell>
          <cell r="C5046" t="str">
            <v>PILOT CASE</v>
          </cell>
          <cell r="D5046">
            <v>344</v>
          </cell>
          <cell r="N5046" t="str">
            <v>2046-02</v>
          </cell>
          <cell r="O5046" t="str">
            <v>PILOT CASE</v>
          </cell>
          <cell r="P5046">
            <v>688</v>
          </cell>
        </row>
        <row r="5047">
          <cell r="B5047" t="str">
            <v>726-55</v>
          </cell>
          <cell r="C5047" t="str">
            <v>ROD GUIDE ASS'Y</v>
          </cell>
          <cell r="D5047">
            <v>318</v>
          </cell>
          <cell r="N5047" t="str">
            <v>726-55</v>
          </cell>
          <cell r="O5047" t="str">
            <v>ROD GUIDE ASS'Y</v>
          </cell>
          <cell r="P5047">
            <v>636</v>
          </cell>
        </row>
        <row r="5048">
          <cell r="B5048" t="str">
            <v>955-00</v>
          </cell>
          <cell r="C5048" t="str">
            <v>HUB</v>
          </cell>
          <cell r="D5048">
            <v>396</v>
          </cell>
          <cell r="N5048" t="str">
            <v>955-00</v>
          </cell>
          <cell r="O5048" t="str">
            <v>HUB</v>
          </cell>
          <cell r="P5048">
            <v>660</v>
          </cell>
        </row>
        <row r="5049">
          <cell r="B5049" t="str">
            <v>991-00</v>
          </cell>
          <cell r="C5049" t="str">
            <v>ROD GUIDE ASS'Y</v>
          </cell>
          <cell r="D5049">
            <v>345</v>
          </cell>
          <cell r="N5049" t="str">
            <v>991-00</v>
          </cell>
          <cell r="O5049" t="str">
            <v>ROD GUIDE ASS'Y</v>
          </cell>
          <cell r="P5049">
            <v>690</v>
          </cell>
        </row>
        <row r="5050">
          <cell r="B5050" t="str">
            <v>1261-01</v>
          </cell>
          <cell r="C5050" t="str">
            <v>SUPPORT CYLINDER(PA)</v>
          </cell>
          <cell r="D5050">
            <v>414.59999999999997</v>
          </cell>
          <cell r="N5050" t="str">
            <v>1261-01</v>
          </cell>
          <cell r="O5050" t="str">
            <v>SUPPORT CYLINDER(PA)</v>
          </cell>
          <cell r="P5050">
            <v>691</v>
          </cell>
        </row>
        <row r="5051">
          <cell r="B5051" t="str">
            <v>1261-02</v>
          </cell>
          <cell r="C5051" t="str">
            <v>SUPPORT CYLINDER(PB,L38)</v>
          </cell>
          <cell r="D5051">
            <v>414.59999999999997</v>
          </cell>
          <cell r="N5051" t="str">
            <v>1261-02</v>
          </cell>
          <cell r="O5051" t="str">
            <v>SUPPORT CYLINDER(PB,L38)</v>
          </cell>
          <cell r="P5051">
            <v>691</v>
          </cell>
        </row>
        <row r="5052">
          <cell r="B5052" t="str">
            <v>1261-04</v>
          </cell>
          <cell r="C5052" t="str">
            <v>SUPPORT CYLINDER(H45)</v>
          </cell>
          <cell r="D5052">
            <v>414.59999999999997</v>
          </cell>
          <cell r="N5052" t="str">
            <v>1261-04</v>
          </cell>
          <cell r="O5052" t="str">
            <v>SUPPORT CYLINDER(H45)</v>
          </cell>
          <cell r="P5052">
            <v>691</v>
          </cell>
        </row>
        <row r="5053">
          <cell r="B5053" t="str">
            <v>1386-08</v>
          </cell>
          <cell r="C5053" t="str">
            <v>PISTON</v>
          </cell>
          <cell r="D5053">
            <v>345.5</v>
          </cell>
          <cell r="N5053" t="str">
            <v>1386-08</v>
          </cell>
          <cell r="O5053" t="str">
            <v>PISTON</v>
          </cell>
          <cell r="P5053">
            <v>691</v>
          </cell>
        </row>
        <row r="5054">
          <cell r="B5054" t="str">
            <v>1483-00</v>
          </cell>
          <cell r="C5054" t="str">
            <v>SUPPORT YOKE ASS'Y</v>
          </cell>
          <cell r="D5054">
            <v>345.5</v>
          </cell>
          <cell r="N5054" t="str">
            <v>1483-00</v>
          </cell>
          <cell r="O5054" t="str">
            <v>SUPPORT YOKE ASS'Y</v>
          </cell>
          <cell r="P5054">
            <v>691</v>
          </cell>
        </row>
        <row r="5055">
          <cell r="B5055" t="str">
            <v>1483-00</v>
          </cell>
          <cell r="C5055" t="str">
            <v>SUPPORT YOKE ASS'Y</v>
          </cell>
          <cell r="D5055">
            <v>345.5</v>
          </cell>
          <cell r="N5055" t="str">
            <v>1483-00</v>
          </cell>
          <cell r="O5055" t="str">
            <v>SUPPORT YOKE ASS'Y</v>
          </cell>
          <cell r="P5055">
            <v>691</v>
          </cell>
        </row>
        <row r="5056">
          <cell r="B5056" t="str">
            <v>1722-00</v>
          </cell>
          <cell r="C5056" t="str">
            <v>HUB</v>
          </cell>
          <cell r="D5056">
            <v>408</v>
          </cell>
          <cell r="N5056" t="str">
            <v>1722-00</v>
          </cell>
          <cell r="O5056" t="str">
            <v>HUB</v>
          </cell>
          <cell r="P5056">
            <v>680</v>
          </cell>
        </row>
        <row r="5057">
          <cell r="B5057" t="str">
            <v>669-05</v>
          </cell>
          <cell r="C5057" t="str">
            <v>ROD GUIDE ASS'Y</v>
          </cell>
          <cell r="D5057">
            <v>301.5</v>
          </cell>
          <cell r="N5057" t="str">
            <v>669-05</v>
          </cell>
          <cell r="O5057" t="str">
            <v>ROD GUIDE ASS'Y</v>
          </cell>
          <cell r="P5057">
            <v>603</v>
          </cell>
        </row>
        <row r="5058">
          <cell r="B5058" t="str">
            <v>704-12</v>
          </cell>
          <cell r="C5058" t="str">
            <v>PISTON</v>
          </cell>
          <cell r="D5058">
            <v>345.5</v>
          </cell>
          <cell r="N5058" t="str">
            <v>704-12</v>
          </cell>
          <cell r="O5058" t="str">
            <v>PISTON</v>
          </cell>
          <cell r="P5058">
            <v>691</v>
          </cell>
        </row>
        <row r="5059">
          <cell r="B5059" t="str">
            <v>829-00</v>
          </cell>
          <cell r="C5059" t="str">
            <v>HUB</v>
          </cell>
          <cell r="D5059">
            <v>414.59999999999997</v>
          </cell>
          <cell r="N5059" t="str">
            <v>829-00</v>
          </cell>
          <cell r="O5059" t="str">
            <v>HUB</v>
          </cell>
          <cell r="P5059">
            <v>691</v>
          </cell>
        </row>
        <row r="5060">
          <cell r="B5060" t="str">
            <v>893-03</v>
          </cell>
          <cell r="C5060" t="str">
            <v>PISTON</v>
          </cell>
          <cell r="D5060">
            <v>345.5</v>
          </cell>
          <cell r="N5060" t="str">
            <v>893-03</v>
          </cell>
          <cell r="O5060" t="str">
            <v>PISTON</v>
          </cell>
          <cell r="P5060">
            <v>691</v>
          </cell>
        </row>
        <row r="5061">
          <cell r="B5061" t="str">
            <v>893-03</v>
          </cell>
          <cell r="C5061" t="str">
            <v>PISTON</v>
          </cell>
          <cell r="D5061">
            <v>345.5</v>
          </cell>
          <cell r="N5061" t="str">
            <v>893-03</v>
          </cell>
          <cell r="O5061" t="str">
            <v>PISTON</v>
          </cell>
          <cell r="P5061">
            <v>691</v>
          </cell>
        </row>
        <row r="5062">
          <cell r="B5062" t="str">
            <v>952-00</v>
          </cell>
          <cell r="C5062" t="str">
            <v>HUB</v>
          </cell>
          <cell r="D5062">
            <v>414.59999999999997</v>
          </cell>
          <cell r="N5062" t="str">
            <v>952-00</v>
          </cell>
          <cell r="O5062" t="str">
            <v>HUB</v>
          </cell>
          <cell r="P5062">
            <v>691</v>
          </cell>
        </row>
        <row r="5063">
          <cell r="B5063" t="str">
            <v>1352-11</v>
          </cell>
          <cell r="C5063" t="str">
            <v>PISTON</v>
          </cell>
          <cell r="D5063">
            <v>346</v>
          </cell>
          <cell r="N5063" t="str">
            <v>1352-11</v>
          </cell>
          <cell r="O5063" t="str">
            <v>PISTON</v>
          </cell>
          <cell r="P5063">
            <v>692</v>
          </cell>
        </row>
        <row r="5064">
          <cell r="B5064" t="str">
            <v>1352-16</v>
          </cell>
          <cell r="C5064" t="str">
            <v>PISTON</v>
          </cell>
          <cell r="D5064">
            <v>324.5</v>
          </cell>
          <cell r="N5064" t="str">
            <v>1352-16</v>
          </cell>
          <cell r="O5064" t="str">
            <v>PISTON</v>
          </cell>
          <cell r="P5064">
            <v>649</v>
          </cell>
        </row>
        <row r="5065">
          <cell r="B5065" t="str">
            <v>1587-04</v>
          </cell>
          <cell r="C5065" t="str">
            <v>PISTON</v>
          </cell>
          <cell r="D5065">
            <v>346</v>
          </cell>
          <cell r="N5065" t="str">
            <v>1587-04</v>
          </cell>
          <cell r="O5065" t="str">
            <v>PISTON</v>
          </cell>
          <cell r="P5065">
            <v>692</v>
          </cell>
        </row>
        <row r="5066">
          <cell r="B5066" t="str">
            <v>965-02</v>
          </cell>
          <cell r="C5066" t="str">
            <v>VALVE RETAINER</v>
          </cell>
          <cell r="D5066">
            <v>346</v>
          </cell>
          <cell r="N5066" t="str">
            <v>965-02</v>
          </cell>
          <cell r="O5066" t="str">
            <v>VALVE RETAINER</v>
          </cell>
          <cell r="P5066">
            <v>692</v>
          </cell>
        </row>
        <row r="5067">
          <cell r="B5067" t="str">
            <v>1034-03</v>
          </cell>
          <cell r="C5067" t="str">
            <v>HUB</v>
          </cell>
          <cell r="D5067">
            <v>402</v>
          </cell>
          <cell r="N5067" t="str">
            <v>1034-03</v>
          </cell>
          <cell r="O5067" t="str">
            <v>HUB</v>
          </cell>
          <cell r="P5067">
            <v>670</v>
          </cell>
        </row>
        <row r="5068">
          <cell r="B5068" t="str">
            <v>1186-03</v>
          </cell>
          <cell r="C5068" t="str">
            <v>BODY</v>
          </cell>
          <cell r="D5068">
            <v>346.5</v>
          </cell>
          <cell r="N5068" t="str">
            <v>1186-03</v>
          </cell>
          <cell r="O5068" t="str">
            <v>BODY</v>
          </cell>
          <cell r="P5068">
            <v>693</v>
          </cell>
        </row>
        <row r="5069">
          <cell r="B5069" t="str">
            <v>1207-02</v>
          </cell>
          <cell r="C5069" t="str">
            <v>ROD GUIDE ASS'Y</v>
          </cell>
          <cell r="D5069">
            <v>289</v>
          </cell>
          <cell r="N5069" t="str">
            <v>1207-02</v>
          </cell>
          <cell r="O5069" t="str">
            <v>ROD GUIDE ASS'Y</v>
          </cell>
          <cell r="P5069">
            <v>578</v>
          </cell>
        </row>
        <row r="5070">
          <cell r="B5070" t="str">
            <v>1289-04</v>
          </cell>
          <cell r="C5070" t="str">
            <v>PISTON</v>
          </cell>
          <cell r="D5070">
            <v>346.5</v>
          </cell>
          <cell r="N5070" t="str">
            <v>1289-04</v>
          </cell>
          <cell r="O5070" t="str">
            <v>PISTON</v>
          </cell>
          <cell r="P5070">
            <v>693</v>
          </cell>
        </row>
        <row r="5071">
          <cell r="B5071" t="str">
            <v>896-01</v>
          </cell>
          <cell r="C5071" t="str">
            <v>BODY</v>
          </cell>
          <cell r="D5071">
            <v>346.5</v>
          </cell>
          <cell r="N5071" t="str">
            <v>896-01</v>
          </cell>
          <cell r="O5071" t="str">
            <v>BODY</v>
          </cell>
          <cell r="P5071">
            <v>693</v>
          </cell>
        </row>
        <row r="5072">
          <cell r="B5072" t="str">
            <v>588-61</v>
          </cell>
          <cell r="C5072" t="str">
            <v>PISTON</v>
          </cell>
          <cell r="D5072">
            <v>152</v>
          </cell>
          <cell r="N5072" t="str">
            <v>588-61</v>
          </cell>
          <cell r="O5072" t="str">
            <v>PISTON</v>
          </cell>
          <cell r="P5072">
            <v>304</v>
          </cell>
        </row>
        <row r="5073">
          <cell r="B5073" t="str">
            <v>714-03</v>
          </cell>
          <cell r="C5073" t="str">
            <v>PISTON</v>
          </cell>
          <cell r="D5073">
            <v>338.5</v>
          </cell>
          <cell r="N5073" t="str">
            <v>714-03</v>
          </cell>
          <cell r="O5073" t="str">
            <v>PISTON</v>
          </cell>
          <cell r="P5073">
            <v>677</v>
          </cell>
        </row>
        <row r="5074">
          <cell r="B5074" t="str">
            <v>1352-21</v>
          </cell>
          <cell r="C5074" t="str">
            <v>PISTON</v>
          </cell>
          <cell r="D5074">
            <v>347.5</v>
          </cell>
          <cell r="N5074" t="str">
            <v>1352-21</v>
          </cell>
          <cell r="O5074" t="str">
            <v>PISTON</v>
          </cell>
          <cell r="P5074">
            <v>695</v>
          </cell>
        </row>
        <row r="5075">
          <cell r="B5075" t="str">
            <v>1352-25</v>
          </cell>
          <cell r="C5075" t="str">
            <v>PISTON</v>
          </cell>
          <cell r="D5075">
            <v>347.5</v>
          </cell>
          <cell r="N5075" t="str">
            <v>1352-25</v>
          </cell>
          <cell r="O5075" t="str">
            <v>PISTON</v>
          </cell>
          <cell r="P5075">
            <v>695</v>
          </cell>
        </row>
        <row r="5076">
          <cell r="B5076" t="str">
            <v>1386-02</v>
          </cell>
          <cell r="C5076" t="str">
            <v>PISTON</v>
          </cell>
          <cell r="D5076">
            <v>347.5</v>
          </cell>
          <cell r="N5076" t="str">
            <v>1386-02</v>
          </cell>
          <cell r="O5076" t="str">
            <v>PISTON</v>
          </cell>
          <cell r="P5076">
            <v>695</v>
          </cell>
        </row>
        <row r="5077">
          <cell r="B5077" t="str">
            <v>1654-00</v>
          </cell>
          <cell r="C5077" t="str">
            <v>PISTON</v>
          </cell>
          <cell r="D5077">
            <v>337.5</v>
          </cell>
          <cell r="N5077" t="str">
            <v>1654-00</v>
          </cell>
          <cell r="O5077" t="str">
            <v>PISTON</v>
          </cell>
          <cell r="P5077">
            <v>675</v>
          </cell>
        </row>
        <row r="5078">
          <cell r="B5078" t="str">
            <v>1654-00</v>
          </cell>
          <cell r="C5078" t="str">
            <v>PISTON</v>
          </cell>
          <cell r="D5078">
            <v>337.5</v>
          </cell>
          <cell r="N5078" t="str">
            <v>1654-00</v>
          </cell>
          <cell r="O5078" t="str">
            <v>PISTON</v>
          </cell>
          <cell r="P5078">
            <v>675</v>
          </cell>
        </row>
        <row r="5079">
          <cell r="B5079" t="str">
            <v>1655-00</v>
          </cell>
          <cell r="C5079" t="str">
            <v>PISTON</v>
          </cell>
          <cell r="D5079">
            <v>347.5</v>
          </cell>
          <cell r="N5079" t="str">
            <v>1655-00</v>
          </cell>
          <cell r="O5079" t="str">
            <v>PISTON</v>
          </cell>
          <cell r="P5079">
            <v>695</v>
          </cell>
        </row>
        <row r="5080">
          <cell r="B5080" t="str">
            <v>1655-00</v>
          </cell>
          <cell r="C5080" t="str">
            <v>PISTON</v>
          </cell>
          <cell r="D5080">
            <v>347.5</v>
          </cell>
          <cell r="N5080" t="str">
            <v>1655-00</v>
          </cell>
          <cell r="O5080" t="str">
            <v>PISTON</v>
          </cell>
          <cell r="P5080">
            <v>695</v>
          </cell>
        </row>
        <row r="5081">
          <cell r="B5081" t="str">
            <v>2112-00</v>
          </cell>
          <cell r="C5081" t="str">
            <v>PISTON</v>
          </cell>
          <cell r="D5081">
            <v>347.5</v>
          </cell>
          <cell r="N5081" t="str">
            <v>2112-00</v>
          </cell>
          <cell r="O5081" t="str">
            <v>PISTON</v>
          </cell>
          <cell r="P5081">
            <v>695</v>
          </cell>
        </row>
        <row r="5082">
          <cell r="B5082" t="str">
            <v>1352-22</v>
          </cell>
          <cell r="C5082" t="str">
            <v>PISTON</v>
          </cell>
          <cell r="D5082">
            <v>348</v>
          </cell>
          <cell r="N5082" t="str">
            <v>1352-22</v>
          </cell>
          <cell r="O5082" t="str">
            <v>PISTON</v>
          </cell>
          <cell r="P5082">
            <v>696</v>
          </cell>
        </row>
        <row r="5083">
          <cell r="B5083" t="str">
            <v>1483-00</v>
          </cell>
          <cell r="C5083" t="str">
            <v>SUPPORT YOKE ASS'Y</v>
          </cell>
          <cell r="D5083">
            <v>345.5</v>
          </cell>
          <cell r="N5083" t="str">
            <v>1483-00</v>
          </cell>
          <cell r="O5083" t="str">
            <v>SUPPORT YOKE ASS'Y</v>
          </cell>
          <cell r="P5083">
            <v>691</v>
          </cell>
        </row>
        <row r="5084">
          <cell r="B5084" t="str">
            <v>384-04</v>
          </cell>
          <cell r="C5084" t="str">
            <v>SUPPORT YOKE ASS'Y</v>
          </cell>
          <cell r="D5084">
            <v>348</v>
          </cell>
          <cell r="N5084" t="str">
            <v>384-04</v>
          </cell>
          <cell r="O5084" t="str">
            <v>SUPPORT YOKE ASS'Y</v>
          </cell>
          <cell r="P5084">
            <v>696</v>
          </cell>
        </row>
        <row r="5085">
          <cell r="B5085" t="str">
            <v>1352-10</v>
          </cell>
          <cell r="C5085" t="str">
            <v>PISTON</v>
          </cell>
          <cell r="D5085">
            <v>332</v>
          </cell>
          <cell r="N5085" t="str">
            <v>1352-10</v>
          </cell>
          <cell r="O5085" t="str">
            <v>PISTON</v>
          </cell>
          <cell r="P5085">
            <v>664</v>
          </cell>
        </row>
        <row r="5086">
          <cell r="B5086" t="str">
            <v>086-08</v>
          </cell>
          <cell r="C5086" t="str">
            <v>ROD GUIDE ASS'Y</v>
          </cell>
          <cell r="D5086">
            <v>226.5</v>
          </cell>
          <cell r="N5086" t="str">
            <v>086-08</v>
          </cell>
          <cell r="O5086" t="str">
            <v>ROD GUIDE ASS'Y</v>
          </cell>
          <cell r="P5086">
            <v>453</v>
          </cell>
        </row>
        <row r="5087">
          <cell r="B5087" t="str">
            <v>384-04</v>
          </cell>
          <cell r="C5087" t="str">
            <v>SUPPORT YOKE ASS'Y</v>
          </cell>
          <cell r="D5087">
            <v>348</v>
          </cell>
          <cell r="N5087" t="str">
            <v>384-04</v>
          </cell>
          <cell r="O5087" t="str">
            <v>SUPPORT YOKE ASS'Y</v>
          </cell>
          <cell r="P5087">
            <v>696</v>
          </cell>
        </row>
        <row r="5088">
          <cell r="B5088" t="str">
            <v>1030-02</v>
          </cell>
          <cell r="C5088" t="str">
            <v>ROD GUIDE ASS'Y</v>
          </cell>
          <cell r="D5088">
            <v>196</v>
          </cell>
          <cell r="N5088" t="str">
            <v>1030-02</v>
          </cell>
          <cell r="O5088" t="str">
            <v>ROD GUIDE ASS'Y</v>
          </cell>
          <cell r="P5088">
            <v>392</v>
          </cell>
        </row>
        <row r="5089">
          <cell r="B5089" t="str">
            <v>1030-02</v>
          </cell>
          <cell r="C5089" t="str">
            <v>ROD GUIDE ASS'Y</v>
          </cell>
          <cell r="D5089">
            <v>196</v>
          </cell>
          <cell r="N5089" t="str">
            <v>1030-02</v>
          </cell>
          <cell r="O5089" t="str">
            <v>ROD GUIDE ASS'Y</v>
          </cell>
          <cell r="P5089">
            <v>392</v>
          </cell>
        </row>
        <row r="5090">
          <cell r="B5090" t="str">
            <v>1069-01</v>
          </cell>
          <cell r="C5090" t="str">
            <v>PISTON</v>
          </cell>
          <cell r="D5090">
            <v>99</v>
          </cell>
          <cell r="N5090" t="str">
            <v>1069-01</v>
          </cell>
          <cell r="O5090" t="str">
            <v>PISTON</v>
          </cell>
          <cell r="P5090">
            <v>198</v>
          </cell>
        </row>
        <row r="5091">
          <cell r="B5091" t="str">
            <v>1069-01</v>
          </cell>
          <cell r="C5091" t="str">
            <v>PISTON</v>
          </cell>
          <cell r="D5091">
            <v>99</v>
          </cell>
          <cell r="N5091" t="str">
            <v>1069-01</v>
          </cell>
          <cell r="O5091" t="str">
            <v>PISTON</v>
          </cell>
          <cell r="P5091">
            <v>198</v>
          </cell>
        </row>
        <row r="5092">
          <cell r="B5092" t="str">
            <v>1289-14</v>
          </cell>
          <cell r="C5092" t="str">
            <v>PISTON</v>
          </cell>
          <cell r="D5092">
            <v>350</v>
          </cell>
          <cell r="N5092" t="str">
            <v>1289-14</v>
          </cell>
          <cell r="O5092" t="str">
            <v>PISTON</v>
          </cell>
          <cell r="P5092">
            <v>700</v>
          </cell>
        </row>
        <row r="5093">
          <cell r="B5093" t="str">
            <v>1352-15</v>
          </cell>
          <cell r="C5093" t="str">
            <v>PISTON</v>
          </cell>
          <cell r="D5093">
            <v>350</v>
          </cell>
          <cell r="N5093" t="str">
            <v>1352-15</v>
          </cell>
          <cell r="O5093" t="str">
            <v>PISTON</v>
          </cell>
          <cell r="P5093">
            <v>700</v>
          </cell>
        </row>
        <row r="5094">
          <cell r="B5094" t="str">
            <v>1352-15</v>
          </cell>
          <cell r="C5094" t="str">
            <v>PISTON</v>
          </cell>
          <cell r="D5094">
            <v>350</v>
          </cell>
          <cell r="N5094" t="str">
            <v>1352-15</v>
          </cell>
          <cell r="O5094" t="str">
            <v>PISTON</v>
          </cell>
          <cell r="P5094">
            <v>700</v>
          </cell>
        </row>
        <row r="5095">
          <cell r="B5095" t="str">
            <v>1368-04</v>
          </cell>
          <cell r="C5095" t="str">
            <v>PISTON</v>
          </cell>
          <cell r="D5095">
            <v>350</v>
          </cell>
          <cell r="N5095" t="str">
            <v>1368-04</v>
          </cell>
          <cell r="O5095" t="str">
            <v>PISTON</v>
          </cell>
          <cell r="P5095">
            <v>700</v>
          </cell>
        </row>
        <row r="5096">
          <cell r="B5096" t="str">
            <v>1368-04</v>
          </cell>
          <cell r="C5096" t="str">
            <v>PISTON</v>
          </cell>
          <cell r="D5096">
            <v>350</v>
          </cell>
          <cell r="N5096" t="str">
            <v>1368-04</v>
          </cell>
          <cell r="O5096" t="str">
            <v>PISTON</v>
          </cell>
          <cell r="P5096">
            <v>700</v>
          </cell>
        </row>
        <row r="5097">
          <cell r="B5097" t="str">
            <v>1386-02</v>
          </cell>
          <cell r="C5097" t="str">
            <v>PISTON</v>
          </cell>
          <cell r="D5097">
            <v>347.5</v>
          </cell>
          <cell r="N5097" t="str">
            <v>1386-02</v>
          </cell>
          <cell r="O5097" t="str">
            <v>PISTON</v>
          </cell>
          <cell r="P5097">
            <v>695</v>
          </cell>
        </row>
        <row r="5098">
          <cell r="B5098" t="str">
            <v>1386-09</v>
          </cell>
          <cell r="C5098" t="str">
            <v>PISTON</v>
          </cell>
          <cell r="D5098">
            <v>329</v>
          </cell>
          <cell r="N5098" t="str">
            <v>1386-09</v>
          </cell>
          <cell r="O5098" t="str">
            <v>PISTON</v>
          </cell>
          <cell r="P5098">
            <v>658</v>
          </cell>
        </row>
        <row r="5099">
          <cell r="B5099" t="str">
            <v>1801-04</v>
          </cell>
          <cell r="C5099" t="str">
            <v>PISTON</v>
          </cell>
          <cell r="D5099">
            <v>350</v>
          </cell>
          <cell r="N5099" t="str">
            <v>1801-04</v>
          </cell>
          <cell r="O5099" t="str">
            <v>PISTON</v>
          </cell>
          <cell r="P5099">
            <v>700</v>
          </cell>
        </row>
        <row r="5100">
          <cell r="B5100" t="str">
            <v>588-18</v>
          </cell>
          <cell r="C5100" t="str">
            <v>PISTON</v>
          </cell>
          <cell r="D5100">
            <v>85</v>
          </cell>
          <cell r="N5100" t="str">
            <v>588-18</v>
          </cell>
          <cell r="O5100" t="str">
            <v>PISTON</v>
          </cell>
          <cell r="P5100">
            <v>170</v>
          </cell>
        </row>
        <row r="5101">
          <cell r="B5101" t="str">
            <v>588-18</v>
          </cell>
          <cell r="C5101" t="str">
            <v>PISTON</v>
          </cell>
          <cell r="D5101">
            <v>85</v>
          </cell>
          <cell r="N5101" t="str">
            <v>588-18</v>
          </cell>
          <cell r="O5101" t="str">
            <v>PISTON</v>
          </cell>
          <cell r="P5101">
            <v>170</v>
          </cell>
        </row>
        <row r="5102">
          <cell r="B5102" t="str">
            <v>800-01</v>
          </cell>
          <cell r="C5102" t="str">
            <v>PISTON</v>
          </cell>
          <cell r="D5102">
            <v>129.5</v>
          </cell>
          <cell r="N5102" t="str">
            <v>800-01</v>
          </cell>
          <cell r="O5102" t="str">
            <v>PISTON</v>
          </cell>
          <cell r="P5102">
            <v>259</v>
          </cell>
        </row>
        <row r="5103">
          <cell r="B5103" t="str">
            <v>985-04</v>
          </cell>
          <cell r="C5103" t="str">
            <v>BODY</v>
          </cell>
          <cell r="D5103">
            <v>350</v>
          </cell>
          <cell r="N5103" t="str">
            <v>985-04</v>
          </cell>
          <cell r="O5103" t="str">
            <v>BODY</v>
          </cell>
          <cell r="P5103">
            <v>700</v>
          </cell>
        </row>
        <row r="5104">
          <cell r="B5104" t="str">
            <v>1352-08</v>
          </cell>
          <cell r="C5104" t="str">
            <v>PISTON</v>
          </cell>
          <cell r="D5104">
            <v>350.5</v>
          </cell>
          <cell r="N5104" t="str">
            <v>1352-08</v>
          </cell>
          <cell r="O5104" t="str">
            <v>PISTON</v>
          </cell>
          <cell r="P5104">
            <v>701</v>
          </cell>
        </row>
        <row r="5105">
          <cell r="B5105" t="str">
            <v>1435-00</v>
          </cell>
          <cell r="C5105" t="str">
            <v>HUB</v>
          </cell>
          <cell r="D5105">
            <v>400.8</v>
          </cell>
          <cell r="N5105" t="str">
            <v>1435-00</v>
          </cell>
          <cell r="O5105" t="str">
            <v>HUB</v>
          </cell>
          <cell r="P5105">
            <v>668</v>
          </cell>
        </row>
        <row r="5106">
          <cell r="B5106" t="str">
            <v>1034-03</v>
          </cell>
          <cell r="C5106" t="str">
            <v>HUB</v>
          </cell>
          <cell r="D5106">
            <v>402</v>
          </cell>
          <cell r="N5106" t="str">
            <v>1034-03</v>
          </cell>
          <cell r="O5106" t="str">
            <v>HUB</v>
          </cell>
          <cell r="P5106">
            <v>670</v>
          </cell>
        </row>
        <row r="5107">
          <cell r="B5107" t="str">
            <v>1034-03</v>
          </cell>
          <cell r="C5107" t="str">
            <v>HUB</v>
          </cell>
          <cell r="D5107">
            <v>402</v>
          </cell>
          <cell r="N5107" t="str">
            <v>1034-03</v>
          </cell>
          <cell r="O5107" t="str">
            <v>HUB</v>
          </cell>
          <cell r="P5107">
            <v>670</v>
          </cell>
        </row>
        <row r="5108">
          <cell r="B5108" t="str">
            <v>1034-03</v>
          </cell>
          <cell r="C5108" t="str">
            <v>HUB</v>
          </cell>
          <cell r="D5108">
            <v>402</v>
          </cell>
          <cell r="N5108" t="str">
            <v>1034-03</v>
          </cell>
          <cell r="O5108" t="str">
            <v>HUB</v>
          </cell>
          <cell r="P5108">
            <v>670</v>
          </cell>
        </row>
        <row r="5109">
          <cell r="B5109" t="str">
            <v>1042-00</v>
          </cell>
          <cell r="C5109" t="str">
            <v>ROD GUIDE ASS'Y</v>
          </cell>
          <cell r="D5109">
            <v>351</v>
          </cell>
          <cell r="N5109" t="str">
            <v>1042-00</v>
          </cell>
          <cell r="O5109" t="str">
            <v>ROD GUIDE ASS'Y</v>
          </cell>
          <cell r="P5109">
            <v>702</v>
          </cell>
        </row>
        <row r="5110">
          <cell r="B5110" t="str">
            <v>1352-13</v>
          </cell>
          <cell r="C5110" t="str">
            <v>PISTON</v>
          </cell>
          <cell r="D5110">
            <v>351</v>
          </cell>
          <cell r="N5110" t="str">
            <v>1352-13</v>
          </cell>
          <cell r="O5110" t="str">
            <v>PISTON</v>
          </cell>
          <cell r="P5110">
            <v>702</v>
          </cell>
        </row>
        <row r="5111">
          <cell r="B5111" t="str">
            <v>384-04</v>
          </cell>
          <cell r="C5111" t="str">
            <v>SUPPORT YOKE ASS'Y</v>
          </cell>
          <cell r="D5111">
            <v>348</v>
          </cell>
          <cell r="N5111" t="str">
            <v>384-04</v>
          </cell>
          <cell r="O5111" t="str">
            <v>SUPPORT YOKE ASS'Y</v>
          </cell>
          <cell r="P5111">
            <v>696</v>
          </cell>
        </row>
        <row r="5112">
          <cell r="B5112" t="str">
            <v>384-04</v>
          </cell>
          <cell r="C5112" t="str">
            <v>SUPPORT YOKE ASS'Y</v>
          </cell>
          <cell r="D5112">
            <v>348</v>
          </cell>
          <cell r="N5112" t="str">
            <v>384-04</v>
          </cell>
          <cell r="O5112" t="str">
            <v>SUPPORT YOKE ASS'Y</v>
          </cell>
          <cell r="P5112">
            <v>696</v>
          </cell>
        </row>
        <row r="5113">
          <cell r="B5113" t="str">
            <v>384-04</v>
          </cell>
          <cell r="C5113" t="str">
            <v>SUPPORT YOKE ASS'Y</v>
          </cell>
          <cell r="D5113">
            <v>348</v>
          </cell>
          <cell r="N5113" t="str">
            <v>384-04</v>
          </cell>
          <cell r="O5113" t="str">
            <v>SUPPORT YOKE ASS'Y</v>
          </cell>
          <cell r="P5113">
            <v>696</v>
          </cell>
        </row>
        <row r="5114">
          <cell r="B5114" t="str">
            <v>384-04</v>
          </cell>
          <cell r="C5114" t="str">
            <v>SUPPORT YOKE ASS'Y</v>
          </cell>
          <cell r="D5114">
            <v>348</v>
          </cell>
          <cell r="N5114" t="str">
            <v>384-04</v>
          </cell>
          <cell r="O5114" t="str">
            <v>SUPPORT YOKE ASS'Y</v>
          </cell>
          <cell r="P5114">
            <v>696</v>
          </cell>
        </row>
        <row r="5115">
          <cell r="B5115" t="str">
            <v>384-04</v>
          </cell>
          <cell r="C5115" t="str">
            <v>SUPPORT YOKE ASS'Y</v>
          </cell>
          <cell r="D5115">
            <v>348</v>
          </cell>
          <cell r="N5115" t="str">
            <v>384-04</v>
          </cell>
          <cell r="O5115" t="str">
            <v>SUPPORT YOKE ASS'Y</v>
          </cell>
          <cell r="P5115">
            <v>696</v>
          </cell>
        </row>
        <row r="5116">
          <cell r="B5116" t="str">
            <v>384-04</v>
          </cell>
          <cell r="C5116" t="str">
            <v>SUPPORT YOKE ASS'Y</v>
          </cell>
          <cell r="D5116">
            <v>348</v>
          </cell>
          <cell r="N5116" t="str">
            <v>384-04</v>
          </cell>
          <cell r="O5116" t="str">
            <v>SUPPORT YOKE ASS'Y</v>
          </cell>
          <cell r="P5116">
            <v>696</v>
          </cell>
        </row>
        <row r="5117">
          <cell r="B5117" t="str">
            <v>588-72</v>
          </cell>
          <cell r="C5117" t="str">
            <v>PISTON</v>
          </cell>
          <cell r="D5117">
            <v>351</v>
          </cell>
          <cell r="N5117" t="str">
            <v>588-72</v>
          </cell>
          <cell r="O5117" t="str">
            <v>PISTON</v>
          </cell>
          <cell r="P5117">
            <v>702</v>
          </cell>
        </row>
        <row r="5118">
          <cell r="B5118" t="str">
            <v>1352-11</v>
          </cell>
          <cell r="C5118" t="str">
            <v>PISTON</v>
          </cell>
          <cell r="D5118">
            <v>346</v>
          </cell>
          <cell r="N5118" t="str">
            <v>1352-11</v>
          </cell>
          <cell r="O5118" t="str">
            <v>PISTON</v>
          </cell>
          <cell r="P5118">
            <v>692</v>
          </cell>
        </row>
        <row r="5119">
          <cell r="B5119" t="str">
            <v>1352-28</v>
          </cell>
          <cell r="C5119" t="str">
            <v>PISTON</v>
          </cell>
          <cell r="D5119">
            <v>352</v>
          </cell>
          <cell r="N5119" t="str">
            <v>1352-28</v>
          </cell>
          <cell r="O5119" t="str">
            <v>PISTON</v>
          </cell>
          <cell r="P5119">
            <v>704</v>
          </cell>
        </row>
        <row r="5120">
          <cell r="B5120" t="str">
            <v>1352-29</v>
          </cell>
          <cell r="C5120" t="str">
            <v>PISTON</v>
          </cell>
          <cell r="D5120">
            <v>352</v>
          </cell>
          <cell r="N5120" t="str">
            <v>1352-29</v>
          </cell>
          <cell r="O5120" t="str">
            <v>PISTON</v>
          </cell>
          <cell r="P5120">
            <v>704</v>
          </cell>
        </row>
        <row r="5121">
          <cell r="B5121" t="str">
            <v>1440-05</v>
          </cell>
          <cell r="C5121" t="str">
            <v>PISTON</v>
          </cell>
          <cell r="D5121">
            <v>352</v>
          </cell>
          <cell r="N5121" t="str">
            <v>1440-05</v>
          </cell>
          <cell r="O5121" t="str">
            <v>PISTON</v>
          </cell>
          <cell r="P5121">
            <v>704</v>
          </cell>
        </row>
        <row r="5122">
          <cell r="B5122" t="str">
            <v>1352-09</v>
          </cell>
          <cell r="C5122" t="str">
            <v>PISTON</v>
          </cell>
          <cell r="D5122">
            <v>352.5</v>
          </cell>
          <cell r="N5122" t="str">
            <v>1352-09</v>
          </cell>
          <cell r="O5122" t="str">
            <v>PISTON</v>
          </cell>
          <cell r="P5122">
            <v>705</v>
          </cell>
        </row>
        <row r="5123">
          <cell r="B5123" t="str">
            <v>1352-09</v>
          </cell>
          <cell r="C5123" t="str">
            <v>PISTON</v>
          </cell>
          <cell r="D5123">
            <v>352.5</v>
          </cell>
          <cell r="N5123" t="str">
            <v>1352-09</v>
          </cell>
          <cell r="O5123" t="str">
            <v>PISTON</v>
          </cell>
          <cell r="P5123">
            <v>705</v>
          </cell>
        </row>
        <row r="5124">
          <cell r="B5124" t="str">
            <v>726-05</v>
          </cell>
          <cell r="C5124" t="str">
            <v>ROD GUIDE ASS'Y</v>
          </cell>
          <cell r="D5124">
            <v>352.5</v>
          </cell>
          <cell r="N5124" t="str">
            <v>726-05</v>
          </cell>
          <cell r="O5124" t="str">
            <v>ROD GUIDE ASS'Y</v>
          </cell>
          <cell r="P5124">
            <v>705</v>
          </cell>
        </row>
        <row r="5125">
          <cell r="B5125" t="str">
            <v>885-00</v>
          </cell>
          <cell r="C5125" t="str">
            <v>SENSOR RING</v>
          </cell>
          <cell r="D5125">
            <v>352.5</v>
          </cell>
          <cell r="N5125" t="str">
            <v>885-00</v>
          </cell>
          <cell r="O5125" t="str">
            <v>SENSOR RING</v>
          </cell>
          <cell r="P5125">
            <v>705</v>
          </cell>
        </row>
        <row r="5126">
          <cell r="B5126" t="str">
            <v>1352-19</v>
          </cell>
          <cell r="C5126" t="str">
            <v>PISTON</v>
          </cell>
          <cell r="D5126">
            <v>353</v>
          </cell>
          <cell r="N5126" t="str">
            <v>1352-19</v>
          </cell>
          <cell r="O5126" t="str">
            <v>PISTON</v>
          </cell>
          <cell r="P5126">
            <v>706</v>
          </cell>
        </row>
        <row r="5127">
          <cell r="B5127" t="str">
            <v>1386-10</v>
          </cell>
          <cell r="C5127" t="str">
            <v>PISTON</v>
          </cell>
          <cell r="D5127">
            <v>353.5</v>
          </cell>
          <cell r="N5127" t="str">
            <v>1386-10</v>
          </cell>
          <cell r="O5127" t="str">
            <v>PISTON</v>
          </cell>
          <cell r="P5127">
            <v>707</v>
          </cell>
        </row>
        <row r="5128">
          <cell r="B5128" t="str">
            <v>1352-23</v>
          </cell>
          <cell r="C5128" t="str">
            <v>PISTON</v>
          </cell>
          <cell r="D5128">
            <v>342</v>
          </cell>
          <cell r="N5128" t="str">
            <v>1352-23</v>
          </cell>
          <cell r="O5128" t="str">
            <v>PISTON</v>
          </cell>
          <cell r="P5128">
            <v>684</v>
          </cell>
        </row>
        <row r="5129">
          <cell r="B5129" t="str">
            <v>1352-24</v>
          </cell>
          <cell r="C5129" t="str">
            <v>PISTON</v>
          </cell>
          <cell r="D5129">
            <v>343.5</v>
          </cell>
          <cell r="N5129" t="str">
            <v>1352-24</v>
          </cell>
          <cell r="O5129" t="str">
            <v>PISTON</v>
          </cell>
          <cell r="P5129">
            <v>687</v>
          </cell>
        </row>
        <row r="5130">
          <cell r="B5130" t="str">
            <v>1981-01</v>
          </cell>
          <cell r="C5130" t="str">
            <v>PISTON</v>
          </cell>
          <cell r="D5130">
            <v>354</v>
          </cell>
          <cell r="N5130" t="str">
            <v>1981-01</v>
          </cell>
          <cell r="O5130" t="str">
            <v>PISTON</v>
          </cell>
          <cell r="P5130">
            <v>708</v>
          </cell>
        </row>
        <row r="5131">
          <cell r="B5131" t="str">
            <v>2049-00</v>
          </cell>
          <cell r="C5131" t="str">
            <v>ROD GUIDE ASS'Y</v>
          </cell>
          <cell r="D5131">
            <v>354</v>
          </cell>
          <cell r="N5131" t="str">
            <v>2049-00</v>
          </cell>
          <cell r="O5131" t="str">
            <v>ROD GUIDE ASS'Y</v>
          </cell>
          <cell r="P5131">
            <v>708</v>
          </cell>
        </row>
        <row r="5132">
          <cell r="B5132" t="str">
            <v>384-04</v>
          </cell>
          <cell r="C5132" t="str">
            <v>SUPPORT YOKE ASS'Y</v>
          </cell>
          <cell r="D5132">
            <v>348</v>
          </cell>
          <cell r="N5132" t="str">
            <v>384-04</v>
          </cell>
          <cell r="O5132" t="str">
            <v>SUPPORT YOKE ASS'Y</v>
          </cell>
          <cell r="P5132">
            <v>696</v>
          </cell>
        </row>
        <row r="5133">
          <cell r="B5133" t="str">
            <v>985-04</v>
          </cell>
          <cell r="C5133" t="str">
            <v>BODY</v>
          </cell>
          <cell r="D5133">
            <v>350</v>
          </cell>
          <cell r="N5133" t="str">
            <v>985-04</v>
          </cell>
          <cell r="O5133" t="str">
            <v>BODY</v>
          </cell>
          <cell r="P5133">
            <v>700</v>
          </cell>
        </row>
        <row r="5134">
          <cell r="B5134" t="str">
            <v>1351-02</v>
          </cell>
          <cell r="C5134" t="str">
            <v>PISTON</v>
          </cell>
          <cell r="D5134">
            <v>324</v>
          </cell>
          <cell r="N5134" t="str">
            <v>1351-02</v>
          </cell>
          <cell r="O5134" t="str">
            <v>PISTON</v>
          </cell>
          <cell r="P5134">
            <v>648</v>
          </cell>
        </row>
        <row r="5135">
          <cell r="B5135" t="str">
            <v>1352-17</v>
          </cell>
          <cell r="C5135" t="str">
            <v>PISTON</v>
          </cell>
          <cell r="D5135">
            <v>333</v>
          </cell>
          <cell r="N5135" t="str">
            <v>1352-17</v>
          </cell>
          <cell r="O5135" t="str">
            <v>PISTON</v>
          </cell>
          <cell r="P5135">
            <v>666</v>
          </cell>
        </row>
        <row r="5136">
          <cell r="B5136" t="str">
            <v>1521-00</v>
          </cell>
          <cell r="C5136" t="str">
            <v>SUPPORT YOKE ASS'Y</v>
          </cell>
          <cell r="D5136">
            <v>354.5</v>
          </cell>
          <cell r="N5136" t="str">
            <v>1521-00</v>
          </cell>
          <cell r="O5136" t="str">
            <v>SUPPORT YOKE ASS'Y</v>
          </cell>
          <cell r="P5136">
            <v>709</v>
          </cell>
        </row>
        <row r="5137">
          <cell r="B5137" t="str">
            <v>1521-01</v>
          </cell>
          <cell r="C5137" t="str">
            <v>SUPPORT YOKE ASS'Y</v>
          </cell>
          <cell r="D5137">
            <v>337.5</v>
          </cell>
          <cell r="N5137" t="str">
            <v>1521-01</v>
          </cell>
          <cell r="O5137" t="str">
            <v>SUPPORT YOKE ASS'Y</v>
          </cell>
          <cell r="P5137">
            <v>675</v>
          </cell>
        </row>
        <row r="5138">
          <cell r="B5138" t="str">
            <v>1732-06</v>
          </cell>
          <cell r="C5138" t="str">
            <v>PISTON</v>
          </cell>
          <cell r="D5138">
            <v>354.5</v>
          </cell>
          <cell r="N5138" t="str">
            <v>1732-06</v>
          </cell>
          <cell r="O5138" t="str">
            <v>PISTON</v>
          </cell>
          <cell r="P5138">
            <v>709</v>
          </cell>
        </row>
        <row r="5139">
          <cell r="B5139" t="str">
            <v>1732-09</v>
          </cell>
          <cell r="C5139" t="str">
            <v>PISTON</v>
          </cell>
          <cell r="D5139">
            <v>354.5</v>
          </cell>
          <cell r="N5139" t="str">
            <v>1732-09</v>
          </cell>
          <cell r="O5139" t="str">
            <v>PISTON</v>
          </cell>
          <cell r="P5139">
            <v>709</v>
          </cell>
        </row>
        <row r="5140">
          <cell r="B5140" t="str">
            <v>1732-10</v>
          </cell>
          <cell r="C5140" t="str">
            <v>PISTON</v>
          </cell>
          <cell r="D5140">
            <v>354.5</v>
          </cell>
          <cell r="N5140" t="str">
            <v>1732-10</v>
          </cell>
          <cell r="O5140" t="str">
            <v>PISTON</v>
          </cell>
          <cell r="P5140">
            <v>709</v>
          </cell>
        </row>
        <row r="5141">
          <cell r="B5141" t="str">
            <v>1732-14</v>
          </cell>
          <cell r="C5141" t="str">
            <v>PISTON</v>
          </cell>
          <cell r="D5141">
            <v>354.5</v>
          </cell>
          <cell r="N5141" t="str">
            <v>1732-14</v>
          </cell>
          <cell r="O5141" t="str">
            <v>PISTON</v>
          </cell>
          <cell r="P5141">
            <v>709</v>
          </cell>
        </row>
        <row r="5142">
          <cell r="B5142" t="str">
            <v>1801-05</v>
          </cell>
          <cell r="C5142" t="str">
            <v>PISTON</v>
          </cell>
          <cell r="D5142">
            <v>354.5</v>
          </cell>
          <cell r="N5142" t="str">
            <v>1801-05</v>
          </cell>
          <cell r="O5142" t="str">
            <v>PISTON</v>
          </cell>
          <cell r="P5142">
            <v>709</v>
          </cell>
        </row>
        <row r="5143">
          <cell r="B5143" t="str">
            <v>1468-00</v>
          </cell>
          <cell r="C5143" t="str">
            <v>HUB(SANDEN)</v>
          </cell>
          <cell r="D5143">
            <v>355</v>
          </cell>
          <cell r="N5143" t="str">
            <v>1468-00</v>
          </cell>
          <cell r="O5143" t="str">
            <v>HUB(SANDEN)</v>
          </cell>
          <cell r="P5143">
            <v>710</v>
          </cell>
        </row>
        <row r="5144">
          <cell r="B5144" t="str">
            <v>1645-02</v>
          </cell>
          <cell r="C5144" t="str">
            <v>PISTON</v>
          </cell>
          <cell r="D5144">
            <v>355</v>
          </cell>
          <cell r="N5144" t="str">
            <v>1645-02</v>
          </cell>
          <cell r="O5144" t="str">
            <v>PISTON</v>
          </cell>
          <cell r="P5144">
            <v>710</v>
          </cell>
        </row>
        <row r="5145">
          <cell r="B5145" t="str">
            <v>1655-00</v>
          </cell>
          <cell r="C5145" t="str">
            <v>PISTON</v>
          </cell>
          <cell r="D5145">
            <v>347.5</v>
          </cell>
          <cell r="N5145" t="str">
            <v>1655-00</v>
          </cell>
          <cell r="O5145" t="str">
            <v>PISTON</v>
          </cell>
          <cell r="P5145">
            <v>695</v>
          </cell>
        </row>
        <row r="5146">
          <cell r="B5146" t="str">
            <v>1655-00</v>
          </cell>
          <cell r="C5146" t="str">
            <v>PISTON</v>
          </cell>
          <cell r="D5146">
            <v>347.5</v>
          </cell>
          <cell r="N5146" t="str">
            <v>1655-00</v>
          </cell>
          <cell r="O5146" t="str">
            <v>PISTON</v>
          </cell>
          <cell r="P5146">
            <v>695</v>
          </cell>
        </row>
        <row r="5147">
          <cell r="B5147" t="str">
            <v>1661-02</v>
          </cell>
          <cell r="C5147" t="str">
            <v>PISTON</v>
          </cell>
          <cell r="D5147">
            <v>355</v>
          </cell>
          <cell r="N5147" t="str">
            <v>1661-02</v>
          </cell>
          <cell r="O5147" t="str">
            <v>PISTON</v>
          </cell>
          <cell r="P5147">
            <v>710</v>
          </cell>
        </row>
        <row r="5148">
          <cell r="B5148" t="str">
            <v>1810-00</v>
          </cell>
          <cell r="C5148" t="str">
            <v>PISTON</v>
          </cell>
          <cell r="D5148">
            <v>355</v>
          </cell>
          <cell r="N5148" t="str">
            <v>1810-00</v>
          </cell>
          <cell r="O5148" t="str">
            <v>PISTON</v>
          </cell>
          <cell r="P5148">
            <v>710</v>
          </cell>
        </row>
        <row r="5149">
          <cell r="B5149" t="str">
            <v>1810-00</v>
          </cell>
          <cell r="C5149" t="str">
            <v>PISTON</v>
          </cell>
          <cell r="D5149">
            <v>355</v>
          </cell>
          <cell r="N5149" t="str">
            <v>1810-00</v>
          </cell>
          <cell r="O5149" t="str">
            <v>PISTON</v>
          </cell>
          <cell r="P5149">
            <v>710</v>
          </cell>
        </row>
        <row r="5150">
          <cell r="B5150" t="str">
            <v>669-05</v>
          </cell>
          <cell r="C5150" t="str">
            <v>ROD GUIDE ASS'Y</v>
          </cell>
          <cell r="D5150">
            <v>301.5</v>
          </cell>
          <cell r="N5150" t="str">
            <v>669-05</v>
          </cell>
          <cell r="O5150" t="str">
            <v>ROD GUIDE ASS'Y</v>
          </cell>
          <cell r="P5150">
            <v>603</v>
          </cell>
        </row>
        <row r="5151">
          <cell r="B5151" t="str">
            <v>1386-05</v>
          </cell>
          <cell r="C5151" t="str">
            <v>PISTON</v>
          </cell>
          <cell r="D5151">
            <v>344.5</v>
          </cell>
          <cell r="N5151" t="str">
            <v>1386-05</v>
          </cell>
          <cell r="O5151" t="str">
            <v>PISTON</v>
          </cell>
          <cell r="P5151">
            <v>689</v>
          </cell>
        </row>
        <row r="5152">
          <cell r="B5152" t="str">
            <v>1732-11</v>
          </cell>
          <cell r="C5152" t="str">
            <v>PISTON</v>
          </cell>
          <cell r="D5152">
            <v>355.5</v>
          </cell>
          <cell r="N5152" t="str">
            <v>1732-11</v>
          </cell>
          <cell r="O5152" t="str">
            <v>PISTON</v>
          </cell>
          <cell r="P5152">
            <v>711</v>
          </cell>
        </row>
        <row r="5153">
          <cell r="B5153" t="str">
            <v>1732-07</v>
          </cell>
          <cell r="C5153" t="str">
            <v>PISTON</v>
          </cell>
          <cell r="D5153">
            <v>356</v>
          </cell>
          <cell r="N5153" t="str">
            <v>1732-07</v>
          </cell>
          <cell r="O5153" t="str">
            <v>PISTON</v>
          </cell>
          <cell r="P5153">
            <v>712</v>
          </cell>
        </row>
        <row r="5154">
          <cell r="B5154" t="str">
            <v>726-05</v>
          </cell>
          <cell r="C5154" t="str">
            <v>ROD GUIDE ASS'Y</v>
          </cell>
          <cell r="D5154">
            <v>352.5</v>
          </cell>
          <cell r="N5154" t="str">
            <v>726-05</v>
          </cell>
          <cell r="O5154" t="str">
            <v>ROD GUIDE ASS'Y</v>
          </cell>
          <cell r="P5154">
            <v>705</v>
          </cell>
        </row>
        <row r="5155">
          <cell r="B5155" t="str">
            <v>896-01</v>
          </cell>
          <cell r="C5155" t="str">
            <v>BODY</v>
          </cell>
          <cell r="D5155">
            <v>346.5</v>
          </cell>
          <cell r="N5155" t="str">
            <v>896-01</v>
          </cell>
          <cell r="O5155" t="str">
            <v>BODY</v>
          </cell>
          <cell r="P5155">
            <v>693</v>
          </cell>
        </row>
        <row r="5156">
          <cell r="B5156" t="str">
            <v>1187-00</v>
          </cell>
          <cell r="C5156" t="str">
            <v>BODY</v>
          </cell>
          <cell r="D5156">
            <v>356.5</v>
          </cell>
          <cell r="N5156" t="str">
            <v>1187-00</v>
          </cell>
          <cell r="O5156" t="str">
            <v>BODY</v>
          </cell>
          <cell r="P5156">
            <v>713</v>
          </cell>
        </row>
        <row r="5157">
          <cell r="B5157" t="str">
            <v>1289-14</v>
          </cell>
          <cell r="C5157" t="str">
            <v>PISTON</v>
          </cell>
          <cell r="D5157">
            <v>350</v>
          </cell>
          <cell r="N5157" t="str">
            <v>1289-14</v>
          </cell>
          <cell r="O5157" t="str">
            <v>PISTON</v>
          </cell>
          <cell r="P5157">
            <v>700</v>
          </cell>
        </row>
        <row r="5158">
          <cell r="B5158" t="str">
            <v>1386-08</v>
          </cell>
          <cell r="C5158" t="str">
            <v>PISTON</v>
          </cell>
          <cell r="D5158">
            <v>345.5</v>
          </cell>
          <cell r="N5158" t="str">
            <v>1386-08</v>
          </cell>
          <cell r="O5158" t="str">
            <v>PISTON</v>
          </cell>
          <cell r="P5158">
            <v>691</v>
          </cell>
        </row>
        <row r="5159">
          <cell r="B5159" t="str">
            <v>1386-10</v>
          </cell>
          <cell r="C5159" t="str">
            <v>PISTON</v>
          </cell>
          <cell r="D5159">
            <v>353.5</v>
          </cell>
          <cell r="N5159" t="str">
            <v>1386-10</v>
          </cell>
          <cell r="O5159" t="str">
            <v>PISTON</v>
          </cell>
          <cell r="P5159">
            <v>707</v>
          </cell>
        </row>
        <row r="5160">
          <cell r="B5160" t="str">
            <v>1838-00</v>
          </cell>
          <cell r="C5160" t="str">
            <v>HUB</v>
          </cell>
          <cell r="D5160">
            <v>427.8</v>
          </cell>
          <cell r="N5160" t="str">
            <v>1838-00</v>
          </cell>
          <cell r="O5160" t="str">
            <v>HUB</v>
          </cell>
          <cell r="P5160">
            <v>713</v>
          </cell>
        </row>
        <row r="5161">
          <cell r="B5161" t="str">
            <v>1838-00</v>
          </cell>
          <cell r="C5161" t="str">
            <v>HUB</v>
          </cell>
          <cell r="D5161">
            <v>427.8</v>
          </cell>
          <cell r="N5161" t="str">
            <v>1838-00</v>
          </cell>
          <cell r="O5161" t="str">
            <v>HUB</v>
          </cell>
          <cell r="P5161">
            <v>713</v>
          </cell>
        </row>
        <row r="5162">
          <cell r="B5162" t="str">
            <v>1838-00</v>
          </cell>
          <cell r="C5162" t="str">
            <v>HUB</v>
          </cell>
          <cell r="D5162">
            <v>427.8</v>
          </cell>
          <cell r="N5162" t="str">
            <v>1838-00</v>
          </cell>
          <cell r="O5162" t="str">
            <v>HUB</v>
          </cell>
          <cell r="P5162">
            <v>713</v>
          </cell>
        </row>
        <row r="5163">
          <cell r="B5163" t="str">
            <v>1838-00</v>
          </cell>
          <cell r="C5163" t="str">
            <v>HUB</v>
          </cell>
          <cell r="D5163">
            <v>427.8</v>
          </cell>
          <cell r="N5163" t="str">
            <v>1838-00</v>
          </cell>
          <cell r="O5163" t="str">
            <v>HUB</v>
          </cell>
          <cell r="P5163">
            <v>713</v>
          </cell>
        </row>
        <row r="5164">
          <cell r="B5164" t="str">
            <v>1838-00</v>
          </cell>
          <cell r="C5164" t="str">
            <v>HUB</v>
          </cell>
          <cell r="D5164">
            <v>427.8</v>
          </cell>
          <cell r="N5164" t="str">
            <v>1838-00</v>
          </cell>
          <cell r="O5164" t="str">
            <v>HUB</v>
          </cell>
          <cell r="P5164">
            <v>713</v>
          </cell>
        </row>
        <row r="5165">
          <cell r="B5165" t="str">
            <v>1838-00</v>
          </cell>
          <cell r="C5165" t="str">
            <v>HUB</v>
          </cell>
          <cell r="D5165">
            <v>427.8</v>
          </cell>
          <cell r="N5165" t="str">
            <v>1838-00</v>
          </cell>
          <cell r="O5165" t="str">
            <v>HUB</v>
          </cell>
          <cell r="P5165">
            <v>713</v>
          </cell>
        </row>
        <row r="5166">
          <cell r="B5166" t="str">
            <v>2017-01</v>
          </cell>
          <cell r="C5166" t="str">
            <v>PISTON</v>
          </cell>
          <cell r="D5166">
            <v>356.5</v>
          </cell>
          <cell r="N5166" t="str">
            <v>2017-01</v>
          </cell>
          <cell r="O5166" t="str">
            <v>PISTON</v>
          </cell>
          <cell r="P5166">
            <v>713</v>
          </cell>
        </row>
        <row r="5167">
          <cell r="B5167" t="str">
            <v>2017-01</v>
          </cell>
          <cell r="C5167" t="str">
            <v>PISTON</v>
          </cell>
          <cell r="D5167">
            <v>356.5</v>
          </cell>
          <cell r="N5167" t="str">
            <v>2017-01</v>
          </cell>
          <cell r="O5167" t="str">
            <v>PISTON</v>
          </cell>
          <cell r="P5167">
            <v>713</v>
          </cell>
        </row>
        <row r="5168">
          <cell r="B5168" t="str">
            <v>1268-00</v>
          </cell>
          <cell r="C5168" t="str">
            <v>SUPPORT YOKE ASS'Y</v>
          </cell>
          <cell r="D5168">
            <v>295.5</v>
          </cell>
          <cell r="N5168" t="str">
            <v>1268-00</v>
          </cell>
          <cell r="O5168" t="str">
            <v>SUPPORT YOKE ASS'Y</v>
          </cell>
          <cell r="P5168">
            <v>591</v>
          </cell>
        </row>
        <row r="5169">
          <cell r="B5169" t="str">
            <v>1352-13</v>
          </cell>
          <cell r="C5169" t="str">
            <v>PISTON</v>
          </cell>
          <cell r="D5169">
            <v>351</v>
          </cell>
          <cell r="N5169" t="str">
            <v>1352-13</v>
          </cell>
          <cell r="O5169" t="str">
            <v>PISTON</v>
          </cell>
          <cell r="P5169">
            <v>702</v>
          </cell>
        </row>
        <row r="5170">
          <cell r="B5170" t="str">
            <v>1352-35</v>
          </cell>
          <cell r="C5170" t="str">
            <v>PISTON</v>
          </cell>
          <cell r="D5170">
            <v>357</v>
          </cell>
          <cell r="N5170" t="str">
            <v>1352-35</v>
          </cell>
          <cell r="O5170" t="str">
            <v>PISTON</v>
          </cell>
          <cell r="P5170">
            <v>714</v>
          </cell>
        </row>
        <row r="5171">
          <cell r="B5171" t="str">
            <v>893-06</v>
          </cell>
          <cell r="C5171" t="str">
            <v>PISTON</v>
          </cell>
          <cell r="D5171">
            <v>357</v>
          </cell>
          <cell r="N5171" t="str">
            <v>893-06</v>
          </cell>
          <cell r="O5171" t="str">
            <v>PISTON</v>
          </cell>
          <cell r="P5171">
            <v>714</v>
          </cell>
        </row>
        <row r="5172">
          <cell r="B5172" t="str">
            <v>992-00</v>
          </cell>
          <cell r="C5172" t="str">
            <v>HOLDER</v>
          </cell>
          <cell r="D5172">
            <v>428.4</v>
          </cell>
          <cell r="N5172" t="str">
            <v>992-00</v>
          </cell>
          <cell r="O5172" t="str">
            <v>HOLDER</v>
          </cell>
          <cell r="P5172">
            <v>714</v>
          </cell>
        </row>
        <row r="5173">
          <cell r="B5173" t="str">
            <v>1149-02</v>
          </cell>
          <cell r="C5173" t="str">
            <v>SUPPORT YOKE ASS'Y</v>
          </cell>
          <cell r="D5173">
            <v>357.5</v>
          </cell>
          <cell r="N5173" t="str">
            <v>1149-02</v>
          </cell>
          <cell r="O5173" t="str">
            <v>SUPPORT YOKE ASS'Y</v>
          </cell>
          <cell r="P5173">
            <v>715</v>
          </cell>
        </row>
        <row r="5174">
          <cell r="B5174" t="str">
            <v>1352-22</v>
          </cell>
          <cell r="C5174" t="str">
            <v>PISTON</v>
          </cell>
          <cell r="D5174">
            <v>348</v>
          </cell>
          <cell r="N5174" t="str">
            <v>1352-22</v>
          </cell>
          <cell r="O5174" t="str">
            <v>PISTON</v>
          </cell>
          <cell r="P5174">
            <v>696</v>
          </cell>
        </row>
        <row r="5175">
          <cell r="B5175" t="str">
            <v>588-38</v>
          </cell>
          <cell r="C5175" t="str">
            <v>PISTON</v>
          </cell>
          <cell r="D5175">
            <v>197</v>
          </cell>
          <cell r="N5175" t="str">
            <v>588-38</v>
          </cell>
          <cell r="O5175" t="str">
            <v>PISTON</v>
          </cell>
          <cell r="P5175">
            <v>394</v>
          </cell>
        </row>
        <row r="5176">
          <cell r="B5176" t="str">
            <v>1352-26</v>
          </cell>
          <cell r="C5176" t="str">
            <v>PISTON</v>
          </cell>
          <cell r="D5176">
            <v>358.5</v>
          </cell>
          <cell r="N5176" t="str">
            <v>1352-26</v>
          </cell>
          <cell r="O5176" t="str">
            <v>PISTON</v>
          </cell>
          <cell r="P5176">
            <v>717</v>
          </cell>
        </row>
        <row r="5177">
          <cell r="B5177" t="str">
            <v>1587-04</v>
          </cell>
          <cell r="C5177" t="str">
            <v>PISTON</v>
          </cell>
          <cell r="D5177">
            <v>346</v>
          </cell>
          <cell r="N5177" t="str">
            <v>1587-04</v>
          </cell>
          <cell r="O5177" t="str">
            <v>PISTON</v>
          </cell>
          <cell r="P5177">
            <v>692</v>
          </cell>
        </row>
        <row r="5178">
          <cell r="B5178" t="str">
            <v>1382-00</v>
          </cell>
          <cell r="C5178" t="str">
            <v>SUPPORT YOKE ASS'Y</v>
          </cell>
          <cell r="D5178">
            <v>303</v>
          </cell>
          <cell r="N5178" t="str">
            <v>1382-00</v>
          </cell>
          <cell r="O5178" t="str">
            <v>SUPPORT YOKE ASS'Y</v>
          </cell>
          <cell r="P5178">
            <v>606</v>
          </cell>
        </row>
        <row r="5179">
          <cell r="B5179" t="str">
            <v>556-06</v>
          </cell>
          <cell r="C5179" t="str">
            <v>PISTON</v>
          </cell>
          <cell r="D5179">
            <v>359</v>
          </cell>
          <cell r="N5179" t="str">
            <v>556-06</v>
          </cell>
          <cell r="O5179" t="str">
            <v>PISTON</v>
          </cell>
          <cell r="P5179">
            <v>718</v>
          </cell>
        </row>
        <row r="5180">
          <cell r="B5180" t="str">
            <v>1149-02</v>
          </cell>
          <cell r="C5180" t="str">
            <v>SUPPORT YOKE ASS'Y</v>
          </cell>
          <cell r="D5180">
            <v>357.5</v>
          </cell>
          <cell r="N5180" t="str">
            <v>1149-02</v>
          </cell>
          <cell r="O5180" t="str">
            <v>SUPPORT YOKE ASS'Y</v>
          </cell>
          <cell r="P5180">
            <v>715</v>
          </cell>
        </row>
        <row r="5181">
          <cell r="B5181" t="str">
            <v>1352-19</v>
          </cell>
          <cell r="C5181" t="str">
            <v>PISTON</v>
          </cell>
          <cell r="D5181">
            <v>353</v>
          </cell>
          <cell r="N5181" t="str">
            <v>1352-19</v>
          </cell>
          <cell r="O5181" t="str">
            <v>PISTON</v>
          </cell>
          <cell r="P5181">
            <v>706</v>
          </cell>
        </row>
        <row r="5182">
          <cell r="B5182" t="str">
            <v>1352-21</v>
          </cell>
          <cell r="C5182" t="str">
            <v>PISTON</v>
          </cell>
          <cell r="D5182">
            <v>347.5</v>
          </cell>
          <cell r="N5182" t="str">
            <v>1352-21</v>
          </cell>
          <cell r="O5182" t="str">
            <v>PISTON</v>
          </cell>
          <cell r="P5182">
            <v>695</v>
          </cell>
        </row>
        <row r="5183">
          <cell r="B5183" t="str">
            <v>1732-16</v>
          </cell>
          <cell r="C5183" t="str">
            <v>PISTON</v>
          </cell>
          <cell r="D5183">
            <v>360</v>
          </cell>
          <cell r="N5183" t="str">
            <v>1732-16</v>
          </cell>
          <cell r="O5183" t="str">
            <v>PISTON</v>
          </cell>
          <cell r="P5183">
            <v>720</v>
          </cell>
        </row>
        <row r="5184">
          <cell r="B5184" t="str">
            <v>1812-00</v>
          </cell>
          <cell r="C5184" t="str">
            <v>PISTON</v>
          </cell>
          <cell r="D5184">
            <v>360</v>
          </cell>
          <cell r="N5184" t="str">
            <v>1812-00</v>
          </cell>
          <cell r="O5184" t="str">
            <v>PISTON</v>
          </cell>
          <cell r="P5184">
            <v>720</v>
          </cell>
        </row>
        <row r="5185">
          <cell r="B5185" t="str">
            <v>1812-00</v>
          </cell>
          <cell r="C5185" t="str">
            <v>PISTON</v>
          </cell>
          <cell r="D5185">
            <v>360</v>
          </cell>
          <cell r="N5185" t="str">
            <v>1812-00</v>
          </cell>
          <cell r="O5185" t="str">
            <v>PISTON</v>
          </cell>
          <cell r="P5185">
            <v>720</v>
          </cell>
        </row>
        <row r="5186">
          <cell r="B5186" t="str">
            <v>1812-10</v>
          </cell>
          <cell r="C5186" t="str">
            <v>PISTON</v>
          </cell>
          <cell r="D5186">
            <v>360</v>
          </cell>
          <cell r="N5186" t="str">
            <v>1812-10</v>
          </cell>
          <cell r="O5186" t="str">
            <v>PISTON</v>
          </cell>
          <cell r="P5186">
            <v>720</v>
          </cell>
        </row>
        <row r="5187">
          <cell r="B5187" t="str">
            <v>1812-10</v>
          </cell>
          <cell r="C5187" t="str">
            <v>PISTON</v>
          </cell>
          <cell r="D5187">
            <v>360</v>
          </cell>
          <cell r="N5187" t="str">
            <v>1812-10</v>
          </cell>
          <cell r="O5187" t="str">
            <v>PISTON</v>
          </cell>
          <cell r="P5187">
            <v>720</v>
          </cell>
        </row>
        <row r="5188">
          <cell r="B5188" t="str">
            <v>1352-08</v>
          </cell>
          <cell r="C5188" t="str">
            <v>PISTON</v>
          </cell>
          <cell r="D5188">
            <v>350.5</v>
          </cell>
          <cell r="N5188" t="str">
            <v>1352-08</v>
          </cell>
          <cell r="O5188" t="str">
            <v>PISTON</v>
          </cell>
          <cell r="P5188">
            <v>701</v>
          </cell>
        </row>
        <row r="5189">
          <cell r="B5189" t="str">
            <v>1386-04</v>
          </cell>
          <cell r="C5189" t="str">
            <v>PISTON</v>
          </cell>
          <cell r="D5189">
            <v>360.5</v>
          </cell>
          <cell r="N5189" t="str">
            <v>1386-04</v>
          </cell>
          <cell r="O5189" t="str">
            <v>PISTON</v>
          </cell>
          <cell r="P5189">
            <v>721</v>
          </cell>
        </row>
        <row r="5190">
          <cell r="B5190" t="str">
            <v>1386-04</v>
          </cell>
          <cell r="C5190" t="str">
            <v>PISTON</v>
          </cell>
          <cell r="D5190">
            <v>360.5</v>
          </cell>
          <cell r="N5190" t="str">
            <v>1386-04</v>
          </cell>
          <cell r="O5190" t="str">
            <v>PISTON</v>
          </cell>
          <cell r="P5190">
            <v>721</v>
          </cell>
        </row>
        <row r="5191">
          <cell r="B5191" t="str">
            <v>1386-06</v>
          </cell>
          <cell r="C5191" t="str">
            <v>PISTON</v>
          </cell>
          <cell r="D5191">
            <v>360.5</v>
          </cell>
          <cell r="N5191" t="str">
            <v>1386-06</v>
          </cell>
          <cell r="O5191" t="str">
            <v>PISTON</v>
          </cell>
          <cell r="P5191">
            <v>721</v>
          </cell>
        </row>
        <row r="5192">
          <cell r="B5192" t="str">
            <v>1386-06</v>
          </cell>
          <cell r="C5192" t="str">
            <v>PISTON</v>
          </cell>
          <cell r="D5192">
            <v>360.5</v>
          </cell>
          <cell r="N5192" t="str">
            <v>1386-06</v>
          </cell>
          <cell r="O5192" t="str">
            <v>PISTON</v>
          </cell>
          <cell r="P5192">
            <v>721</v>
          </cell>
        </row>
        <row r="5193">
          <cell r="B5193" t="str">
            <v>1289-04</v>
          </cell>
          <cell r="C5193" t="str">
            <v>PISTON</v>
          </cell>
          <cell r="D5193">
            <v>346.5</v>
          </cell>
          <cell r="N5193" t="str">
            <v>1289-04</v>
          </cell>
          <cell r="O5193" t="str">
            <v>PISTON</v>
          </cell>
          <cell r="P5193">
            <v>693</v>
          </cell>
        </row>
        <row r="5194">
          <cell r="B5194" t="str">
            <v>1352-02</v>
          </cell>
          <cell r="C5194" t="str">
            <v>PISTON</v>
          </cell>
          <cell r="D5194">
            <v>328.5</v>
          </cell>
          <cell r="N5194" t="str">
            <v>1352-02</v>
          </cell>
          <cell r="O5194" t="str">
            <v>PISTON</v>
          </cell>
          <cell r="P5194">
            <v>657</v>
          </cell>
        </row>
        <row r="5195">
          <cell r="B5195" t="str">
            <v>1352-06</v>
          </cell>
          <cell r="C5195" t="str">
            <v>PISTON</v>
          </cell>
          <cell r="D5195">
            <v>326.5</v>
          </cell>
          <cell r="N5195" t="str">
            <v>1352-06</v>
          </cell>
          <cell r="O5195" t="str">
            <v>PISTON</v>
          </cell>
          <cell r="P5195">
            <v>653</v>
          </cell>
        </row>
        <row r="5196">
          <cell r="B5196" t="str">
            <v>896-01</v>
          </cell>
          <cell r="C5196" t="str">
            <v>BODY</v>
          </cell>
          <cell r="D5196">
            <v>346.5</v>
          </cell>
          <cell r="N5196" t="str">
            <v>896-01</v>
          </cell>
          <cell r="O5196" t="str">
            <v>BODY</v>
          </cell>
          <cell r="P5196">
            <v>693</v>
          </cell>
        </row>
        <row r="5197">
          <cell r="B5197" t="str">
            <v>1090-01</v>
          </cell>
          <cell r="C5197" t="str">
            <v>RETAINER GUIDE ASS'Y</v>
          </cell>
          <cell r="D5197">
            <v>361.5</v>
          </cell>
          <cell r="N5197" t="str">
            <v>1090-01</v>
          </cell>
          <cell r="O5197" t="str">
            <v>RETAINER GUIDE ASS'Y</v>
          </cell>
          <cell r="P5197">
            <v>723</v>
          </cell>
        </row>
        <row r="5198">
          <cell r="B5198" t="str">
            <v>1732-01</v>
          </cell>
          <cell r="C5198" t="str">
            <v>PISTON</v>
          </cell>
          <cell r="D5198">
            <v>361.5</v>
          </cell>
          <cell r="N5198" t="str">
            <v>1732-01</v>
          </cell>
          <cell r="O5198" t="str">
            <v>PISTON</v>
          </cell>
          <cell r="P5198">
            <v>723</v>
          </cell>
        </row>
        <row r="5199">
          <cell r="B5199" t="str">
            <v>1732-02</v>
          </cell>
          <cell r="C5199" t="str">
            <v>PISTON</v>
          </cell>
          <cell r="D5199">
            <v>361.5</v>
          </cell>
          <cell r="N5199" t="str">
            <v>1732-02</v>
          </cell>
          <cell r="O5199" t="str">
            <v>PISTON</v>
          </cell>
          <cell r="P5199">
            <v>723</v>
          </cell>
        </row>
        <row r="5200">
          <cell r="B5200" t="str">
            <v>1732-03</v>
          </cell>
          <cell r="C5200" t="str">
            <v>PISTON</v>
          </cell>
          <cell r="D5200">
            <v>361.5</v>
          </cell>
          <cell r="N5200" t="str">
            <v>1732-03</v>
          </cell>
          <cell r="O5200" t="str">
            <v>PISTON</v>
          </cell>
          <cell r="P5200">
            <v>723</v>
          </cell>
        </row>
        <row r="5201">
          <cell r="B5201" t="str">
            <v>1732-05</v>
          </cell>
          <cell r="C5201" t="str">
            <v>PISTON</v>
          </cell>
          <cell r="D5201">
            <v>361.5</v>
          </cell>
          <cell r="N5201" t="str">
            <v>1732-05</v>
          </cell>
          <cell r="O5201" t="str">
            <v>PISTON</v>
          </cell>
          <cell r="P5201">
            <v>723</v>
          </cell>
        </row>
        <row r="5202">
          <cell r="B5202" t="str">
            <v>1732-08</v>
          </cell>
          <cell r="C5202" t="str">
            <v>PISTON</v>
          </cell>
          <cell r="D5202">
            <v>361.5</v>
          </cell>
          <cell r="N5202" t="str">
            <v>1732-08</v>
          </cell>
          <cell r="O5202" t="str">
            <v>PISTON</v>
          </cell>
          <cell r="P5202">
            <v>723</v>
          </cell>
        </row>
        <row r="5203">
          <cell r="B5203" t="str">
            <v>1351-06</v>
          </cell>
          <cell r="C5203" t="str">
            <v>PISTON</v>
          </cell>
          <cell r="D5203">
            <v>362</v>
          </cell>
          <cell r="N5203" t="str">
            <v>1351-06</v>
          </cell>
          <cell r="O5203" t="str">
            <v>PISTON</v>
          </cell>
          <cell r="P5203">
            <v>724</v>
          </cell>
        </row>
        <row r="5204">
          <cell r="B5204" t="str">
            <v>1352-20</v>
          </cell>
          <cell r="C5204" t="str">
            <v>PISTON</v>
          </cell>
          <cell r="D5204">
            <v>338</v>
          </cell>
          <cell r="N5204" t="str">
            <v>1352-20</v>
          </cell>
          <cell r="O5204" t="str">
            <v>PISTON</v>
          </cell>
          <cell r="P5204">
            <v>676</v>
          </cell>
        </row>
        <row r="5205">
          <cell r="B5205" t="str">
            <v>2042-00</v>
          </cell>
          <cell r="C5205" t="str">
            <v>ROD GUIDE ASS'Y</v>
          </cell>
          <cell r="D5205">
            <v>362.5</v>
          </cell>
          <cell r="N5205" t="str">
            <v>2042-00</v>
          </cell>
          <cell r="O5205" t="str">
            <v>ROD GUIDE ASS'Y</v>
          </cell>
          <cell r="P5205">
            <v>725</v>
          </cell>
        </row>
        <row r="5206">
          <cell r="B5206" t="str">
            <v>2101-00</v>
          </cell>
          <cell r="C5206" t="str">
            <v>Carrier Ass'y</v>
          </cell>
          <cell r="D5206">
            <v>435</v>
          </cell>
          <cell r="N5206" t="str">
            <v>2101-00</v>
          </cell>
          <cell r="O5206" t="str">
            <v>Carrier Ass'y</v>
          </cell>
          <cell r="P5206">
            <v>725</v>
          </cell>
        </row>
        <row r="5207">
          <cell r="B5207" t="str">
            <v>1352-25</v>
          </cell>
          <cell r="C5207" t="str">
            <v>PISTON</v>
          </cell>
          <cell r="D5207">
            <v>347.5</v>
          </cell>
          <cell r="N5207" t="str">
            <v>1352-25</v>
          </cell>
          <cell r="O5207" t="str">
            <v>PISTON</v>
          </cell>
          <cell r="P5207">
            <v>695</v>
          </cell>
        </row>
        <row r="5208">
          <cell r="B5208" t="str">
            <v>1352-27</v>
          </cell>
          <cell r="C5208" t="str">
            <v>PISTON</v>
          </cell>
          <cell r="D5208">
            <v>363</v>
          </cell>
          <cell r="N5208" t="str">
            <v>1352-27</v>
          </cell>
          <cell r="O5208" t="str">
            <v>PISTON</v>
          </cell>
          <cell r="P5208">
            <v>726</v>
          </cell>
        </row>
        <row r="5209">
          <cell r="B5209" t="str">
            <v>1353-03</v>
          </cell>
          <cell r="C5209" t="str">
            <v>PISTON</v>
          </cell>
          <cell r="D5209">
            <v>363</v>
          </cell>
          <cell r="N5209" t="str">
            <v>1353-03</v>
          </cell>
          <cell r="O5209" t="str">
            <v>PISTON</v>
          </cell>
          <cell r="P5209">
            <v>726</v>
          </cell>
        </row>
        <row r="5210">
          <cell r="B5210" t="str">
            <v>1353-04</v>
          </cell>
          <cell r="C5210" t="str">
            <v>PISTON</v>
          </cell>
          <cell r="D5210">
            <v>363</v>
          </cell>
          <cell r="N5210" t="str">
            <v>1353-04</v>
          </cell>
          <cell r="O5210" t="str">
            <v>PISTON</v>
          </cell>
          <cell r="P5210">
            <v>726</v>
          </cell>
        </row>
        <row r="5211">
          <cell r="B5211" t="str">
            <v>1352-12</v>
          </cell>
          <cell r="C5211" t="str">
            <v>PISTON</v>
          </cell>
          <cell r="D5211">
            <v>363.5</v>
          </cell>
          <cell r="N5211" t="str">
            <v>1352-12</v>
          </cell>
          <cell r="O5211" t="str">
            <v>PISTON</v>
          </cell>
          <cell r="P5211">
            <v>727</v>
          </cell>
        </row>
        <row r="5212">
          <cell r="B5212" t="str">
            <v>1352-12</v>
          </cell>
          <cell r="C5212" t="str">
            <v>PISTON</v>
          </cell>
          <cell r="D5212">
            <v>363.5</v>
          </cell>
          <cell r="N5212" t="str">
            <v>1352-12</v>
          </cell>
          <cell r="O5212" t="str">
            <v>PISTON</v>
          </cell>
          <cell r="P5212">
            <v>727</v>
          </cell>
        </row>
        <row r="5213">
          <cell r="B5213" t="str">
            <v>1352-18</v>
          </cell>
          <cell r="C5213" t="str">
            <v>PISTON</v>
          </cell>
          <cell r="D5213">
            <v>363.5</v>
          </cell>
          <cell r="N5213" t="str">
            <v>1352-18</v>
          </cell>
          <cell r="O5213" t="str">
            <v>PISTON</v>
          </cell>
          <cell r="P5213">
            <v>727</v>
          </cell>
        </row>
        <row r="5214">
          <cell r="B5214" t="str">
            <v>1352-18</v>
          </cell>
          <cell r="C5214" t="str">
            <v>PISTON</v>
          </cell>
          <cell r="D5214">
            <v>363.5</v>
          </cell>
          <cell r="N5214" t="str">
            <v>1352-18</v>
          </cell>
          <cell r="O5214" t="str">
            <v>PISTON</v>
          </cell>
          <cell r="P5214">
            <v>727</v>
          </cell>
        </row>
        <row r="5215">
          <cell r="B5215" t="str">
            <v>1353-02</v>
          </cell>
          <cell r="C5215" t="str">
            <v>PISTON</v>
          </cell>
          <cell r="D5215">
            <v>363.5</v>
          </cell>
          <cell r="N5215" t="str">
            <v>1353-02</v>
          </cell>
          <cell r="O5215" t="str">
            <v>PISTON</v>
          </cell>
          <cell r="P5215">
            <v>727</v>
          </cell>
        </row>
        <row r="5216">
          <cell r="B5216" t="str">
            <v>1353-05</v>
          </cell>
          <cell r="C5216" t="str">
            <v>PISTON</v>
          </cell>
          <cell r="D5216">
            <v>363.5</v>
          </cell>
          <cell r="N5216" t="str">
            <v>1353-05</v>
          </cell>
          <cell r="O5216" t="str">
            <v>PISTON</v>
          </cell>
          <cell r="P5216">
            <v>727</v>
          </cell>
        </row>
        <row r="5217">
          <cell r="B5217" t="str">
            <v>1353-06</v>
          </cell>
          <cell r="C5217" t="str">
            <v>PISTON</v>
          </cell>
          <cell r="D5217">
            <v>363.5</v>
          </cell>
          <cell r="N5217" t="str">
            <v>1353-06</v>
          </cell>
          <cell r="O5217" t="str">
            <v>PISTON</v>
          </cell>
          <cell r="P5217">
            <v>727</v>
          </cell>
        </row>
        <row r="5218">
          <cell r="B5218" t="str">
            <v>1353-07</v>
          </cell>
          <cell r="C5218" t="str">
            <v>PISTON</v>
          </cell>
          <cell r="D5218">
            <v>363.5</v>
          </cell>
          <cell r="N5218" t="str">
            <v>1353-07</v>
          </cell>
          <cell r="O5218" t="str">
            <v>PISTON</v>
          </cell>
          <cell r="P5218">
            <v>727</v>
          </cell>
        </row>
        <row r="5219">
          <cell r="B5219" t="str">
            <v>2054-00</v>
          </cell>
          <cell r="C5219" t="str">
            <v>PISTON</v>
          </cell>
          <cell r="D5219">
            <v>363.5</v>
          </cell>
          <cell r="N5219" t="str">
            <v>2054-00</v>
          </cell>
          <cell r="O5219" t="str">
            <v>PISTON</v>
          </cell>
          <cell r="P5219">
            <v>727</v>
          </cell>
        </row>
        <row r="5220">
          <cell r="B5220" t="str">
            <v>714-02</v>
          </cell>
          <cell r="C5220" t="str">
            <v>PISTON</v>
          </cell>
          <cell r="D5220">
            <v>237</v>
          </cell>
          <cell r="N5220" t="str">
            <v>714-02</v>
          </cell>
          <cell r="O5220" t="str">
            <v>PISTON</v>
          </cell>
          <cell r="P5220">
            <v>474</v>
          </cell>
        </row>
        <row r="5221">
          <cell r="B5221" t="str">
            <v>829-00</v>
          </cell>
          <cell r="C5221" t="str">
            <v>HUB</v>
          </cell>
          <cell r="D5221">
            <v>414.59999999999997</v>
          </cell>
          <cell r="N5221" t="str">
            <v>829-00</v>
          </cell>
          <cell r="O5221" t="str">
            <v>HUB</v>
          </cell>
          <cell r="P5221">
            <v>691</v>
          </cell>
        </row>
        <row r="5222">
          <cell r="B5222" t="str">
            <v>535-00</v>
          </cell>
          <cell r="C5222" t="str">
            <v>LEVER</v>
          </cell>
          <cell r="D5222">
            <v>436.8</v>
          </cell>
          <cell r="N5222" t="str">
            <v>535-00</v>
          </cell>
          <cell r="O5222" t="str">
            <v>LEVER</v>
          </cell>
          <cell r="P5222">
            <v>728</v>
          </cell>
        </row>
        <row r="5223">
          <cell r="B5223" t="str">
            <v>1289-13</v>
          </cell>
          <cell r="C5223" t="str">
            <v>PISTON</v>
          </cell>
          <cell r="D5223">
            <v>364.5</v>
          </cell>
          <cell r="N5223" t="str">
            <v>1289-13</v>
          </cell>
          <cell r="O5223" t="str">
            <v>PISTON</v>
          </cell>
          <cell r="P5223">
            <v>729</v>
          </cell>
        </row>
        <row r="5224">
          <cell r="B5224" t="str">
            <v>1289-14</v>
          </cell>
          <cell r="C5224" t="str">
            <v>PISTON</v>
          </cell>
          <cell r="D5224">
            <v>350</v>
          </cell>
          <cell r="N5224" t="str">
            <v>1289-14</v>
          </cell>
          <cell r="O5224" t="str">
            <v>PISTON</v>
          </cell>
          <cell r="P5224">
            <v>700</v>
          </cell>
        </row>
        <row r="5225">
          <cell r="B5225" t="str">
            <v>1440-04</v>
          </cell>
          <cell r="C5225" t="str">
            <v>PISTON</v>
          </cell>
          <cell r="D5225">
            <v>364.5</v>
          </cell>
          <cell r="N5225" t="str">
            <v>1440-04</v>
          </cell>
          <cell r="O5225" t="str">
            <v>PISTON</v>
          </cell>
          <cell r="P5225">
            <v>729</v>
          </cell>
        </row>
        <row r="5226">
          <cell r="B5226" t="str">
            <v>671-53</v>
          </cell>
          <cell r="C5226" t="str">
            <v>PISTON</v>
          </cell>
          <cell r="D5226">
            <v>364.5</v>
          </cell>
          <cell r="N5226" t="str">
            <v>671-53</v>
          </cell>
          <cell r="O5226" t="str">
            <v>PISTON</v>
          </cell>
          <cell r="P5226">
            <v>729</v>
          </cell>
        </row>
        <row r="5227">
          <cell r="B5227" t="str">
            <v>1181-10</v>
          </cell>
          <cell r="C5227" t="str">
            <v>VALVE PISTON</v>
          </cell>
          <cell r="D5227">
            <v>365</v>
          </cell>
          <cell r="N5227" t="str">
            <v>1181-10</v>
          </cell>
          <cell r="O5227" t="str">
            <v>VALVE PISTON</v>
          </cell>
          <cell r="P5227">
            <v>730</v>
          </cell>
        </row>
        <row r="5228">
          <cell r="B5228" t="str">
            <v>1181-10</v>
          </cell>
          <cell r="C5228" t="str">
            <v>VALVE PISTON</v>
          </cell>
          <cell r="D5228">
            <v>365</v>
          </cell>
          <cell r="N5228" t="str">
            <v>1181-10</v>
          </cell>
          <cell r="O5228" t="str">
            <v>VALVE PISTON</v>
          </cell>
          <cell r="P5228">
            <v>730</v>
          </cell>
        </row>
        <row r="5229">
          <cell r="B5229" t="str">
            <v>1288-03</v>
          </cell>
          <cell r="C5229" t="str">
            <v>PISTON</v>
          </cell>
          <cell r="D5229">
            <v>365</v>
          </cell>
          <cell r="N5229" t="str">
            <v>1288-03</v>
          </cell>
          <cell r="O5229" t="str">
            <v>PISTON</v>
          </cell>
          <cell r="P5229">
            <v>730</v>
          </cell>
        </row>
        <row r="5230">
          <cell r="B5230" t="str">
            <v>1440-01</v>
          </cell>
          <cell r="C5230" t="str">
            <v>PISTON</v>
          </cell>
          <cell r="D5230">
            <v>365</v>
          </cell>
          <cell r="N5230" t="str">
            <v>1440-01</v>
          </cell>
          <cell r="O5230" t="str">
            <v>PISTON</v>
          </cell>
          <cell r="P5230">
            <v>730</v>
          </cell>
        </row>
        <row r="5231">
          <cell r="B5231" t="str">
            <v>1461-01</v>
          </cell>
          <cell r="C5231" t="str">
            <v>PISTON</v>
          </cell>
          <cell r="D5231">
            <v>162.5</v>
          </cell>
          <cell r="N5231" t="str">
            <v>1461-01</v>
          </cell>
          <cell r="O5231" t="str">
            <v>PISTON</v>
          </cell>
          <cell r="P5231">
            <v>325</v>
          </cell>
        </row>
        <row r="5232">
          <cell r="B5232" t="str">
            <v>1461-01</v>
          </cell>
          <cell r="C5232" t="str">
            <v>PISTON</v>
          </cell>
          <cell r="D5232">
            <v>162.5</v>
          </cell>
          <cell r="N5232" t="str">
            <v>1461-01</v>
          </cell>
          <cell r="O5232" t="str">
            <v>PISTON</v>
          </cell>
          <cell r="P5232">
            <v>325</v>
          </cell>
        </row>
        <row r="5233">
          <cell r="B5233" t="str">
            <v>1655-00</v>
          </cell>
          <cell r="C5233" t="str">
            <v>PISTON</v>
          </cell>
          <cell r="D5233">
            <v>347.5</v>
          </cell>
          <cell r="N5233" t="str">
            <v>1655-00</v>
          </cell>
          <cell r="O5233" t="str">
            <v>PISTON</v>
          </cell>
          <cell r="P5233">
            <v>695</v>
          </cell>
        </row>
        <row r="5234">
          <cell r="B5234" t="str">
            <v>1655-00</v>
          </cell>
          <cell r="C5234" t="str">
            <v>PISTON</v>
          </cell>
          <cell r="D5234">
            <v>347.5</v>
          </cell>
          <cell r="N5234" t="str">
            <v>1655-00</v>
          </cell>
          <cell r="O5234" t="str">
            <v>PISTON</v>
          </cell>
          <cell r="P5234">
            <v>695</v>
          </cell>
        </row>
        <row r="5235">
          <cell r="B5235" t="str">
            <v>896-02</v>
          </cell>
          <cell r="C5235" t="str">
            <v>BODY</v>
          </cell>
          <cell r="D5235">
            <v>365.5</v>
          </cell>
          <cell r="N5235" t="str">
            <v>896-02</v>
          </cell>
          <cell r="O5235" t="str">
            <v>BODY</v>
          </cell>
          <cell r="P5235">
            <v>731</v>
          </cell>
        </row>
        <row r="5236">
          <cell r="B5236" t="str">
            <v>896-02</v>
          </cell>
          <cell r="C5236" t="str">
            <v>BODY</v>
          </cell>
          <cell r="D5236">
            <v>365.5</v>
          </cell>
          <cell r="N5236" t="str">
            <v>896-02</v>
          </cell>
          <cell r="O5236" t="str">
            <v>BODY</v>
          </cell>
          <cell r="P5236">
            <v>731</v>
          </cell>
        </row>
        <row r="5237">
          <cell r="B5237" t="str">
            <v>1732-13</v>
          </cell>
          <cell r="C5237" t="str">
            <v>PISTON</v>
          </cell>
          <cell r="D5237">
            <v>366</v>
          </cell>
          <cell r="N5237" t="str">
            <v>1732-13</v>
          </cell>
          <cell r="O5237" t="str">
            <v>PISTON</v>
          </cell>
          <cell r="P5237">
            <v>732</v>
          </cell>
        </row>
        <row r="5238">
          <cell r="B5238" t="str">
            <v>672-01</v>
          </cell>
          <cell r="C5238" t="str">
            <v>PISTON</v>
          </cell>
          <cell r="D5238">
            <v>366</v>
          </cell>
          <cell r="N5238" t="str">
            <v>672-01</v>
          </cell>
          <cell r="O5238" t="str">
            <v>PISTON</v>
          </cell>
          <cell r="P5238">
            <v>732</v>
          </cell>
        </row>
        <row r="5239">
          <cell r="B5239" t="str">
            <v>1352-04</v>
          </cell>
          <cell r="C5239" t="str">
            <v>PISTON</v>
          </cell>
          <cell r="D5239">
            <v>366.5</v>
          </cell>
          <cell r="N5239" t="str">
            <v>1352-04</v>
          </cell>
          <cell r="O5239" t="str">
            <v>PISTON</v>
          </cell>
          <cell r="P5239">
            <v>733</v>
          </cell>
        </row>
        <row r="5240">
          <cell r="B5240" t="str">
            <v>1289-06</v>
          </cell>
          <cell r="C5240" t="str">
            <v>PISTON</v>
          </cell>
          <cell r="D5240">
            <v>338.5</v>
          </cell>
          <cell r="N5240" t="str">
            <v>1289-06</v>
          </cell>
          <cell r="O5240" t="str">
            <v>PISTON</v>
          </cell>
          <cell r="P5240">
            <v>677</v>
          </cell>
        </row>
        <row r="5241">
          <cell r="B5241" t="str">
            <v>1816-04</v>
          </cell>
          <cell r="C5241" t="str">
            <v>PISTON</v>
          </cell>
          <cell r="D5241">
            <v>368</v>
          </cell>
          <cell r="N5241" t="str">
            <v>1816-04</v>
          </cell>
          <cell r="O5241" t="str">
            <v>PISTON</v>
          </cell>
          <cell r="P5241">
            <v>736</v>
          </cell>
        </row>
        <row r="5242">
          <cell r="B5242" t="str">
            <v>556-05</v>
          </cell>
          <cell r="C5242" t="str">
            <v>PISTON</v>
          </cell>
          <cell r="D5242">
            <v>271</v>
          </cell>
          <cell r="N5242" t="str">
            <v>556-05</v>
          </cell>
          <cell r="O5242" t="str">
            <v>PISTON</v>
          </cell>
          <cell r="P5242">
            <v>542</v>
          </cell>
        </row>
        <row r="5243">
          <cell r="B5243" t="str">
            <v>991-00</v>
          </cell>
          <cell r="C5243" t="str">
            <v>ROD GUIDE ASS'Y</v>
          </cell>
          <cell r="D5243">
            <v>345</v>
          </cell>
          <cell r="N5243" t="str">
            <v>991-00</v>
          </cell>
          <cell r="O5243" t="str">
            <v>ROD GUIDE ASS'Y</v>
          </cell>
          <cell r="P5243">
            <v>690</v>
          </cell>
        </row>
        <row r="5244">
          <cell r="B5244" t="str">
            <v>726-05</v>
          </cell>
          <cell r="C5244" t="str">
            <v>ROD GUIDE ASS'Y</v>
          </cell>
          <cell r="D5244">
            <v>352.5</v>
          </cell>
          <cell r="N5244" t="str">
            <v>726-05</v>
          </cell>
          <cell r="O5244" t="str">
            <v>ROD GUIDE ASS'Y</v>
          </cell>
          <cell r="P5244">
            <v>705</v>
          </cell>
        </row>
        <row r="5245">
          <cell r="B5245" t="str">
            <v>1288-01</v>
          </cell>
          <cell r="C5245" t="str">
            <v>PISTON</v>
          </cell>
          <cell r="D5245">
            <v>369</v>
          </cell>
          <cell r="N5245" t="str">
            <v>1288-01</v>
          </cell>
          <cell r="O5245" t="str">
            <v>PISTON</v>
          </cell>
          <cell r="P5245">
            <v>738</v>
          </cell>
        </row>
        <row r="5246">
          <cell r="B5246" t="str">
            <v>1288-01</v>
          </cell>
          <cell r="C5246" t="str">
            <v>PISTON</v>
          </cell>
          <cell r="D5246">
            <v>369</v>
          </cell>
          <cell r="N5246" t="str">
            <v>1288-01</v>
          </cell>
          <cell r="O5246" t="str">
            <v>PISTON</v>
          </cell>
          <cell r="P5246">
            <v>738</v>
          </cell>
        </row>
        <row r="5247">
          <cell r="B5247" t="str">
            <v>1558-00</v>
          </cell>
          <cell r="C5247" t="str">
            <v>WHEEL SENSOR, INPUT</v>
          </cell>
          <cell r="D5247">
            <v>369</v>
          </cell>
          <cell r="N5247" t="str">
            <v>1558-00</v>
          </cell>
          <cell r="O5247" t="str">
            <v>WHEEL SENSOR, INPUT</v>
          </cell>
          <cell r="P5247">
            <v>738</v>
          </cell>
        </row>
        <row r="5248">
          <cell r="B5248" t="str">
            <v>1368-16</v>
          </cell>
          <cell r="C5248" t="str">
            <v>PISTON</v>
          </cell>
          <cell r="D5248">
            <v>369.5</v>
          </cell>
          <cell r="N5248" t="str">
            <v>1368-16</v>
          </cell>
          <cell r="O5248" t="str">
            <v>PISTON</v>
          </cell>
          <cell r="P5248">
            <v>739</v>
          </cell>
        </row>
        <row r="5249">
          <cell r="B5249" t="str">
            <v>1402-00</v>
          </cell>
          <cell r="C5249" t="str">
            <v>LEVER</v>
          </cell>
          <cell r="D5249">
            <v>443.4</v>
          </cell>
          <cell r="N5249" t="str">
            <v>1402-00</v>
          </cell>
          <cell r="O5249" t="str">
            <v>LEVER</v>
          </cell>
          <cell r="P5249">
            <v>739</v>
          </cell>
        </row>
        <row r="5250">
          <cell r="B5250" t="str">
            <v>1811-00</v>
          </cell>
          <cell r="C5250" t="str">
            <v>PISTON</v>
          </cell>
          <cell r="D5250">
            <v>370</v>
          </cell>
          <cell r="N5250" t="str">
            <v>1811-00</v>
          </cell>
          <cell r="O5250" t="str">
            <v>PISTON</v>
          </cell>
          <cell r="P5250">
            <v>740</v>
          </cell>
        </row>
        <row r="5251">
          <cell r="B5251" t="str">
            <v>1811-00</v>
          </cell>
          <cell r="C5251" t="str">
            <v>PISTON</v>
          </cell>
          <cell r="D5251">
            <v>370</v>
          </cell>
          <cell r="N5251" t="str">
            <v>1811-00</v>
          </cell>
          <cell r="O5251" t="str">
            <v>PISTON</v>
          </cell>
          <cell r="P5251">
            <v>740</v>
          </cell>
        </row>
        <row r="5252">
          <cell r="B5252" t="str">
            <v>1812-00</v>
          </cell>
          <cell r="C5252" t="str">
            <v>PISTON</v>
          </cell>
          <cell r="D5252">
            <v>360</v>
          </cell>
          <cell r="N5252" t="str">
            <v>1812-00</v>
          </cell>
          <cell r="O5252" t="str">
            <v>PISTON</v>
          </cell>
          <cell r="P5252">
            <v>720</v>
          </cell>
        </row>
        <row r="5253">
          <cell r="B5253" t="str">
            <v>1440-06</v>
          </cell>
          <cell r="C5253" t="str">
            <v>PISTON</v>
          </cell>
          <cell r="D5253">
            <v>370.5</v>
          </cell>
          <cell r="N5253" t="str">
            <v>1440-06</v>
          </cell>
          <cell r="O5253" t="str">
            <v>PISTON</v>
          </cell>
          <cell r="P5253">
            <v>741</v>
          </cell>
        </row>
        <row r="5254">
          <cell r="B5254" t="str">
            <v>1383-04</v>
          </cell>
          <cell r="C5254" t="str">
            <v>PISTON</v>
          </cell>
          <cell r="D5254">
            <v>257</v>
          </cell>
          <cell r="N5254" t="str">
            <v>1383-04</v>
          </cell>
          <cell r="O5254" t="str">
            <v>PISTON</v>
          </cell>
          <cell r="P5254">
            <v>514</v>
          </cell>
        </row>
        <row r="5255">
          <cell r="B5255" t="str">
            <v>1684-00</v>
          </cell>
          <cell r="C5255" t="str">
            <v>ROD GUIDE ASS'Y</v>
          </cell>
          <cell r="D5255">
            <v>371</v>
          </cell>
          <cell r="N5255" t="str">
            <v>1684-00</v>
          </cell>
          <cell r="O5255" t="str">
            <v>ROD GUIDE ASS'Y</v>
          </cell>
          <cell r="P5255">
            <v>742</v>
          </cell>
        </row>
        <row r="5256">
          <cell r="B5256" t="str">
            <v>2073-00</v>
          </cell>
          <cell r="C5256" t="str">
            <v>ROD GUIDE ASS'Y</v>
          </cell>
          <cell r="D5256">
            <v>371</v>
          </cell>
          <cell r="N5256" t="str">
            <v>2073-00</v>
          </cell>
          <cell r="O5256" t="str">
            <v>ROD GUIDE ASS'Y</v>
          </cell>
          <cell r="P5256">
            <v>742</v>
          </cell>
        </row>
        <row r="5257">
          <cell r="B5257" t="str">
            <v>800-01</v>
          </cell>
          <cell r="C5257" t="str">
            <v>PISTON</v>
          </cell>
          <cell r="D5257">
            <v>129.5</v>
          </cell>
          <cell r="N5257" t="str">
            <v>800-01</v>
          </cell>
          <cell r="O5257" t="str">
            <v>PISTON</v>
          </cell>
          <cell r="P5257">
            <v>259</v>
          </cell>
        </row>
        <row r="5258">
          <cell r="B5258" t="str">
            <v>1567-00</v>
          </cell>
          <cell r="C5258" t="str">
            <v>ROD GUIDE ASS'Y</v>
          </cell>
          <cell r="D5258">
            <v>371.5</v>
          </cell>
          <cell r="N5258" t="str">
            <v>1567-00</v>
          </cell>
          <cell r="O5258" t="str">
            <v>ROD GUIDE ASS'Y</v>
          </cell>
          <cell r="P5258">
            <v>743</v>
          </cell>
        </row>
        <row r="5259">
          <cell r="B5259" t="str">
            <v>1440-02</v>
          </cell>
          <cell r="C5259" t="str">
            <v>PISTON</v>
          </cell>
          <cell r="D5259">
            <v>372</v>
          </cell>
          <cell r="N5259" t="str">
            <v>1440-02</v>
          </cell>
          <cell r="O5259" t="str">
            <v>PISTON</v>
          </cell>
          <cell r="P5259">
            <v>744</v>
          </cell>
        </row>
        <row r="5260">
          <cell r="B5260" t="str">
            <v>1521-00</v>
          </cell>
          <cell r="C5260" t="str">
            <v>SUPPORT YOKE ASS'Y</v>
          </cell>
          <cell r="D5260">
            <v>354.5</v>
          </cell>
          <cell r="N5260" t="str">
            <v>1521-00</v>
          </cell>
          <cell r="O5260" t="str">
            <v>SUPPORT YOKE ASS'Y</v>
          </cell>
          <cell r="P5260">
            <v>709</v>
          </cell>
        </row>
        <row r="5261">
          <cell r="B5261" t="str">
            <v>1289-13</v>
          </cell>
          <cell r="C5261" t="str">
            <v>PISTON</v>
          </cell>
          <cell r="D5261">
            <v>364.5</v>
          </cell>
          <cell r="N5261" t="str">
            <v>1289-13</v>
          </cell>
          <cell r="O5261" t="str">
            <v>PISTON</v>
          </cell>
          <cell r="P5261">
            <v>729</v>
          </cell>
        </row>
        <row r="5262">
          <cell r="B5262" t="str">
            <v>1316-00</v>
          </cell>
          <cell r="C5262" t="str">
            <v>PISTON</v>
          </cell>
          <cell r="D5262">
            <v>373</v>
          </cell>
          <cell r="N5262" t="str">
            <v>1316-00</v>
          </cell>
          <cell r="O5262" t="str">
            <v>PISTON</v>
          </cell>
          <cell r="P5262">
            <v>746</v>
          </cell>
        </row>
        <row r="5263">
          <cell r="B5263" t="str">
            <v>2042-00</v>
          </cell>
          <cell r="C5263" t="str">
            <v>ROD GUIDE ASS'Y</v>
          </cell>
          <cell r="D5263">
            <v>362.5</v>
          </cell>
          <cell r="N5263" t="str">
            <v>2042-00</v>
          </cell>
          <cell r="O5263" t="str">
            <v>ROD GUIDE ASS'Y</v>
          </cell>
          <cell r="P5263">
            <v>725</v>
          </cell>
        </row>
        <row r="5264">
          <cell r="B5264" t="str">
            <v>672-02</v>
          </cell>
          <cell r="C5264" t="str">
            <v>PISTON</v>
          </cell>
          <cell r="D5264">
            <v>373.5</v>
          </cell>
          <cell r="N5264" t="str">
            <v>672-02</v>
          </cell>
          <cell r="O5264" t="str">
            <v>PISTON</v>
          </cell>
          <cell r="P5264">
            <v>747</v>
          </cell>
        </row>
        <row r="5265">
          <cell r="B5265" t="str">
            <v>1289-14</v>
          </cell>
          <cell r="C5265" t="str">
            <v>PISTON</v>
          </cell>
          <cell r="D5265">
            <v>350</v>
          </cell>
          <cell r="N5265" t="str">
            <v>1289-14</v>
          </cell>
          <cell r="O5265" t="str">
            <v>PISTON</v>
          </cell>
          <cell r="P5265">
            <v>700</v>
          </cell>
        </row>
        <row r="5266">
          <cell r="B5266" t="str">
            <v>1457-00</v>
          </cell>
          <cell r="C5266" t="str">
            <v>SUPPORT YOKE ASS'Y</v>
          </cell>
          <cell r="D5266">
            <v>374.5</v>
          </cell>
          <cell r="N5266" t="str">
            <v>1457-00</v>
          </cell>
          <cell r="O5266" t="str">
            <v>SUPPORT YOKE ASS'Y</v>
          </cell>
          <cell r="P5266">
            <v>749</v>
          </cell>
        </row>
        <row r="5267">
          <cell r="B5267" t="str">
            <v>1457-00</v>
          </cell>
          <cell r="C5267" t="str">
            <v>SUPPORT YOKE ASS'Y</v>
          </cell>
          <cell r="D5267">
            <v>374.5</v>
          </cell>
          <cell r="N5267" t="str">
            <v>1457-00</v>
          </cell>
          <cell r="O5267" t="str">
            <v>SUPPORT YOKE ASS'Y</v>
          </cell>
          <cell r="P5267">
            <v>749</v>
          </cell>
        </row>
        <row r="5268">
          <cell r="B5268" t="str">
            <v>1135-00</v>
          </cell>
          <cell r="C5268" t="str">
            <v>HUB</v>
          </cell>
          <cell r="D5268">
            <v>359.4</v>
          </cell>
          <cell r="N5268" t="str">
            <v>1135-00</v>
          </cell>
          <cell r="O5268" t="str">
            <v>HUB</v>
          </cell>
          <cell r="P5268">
            <v>599</v>
          </cell>
        </row>
        <row r="5269">
          <cell r="B5269" t="str">
            <v>1246-00</v>
          </cell>
          <cell r="C5269" t="str">
            <v>INNER WASHER</v>
          </cell>
          <cell r="D5269">
            <v>450</v>
          </cell>
          <cell r="N5269" t="str">
            <v>1246-00</v>
          </cell>
          <cell r="O5269" t="str">
            <v>INNER WASHER</v>
          </cell>
          <cell r="P5269">
            <v>750</v>
          </cell>
        </row>
        <row r="5270">
          <cell r="B5270" t="str">
            <v>2035-00</v>
          </cell>
          <cell r="C5270" t="str">
            <v>SPCR-TRANS FNL DRV PLNT GR</v>
          </cell>
          <cell r="D5270">
            <v>450</v>
          </cell>
          <cell r="N5270" t="str">
            <v>2035-00</v>
          </cell>
          <cell r="O5270" t="str">
            <v>SPCR-TRANS FNL DRV PLNT GR</v>
          </cell>
          <cell r="P5270">
            <v>750</v>
          </cell>
        </row>
        <row r="5271">
          <cell r="B5271" t="str">
            <v>2072-00</v>
          </cell>
          <cell r="C5271" t="str">
            <v>HUB</v>
          </cell>
          <cell r="D5271">
            <v>450</v>
          </cell>
          <cell r="N5271" t="str">
            <v>2072-00</v>
          </cell>
          <cell r="O5271" t="str">
            <v>HUB</v>
          </cell>
          <cell r="P5271">
            <v>750</v>
          </cell>
        </row>
        <row r="5272">
          <cell r="B5272" t="str">
            <v>896-02</v>
          </cell>
          <cell r="C5272" t="str">
            <v>BODY</v>
          </cell>
          <cell r="D5272">
            <v>365.5</v>
          </cell>
          <cell r="N5272" t="str">
            <v>896-02</v>
          </cell>
          <cell r="O5272" t="str">
            <v>BODY</v>
          </cell>
          <cell r="P5272">
            <v>731</v>
          </cell>
        </row>
        <row r="5273">
          <cell r="B5273" t="str">
            <v>2051-00</v>
          </cell>
          <cell r="C5273" t="str">
            <v>PISTON</v>
          </cell>
          <cell r="D5273">
            <v>376</v>
          </cell>
          <cell r="N5273" t="str">
            <v>2051-00</v>
          </cell>
          <cell r="O5273" t="str">
            <v>PISTON</v>
          </cell>
          <cell r="P5273">
            <v>752</v>
          </cell>
        </row>
        <row r="5274">
          <cell r="B5274" t="str">
            <v>1213-02</v>
          </cell>
          <cell r="C5274" t="str">
            <v>MONO PISTON</v>
          </cell>
          <cell r="D5274">
            <v>376.5</v>
          </cell>
          <cell r="N5274" t="str">
            <v>1213-02</v>
          </cell>
          <cell r="O5274" t="str">
            <v>MONO PISTON</v>
          </cell>
          <cell r="P5274">
            <v>753</v>
          </cell>
        </row>
        <row r="5275">
          <cell r="B5275" t="str">
            <v>1289-29</v>
          </cell>
          <cell r="C5275" t="str">
            <v>PISTON</v>
          </cell>
          <cell r="D5275">
            <v>376.5</v>
          </cell>
          <cell r="N5275" t="str">
            <v>1289-29</v>
          </cell>
          <cell r="O5275" t="str">
            <v>PISTON</v>
          </cell>
          <cell r="P5275">
            <v>753</v>
          </cell>
        </row>
        <row r="5276">
          <cell r="B5276" t="str">
            <v>1457-00</v>
          </cell>
          <cell r="C5276" t="str">
            <v>SUPPORT YOKE ASS'Y</v>
          </cell>
          <cell r="D5276">
            <v>374.5</v>
          </cell>
          <cell r="N5276" t="str">
            <v>1457-00</v>
          </cell>
          <cell r="O5276" t="str">
            <v>SUPPORT YOKE ASS'Y</v>
          </cell>
          <cell r="P5276">
            <v>749</v>
          </cell>
        </row>
        <row r="5277">
          <cell r="B5277" t="str">
            <v>1587-06</v>
          </cell>
          <cell r="C5277" t="str">
            <v>PISTON</v>
          </cell>
          <cell r="D5277">
            <v>376.5</v>
          </cell>
          <cell r="N5277" t="str">
            <v>1587-06</v>
          </cell>
          <cell r="O5277" t="str">
            <v>PISTON</v>
          </cell>
          <cell r="P5277">
            <v>753</v>
          </cell>
        </row>
        <row r="5278">
          <cell r="B5278" t="str">
            <v>1427-00</v>
          </cell>
          <cell r="C5278" t="str">
            <v>PISTON</v>
          </cell>
          <cell r="D5278">
            <v>300</v>
          </cell>
          <cell r="N5278" t="str">
            <v>1427-00</v>
          </cell>
          <cell r="O5278" t="str">
            <v>PISTON</v>
          </cell>
          <cell r="P5278">
            <v>600</v>
          </cell>
        </row>
        <row r="5279">
          <cell r="B5279" t="str">
            <v>1351-03</v>
          </cell>
          <cell r="C5279" t="str">
            <v>PISTON</v>
          </cell>
          <cell r="D5279">
            <v>324</v>
          </cell>
          <cell r="N5279" t="str">
            <v>1351-03</v>
          </cell>
          <cell r="O5279" t="str">
            <v>PISTON</v>
          </cell>
          <cell r="P5279">
            <v>648</v>
          </cell>
        </row>
        <row r="5280">
          <cell r="B5280" t="str">
            <v>1149-02</v>
          </cell>
          <cell r="C5280" t="str">
            <v>SUPPORT YOKE ASS'Y</v>
          </cell>
          <cell r="D5280">
            <v>357.5</v>
          </cell>
          <cell r="N5280" t="str">
            <v>1149-02</v>
          </cell>
          <cell r="O5280" t="str">
            <v>SUPPORT YOKE ASS'Y</v>
          </cell>
          <cell r="P5280">
            <v>715</v>
          </cell>
        </row>
        <row r="5281">
          <cell r="B5281" t="str">
            <v>1440-01</v>
          </cell>
          <cell r="C5281" t="str">
            <v>PISTON</v>
          </cell>
          <cell r="D5281">
            <v>365</v>
          </cell>
          <cell r="N5281" t="str">
            <v>1440-01</v>
          </cell>
          <cell r="O5281" t="str">
            <v>PISTON</v>
          </cell>
          <cell r="P5281">
            <v>730</v>
          </cell>
        </row>
        <row r="5282">
          <cell r="B5282" t="str">
            <v>1644-00</v>
          </cell>
          <cell r="C5282" t="str">
            <v>PISTON</v>
          </cell>
          <cell r="D5282">
            <v>309.5</v>
          </cell>
          <cell r="N5282" t="str">
            <v>1644-00</v>
          </cell>
          <cell r="O5282" t="str">
            <v>PISTON</v>
          </cell>
          <cell r="P5282">
            <v>619</v>
          </cell>
        </row>
        <row r="5283">
          <cell r="B5283" t="str">
            <v>1769-00</v>
          </cell>
          <cell r="C5283" t="str">
            <v>HUB</v>
          </cell>
          <cell r="D5283">
            <v>453.59999999999997</v>
          </cell>
          <cell r="N5283" t="str">
            <v>1769-00</v>
          </cell>
          <cell r="O5283" t="str">
            <v>HUB</v>
          </cell>
          <cell r="P5283">
            <v>756</v>
          </cell>
        </row>
        <row r="5284">
          <cell r="B5284" t="str">
            <v>1816-02</v>
          </cell>
          <cell r="C5284" t="str">
            <v>PISTON</v>
          </cell>
          <cell r="D5284">
            <v>378</v>
          </cell>
          <cell r="N5284" t="str">
            <v>1816-02</v>
          </cell>
          <cell r="O5284" t="str">
            <v>PISTON</v>
          </cell>
          <cell r="P5284">
            <v>756</v>
          </cell>
        </row>
        <row r="5285">
          <cell r="B5285" t="str">
            <v>2142-00</v>
          </cell>
          <cell r="C5285" t="str">
            <v>ROD GUIDE ASS'Y</v>
          </cell>
          <cell r="D5285">
            <v>378</v>
          </cell>
          <cell r="N5285" t="str">
            <v>2142-00</v>
          </cell>
          <cell r="O5285" t="str">
            <v>ROD GUIDE ASS'Y</v>
          </cell>
          <cell r="P5285">
            <v>756</v>
          </cell>
        </row>
        <row r="5286">
          <cell r="B5286" t="str">
            <v>985-06</v>
          </cell>
          <cell r="C5286" t="str">
            <v>BODY</v>
          </cell>
          <cell r="D5286">
            <v>378</v>
          </cell>
          <cell r="N5286" t="str">
            <v>985-06</v>
          </cell>
          <cell r="O5286" t="str">
            <v>BODY</v>
          </cell>
          <cell r="P5286">
            <v>756</v>
          </cell>
        </row>
        <row r="5287">
          <cell r="B5287" t="str">
            <v>972-00</v>
          </cell>
          <cell r="C5287" t="str">
            <v>ROD GUIDE ASS'Y</v>
          </cell>
          <cell r="D5287">
            <v>244.5</v>
          </cell>
          <cell r="N5287" t="str">
            <v>972-00</v>
          </cell>
          <cell r="O5287" t="str">
            <v>ROD GUIDE ASS'Y</v>
          </cell>
          <cell r="P5287">
            <v>489</v>
          </cell>
        </row>
        <row r="5288">
          <cell r="B5288" t="str">
            <v>1558-00</v>
          </cell>
          <cell r="C5288" t="str">
            <v>WHEEL SENSOR, INPUT</v>
          </cell>
          <cell r="D5288">
            <v>369</v>
          </cell>
          <cell r="N5288" t="str">
            <v>1558-00</v>
          </cell>
          <cell r="O5288" t="str">
            <v>WHEEL SENSOR, INPUT</v>
          </cell>
          <cell r="P5288">
            <v>738</v>
          </cell>
        </row>
        <row r="5289">
          <cell r="B5289" t="str">
            <v>1558-00</v>
          </cell>
          <cell r="C5289" t="str">
            <v>WHEEL SENSOR, INPUT</v>
          </cell>
          <cell r="D5289">
            <v>369</v>
          </cell>
          <cell r="N5289" t="str">
            <v>1558-00</v>
          </cell>
          <cell r="O5289" t="str">
            <v>WHEEL SENSOR, INPUT</v>
          </cell>
          <cell r="P5289">
            <v>738</v>
          </cell>
        </row>
        <row r="5290">
          <cell r="B5290" t="str">
            <v>1521-00</v>
          </cell>
          <cell r="C5290" t="str">
            <v>SUPPORT YOKE ASS'Y</v>
          </cell>
          <cell r="D5290">
            <v>354.5</v>
          </cell>
          <cell r="N5290" t="str">
            <v>1521-00</v>
          </cell>
          <cell r="O5290" t="str">
            <v>SUPPORT YOKE ASS'Y</v>
          </cell>
          <cell r="P5290">
            <v>709</v>
          </cell>
        </row>
        <row r="5291">
          <cell r="B5291" t="str">
            <v>1659-00</v>
          </cell>
          <cell r="C5291" t="str">
            <v>PISTON</v>
          </cell>
          <cell r="D5291">
            <v>380</v>
          </cell>
          <cell r="N5291" t="str">
            <v>1659-00</v>
          </cell>
          <cell r="O5291" t="str">
            <v>PISTON</v>
          </cell>
          <cell r="P5291">
            <v>760</v>
          </cell>
        </row>
        <row r="5292">
          <cell r="B5292" t="str">
            <v>1659-00</v>
          </cell>
          <cell r="C5292" t="str">
            <v>PISTON</v>
          </cell>
          <cell r="D5292">
            <v>380</v>
          </cell>
          <cell r="N5292" t="str">
            <v>1659-00</v>
          </cell>
          <cell r="O5292" t="str">
            <v>PISTON</v>
          </cell>
          <cell r="P5292">
            <v>760</v>
          </cell>
        </row>
        <row r="5293">
          <cell r="B5293" t="str">
            <v>1812-00</v>
          </cell>
          <cell r="C5293" t="str">
            <v>PISTON</v>
          </cell>
          <cell r="D5293">
            <v>360</v>
          </cell>
          <cell r="N5293" t="str">
            <v>1812-00</v>
          </cell>
          <cell r="O5293" t="str">
            <v>PISTON</v>
          </cell>
          <cell r="P5293">
            <v>720</v>
          </cell>
        </row>
        <row r="5294">
          <cell r="B5294" t="str">
            <v>1812-00</v>
          </cell>
          <cell r="C5294" t="str">
            <v>PISTON</v>
          </cell>
          <cell r="D5294">
            <v>360</v>
          </cell>
          <cell r="N5294" t="str">
            <v>1812-00</v>
          </cell>
          <cell r="O5294" t="str">
            <v>PISTON</v>
          </cell>
          <cell r="P5294">
            <v>720</v>
          </cell>
        </row>
        <row r="5295">
          <cell r="B5295" t="str">
            <v>602-00</v>
          </cell>
          <cell r="C5295" t="str">
            <v>SPRING SEAT</v>
          </cell>
          <cell r="D5295">
            <v>456</v>
          </cell>
          <cell r="N5295" t="str">
            <v>602-00</v>
          </cell>
          <cell r="O5295" t="str">
            <v>SPRING SEAT</v>
          </cell>
          <cell r="P5295">
            <v>760</v>
          </cell>
        </row>
        <row r="5296">
          <cell r="B5296" t="str">
            <v>1289-02</v>
          </cell>
          <cell r="C5296" t="str">
            <v>PISTON</v>
          </cell>
          <cell r="D5296">
            <v>381.5</v>
          </cell>
          <cell r="N5296" t="str">
            <v>1289-02</v>
          </cell>
          <cell r="O5296" t="str">
            <v>PISTON</v>
          </cell>
          <cell r="P5296">
            <v>763</v>
          </cell>
        </row>
        <row r="5297">
          <cell r="B5297" t="str">
            <v>1289-29</v>
          </cell>
          <cell r="C5297" t="str">
            <v>PISTON</v>
          </cell>
          <cell r="D5297">
            <v>376.5</v>
          </cell>
          <cell r="N5297" t="str">
            <v>1289-29</v>
          </cell>
          <cell r="O5297" t="str">
            <v>PISTON</v>
          </cell>
          <cell r="P5297">
            <v>753</v>
          </cell>
        </row>
        <row r="5298">
          <cell r="B5298" t="str">
            <v>985-05</v>
          </cell>
          <cell r="C5298" t="str">
            <v>BODY</v>
          </cell>
          <cell r="D5298">
            <v>381.5</v>
          </cell>
          <cell r="N5298" t="str">
            <v>985-05</v>
          </cell>
          <cell r="O5298" t="str">
            <v>BODY</v>
          </cell>
          <cell r="P5298">
            <v>763</v>
          </cell>
        </row>
        <row r="5299">
          <cell r="B5299" t="str">
            <v>893-01</v>
          </cell>
          <cell r="C5299" t="str">
            <v>PISTON</v>
          </cell>
          <cell r="D5299">
            <v>382</v>
          </cell>
          <cell r="N5299" t="str">
            <v>893-01</v>
          </cell>
          <cell r="O5299" t="str">
            <v>PISTON</v>
          </cell>
          <cell r="P5299">
            <v>764</v>
          </cell>
        </row>
        <row r="5300">
          <cell r="B5300" t="str">
            <v>1557-00</v>
          </cell>
          <cell r="C5300" t="str">
            <v>WHEEL SENSOR, INPUT</v>
          </cell>
          <cell r="D5300">
            <v>382.5</v>
          </cell>
          <cell r="N5300" t="str">
            <v>1557-00</v>
          </cell>
          <cell r="O5300" t="str">
            <v>WHEEL SENSOR, INPUT</v>
          </cell>
          <cell r="P5300">
            <v>765</v>
          </cell>
        </row>
        <row r="5301">
          <cell r="B5301" t="str">
            <v>1289-07</v>
          </cell>
          <cell r="C5301" t="str">
            <v>PISTON</v>
          </cell>
          <cell r="D5301">
            <v>383</v>
          </cell>
          <cell r="N5301" t="str">
            <v>1289-07</v>
          </cell>
          <cell r="O5301" t="str">
            <v>PISTON</v>
          </cell>
          <cell r="P5301">
            <v>766</v>
          </cell>
        </row>
        <row r="5302">
          <cell r="B5302" t="str">
            <v>1289-13</v>
          </cell>
          <cell r="C5302" t="str">
            <v>PISTON</v>
          </cell>
          <cell r="D5302">
            <v>364.5</v>
          </cell>
          <cell r="N5302" t="str">
            <v>1289-13</v>
          </cell>
          <cell r="O5302" t="str">
            <v>PISTON</v>
          </cell>
          <cell r="P5302">
            <v>729</v>
          </cell>
        </row>
        <row r="5303">
          <cell r="B5303" t="str">
            <v>1567-00</v>
          </cell>
          <cell r="C5303" t="str">
            <v>ROD GUIDE ASS'Y</v>
          </cell>
          <cell r="D5303">
            <v>371.5</v>
          </cell>
          <cell r="N5303" t="str">
            <v>1567-00</v>
          </cell>
          <cell r="O5303" t="str">
            <v>ROD GUIDE ASS'Y</v>
          </cell>
          <cell r="P5303">
            <v>743</v>
          </cell>
        </row>
        <row r="5304">
          <cell r="B5304" t="str">
            <v>1567-00</v>
          </cell>
          <cell r="C5304" t="str">
            <v>ROD GUIDE ASS'Y</v>
          </cell>
          <cell r="D5304">
            <v>371.5</v>
          </cell>
          <cell r="N5304" t="str">
            <v>1567-00</v>
          </cell>
          <cell r="O5304" t="str">
            <v>ROD GUIDE ASS'Y</v>
          </cell>
          <cell r="P5304">
            <v>743</v>
          </cell>
        </row>
        <row r="5305">
          <cell r="B5305" t="str">
            <v>1587-06</v>
          </cell>
          <cell r="C5305" t="str">
            <v>PISTON</v>
          </cell>
          <cell r="D5305">
            <v>376.5</v>
          </cell>
          <cell r="N5305" t="str">
            <v>1587-06</v>
          </cell>
          <cell r="O5305" t="str">
            <v>PISTON</v>
          </cell>
          <cell r="P5305">
            <v>753</v>
          </cell>
        </row>
        <row r="5306">
          <cell r="B5306" t="str">
            <v>1732-15</v>
          </cell>
          <cell r="C5306" t="str">
            <v>PISTON</v>
          </cell>
          <cell r="D5306">
            <v>383</v>
          </cell>
          <cell r="N5306" t="str">
            <v>1732-15</v>
          </cell>
          <cell r="O5306" t="str">
            <v>PISTON</v>
          </cell>
          <cell r="P5306">
            <v>766</v>
          </cell>
        </row>
        <row r="5307">
          <cell r="B5307" t="str">
            <v>985-06</v>
          </cell>
          <cell r="C5307" t="str">
            <v>BODY</v>
          </cell>
          <cell r="D5307">
            <v>378</v>
          </cell>
          <cell r="N5307" t="str">
            <v>985-06</v>
          </cell>
          <cell r="O5307" t="str">
            <v>BODY</v>
          </cell>
          <cell r="P5307">
            <v>756</v>
          </cell>
        </row>
        <row r="5308">
          <cell r="B5308" t="str">
            <v>1042-01</v>
          </cell>
          <cell r="C5308" t="str">
            <v>ROD GUIDE ASS'Y</v>
          </cell>
          <cell r="D5308">
            <v>383.5</v>
          </cell>
          <cell r="N5308" t="str">
            <v>1042-01</v>
          </cell>
          <cell r="O5308" t="str">
            <v>ROD GUIDE ASS'Y</v>
          </cell>
          <cell r="P5308">
            <v>767</v>
          </cell>
        </row>
        <row r="5309">
          <cell r="B5309" t="str">
            <v>1288-03</v>
          </cell>
          <cell r="C5309" t="str">
            <v>PISTON</v>
          </cell>
          <cell r="D5309">
            <v>365</v>
          </cell>
          <cell r="N5309" t="str">
            <v>1288-03</v>
          </cell>
          <cell r="O5309" t="str">
            <v>PISTON</v>
          </cell>
          <cell r="P5309">
            <v>730</v>
          </cell>
        </row>
        <row r="5310">
          <cell r="B5310" t="str">
            <v>1288-03</v>
          </cell>
          <cell r="C5310" t="str">
            <v>PISTON</v>
          </cell>
          <cell r="D5310">
            <v>365</v>
          </cell>
          <cell r="N5310" t="str">
            <v>1288-03</v>
          </cell>
          <cell r="O5310" t="str">
            <v>PISTON</v>
          </cell>
          <cell r="P5310">
            <v>730</v>
          </cell>
        </row>
        <row r="5311">
          <cell r="B5311" t="str">
            <v>1213-00</v>
          </cell>
          <cell r="C5311" t="str">
            <v>MONO PISTON</v>
          </cell>
          <cell r="D5311">
            <v>384</v>
          </cell>
          <cell r="N5311" t="str">
            <v>1213-00</v>
          </cell>
          <cell r="O5311" t="str">
            <v>MONO PISTON</v>
          </cell>
          <cell r="P5311">
            <v>768</v>
          </cell>
        </row>
        <row r="5312">
          <cell r="B5312" t="str">
            <v>1288-06</v>
          </cell>
          <cell r="C5312" t="str">
            <v>PISTON</v>
          </cell>
          <cell r="D5312">
            <v>384</v>
          </cell>
          <cell r="N5312" t="str">
            <v>1288-06</v>
          </cell>
          <cell r="O5312" t="str">
            <v>PISTON</v>
          </cell>
          <cell r="P5312">
            <v>768</v>
          </cell>
        </row>
        <row r="5313">
          <cell r="B5313" t="str">
            <v>1289-01</v>
          </cell>
          <cell r="C5313" t="str">
            <v>PISTON</v>
          </cell>
          <cell r="D5313">
            <v>384</v>
          </cell>
          <cell r="N5313" t="str">
            <v>1289-01</v>
          </cell>
          <cell r="O5313" t="str">
            <v>PISTON</v>
          </cell>
          <cell r="P5313">
            <v>768</v>
          </cell>
        </row>
        <row r="5314">
          <cell r="B5314" t="str">
            <v>1368-01</v>
          </cell>
          <cell r="C5314" t="str">
            <v>PISTON</v>
          </cell>
          <cell r="D5314">
            <v>384</v>
          </cell>
          <cell r="N5314" t="str">
            <v>1368-01</v>
          </cell>
          <cell r="O5314" t="str">
            <v>PISTON</v>
          </cell>
          <cell r="P5314">
            <v>768</v>
          </cell>
        </row>
        <row r="5315">
          <cell r="B5315" t="str">
            <v>1368-15</v>
          </cell>
          <cell r="C5315" t="str">
            <v>PISTON</v>
          </cell>
          <cell r="D5315">
            <v>384</v>
          </cell>
          <cell r="N5315" t="str">
            <v>1368-15</v>
          </cell>
          <cell r="O5315" t="str">
            <v>PISTON</v>
          </cell>
          <cell r="P5315">
            <v>768</v>
          </cell>
        </row>
        <row r="5316">
          <cell r="B5316" t="str">
            <v>1042-02</v>
          </cell>
          <cell r="C5316" t="str">
            <v>ROD GUIDE ASS'Y</v>
          </cell>
          <cell r="D5316">
            <v>384.5</v>
          </cell>
          <cell r="N5316" t="str">
            <v>1042-02</v>
          </cell>
          <cell r="O5316" t="str">
            <v>ROD GUIDE ASS'Y</v>
          </cell>
          <cell r="P5316">
            <v>769</v>
          </cell>
        </row>
        <row r="5317">
          <cell r="B5317" t="str">
            <v>1305-00</v>
          </cell>
          <cell r="C5317" t="str">
            <v>HUB</v>
          </cell>
          <cell r="D5317">
            <v>461.4</v>
          </cell>
          <cell r="N5317" t="str">
            <v>1305-00</v>
          </cell>
          <cell r="O5317" t="str">
            <v>HUB</v>
          </cell>
          <cell r="P5317">
            <v>769</v>
          </cell>
        </row>
        <row r="5318">
          <cell r="B5318" t="str">
            <v>914-00</v>
          </cell>
          <cell r="C5318" t="str">
            <v>HUB</v>
          </cell>
          <cell r="D5318">
            <v>461.4</v>
          </cell>
          <cell r="N5318" t="str">
            <v>914-00</v>
          </cell>
          <cell r="O5318" t="str">
            <v>HUB</v>
          </cell>
          <cell r="P5318">
            <v>769</v>
          </cell>
        </row>
        <row r="5319">
          <cell r="B5319" t="str">
            <v>914-00</v>
          </cell>
          <cell r="C5319" t="str">
            <v>HUB</v>
          </cell>
          <cell r="D5319">
            <v>461.4</v>
          </cell>
          <cell r="N5319" t="str">
            <v>914-00</v>
          </cell>
          <cell r="O5319" t="str">
            <v>HUB</v>
          </cell>
          <cell r="P5319">
            <v>769</v>
          </cell>
        </row>
        <row r="5320">
          <cell r="B5320" t="str">
            <v>914-00</v>
          </cell>
          <cell r="C5320" t="str">
            <v>HUB</v>
          </cell>
          <cell r="D5320">
            <v>461.4</v>
          </cell>
          <cell r="N5320" t="str">
            <v>914-00</v>
          </cell>
          <cell r="O5320" t="str">
            <v>HUB</v>
          </cell>
          <cell r="P5320">
            <v>769</v>
          </cell>
        </row>
        <row r="5321">
          <cell r="B5321" t="str">
            <v>914-00</v>
          </cell>
          <cell r="C5321" t="str">
            <v>HUB</v>
          </cell>
          <cell r="D5321">
            <v>461.4</v>
          </cell>
          <cell r="N5321" t="str">
            <v>914-00</v>
          </cell>
          <cell r="O5321" t="str">
            <v>HUB</v>
          </cell>
          <cell r="P5321">
            <v>769</v>
          </cell>
        </row>
        <row r="5322">
          <cell r="B5322" t="str">
            <v>914-00</v>
          </cell>
          <cell r="C5322" t="str">
            <v>HUB</v>
          </cell>
          <cell r="D5322">
            <v>461.4</v>
          </cell>
          <cell r="N5322" t="str">
            <v>914-00</v>
          </cell>
          <cell r="O5322" t="str">
            <v>HUB</v>
          </cell>
          <cell r="P5322">
            <v>769</v>
          </cell>
        </row>
        <row r="5323">
          <cell r="B5323" t="str">
            <v>914-00</v>
          </cell>
          <cell r="C5323" t="str">
            <v>HUB</v>
          </cell>
          <cell r="D5323">
            <v>461.4</v>
          </cell>
          <cell r="N5323" t="str">
            <v>914-00</v>
          </cell>
          <cell r="O5323" t="str">
            <v>HUB</v>
          </cell>
          <cell r="P5323">
            <v>769</v>
          </cell>
        </row>
        <row r="5324">
          <cell r="B5324" t="str">
            <v>914-00</v>
          </cell>
          <cell r="C5324" t="str">
            <v>HUB</v>
          </cell>
          <cell r="D5324">
            <v>461.4</v>
          </cell>
          <cell r="N5324" t="str">
            <v>914-00</v>
          </cell>
          <cell r="O5324" t="str">
            <v>HUB</v>
          </cell>
          <cell r="P5324">
            <v>769</v>
          </cell>
        </row>
        <row r="5325">
          <cell r="B5325" t="str">
            <v>1305-00</v>
          </cell>
          <cell r="C5325" t="str">
            <v>HUB</v>
          </cell>
          <cell r="D5325">
            <v>461.4</v>
          </cell>
          <cell r="N5325" t="str">
            <v>1305-00</v>
          </cell>
          <cell r="O5325" t="str">
            <v>HUB</v>
          </cell>
          <cell r="P5325">
            <v>769</v>
          </cell>
        </row>
        <row r="5326">
          <cell r="B5326" t="str">
            <v>1622-00</v>
          </cell>
          <cell r="C5326" t="str">
            <v>SUPPORT YOKE ASS'Y</v>
          </cell>
          <cell r="D5326">
            <v>385</v>
          </cell>
          <cell r="N5326" t="str">
            <v>1622-00</v>
          </cell>
          <cell r="O5326" t="str">
            <v>SUPPORT YOKE ASS'Y</v>
          </cell>
          <cell r="P5326">
            <v>770</v>
          </cell>
        </row>
        <row r="5327">
          <cell r="B5327" t="str">
            <v>1803-00</v>
          </cell>
          <cell r="C5327" t="str">
            <v>ROD GUIDE ASS'Y</v>
          </cell>
          <cell r="D5327">
            <v>385</v>
          </cell>
          <cell r="N5327" t="str">
            <v>1803-00</v>
          </cell>
          <cell r="O5327" t="str">
            <v>ROD GUIDE ASS'Y</v>
          </cell>
          <cell r="P5327">
            <v>770</v>
          </cell>
        </row>
        <row r="5328">
          <cell r="B5328" t="str">
            <v>1816-03</v>
          </cell>
          <cell r="C5328" t="str">
            <v>PISTON</v>
          </cell>
          <cell r="D5328">
            <v>385</v>
          </cell>
          <cell r="N5328" t="str">
            <v>1816-03</v>
          </cell>
          <cell r="O5328" t="str">
            <v>PISTON</v>
          </cell>
          <cell r="P5328">
            <v>770</v>
          </cell>
        </row>
        <row r="5329">
          <cell r="B5329" t="str">
            <v>2042-00</v>
          </cell>
          <cell r="C5329" t="str">
            <v>ROD GUIDE ASS'Y</v>
          </cell>
          <cell r="D5329">
            <v>362.5</v>
          </cell>
          <cell r="N5329" t="str">
            <v>2042-00</v>
          </cell>
          <cell r="O5329" t="str">
            <v>ROD GUIDE ASS'Y</v>
          </cell>
          <cell r="P5329">
            <v>725</v>
          </cell>
        </row>
        <row r="5330">
          <cell r="B5330" t="str">
            <v>1213-03</v>
          </cell>
          <cell r="C5330" t="str">
            <v>MONO PISTON</v>
          </cell>
          <cell r="D5330">
            <v>385.5</v>
          </cell>
          <cell r="N5330" t="str">
            <v>1213-03</v>
          </cell>
          <cell r="O5330" t="str">
            <v>MONO PISTON</v>
          </cell>
          <cell r="P5330">
            <v>771</v>
          </cell>
        </row>
        <row r="5331">
          <cell r="B5331" t="str">
            <v>1289-05</v>
          </cell>
          <cell r="C5331" t="str">
            <v>PISTON</v>
          </cell>
          <cell r="D5331">
            <v>385.5</v>
          </cell>
          <cell r="N5331" t="str">
            <v>1289-05</v>
          </cell>
          <cell r="O5331" t="str">
            <v>PISTON</v>
          </cell>
          <cell r="P5331">
            <v>771</v>
          </cell>
        </row>
        <row r="5332">
          <cell r="B5332" t="str">
            <v>1042-02</v>
          </cell>
          <cell r="C5332" t="str">
            <v>ROD GUIDE ASS'Y</v>
          </cell>
          <cell r="D5332">
            <v>384.5</v>
          </cell>
          <cell r="N5332" t="str">
            <v>1042-02</v>
          </cell>
          <cell r="O5332" t="str">
            <v>ROD GUIDE ASS'Y</v>
          </cell>
          <cell r="P5332">
            <v>769</v>
          </cell>
        </row>
        <row r="5333">
          <cell r="B5333" t="str">
            <v>1289-09</v>
          </cell>
          <cell r="C5333" t="str">
            <v>PISTON</v>
          </cell>
          <cell r="D5333">
            <v>386</v>
          </cell>
          <cell r="N5333" t="str">
            <v>1289-09</v>
          </cell>
          <cell r="O5333" t="str">
            <v>PISTON</v>
          </cell>
          <cell r="P5333">
            <v>772</v>
          </cell>
        </row>
        <row r="5334">
          <cell r="B5334" t="str">
            <v>1289-09</v>
          </cell>
          <cell r="C5334" t="str">
            <v>PISTON</v>
          </cell>
          <cell r="D5334">
            <v>386</v>
          </cell>
          <cell r="N5334" t="str">
            <v>1289-09</v>
          </cell>
          <cell r="O5334" t="str">
            <v>PISTON</v>
          </cell>
          <cell r="P5334">
            <v>772</v>
          </cell>
        </row>
        <row r="5335">
          <cell r="B5335" t="str">
            <v>985-05</v>
          </cell>
          <cell r="C5335" t="str">
            <v>BODY</v>
          </cell>
          <cell r="D5335">
            <v>381.5</v>
          </cell>
          <cell r="N5335" t="str">
            <v>985-05</v>
          </cell>
          <cell r="O5335" t="str">
            <v>BODY</v>
          </cell>
          <cell r="P5335">
            <v>763</v>
          </cell>
        </row>
        <row r="5336">
          <cell r="B5336" t="str">
            <v>1042-02</v>
          </cell>
          <cell r="C5336" t="str">
            <v>ROD GUIDE ASS'Y</v>
          </cell>
          <cell r="D5336">
            <v>384.5</v>
          </cell>
          <cell r="N5336" t="str">
            <v>1042-02</v>
          </cell>
          <cell r="O5336" t="str">
            <v>ROD GUIDE ASS'Y</v>
          </cell>
          <cell r="P5336">
            <v>769</v>
          </cell>
        </row>
        <row r="5337">
          <cell r="B5337" t="str">
            <v>1289-29</v>
          </cell>
          <cell r="C5337" t="str">
            <v>PISTON</v>
          </cell>
          <cell r="D5337">
            <v>376.5</v>
          </cell>
          <cell r="N5337" t="str">
            <v>1289-29</v>
          </cell>
          <cell r="O5337" t="str">
            <v>PISTON</v>
          </cell>
          <cell r="P5337">
            <v>753</v>
          </cell>
        </row>
        <row r="5338">
          <cell r="B5338" t="str">
            <v>1565-01</v>
          </cell>
          <cell r="C5338" t="str">
            <v>PISTON</v>
          </cell>
          <cell r="D5338">
            <v>387</v>
          </cell>
          <cell r="N5338" t="str">
            <v>1565-01</v>
          </cell>
          <cell r="O5338" t="str">
            <v>PISTON</v>
          </cell>
          <cell r="P5338">
            <v>774</v>
          </cell>
        </row>
        <row r="5339">
          <cell r="B5339" t="str">
            <v>2042-00</v>
          </cell>
          <cell r="C5339" t="str">
            <v>ROD GUIDE ASS'Y</v>
          </cell>
          <cell r="D5339">
            <v>362.5</v>
          </cell>
          <cell r="N5339" t="str">
            <v>2042-00</v>
          </cell>
          <cell r="O5339" t="str">
            <v>ROD GUIDE ASS'Y</v>
          </cell>
          <cell r="P5339">
            <v>725</v>
          </cell>
        </row>
        <row r="5340">
          <cell r="B5340" t="str">
            <v>1069-03</v>
          </cell>
          <cell r="C5340" t="str">
            <v>PISTON</v>
          </cell>
          <cell r="D5340">
            <v>93.5</v>
          </cell>
          <cell r="N5340" t="str">
            <v>1069-03</v>
          </cell>
          <cell r="O5340" t="str">
            <v>PISTON</v>
          </cell>
          <cell r="P5340">
            <v>187</v>
          </cell>
        </row>
        <row r="5341">
          <cell r="B5341" t="str">
            <v>1288-01</v>
          </cell>
          <cell r="C5341" t="str">
            <v>PISTON</v>
          </cell>
          <cell r="D5341">
            <v>369</v>
          </cell>
          <cell r="N5341" t="str">
            <v>1288-01</v>
          </cell>
          <cell r="O5341" t="str">
            <v>PISTON</v>
          </cell>
          <cell r="P5341">
            <v>738</v>
          </cell>
        </row>
        <row r="5342">
          <cell r="B5342" t="str">
            <v>1288-01</v>
          </cell>
          <cell r="C5342" t="str">
            <v>PISTON</v>
          </cell>
          <cell r="D5342">
            <v>369</v>
          </cell>
          <cell r="N5342" t="str">
            <v>1288-01</v>
          </cell>
          <cell r="O5342" t="str">
            <v>PISTON</v>
          </cell>
          <cell r="P5342">
            <v>738</v>
          </cell>
        </row>
        <row r="5343">
          <cell r="B5343" t="str">
            <v>985-08</v>
          </cell>
          <cell r="C5343" t="str">
            <v>BODY</v>
          </cell>
          <cell r="D5343">
            <v>388</v>
          </cell>
          <cell r="N5343" t="str">
            <v>985-08</v>
          </cell>
          <cell r="O5343" t="str">
            <v>BODY</v>
          </cell>
          <cell r="P5343">
            <v>776</v>
          </cell>
        </row>
        <row r="5344">
          <cell r="B5344" t="str">
            <v>384-04</v>
          </cell>
          <cell r="C5344" t="str">
            <v>SUPPORT YOKE ASS'Y</v>
          </cell>
          <cell r="D5344">
            <v>348</v>
          </cell>
          <cell r="N5344" t="str">
            <v>384-04</v>
          </cell>
          <cell r="O5344" t="str">
            <v>SUPPORT YOKE ASS'Y</v>
          </cell>
          <cell r="P5344">
            <v>696</v>
          </cell>
        </row>
        <row r="5345">
          <cell r="B5345" t="str">
            <v>384-04</v>
          </cell>
          <cell r="C5345" t="str">
            <v>SUPPORT YOKE ASS'Y</v>
          </cell>
          <cell r="D5345">
            <v>348</v>
          </cell>
          <cell r="N5345" t="str">
            <v>384-04</v>
          </cell>
          <cell r="O5345" t="str">
            <v>SUPPORT YOKE ASS'Y</v>
          </cell>
          <cell r="P5345">
            <v>696</v>
          </cell>
        </row>
        <row r="5346">
          <cell r="B5346" t="str">
            <v>696-02</v>
          </cell>
          <cell r="C5346" t="str">
            <v>ROD GUIDE ASS'Y</v>
          </cell>
          <cell r="D5346">
            <v>307.5</v>
          </cell>
          <cell r="N5346" t="str">
            <v>696-02</v>
          </cell>
          <cell r="O5346" t="str">
            <v>ROD GUIDE ASS'Y</v>
          </cell>
          <cell r="P5346">
            <v>615</v>
          </cell>
        </row>
        <row r="5347">
          <cell r="B5347" t="str">
            <v>696-02</v>
          </cell>
          <cell r="C5347" t="str">
            <v>ROD GUIDE ASS'Y</v>
          </cell>
          <cell r="D5347">
            <v>307.5</v>
          </cell>
          <cell r="N5347" t="str">
            <v>696-02</v>
          </cell>
          <cell r="O5347" t="str">
            <v>ROD GUIDE ASS'Y</v>
          </cell>
          <cell r="P5347">
            <v>615</v>
          </cell>
        </row>
        <row r="5348">
          <cell r="B5348" t="str">
            <v>1185-00</v>
          </cell>
          <cell r="C5348" t="str">
            <v>PISTON</v>
          </cell>
          <cell r="D5348">
            <v>389</v>
          </cell>
          <cell r="N5348" t="str">
            <v>1185-00</v>
          </cell>
          <cell r="O5348" t="str">
            <v>PISTON</v>
          </cell>
          <cell r="P5348">
            <v>778</v>
          </cell>
        </row>
        <row r="5349">
          <cell r="B5349" t="str">
            <v>1186-05</v>
          </cell>
          <cell r="C5349" t="str">
            <v>BODY</v>
          </cell>
          <cell r="D5349">
            <v>389</v>
          </cell>
          <cell r="N5349" t="str">
            <v>1186-05</v>
          </cell>
          <cell r="O5349" t="str">
            <v>BODY</v>
          </cell>
          <cell r="P5349">
            <v>778</v>
          </cell>
        </row>
        <row r="5350">
          <cell r="B5350" t="str">
            <v>1440-03</v>
          </cell>
          <cell r="C5350" t="str">
            <v>PISTON</v>
          </cell>
          <cell r="D5350">
            <v>389</v>
          </cell>
          <cell r="N5350" t="str">
            <v>1440-03</v>
          </cell>
          <cell r="O5350" t="str">
            <v>PISTON</v>
          </cell>
          <cell r="P5350">
            <v>778</v>
          </cell>
        </row>
        <row r="5351">
          <cell r="B5351" t="str">
            <v>1567-00</v>
          </cell>
          <cell r="C5351" t="str">
            <v>ROD GUIDE ASS'Y</v>
          </cell>
          <cell r="D5351">
            <v>371.5</v>
          </cell>
          <cell r="N5351" t="str">
            <v>1567-00</v>
          </cell>
          <cell r="O5351" t="str">
            <v>ROD GUIDE ASS'Y</v>
          </cell>
          <cell r="P5351">
            <v>743</v>
          </cell>
        </row>
        <row r="5352">
          <cell r="B5352" t="str">
            <v>1521-00</v>
          </cell>
          <cell r="C5352" t="str">
            <v>SUPPORT YOKE ASS'Y</v>
          </cell>
          <cell r="D5352">
            <v>354.5</v>
          </cell>
          <cell r="N5352" t="str">
            <v>1521-00</v>
          </cell>
          <cell r="O5352" t="str">
            <v>SUPPORT YOKE ASS'Y</v>
          </cell>
          <cell r="P5352">
            <v>709</v>
          </cell>
        </row>
        <row r="5353">
          <cell r="B5353" t="str">
            <v>1587-07</v>
          </cell>
          <cell r="C5353" t="str">
            <v>PISTON</v>
          </cell>
          <cell r="D5353">
            <v>389.5</v>
          </cell>
          <cell r="N5353" t="str">
            <v>1587-07</v>
          </cell>
          <cell r="O5353" t="str">
            <v>PISTON</v>
          </cell>
          <cell r="P5353">
            <v>779</v>
          </cell>
        </row>
        <row r="5354">
          <cell r="B5354" t="str">
            <v>1812-00</v>
          </cell>
          <cell r="C5354" t="str">
            <v>PISTON</v>
          </cell>
          <cell r="D5354">
            <v>360</v>
          </cell>
          <cell r="N5354" t="str">
            <v>1812-00</v>
          </cell>
          <cell r="O5354" t="str">
            <v>PISTON</v>
          </cell>
          <cell r="P5354">
            <v>720</v>
          </cell>
        </row>
        <row r="5355">
          <cell r="B5355" t="str">
            <v>1397-02</v>
          </cell>
          <cell r="C5355" t="str">
            <v>PISTON</v>
          </cell>
          <cell r="D5355">
            <v>390.5</v>
          </cell>
          <cell r="N5355" t="str">
            <v>1397-02</v>
          </cell>
          <cell r="O5355" t="str">
            <v>PISTON</v>
          </cell>
          <cell r="P5355">
            <v>781</v>
          </cell>
        </row>
        <row r="5356">
          <cell r="B5356" t="str">
            <v>1090-00</v>
          </cell>
          <cell r="C5356" t="str">
            <v>RETAINER GUIDE</v>
          </cell>
          <cell r="D5356">
            <v>392</v>
          </cell>
          <cell r="N5356" t="str">
            <v>1090-00</v>
          </cell>
          <cell r="O5356" t="str">
            <v>RETAINER GUIDE</v>
          </cell>
          <cell r="P5356">
            <v>784</v>
          </cell>
        </row>
        <row r="5357">
          <cell r="B5357" t="str">
            <v>1289-07</v>
          </cell>
          <cell r="C5357" t="str">
            <v>PISTON</v>
          </cell>
          <cell r="D5357">
            <v>383</v>
          </cell>
          <cell r="N5357" t="str">
            <v>1289-07</v>
          </cell>
          <cell r="O5357" t="str">
            <v>PISTON</v>
          </cell>
          <cell r="P5357">
            <v>766</v>
          </cell>
        </row>
        <row r="5358">
          <cell r="B5358" t="str">
            <v>1521-00</v>
          </cell>
          <cell r="C5358" t="str">
            <v>SUPPORT YOKE ASS'Y</v>
          </cell>
          <cell r="D5358">
            <v>354.5</v>
          </cell>
          <cell r="N5358" t="str">
            <v>1521-00</v>
          </cell>
          <cell r="O5358" t="str">
            <v>SUPPORT YOKE ASS'Y</v>
          </cell>
          <cell r="P5358">
            <v>709</v>
          </cell>
        </row>
        <row r="5359">
          <cell r="B5359" t="str">
            <v>1288-02</v>
          </cell>
          <cell r="C5359" t="str">
            <v>PISTON</v>
          </cell>
          <cell r="D5359">
            <v>392.5</v>
          </cell>
          <cell r="N5359" t="str">
            <v>1288-02</v>
          </cell>
          <cell r="O5359" t="str">
            <v>PISTON</v>
          </cell>
          <cell r="P5359">
            <v>785</v>
          </cell>
        </row>
        <row r="5360">
          <cell r="B5360" t="str">
            <v>1288-02</v>
          </cell>
          <cell r="C5360" t="str">
            <v>PISTON</v>
          </cell>
          <cell r="D5360">
            <v>392.5</v>
          </cell>
          <cell r="N5360" t="str">
            <v>1288-02</v>
          </cell>
          <cell r="O5360" t="str">
            <v>PISTON</v>
          </cell>
          <cell r="P5360">
            <v>785</v>
          </cell>
        </row>
        <row r="5361">
          <cell r="B5361" t="str">
            <v>1557-00</v>
          </cell>
          <cell r="C5361" t="str">
            <v>WHEEL SENSOR, INPUT</v>
          </cell>
          <cell r="D5361">
            <v>382.5</v>
          </cell>
          <cell r="N5361" t="str">
            <v>1557-00</v>
          </cell>
          <cell r="O5361" t="str">
            <v>WHEEL SENSOR, INPUT</v>
          </cell>
          <cell r="P5361">
            <v>765</v>
          </cell>
        </row>
        <row r="5362">
          <cell r="B5362" t="str">
            <v>1557-00</v>
          </cell>
          <cell r="C5362" t="str">
            <v>WHEEL SENSOR, INPUT</v>
          </cell>
          <cell r="D5362">
            <v>382.5</v>
          </cell>
          <cell r="N5362" t="str">
            <v>1557-00</v>
          </cell>
          <cell r="O5362" t="str">
            <v>WHEEL SENSOR, INPUT</v>
          </cell>
          <cell r="P5362">
            <v>765</v>
          </cell>
        </row>
        <row r="5363">
          <cell r="B5363" t="str">
            <v>1557-00</v>
          </cell>
          <cell r="C5363" t="str">
            <v>WHEEL SENSOR, INPUT</v>
          </cell>
          <cell r="D5363">
            <v>382.5</v>
          </cell>
          <cell r="N5363" t="str">
            <v>1557-00</v>
          </cell>
          <cell r="O5363" t="str">
            <v>WHEEL SENSOR, INPUT</v>
          </cell>
          <cell r="P5363">
            <v>765</v>
          </cell>
        </row>
        <row r="5364">
          <cell r="B5364" t="str">
            <v>767-00</v>
          </cell>
          <cell r="C5364" t="str">
            <v>ROD GUIDE ASS'Y</v>
          </cell>
          <cell r="D5364">
            <v>393</v>
          </cell>
          <cell r="N5364" t="str">
            <v>767-00</v>
          </cell>
          <cell r="O5364" t="str">
            <v>ROD GUIDE ASS'Y</v>
          </cell>
          <cell r="P5364">
            <v>786</v>
          </cell>
        </row>
        <row r="5365">
          <cell r="B5365" t="str">
            <v>1274-03</v>
          </cell>
          <cell r="C5365" t="str">
            <v>PISTON</v>
          </cell>
          <cell r="D5365">
            <v>393.5</v>
          </cell>
          <cell r="N5365" t="str">
            <v>1274-03</v>
          </cell>
          <cell r="O5365" t="str">
            <v>PISTON</v>
          </cell>
          <cell r="P5365">
            <v>787</v>
          </cell>
        </row>
        <row r="5366">
          <cell r="B5366" t="str">
            <v>1289-18</v>
          </cell>
          <cell r="C5366" t="str">
            <v>PISTON</v>
          </cell>
          <cell r="D5366">
            <v>394.5</v>
          </cell>
          <cell r="N5366" t="str">
            <v>1289-18</v>
          </cell>
          <cell r="O5366" t="str">
            <v>PISTON</v>
          </cell>
          <cell r="P5366">
            <v>789</v>
          </cell>
        </row>
        <row r="5367">
          <cell r="B5367" t="str">
            <v>1511-00</v>
          </cell>
          <cell r="C5367" t="str">
            <v>COM NUT SPANNER</v>
          </cell>
          <cell r="D5367">
            <v>327.5</v>
          </cell>
          <cell r="N5367" t="str">
            <v>1511-00</v>
          </cell>
          <cell r="O5367" t="str">
            <v>COM NUT SPANNER</v>
          </cell>
          <cell r="P5367">
            <v>655</v>
          </cell>
        </row>
        <row r="5368">
          <cell r="B5368" t="str">
            <v>1511-00</v>
          </cell>
          <cell r="C5368" t="str">
            <v>COM NUT SPANNER</v>
          </cell>
          <cell r="D5368">
            <v>327.5</v>
          </cell>
          <cell r="N5368" t="str">
            <v>1511-00</v>
          </cell>
          <cell r="O5368" t="str">
            <v>COM NUT SPANNER</v>
          </cell>
          <cell r="P5368">
            <v>655</v>
          </cell>
        </row>
        <row r="5369">
          <cell r="B5369" t="str">
            <v>1561-00</v>
          </cell>
          <cell r="C5369" t="str">
            <v>ROD GUIDE ASS'Y</v>
          </cell>
          <cell r="D5369">
            <v>395</v>
          </cell>
          <cell r="N5369" t="str">
            <v>1561-00</v>
          </cell>
          <cell r="O5369" t="str">
            <v>ROD GUIDE ASS'Y</v>
          </cell>
          <cell r="P5369">
            <v>790</v>
          </cell>
        </row>
        <row r="5370">
          <cell r="B5370" t="str">
            <v>1485-00</v>
          </cell>
          <cell r="C5370" t="str">
            <v>LVC RETAINER</v>
          </cell>
          <cell r="D5370">
            <v>395.5</v>
          </cell>
          <cell r="N5370" t="str">
            <v>1485-00</v>
          </cell>
          <cell r="O5370" t="str">
            <v>LVC RETAINER</v>
          </cell>
          <cell r="P5370">
            <v>791</v>
          </cell>
        </row>
        <row r="5371">
          <cell r="B5371" t="str">
            <v>588-14</v>
          </cell>
          <cell r="C5371" t="str">
            <v>PISTON</v>
          </cell>
          <cell r="D5371">
            <v>395.5</v>
          </cell>
          <cell r="N5371" t="str">
            <v>588-14</v>
          </cell>
          <cell r="O5371" t="str">
            <v>PISTON</v>
          </cell>
          <cell r="P5371">
            <v>791</v>
          </cell>
        </row>
        <row r="5372">
          <cell r="B5372" t="str">
            <v>086-07</v>
          </cell>
          <cell r="C5372" t="str">
            <v>ROD GUIDE ASS'Y</v>
          </cell>
          <cell r="D5372">
            <v>396</v>
          </cell>
          <cell r="N5372" t="str">
            <v>086-07</v>
          </cell>
          <cell r="O5372" t="str">
            <v>ROD GUIDE ASS'Y</v>
          </cell>
          <cell r="P5372">
            <v>792</v>
          </cell>
        </row>
        <row r="5373">
          <cell r="B5373" t="str">
            <v>1207-02</v>
          </cell>
          <cell r="C5373" t="str">
            <v>ROD GUIDE ASS'Y</v>
          </cell>
          <cell r="D5373">
            <v>289</v>
          </cell>
          <cell r="N5373" t="str">
            <v>1207-02</v>
          </cell>
          <cell r="O5373" t="str">
            <v>ROD GUIDE ASS'Y</v>
          </cell>
          <cell r="P5373">
            <v>578</v>
          </cell>
        </row>
        <row r="5374">
          <cell r="B5374" t="str">
            <v>1289-01</v>
          </cell>
          <cell r="C5374" t="str">
            <v>PISTON</v>
          </cell>
          <cell r="D5374">
            <v>384</v>
          </cell>
          <cell r="N5374" t="str">
            <v>1289-01</v>
          </cell>
          <cell r="O5374" t="str">
            <v>PISTON</v>
          </cell>
          <cell r="P5374">
            <v>768</v>
          </cell>
        </row>
        <row r="5375">
          <cell r="B5375" t="str">
            <v>943-00</v>
          </cell>
          <cell r="C5375" t="str">
            <v>SPACER</v>
          </cell>
          <cell r="D5375">
            <v>156</v>
          </cell>
          <cell r="N5375" t="str">
            <v>943-00</v>
          </cell>
          <cell r="O5375" t="str">
            <v>SPACER</v>
          </cell>
          <cell r="P5375">
            <v>260</v>
          </cell>
        </row>
        <row r="5376">
          <cell r="B5376" t="str">
            <v>1289-03</v>
          </cell>
          <cell r="C5376" t="str">
            <v>PISTON</v>
          </cell>
          <cell r="D5376">
            <v>396.5</v>
          </cell>
          <cell r="N5376" t="str">
            <v>1289-03</v>
          </cell>
          <cell r="O5376" t="str">
            <v>PISTON</v>
          </cell>
          <cell r="P5376">
            <v>793</v>
          </cell>
        </row>
        <row r="5377">
          <cell r="B5377" t="str">
            <v>1351-05</v>
          </cell>
          <cell r="C5377" t="str">
            <v>PISTON</v>
          </cell>
          <cell r="D5377">
            <v>317.5</v>
          </cell>
          <cell r="N5377" t="str">
            <v>1351-05</v>
          </cell>
          <cell r="O5377" t="str">
            <v>PISTON</v>
          </cell>
          <cell r="P5377">
            <v>635</v>
          </cell>
        </row>
        <row r="5378">
          <cell r="B5378" t="str">
            <v>1328-03</v>
          </cell>
          <cell r="C5378" t="str">
            <v>PISTON</v>
          </cell>
          <cell r="D5378">
            <v>397</v>
          </cell>
          <cell r="N5378" t="str">
            <v>1328-03</v>
          </cell>
          <cell r="O5378" t="str">
            <v>PISTON</v>
          </cell>
          <cell r="P5378">
            <v>794</v>
          </cell>
        </row>
        <row r="5379">
          <cell r="B5379" t="str">
            <v>1409-02</v>
          </cell>
          <cell r="C5379" t="str">
            <v>PISTON</v>
          </cell>
          <cell r="D5379">
            <v>397.5</v>
          </cell>
          <cell r="N5379" t="str">
            <v>1409-02</v>
          </cell>
          <cell r="O5379" t="str">
            <v>PISTON</v>
          </cell>
          <cell r="P5379">
            <v>795</v>
          </cell>
        </row>
        <row r="5380">
          <cell r="B5380" t="str">
            <v>588-96</v>
          </cell>
          <cell r="C5380" t="str">
            <v>PISTON</v>
          </cell>
          <cell r="D5380">
            <v>397.5</v>
          </cell>
          <cell r="N5380" t="str">
            <v>588-96</v>
          </cell>
          <cell r="O5380" t="str">
            <v>PISTON</v>
          </cell>
          <cell r="P5380">
            <v>795</v>
          </cell>
        </row>
        <row r="5381">
          <cell r="B5381" t="str">
            <v>1274-04</v>
          </cell>
          <cell r="C5381" t="str">
            <v>PISTON</v>
          </cell>
          <cell r="D5381">
            <v>398</v>
          </cell>
          <cell r="N5381" t="str">
            <v>1274-04</v>
          </cell>
          <cell r="O5381" t="str">
            <v>PISTON</v>
          </cell>
          <cell r="P5381">
            <v>796</v>
          </cell>
        </row>
        <row r="5382">
          <cell r="B5382" t="str">
            <v>1274-04</v>
          </cell>
          <cell r="C5382" t="str">
            <v>PISTON</v>
          </cell>
          <cell r="D5382">
            <v>398</v>
          </cell>
          <cell r="N5382" t="str">
            <v>1274-04</v>
          </cell>
          <cell r="O5382" t="str">
            <v>PISTON</v>
          </cell>
          <cell r="P5382">
            <v>796</v>
          </cell>
        </row>
        <row r="5383">
          <cell r="B5383" t="str">
            <v>1508-00</v>
          </cell>
          <cell r="C5383" t="str">
            <v>SUPPORT YOKE ASS'Y</v>
          </cell>
          <cell r="D5383">
            <v>398</v>
          </cell>
          <cell r="N5383" t="str">
            <v>1508-00</v>
          </cell>
          <cell r="O5383" t="str">
            <v>SUPPORT YOKE ASS'Y</v>
          </cell>
          <cell r="P5383">
            <v>796</v>
          </cell>
        </row>
        <row r="5384">
          <cell r="B5384" t="str">
            <v>1587-06</v>
          </cell>
          <cell r="C5384" t="str">
            <v>PISTON</v>
          </cell>
          <cell r="D5384">
            <v>376.5</v>
          </cell>
          <cell r="N5384" t="str">
            <v>1587-06</v>
          </cell>
          <cell r="O5384" t="str">
            <v>PISTON</v>
          </cell>
          <cell r="P5384">
            <v>753</v>
          </cell>
        </row>
        <row r="5385">
          <cell r="B5385" t="str">
            <v>2058-00</v>
          </cell>
          <cell r="C5385" t="str">
            <v>ROD GUIDE ASS'Y</v>
          </cell>
          <cell r="D5385">
            <v>398.5</v>
          </cell>
          <cell r="N5385" t="str">
            <v>2058-00</v>
          </cell>
          <cell r="O5385" t="str">
            <v>ROD GUIDE ASS'Y</v>
          </cell>
          <cell r="P5385">
            <v>797</v>
          </cell>
        </row>
        <row r="5386">
          <cell r="B5386" t="str">
            <v>1684-00</v>
          </cell>
          <cell r="C5386" t="str">
            <v>ROD GUIDE ASS'Y</v>
          </cell>
          <cell r="D5386">
            <v>371</v>
          </cell>
          <cell r="N5386" t="str">
            <v>1684-00</v>
          </cell>
          <cell r="O5386" t="str">
            <v>ROD GUIDE ASS'Y</v>
          </cell>
          <cell r="P5386">
            <v>742</v>
          </cell>
        </row>
        <row r="5387">
          <cell r="B5387" t="str">
            <v>1368-26</v>
          </cell>
          <cell r="C5387" t="str">
            <v>PISTON</v>
          </cell>
          <cell r="D5387">
            <v>399.5</v>
          </cell>
          <cell r="N5387" t="str">
            <v>1368-26</v>
          </cell>
          <cell r="O5387" t="str">
            <v>PISTON</v>
          </cell>
          <cell r="P5387">
            <v>799</v>
          </cell>
        </row>
        <row r="5388">
          <cell r="B5388" t="str">
            <v>1910-00</v>
          </cell>
          <cell r="C5388" t="str">
            <v>ROD GUIDE ASS'Y</v>
          </cell>
          <cell r="D5388">
            <v>399.5</v>
          </cell>
          <cell r="N5388" t="str">
            <v>1910-00</v>
          </cell>
          <cell r="O5388" t="str">
            <v>ROD GUIDE ASS'Y</v>
          </cell>
          <cell r="P5388">
            <v>799</v>
          </cell>
        </row>
        <row r="5389">
          <cell r="B5389" t="str">
            <v>1910-00</v>
          </cell>
          <cell r="C5389" t="str">
            <v>ROD GUIDE ASS'Y</v>
          </cell>
          <cell r="D5389">
            <v>399.5</v>
          </cell>
          <cell r="N5389" t="str">
            <v>1910-00</v>
          </cell>
          <cell r="O5389" t="str">
            <v>ROD GUIDE ASS'Y</v>
          </cell>
          <cell r="P5389">
            <v>799</v>
          </cell>
        </row>
        <row r="5390">
          <cell r="B5390" t="str">
            <v>1587-07</v>
          </cell>
          <cell r="C5390" t="str">
            <v>PISTON</v>
          </cell>
          <cell r="D5390">
            <v>389.5</v>
          </cell>
          <cell r="N5390" t="str">
            <v>1587-07</v>
          </cell>
          <cell r="O5390" t="str">
            <v>PISTON</v>
          </cell>
          <cell r="P5390">
            <v>779</v>
          </cell>
        </row>
        <row r="5391">
          <cell r="B5391" t="str">
            <v>1351-01</v>
          </cell>
          <cell r="C5391" t="str">
            <v>PISTON</v>
          </cell>
          <cell r="D5391">
            <v>402</v>
          </cell>
          <cell r="N5391" t="str">
            <v>1351-01</v>
          </cell>
          <cell r="O5391" t="str">
            <v>PISTON</v>
          </cell>
          <cell r="P5391">
            <v>804</v>
          </cell>
        </row>
        <row r="5392">
          <cell r="B5392" t="str">
            <v>975-03</v>
          </cell>
          <cell r="C5392" t="str">
            <v>ROTOR</v>
          </cell>
          <cell r="D5392">
            <v>483</v>
          </cell>
          <cell r="N5392" t="str">
            <v>975-03</v>
          </cell>
          <cell r="O5392" t="str">
            <v>ROTOR</v>
          </cell>
          <cell r="P5392">
            <v>805</v>
          </cell>
        </row>
        <row r="5393">
          <cell r="B5393" t="str">
            <v>1288-11</v>
          </cell>
          <cell r="C5393" t="str">
            <v>PISTON</v>
          </cell>
          <cell r="D5393">
            <v>403</v>
          </cell>
          <cell r="N5393" t="str">
            <v>1288-11</v>
          </cell>
          <cell r="O5393" t="str">
            <v>PISTON</v>
          </cell>
          <cell r="P5393">
            <v>806</v>
          </cell>
        </row>
        <row r="5394">
          <cell r="B5394" t="str">
            <v>1288-11</v>
          </cell>
          <cell r="C5394" t="str">
            <v>PISTON</v>
          </cell>
          <cell r="D5394">
            <v>403</v>
          </cell>
          <cell r="N5394" t="str">
            <v>1288-11</v>
          </cell>
          <cell r="O5394" t="str">
            <v>PISTON</v>
          </cell>
          <cell r="P5394">
            <v>806</v>
          </cell>
        </row>
        <row r="5395">
          <cell r="B5395" t="str">
            <v>1289-07</v>
          </cell>
          <cell r="C5395" t="str">
            <v>PISTON</v>
          </cell>
          <cell r="D5395">
            <v>383</v>
          </cell>
          <cell r="N5395" t="str">
            <v>1289-07</v>
          </cell>
          <cell r="O5395" t="str">
            <v>PISTON</v>
          </cell>
          <cell r="P5395">
            <v>766</v>
          </cell>
        </row>
        <row r="5396">
          <cell r="B5396" t="str">
            <v>949-00</v>
          </cell>
          <cell r="C5396" t="str">
            <v>SAMPLING CASE</v>
          </cell>
          <cell r="D5396">
            <v>483.59999999999997</v>
          </cell>
          <cell r="N5396" t="str">
            <v>949-00</v>
          </cell>
          <cell r="O5396" t="str">
            <v>SAMPLING CASE</v>
          </cell>
          <cell r="P5396">
            <v>806</v>
          </cell>
        </row>
        <row r="5397">
          <cell r="B5397" t="str">
            <v>1289-22</v>
          </cell>
          <cell r="C5397" t="str">
            <v>PISTON</v>
          </cell>
          <cell r="D5397">
            <v>403.5</v>
          </cell>
          <cell r="N5397" t="str">
            <v>1289-22</v>
          </cell>
          <cell r="O5397" t="str">
            <v>PISTON</v>
          </cell>
          <cell r="P5397">
            <v>807</v>
          </cell>
        </row>
        <row r="5398">
          <cell r="B5398" t="str">
            <v>1368-01</v>
          </cell>
          <cell r="C5398" t="str">
            <v>PISTON</v>
          </cell>
          <cell r="D5398">
            <v>384</v>
          </cell>
          <cell r="N5398" t="str">
            <v>1368-01</v>
          </cell>
          <cell r="O5398" t="str">
            <v>PISTON</v>
          </cell>
          <cell r="P5398">
            <v>768</v>
          </cell>
        </row>
        <row r="5399">
          <cell r="B5399" t="str">
            <v>1368-01</v>
          </cell>
          <cell r="C5399" t="str">
            <v>PISTON</v>
          </cell>
          <cell r="D5399">
            <v>384</v>
          </cell>
          <cell r="N5399" t="str">
            <v>1368-01</v>
          </cell>
          <cell r="O5399" t="str">
            <v>PISTON</v>
          </cell>
          <cell r="P5399">
            <v>768</v>
          </cell>
        </row>
        <row r="5400">
          <cell r="B5400" t="str">
            <v>985-08</v>
          </cell>
          <cell r="C5400" t="str">
            <v>BODY</v>
          </cell>
          <cell r="D5400">
            <v>388</v>
          </cell>
          <cell r="N5400" t="str">
            <v>985-08</v>
          </cell>
          <cell r="O5400" t="str">
            <v>BODY</v>
          </cell>
          <cell r="P5400">
            <v>776</v>
          </cell>
        </row>
        <row r="5401">
          <cell r="B5401" t="str">
            <v>353-01</v>
          </cell>
          <cell r="C5401" t="str">
            <v>PISTON</v>
          </cell>
          <cell r="D5401">
            <v>404</v>
          </cell>
          <cell r="N5401" t="str">
            <v>353-01</v>
          </cell>
          <cell r="O5401" t="str">
            <v>PISTON</v>
          </cell>
          <cell r="P5401">
            <v>808</v>
          </cell>
        </row>
        <row r="5402">
          <cell r="B5402" t="str">
            <v>1289-17</v>
          </cell>
          <cell r="C5402" t="str">
            <v>PISTON</v>
          </cell>
          <cell r="D5402">
            <v>405</v>
          </cell>
          <cell r="N5402" t="str">
            <v>1289-17</v>
          </cell>
          <cell r="O5402" t="str">
            <v>PISTON</v>
          </cell>
          <cell r="P5402">
            <v>810</v>
          </cell>
        </row>
        <row r="5403">
          <cell r="B5403" t="str">
            <v>1546-00</v>
          </cell>
          <cell r="C5403" t="str">
            <v>PISTON</v>
          </cell>
          <cell r="D5403">
            <v>405</v>
          </cell>
          <cell r="N5403" t="str">
            <v>1546-00</v>
          </cell>
          <cell r="O5403" t="str">
            <v>PISTON</v>
          </cell>
          <cell r="P5403">
            <v>810</v>
          </cell>
        </row>
        <row r="5404">
          <cell r="B5404" t="str">
            <v>1289-13</v>
          </cell>
          <cell r="C5404" t="str">
            <v>PISTON</v>
          </cell>
          <cell r="D5404">
            <v>364.5</v>
          </cell>
          <cell r="N5404" t="str">
            <v>1289-13</v>
          </cell>
          <cell r="O5404" t="str">
            <v>PISTON</v>
          </cell>
          <cell r="P5404">
            <v>729</v>
          </cell>
        </row>
        <row r="5405">
          <cell r="B5405" t="str">
            <v>1289-17</v>
          </cell>
          <cell r="C5405" t="str">
            <v>PISTON</v>
          </cell>
          <cell r="D5405">
            <v>405</v>
          </cell>
          <cell r="N5405" t="str">
            <v>1289-17</v>
          </cell>
          <cell r="O5405" t="str">
            <v>PISTON</v>
          </cell>
          <cell r="P5405">
            <v>810</v>
          </cell>
        </row>
        <row r="5406">
          <cell r="B5406" t="str">
            <v>1288-06</v>
          </cell>
          <cell r="C5406" t="str">
            <v>PISTON</v>
          </cell>
          <cell r="D5406">
            <v>384</v>
          </cell>
          <cell r="N5406" t="str">
            <v>1288-06</v>
          </cell>
          <cell r="O5406" t="str">
            <v>PISTON</v>
          </cell>
          <cell r="P5406">
            <v>768</v>
          </cell>
        </row>
        <row r="5407">
          <cell r="B5407" t="str">
            <v>1289-26</v>
          </cell>
          <cell r="C5407" t="str">
            <v>PISTON</v>
          </cell>
          <cell r="D5407">
            <v>406</v>
          </cell>
          <cell r="N5407" t="str">
            <v>1289-26</v>
          </cell>
          <cell r="O5407" t="str">
            <v>PISTON</v>
          </cell>
          <cell r="P5407">
            <v>812</v>
          </cell>
        </row>
        <row r="5408">
          <cell r="B5408" t="str">
            <v>680-03</v>
          </cell>
          <cell r="C5408" t="str">
            <v>ROD GUIDE ASS'Y</v>
          </cell>
          <cell r="D5408">
            <v>237.5</v>
          </cell>
          <cell r="N5408" t="str">
            <v>680-03</v>
          </cell>
          <cell r="O5408" t="str">
            <v>ROD GUIDE ASS'Y</v>
          </cell>
          <cell r="P5408">
            <v>475</v>
          </cell>
        </row>
        <row r="5409">
          <cell r="B5409" t="str">
            <v>017-02</v>
          </cell>
          <cell r="C5409" t="str">
            <v>PISTON</v>
          </cell>
          <cell r="D5409">
            <v>190</v>
          </cell>
          <cell r="N5409" t="str">
            <v>017-02</v>
          </cell>
          <cell r="O5409" t="str">
            <v>PISTON</v>
          </cell>
          <cell r="P5409">
            <v>380</v>
          </cell>
        </row>
        <row r="5410">
          <cell r="B5410" t="str">
            <v>1456-01</v>
          </cell>
          <cell r="C5410" t="str">
            <v>PISTON</v>
          </cell>
          <cell r="D5410">
            <v>406.5</v>
          </cell>
          <cell r="N5410" t="str">
            <v>1456-01</v>
          </cell>
          <cell r="O5410" t="str">
            <v>PISTON</v>
          </cell>
          <cell r="P5410">
            <v>813</v>
          </cell>
        </row>
        <row r="5411">
          <cell r="B5411" t="str">
            <v>1561-00</v>
          </cell>
          <cell r="C5411" t="str">
            <v>ROD GUIDE ASS'Y</v>
          </cell>
          <cell r="D5411">
            <v>395</v>
          </cell>
          <cell r="N5411" t="str">
            <v>1561-00</v>
          </cell>
          <cell r="O5411" t="str">
            <v>ROD GUIDE ASS'Y</v>
          </cell>
          <cell r="P5411">
            <v>790</v>
          </cell>
        </row>
        <row r="5412">
          <cell r="B5412" t="str">
            <v>985-09</v>
          </cell>
          <cell r="C5412" t="str">
            <v>BODY</v>
          </cell>
          <cell r="D5412">
            <v>406.5</v>
          </cell>
          <cell r="N5412" t="str">
            <v>985-09</v>
          </cell>
          <cell r="O5412" t="str">
            <v>BODY</v>
          </cell>
          <cell r="P5412">
            <v>813</v>
          </cell>
        </row>
        <row r="5413">
          <cell r="B5413" t="str">
            <v>985-09</v>
          </cell>
          <cell r="C5413" t="str">
            <v>BODY</v>
          </cell>
          <cell r="D5413">
            <v>406.5</v>
          </cell>
          <cell r="N5413" t="str">
            <v>985-09</v>
          </cell>
          <cell r="O5413" t="str">
            <v>BODY</v>
          </cell>
          <cell r="P5413">
            <v>813</v>
          </cell>
        </row>
        <row r="5414">
          <cell r="B5414" t="str">
            <v>1030-01</v>
          </cell>
          <cell r="C5414" t="str">
            <v>ROD GUIDE ASS'Y</v>
          </cell>
          <cell r="D5414">
            <v>245.5</v>
          </cell>
          <cell r="N5414" t="str">
            <v>1030-01</v>
          </cell>
          <cell r="O5414" t="str">
            <v>ROD GUIDE ASS'Y</v>
          </cell>
          <cell r="P5414">
            <v>491</v>
          </cell>
        </row>
        <row r="5415">
          <cell r="B5415" t="str">
            <v>1337-01</v>
          </cell>
          <cell r="C5415" t="str">
            <v>ROD GUIDE ASS'Y</v>
          </cell>
          <cell r="D5415">
            <v>407</v>
          </cell>
          <cell r="N5415" t="str">
            <v>1337-01</v>
          </cell>
          <cell r="O5415" t="str">
            <v>ROD GUIDE ASS'Y</v>
          </cell>
          <cell r="P5415">
            <v>814</v>
          </cell>
        </row>
        <row r="5416">
          <cell r="B5416" t="str">
            <v>1274-04</v>
          </cell>
          <cell r="C5416" t="str">
            <v>PISTON</v>
          </cell>
          <cell r="D5416">
            <v>398</v>
          </cell>
          <cell r="N5416" t="str">
            <v>1274-04</v>
          </cell>
          <cell r="O5416" t="str">
            <v>PISTON</v>
          </cell>
          <cell r="P5416">
            <v>796</v>
          </cell>
        </row>
        <row r="5417">
          <cell r="B5417" t="str">
            <v>1289-03</v>
          </cell>
          <cell r="C5417" t="str">
            <v>PISTON</v>
          </cell>
          <cell r="D5417">
            <v>396.5</v>
          </cell>
          <cell r="N5417" t="str">
            <v>1289-03</v>
          </cell>
          <cell r="O5417" t="str">
            <v>PISTON</v>
          </cell>
          <cell r="P5417">
            <v>793</v>
          </cell>
        </row>
        <row r="5418">
          <cell r="B5418" t="str">
            <v>1288-14</v>
          </cell>
          <cell r="C5418" t="str">
            <v>PISTON</v>
          </cell>
          <cell r="D5418">
            <v>408</v>
          </cell>
          <cell r="N5418" t="str">
            <v>1288-14</v>
          </cell>
          <cell r="O5418" t="str">
            <v>PISTON</v>
          </cell>
          <cell r="P5418">
            <v>816</v>
          </cell>
        </row>
        <row r="5419">
          <cell r="B5419" t="str">
            <v>1289-01</v>
          </cell>
          <cell r="C5419" t="str">
            <v>PISTON</v>
          </cell>
          <cell r="D5419">
            <v>384</v>
          </cell>
          <cell r="N5419" t="str">
            <v>1289-01</v>
          </cell>
          <cell r="O5419" t="str">
            <v>PISTON</v>
          </cell>
          <cell r="P5419">
            <v>768</v>
          </cell>
        </row>
        <row r="5420">
          <cell r="B5420" t="str">
            <v>1289-01</v>
          </cell>
          <cell r="C5420" t="str">
            <v>PISTON</v>
          </cell>
          <cell r="D5420">
            <v>384</v>
          </cell>
          <cell r="N5420" t="str">
            <v>1289-01</v>
          </cell>
          <cell r="O5420" t="str">
            <v>PISTON</v>
          </cell>
          <cell r="P5420">
            <v>768</v>
          </cell>
        </row>
        <row r="5421">
          <cell r="B5421" t="str">
            <v>1409-04</v>
          </cell>
          <cell r="C5421" t="str">
            <v>PISTON</v>
          </cell>
          <cell r="D5421">
            <v>408</v>
          </cell>
          <cell r="N5421" t="str">
            <v>1409-04</v>
          </cell>
          <cell r="O5421" t="str">
            <v>PISTON</v>
          </cell>
          <cell r="P5421">
            <v>816</v>
          </cell>
        </row>
        <row r="5422">
          <cell r="B5422" t="str">
            <v>1289-29</v>
          </cell>
          <cell r="C5422" t="str">
            <v>PISTON</v>
          </cell>
          <cell r="D5422">
            <v>376.5</v>
          </cell>
          <cell r="N5422" t="str">
            <v>1289-29</v>
          </cell>
          <cell r="O5422" t="str">
            <v>PISTON</v>
          </cell>
          <cell r="P5422">
            <v>753</v>
          </cell>
        </row>
        <row r="5423">
          <cell r="B5423" t="str">
            <v>1368-21</v>
          </cell>
          <cell r="C5423" t="str">
            <v>PISTON</v>
          </cell>
          <cell r="D5423">
            <v>408.5</v>
          </cell>
          <cell r="N5423" t="str">
            <v>1368-21</v>
          </cell>
          <cell r="O5423" t="str">
            <v>PISTON</v>
          </cell>
          <cell r="P5423">
            <v>817</v>
          </cell>
        </row>
        <row r="5424">
          <cell r="B5424" t="str">
            <v>1042-02</v>
          </cell>
          <cell r="C5424" t="str">
            <v>ROD GUIDE ASS'Y</v>
          </cell>
          <cell r="D5424">
            <v>384.5</v>
          </cell>
          <cell r="N5424" t="str">
            <v>1042-02</v>
          </cell>
          <cell r="O5424" t="str">
            <v>ROD GUIDE ASS'Y</v>
          </cell>
          <cell r="P5424">
            <v>769</v>
          </cell>
        </row>
        <row r="5425">
          <cell r="B5425" t="str">
            <v>1368-21</v>
          </cell>
          <cell r="C5425" t="str">
            <v>PISTON</v>
          </cell>
          <cell r="D5425">
            <v>408.5</v>
          </cell>
          <cell r="N5425" t="str">
            <v>1368-21</v>
          </cell>
          <cell r="O5425" t="str">
            <v>PISTON</v>
          </cell>
          <cell r="P5425">
            <v>817</v>
          </cell>
        </row>
        <row r="5426">
          <cell r="B5426" t="str">
            <v>1558-00</v>
          </cell>
          <cell r="C5426" t="str">
            <v>WHEEL SENSOR, INPUT</v>
          </cell>
          <cell r="D5426">
            <v>369</v>
          </cell>
          <cell r="N5426" t="str">
            <v>1558-00</v>
          </cell>
          <cell r="O5426" t="str">
            <v>WHEEL SENSOR, INPUT</v>
          </cell>
          <cell r="P5426">
            <v>738</v>
          </cell>
        </row>
        <row r="5427">
          <cell r="B5427" t="str">
            <v>1246-00</v>
          </cell>
          <cell r="C5427" t="str">
            <v>INNER WASHER</v>
          </cell>
          <cell r="D5427">
            <v>450</v>
          </cell>
          <cell r="N5427" t="str">
            <v>1246-00</v>
          </cell>
          <cell r="O5427" t="str">
            <v>INNER WASHER</v>
          </cell>
          <cell r="P5427">
            <v>750</v>
          </cell>
        </row>
        <row r="5428">
          <cell r="B5428" t="str">
            <v>588-46</v>
          </cell>
          <cell r="C5428" t="str">
            <v>PISTON</v>
          </cell>
          <cell r="D5428">
            <v>237.5</v>
          </cell>
          <cell r="N5428" t="str">
            <v>588-46</v>
          </cell>
          <cell r="O5428" t="str">
            <v>PISTON</v>
          </cell>
          <cell r="P5428">
            <v>475</v>
          </cell>
        </row>
        <row r="5429">
          <cell r="B5429" t="str">
            <v>1328-01</v>
          </cell>
          <cell r="C5429" t="str">
            <v>PISTON</v>
          </cell>
          <cell r="D5429">
            <v>410</v>
          </cell>
          <cell r="N5429" t="str">
            <v>1328-01</v>
          </cell>
          <cell r="O5429" t="str">
            <v>PISTON</v>
          </cell>
          <cell r="P5429">
            <v>820</v>
          </cell>
        </row>
        <row r="5430">
          <cell r="B5430" t="str">
            <v>1397-01</v>
          </cell>
          <cell r="C5430" t="str">
            <v>PISTON</v>
          </cell>
          <cell r="D5430">
            <v>410</v>
          </cell>
          <cell r="N5430" t="str">
            <v>1397-01</v>
          </cell>
          <cell r="O5430" t="str">
            <v>PISTON</v>
          </cell>
          <cell r="P5430">
            <v>820</v>
          </cell>
        </row>
        <row r="5431">
          <cell r="B5431" t="str">
            <v>1521-00</v>
          </cell>
          <cell r="C5431" t="str">
            <v>SUPPORT YOKE ASS'Y</v>
          </cell>
          <cell r="D5431">
            <v>354.5</v>
          </cell>
          <cell r="N5431" t="str">
            <v>1521-00</v>
          </cell>
          <cell r="O5431" t="str">
            <v>SUPPORT YOKE ASS'Y</v>
          </cell>
          <cell r="P5431">
            <v>709</v>
          </cell>
        </row>
        <row r="5432">
          <cell r="B5432" t="str">
            <v>1368-12</v>
          </cell>
          <cell r="C5432" t="str">
            <v>PISTON</v>
          </cell>
          <cell r="D5432">
            <v>410.5</v>
          </cell>
          <cell r="N5432" t="str">
            <v>1368-12</v>
          </cell>
          <cell r="O5432" t="str">
            <v>PISTON</v>
          </cell>
          <cell r="P5432">
            <v>821</v>
          </cell>
        </row>
        <row r="5433">
          <cell r="B5433" t="str">
            <v>1397-01</v>
          </cell>
          <cell r="C5433" t="str">
            <v>PISTON</v>
          </cell>
          <cell r="D5433">
            <v>410</v>
          </cell>
          <cell r="N5433" t="str">
            <v>1397-01</v>
          </cell>
          <cell r="O5433" t="str">
            <v>PISTON</v>
          </cell>
          <cell r="P5433">
            <v>820</v>
          </cell>
        </row>
        <row r="5434">
          <cell r="B5434" t="str">
            <v>1289-26</v>
          </cell>
          <cell r="C5434" t="str">
            <v>PISTON</v>
          </cell>
          <cell r="D5434">
            <v>406</v>
          </cell>
          <cell r="N5434" t="str">
            <v>1289-26</v>
          </cell>
          <cell r="O5434" t="str">
            <v>PISTON</v>
          </cell>
          <cell r="P5434">
            <v>812</v>
          </cell>
        </row>
        <row r="5435">
          <cell r="B5435" t="str">
            <v>1289-26</v>
          </cell>
          <cell r="C5435" t="str">
            <v>PISTON</v>
          </cell>
          <cell r="D5435">
            <v>406</v>
          </cell>
          <cell r="N5435" t="str">
            <v>1289-26</v>
          </cell>
          <cell r="O5435" t="str">
            <v>PISTON</v>
          </cell>
          <cell r="P5435">
            <v>812</v>
          </cell>
        </row>
        <row r="5436">
          <cell r="B5436" t="str">
            <v>1921-00</v>
          </cell>
          <cell r="C5436" t="str">
            <v>PISTON</v>
          </cell>
          <cell r="D5436">
            <v>412.5</v>
          </cell>
          <cell r="N5436" t="str">
            <v>1921-00</v>
          </cell>
          <cell r="O5436" t="str">
            <v>PISTON</v>
          </cell>
          <cell r="P5436">
            <v>825</v>
          </cell>
        </row>
        <row r="5437">
          <cell r="B5437" t="str">
            <v>1368-21</v>
          </cell>
          <cell r="C5437" t="str">
            <v>PISTON</v>
          </cell>
          <cell r="D5437">
            <v>408.5</v>
          </cell>
          <cell r="N5437" t="str">
            <v>1368-21</v>
          </cell>
          <cell r="O5437" t="str">
            <v>PISTON</v>
          </cell>
          <cell r="P5437">
            <v>817</v>
          </cell>
        </row>
        <row r="5438">
          <cell r="B5438" t="str">
            <v>1587-08</v>
          </cell>
          <cell r="C5438" t="str">
            <v>PISTON</v>
          </cell>
          <cell r="D5438">
            <v>413.5</v>
          </cell>
          <cell r="N5438" t="str">
            <v>1587-08</v>
          </cell>
          <cell r="O5438" t="str">
            <v>PISTON</v>
          </cell>
          <cell r="P5438">
            <v>827</v>
          </cell>
        </row>
        <row r="5439">
          <cell r="B5439" t="str">
            <v>384-03</v>
          </cell>
          <cell r="C5439" t="str">
            <v>SUPPORT YOKE ASS'Y</v>
          </cell>
          <cell r="D5439">
            <v>413.5</v>
          </cell>
          <cell r="N5439" t="str">
            <v>384-03</v>
          </cell>
          <cell r="O5439" t="str">
            <v>SUPPORT YOKE ASS'Y</v>
          </cell>
          <cell r="P5439">
            <v>827</v>
          </cell>
        </row>
        <row r="5440">
          <cell r="B5440" t="str">
            <v>384-03</v>
          </cell>
          <cell r="C5440" t="str">
            <v>SUPPORT YOKE ASS'Y</v>
          </cell>
          <cell r="D5440">
            <v>413.5</v>
          </cell>
          <cell r="N5440" t="str">
            <v>384-03</v>
          </cell>
          <cell r="O5440" t="str">
            <v>SUPPORT YOKE ASS'Y</v>
          </cell>
          <cell r="P5440">
            <v>827</v>
          </cell>
        </row>
        <row r="5441">
          <cell r="B5441" t="str">
            <v>1188-00</v>
          </cell>
          <cell r="C5441" t="str">
            <v>ROD GUIDE</v>
          </cell>
          <cell r="D5441">
            <v>414</v>
          </cell>
          <cell r="N5441" t="str">
            <v>1188-00</v>
          </cell>
          <cell r="O5441" t="str">
            <v>ROD GUIDE</v>
          </cell>
          <cell r="P5441">
            <v>828</v>
          </cell>
        </row>
        <row r="5442">
          <cell r="B5442" t="str">
            <v>972-00</v>
          </cell>
          <cell r="C5442" t="str">
            <v>ROD GUIDE ASS'Y</v>
          </cell>
          <cell r="D5442">
            <v>244.5</v>
          </cell>
          <cell r="N5442" t="str">
            <v>972-00</v>
          </cell>
          <cell r="O5442" t="str">
            <v>ROD GUIDE ASS'Y</v>
          </cell>
          <cell r="P5442">
            <v>489</v>
          </cell>
        </row>
        <row r="5443">
          <cell r="B5443" t="str">
            <v>090-03</v>
          </cell>
          <cell r="C5443" t="str">
            <v>PISTON</v>
          </cell>
          <cell r="D5443">
            <v>414.5</v>
          </cell>
          <cell r="N5443" t="str">
            <v>090-03</v>
          </cell>
          <cell r="O5443" t="str">
            <v>PISTON</v>
          </cell>
          <cell r="P5443">
            <v>829</v>
          </cell>
        </row>
        <row r="5444">
          <cell r="B5444" t="str">
            <v>1289-02</v>
          </cell>
          <cell r="C5444" t="str">
            <v>PISTON</v>
          </cell>
          <cell r="D5444">
            <v>381.5</v>
          </cell>
          <cell r="N5444" t="str">
            <v>1289-02</v>
          </cell>
          <cell r="O5444" t="str">
            <v>PISTON</v>
          </cell>
          <cell r="P5444">
            <v>763</v>
          </cell>
        </row>
        <row r="5445">
          <cell r="B5445" t="str">
            <v>1289-24</v>
          </cell>
          <cell r="C5445" t="str">
            <v>PISTON</v>
          </cell>
          <cell r="D5445">
            <v>415</v>
          </cell>
          <cell r="N5445" t="str">
            <v>1289-24</v>
          </cell>
          <cell r="O5445" t="str">
            <v>PISTON</v>
          </cell>
          <cell r="P5445">
            <v>830</v>
          </cell>
        </row>
        <row r="5446">
          <cell r="B5446" t="str">
            <v>1546-00</v>
          </cell>
          <cell r="C5446" t="str">
            <v>PISTON</v>
          </cell>
          <cell r="D5446">
            <v>405</v>
          </cell>
          <cell r="N5446" t="str">
            <v>1546-00</v>
          </cell>
          <cell r="O5446" t="str">
            <v>PISTON</v>
          </cell>
          <cell r="P5446">
            <v>810</v>
          </cell>
        </row>
        <row r="5447">
          <cell r="B5447" t="str">
            <v>1546-00</v>
          </cell>
          <cell r="C5447" t="str">
            <v>PISTON</v>
          </cell>
          <cell r="D5447">
            <v>405</v>
          </cell>
          <cell r="N5447" t="str">
            <v>1546-00</v>
          </cell>
          <cell r="O5447" t="str">
            <v>PISTON</v>
          </cell>
          <cell r="P5447">
            <v>810</v>
          </cell>
        </row>
        <row r="5448">
          <cell r="B5448" t="str">
            <v>2035-00</v>
          </cell>
          <cell r="C5448" t="str">
            <v>SPCR-TRANS FNL DRV PLNT GR</v>
          </cell>
          <cell r="D5448">
            <v>450</v>
          </cell>
          <cell r="N5448" t="str">
            <v>2035-00</v>
          </cell>
          <cell r="O5448" t="str">
            <v>SPCR-TRANS FNL DRV PLNT GR</v>
          </cell>
          <cell r="P5448">
            <v>750</v>
          </cell>
        </row>
        <row r="5449">
          <cell r="B5449" t="str">
            <v>2035-00</v>
          </cell>
          <cell r="C5449" t="str">
            <v>SPCR-TRANS FNL DRV PLNT GR</v>
          </cell>
          <cell r="D5449">
            <v>450</v>
          </cell>
          <cell r="N5449" t="str">
            <v>2035-00</v>
          </cell>
          <cell r="O5449" t="str">
            <v>SPCR-TRANS FNL DRV PLNT GR</v>
          </cell>
          <cell r="P5449">
            <v>750</v>
          </cell>
        </row>
        <row r="5450">
          <cell r="B5450" t="str">
            <v>1274-06</v>
          </cell>
          <cell r="C5450" t="str">
            <v>PISTON</v>
          </cell>
          <cell r="D5450">
            <v>415.5</v>
          </cell>
          <cell r="N5450" t="str">
            <v>1274-06</v>
          </cell>
          <cell r="O5450" t="str">
            <v>PISTON</v>
          </cell>
          <cell r="P5450">
            <v>831</v>
          </cell>
        </row>
        <row r="5451">
          <cell r="B5451" t="str">
            <v>1289-15</v>
          </cell>
          <cell r="C5451" t="str">
            <v>PISTON</v>
          </cell>
          <cell r="D5451">
            <v>416</v>
          </cell>
          <cell r="N5451" t="str">
            <v>1289-15</v>
          </cell>
          <cell r="O5451" t="str">
            <v>PISTON</v>
          </cell>
          <cell r="P5451">
            <v>832</v>
          </cell>
        </row>
        <row r="5452">
          <cell r="B5452" t="str">
            <v>974-00</v>
          </cell>
          <cell r="C5452" t="str">
            <v>CAM</v>
          </cell>
          <cell r="D5452">
            <v>499.2</v>
          </cell>
          <cell r="N5452" t="str">
            <v>974-00</v>
          </cell>
          <cell r="O5452" t="str">
            <v>CAM</v>
          </cell>
          <cell r="P5452">
            <v>832</v>
          </cell>
        </row>
        <row r="5453">
          <cell r="B5453" t="str">
            <v>974-03</v>
          </cell>
          <cell r="C5453" t="str">
            <v>CAM</v>
          </cell>
          <cell r="D5453">
            <v>499.2</v>
          </cell>
          <cell r="N5453" t="str">
            <v>974-03</v>
          </cell>
          <cell r="O5453" t="str">
            <v>CAM</v>
          </cell>
          <cell r="P5453">
            <v>832</v>
          </cell>
        </row>
        <row r="5454">
          <cell r="B5454" t="str">
            <v>1289-30</v>
          </cell>
          <cell r="C5454" t="str">
            <v>PISTON</v>
          </cell>
          <cell r="D5454">
            <v>416.5</v>
          </cell>
          <cell r="N5454" t="str">
            <v>1289-30</v>
          </cell>
          <cell r="O5454" t="str">
            <v>PISTON</v>
          </cell>
          <cell r="P5454">
            <v>833</v>
          </cell>
        </row>
        <row r="5455">
          <cell r="B5455" t="str">
            <v>1289-30</v>
          </cell>
          <cell r="C5455" t="str">
            <v>PISTON</v>
          </cell>
          <cell r="D5455">
            <v>416.5</v>
          </cell>
          <cell r="N5455" t="str">
            <v>1289-30</v>
          </cell>
          <cell r="O5455" t="str">
            <v>PISTON</v>
          </cell>
          <cell r="P5455">
            <v>833</v>
          </cell>
        </row>
        <row r="5456">
          <cell r="B5456" t="str">
            <v>1288-02</v>
          </cell>
          <cell r="C5456" t="str">
            <v>PISTON</v>
          </cell>
          <cell r="D5456">
            <v>392.5</v>
          </cell>
          <cell r="N5456" t="str">
            <v>1288-02</v>
          </cell>
          <cell r="O5456" t="str">
            <v>PISTON</v>
          </cell>
          <cell r="P5456">
            <v>785</v>
          </cell>
        </row>
        <row r="5457">
          <cell r="B5457" t="str">
            <v>1288-02</v>
          </cell>
          <cell r="C5457" t="str">
            <v>PISTON</v>
          </cell>
          <cell r="D5457">
            <v>392.5</v>
          </cell>
          <cell r="N5457" t="str">
            <v>1288-02</v>
          </cell>
          <cell r="O5457" t="str">
            <v>PISTON</v>
          </cell>
          <cell r="P5457">
            <v>785</v>
          </cell>
        </row>
        <row r="5458">
          <cell r="B5458" t="str">
            <v>1508-00</v>
          </cell>
          <cell r="C5458" t="str">
            <v>SUPPORT YOKE ASS'Y</v>
          </cell>
          <cell r="D5458">
            <v>398</v>
          </cell>
          <cell r="N5458" t="str">
            <v>1508-00</v>
          </cell>
          <cell r="O5458" t="str">
            <v>SUPPORT YOKE ASS'Y</v>
          </cell>
          <cell r="P5458">
            <v>796</v>
          </cell>
        </row>
        <row r="5459">
          <cell r="B5459" t="str">
            <v>1622-01</v>
          </cell>
          <cell r="C5459" t="str">
            <v>SUPPORT YOKE ASS'Y</v>
          </cell>
          <cell r="D5459">
            <v>418</v>
          </cell>
          <cell r="N5459" t="str">
            <v>1622-01</v>
          </cell>
          <cell r="O5459" t="str">
            <v>SUPPORT YOKE ASS'Y</v>
          </cell>
          <cell r="P5459">
            <v>836</v>
          </cell>
        </row>
        <row r="5460">
          <cell r="B5460" t="str">
            <v>1289-13</v>
          </cell>
          <cell r="C5460" t="str">
            <v>PISTON</v>
          </cell>
          <cell r="D5460">
            <v>364.5</v>
          </cell>
          <cell r="N5460" t="str">
            <v>1289-13</v>
          </cell>
          <cell r="O5460" t="str">
            <v>PISTON</v>
          </cell>
          <cell r="P5460">
            <v>729</v>
          </cell>
        </row>
        <row r="5461">
          <cell r="B5461" t="str">
            <v>1289-13</v>
          </cell>
          <cell r="C5461" t="str">
            <v>PISTON</v>
          </cell>
          <cell r="D5461">
            <v>364.5</v>
          </cell>
          <cell r="N5461" t="str">
            <v>1289-13</v>
          </cell>
          <cell r="O5461" t="str">
            <v>PISTON</v>
          </cell>
          <cell r="P5461">
            <v>729</v>
          </cell>
        </row>
        <row r="5462">
          <cell r="B5462" t="str">
            <v>1289-24</v>
          </cell>
          <cell r="C5462" t="str">
            <v>PISTON</v>
          </cell>
          <cell r="D5462">
            <v>415</v>
          </cell>
          <cell r="N5462" t="str">
            <v>1289-24</v>
          </cell>
          <cell r="O5462" t="str">
            <v>PISTON</v>
          </cell>
          <cell r="P5462">
            <v>830</v>
          </cell>
        </row>
        <row r="5463">
          <cell r="B5463" t="str">
            <v>1496-00</v>
          </cell>
          <cell r="C5463" t="str">
            <v>TONE WHEEL</v>
          </cell>
          <cell r="D5463">
            <v>418.5</v>
          </cell>
          <cell r="N5463" t="str">
            <v>1496-00</v>
          </cell>
          <cell r="O5463" t="str">
            <v>TONE WHEEL</v>
          </cell>
          <cell r="P5463">
            <v>837</v>
          </cell>
        </row>
        <row r="5464">
          <cell r="B5464" t="str">
            <v>1496-00</v>
          </cell>
          <cell r="C5464" t="str">
            <v>TONE WHEEL</v>
          </cell>
          <cell r="D5464">
            <v>418.5</v>
          </cell>
          <cell r="N5464" t="str">
            <v>1496-00</v>
          </cell>
          <cell r="O5464" t="str">
            <v>TONE WHEEL</v>
          </cell>
          <cell r="P5464">
            <v>837</v>
          </cell>
        </row>
        <row r="5465">
          <cell r="B5465" t="str">
            <v>1496-00</v>
          </cell>
          <cell r="C5465" t="str">
            <v>TONE WHEEL</v>
          </cell>
          <cell r="D5465">
            <v>418.5</v>
          </cell>
          <cell r="N5465" t="str">
            <v>1496-00</v>
          </cell>
          <cell r="O5465" t="str">
            <v>TONE WHEEL</v>
          </cell>
          <cell r="P5465">
            <v>837</v>
          </cell>
        </row>
        <row r="5466">
          <cell r="B5466" t="str">
            <v>1496-00</v>
          </cell>
          <cell r="C5466" t="str">
            <v>TONE WHEEL</v>
          </cell>
          <cell r="D5466">
            <v>418.5</v>
          </cell>
          <cell r="N5466" t="str">
            <v>1496-00</v>
          </cell>
          <cell r="O5466" t="str">
            <v>TONE WHEEL</v>
          </cell>
          <cell r="P5466">
            <v>837</v>
          </cell>
        </row>
        <row r="5467">
          <cell r="B5467" t="str">
            <v>1496-00</v>
          </cell>
          <cell r="C5467" t="str">
            <v>TONE WHEEL</v>
          </cell>
          <cell r="D5467">
            <v>418.5</v>
          </cell>
          <cell r="N5467" t="str">
            <v>1496-00</v>
          </cell>
          <cell r="O5467" t="str">
            <v>TONE WHEEL</v>
          </cell>
          <cell r="P5467">
            <v>837</v>
          </cell>
        </row>
        <row r="5468">
          <cell r="B5468" t="str">
            <v>1289-20</v>
          </cell>
          <cell r="C5468" t="str">
            <v>PISTON</v>
          </cell>
          <cell r="D5468">
            <v>419</v>
          </cell>
          <cell r="N5468" t="str">
            <v>1289-20</v>
          </cell>
          <cell r="O5468" t="str">
            <v>PISTON</v>
          </cell>
          <cell r="P5468">
            <v>838</v>
          </cell>
        </row>
        <row r="5469">
          <cell r="B5469" t="str">
            <v>1722-00</v>
          </cell>
          <cell r="C5469" t="str">
            <v>HUB</v>
          </cell>
          <cell r="D5469">
            <v>408</v>
          </cell>
          <cell r="N5469" t="str">
            <v>1722-00</v>
          </cell>
          <cell r="O5469" t="str">
            <v>HUB</v>
          </cell>
          <cell r="P5469">
            <v>680</v>
          </cell>
        </row>
        <row r="5470">
          <cell r="B5470" t="str">
            <v>1368-08</v>
          </cell>
          <cell r="C5470" t="str">
            <v>PISTON</v>
          </cell>
          <cell r="D5470">
            <v>420</v>
          </cell>
          <cell r="N5470" t="str">
            <v>1368-08</v>
          </cell>
          <cell r="O5470" t="str">
            <v>PISTON</v>
          </cell>
          <cell r="P5470">
            <v>840</v>
          </cell>
        </row>
        <row r="5471">
          <cell r="B5471" t="str">
            <v>585-02</v>
          </cell>
          <cell r="C5471" t="str">
            <v>ROD GUIDE ASS'Y</v>
          </cell>
          <cell r="D5471">
            <v>420.5</v>
          </cell>
          <cell r="N5471" t="str">
            <v>585-02</v>
          </cell>
          <cell r="O5471" t="str">
            <v>ROD GUIDE ASS'Y</v>
          </cell>
          <cell r="P5471">
            <v>841</v>
          </cell>
        </row>
        <row r="5472">
          <cell r="B5472" t="str">
            <v>323-00</v>
          </cell>
          <cell r="C5472" t="str">
            <v>GEAR(대)</v>
          </cell>
          <cell r="D5472">
            <v>421.5</v>
          </cell>
          <cell r="N5472" t="str">
            <v>323-00</v>
          </cell>
          <cell r="O5472" t="str">
            <v>GEAR(대)</v>
          </cell>
          <cell r="P5472">
            <v>843</v>
          </cell>
        </row>
        <row r="5473">
          <cell r="B5473" t="str">
            <v>323-00</v>
          </cell>
          <cell r="C5473" t="str">
            <v>GEAR(대)</v>
          </cell>
          <cell r="D5473">
            <v>421.5</v>
          </cell>
          <cell r="N5473" t="str">
            <v>323-00</v>
          </cell>
          <cell r="O5473" t="str">
            <v>GEAR(대)</v>
          </cell>
          <cell r="P5473">
            <v>843</v>
          </cell>
        </row>
        <row r="5474">
          <cell r="B5474" t="str">
            <v>1521-00</v>
          </cell>
          <cell r="C5474" t="str">
            <v>SUPPORT YOKE ASS'Y</v>
          </cell>
          <cell r="D5474">
            <v>354.5</v>
          </cell>
          <cell r="N5474" t="str">
            <v>1521-00</v>
          </cell>
          <cell r="O5474" t="str">
            <v>SUPPORT YOKE ASS'Y</v>
          </cell>
          <cell r="P5474">
            <v>709</v>
          </cell>
        </row>
        <row r="5475">
          <cell r="B5475" t="str">
            <v>1557-00</v>
          </cell>
          <cell r="C5475" t="str">
            <v>WHEEL SENSOR, INPUT</v>
          </cell>
          <cell r="D5475">
            <v>382.5</v>
          </cell>
          <cell r="N5475" t="str">
            <v>1557-00</v>
          </cell>
          <cell r="O5475" t="str">
            <v>WHEEL SENSOR, INPUT</v>
          </cell>
          <cell r="P5475">
            <v>765</v>
          </cell>
        </row>
        <row r="5476">
          <cell r="B5476" t="str">
            <v>943-00</v>
          </cell>
          <cell r="C5476" t="str">
            <v>SPACER</v>
          </cell>
          <cell r="D5476">
            <v>156</v>
          </cell>
          <cell r="N5476" t="str">
            <v>943-00</v>
          </cell>
          <cell r="O5476" t="str">
            <v>SPACER</v>
          </cell>
          <cell r="P5476">
            <v>260</v>
          </cell>
        </row>
        <row r="5477">
          <cell r="B5477" t="str">
            <v>1289-03</v>
          </cell>
          <cell r="C5477" t="str">
            <v>PISTON</v>
          </cell>
          <cell r="D5477">
            <v>396.5</v>
          </cell>
          <cell r="N5477" t="str">
            <v>1289-03</v>
          </cell>
          <cell r="O5477" t="str">
            <v>PISTON</v>
          </cell>
          <cell r="P5477">
            <v>793</v>
          </cell>
        </row>
        <row r="5478">
          <cell r="B5478" t="str">
            <v>1289-16</v>
          </cell>
          <cell r="C5478" t="str">
            <v>PISTON</v>
          </cell>
          <cell r="D5478">
            <v>422.5</v>
          </cell>
          <cell r="N5478" t="str">
            <v>1289-16</v>
          </cell>
          <cell r="O5478" t="str">
            <v>PISTON</v>
          </cell>
          <cell r="P5478">
            <v>845</v>
          </cell>
        </row>
        <row r="5479">
          <cell r="B5479" t="str">
            <v>1289-16</v>
          </cell>
          <cell r="C5479" t="str">
            <v>PISTON</v>
          </cell>
          <cell r="D5479">
            <v>422.5</v>
          </cell>
          <cell r="N5479" t="str">
            <v>1289-16</v>
          </cell>
          <cell r="O5479" t="str">
            <v>PISTON</v>
          </cell>
          <cell r="P5479">
            <v>845</v>
          </cell>
        </row>
        <row r="5480">
          <cell r="B5480" t="str">
            <v>384-03</v>
          </cell>
          <cell r="C5480" t="str">
            <v>SUPPORT YOKE ASS'Y</v>
          </cell>
          <cell r="D5480">
            <v>413.5</v>
          </cell>
          <cell r="N5480" t="str">
            <v>384-03</v>
          </cell>
          <cell r="O5480" t="str">
            <v>SUPPORT YOKE ASS'Y</v>
          </cell>
          <cell r="P5480">
            <v>827</v>
          </cell>
        </row>
        <row r="5481">
          <cell r="B5481" t="str">
            <v>384-03</v>
          </cell>
          <cell r="C5481" t="str">
            <v>SUPPORT YOKE ASS'Y</v>
          </cell>
          <cell r="D5481">
            <v>413.5</v>
          </cell>
          <cell r="N5481" t="str">
            <v>384-03</v>
          </cell>
          <cell r="O5481" t="str">
            <v>SUPPORT YOKE ASS'Y</v>
          </cell>
          <cell r="P5481">
            <v>827</v>
          </cell>
        </row>
        <row r="5482">
          <cell r="B5482" t="str">
            <v>975-00</v>
          </cell>
          <cell r="C5482" t="str">
            <v>ROTOR</v>
          </cell>
          <cell r="D5482">
            <v>507</v>
          </cell>
          <cell r="N5482" t="str">
            <v>975-00</v>
          </cell>
          <cell r="O5482" t="str">
            <v>ROTOR</v>
          </cell>
          <cell r="P5482">
            <v>845</v>
          </cell>
        </row>
        <row r="5483">
          <cell r="B5483" t="str">
            <v>1288-10</v>
          </cell>
          <cell r="C5483" t="str">
            <v>PISTON</v>
          </cell>
          <cell r="D5483">
            <v>423</v>
          </cell>
          <cell r="N5483" t="str">
            <v>1288-10</v>
          </cell>
          <cell r="O5483" t="str">
            <v>PISTON</v>
          </cell>
          <cell r="P5483">
            <v>846</v>
          </cell>
        </row>
        <row r="5484">
          <cell r="B5484" t="str">
            <v>1289-25</v>
          </cell>
          <cell r="C5484" t="str">
            <v>PISTON</v>
          </cell>
          <cell r="D5484">
            <v>423.5</v>
          </cell>
          <cell r="N5484" t="str">
            <v>1289-25</v>
          </cell>
          <cell r="O5484" t="str">
            <v>PISTON</v>
          </cell>
          <cell r="P5484">
            <v>847</v>
          </cell>
        </row>
        <row r="5485">
          <cell r="B5485" t="str">
            <v>1337-01</v>
          </cell>
          <cell r="C5485" t="str">
            <v>ROD GUIDE ASS'Y</v>
          </cell>
          <cell r="D5485">
            <v>407</v>
          </cell>
          <cell r="N5485" t="str">
            <v>1337-01</v>
          </cell>
          <cell r="O5485" t="str">
            <v>ROD GUIDE ASS'Y</v>
          </cell>
          <cell r="P5485">
            <v>814</v>
          </cell>
        </row>
        <row r="5486">
          <cell r="B5486" t="str">
            <v>1289-20</v>
          </cell>
          <cell r="C5486" t="str">
            <v>PISTON</v>
          </cell>
          <cell r="D5486">
            <v>419</v>
          </cell>
          <cell r="N5486" t="str">
            <v>1289-20</v>
          </cell>
          <cell r="O5486" t="str">
            <v>PISTON</v>
          </cell>
          <cell r="P5486">
            <v>838</v>
          </cell>
        </row>
        <row r="5487">
          <cell r="B5487" t="str">
            <v>1587-02</v>
          </cell>
          <cell r="C5487" t="str">
            <v>PISTON</v>
          </cell>
          <cell r="D5487">
            <v>424.5</v>
          </cell>
          <cell r="N5487" t="str">
            <v>1587-02</v>
          </cell>
          <cell r="O5487" t="str">
            <v>PISTON</v>
          </cell>
          <cell r="P5487">
            <v>849</v>
          </cell>
        </row>
        <row r="5488">
          <cell r="B5488" t="str">
            <v>1487-00</v>
          </cell>
          <cell r="C5488" t="str">
            <v>ROD GUIDE ASS'Y</v>
          </cell>
          <cell r="D5488">
            <v>425</v>
          </cell>
          <cell r="N5488" t="str">
            <v>1487-00</v>
          </cell>
          <cell r="O5488" t="str">
            <v>ROD GUIDE ASS'Y</v>
          </cell>
          <cell r="P5488">
            <v>850</v>
          </cell>
        </row>
        <row r="5489">
          <cell r="B5489" t="str">
            <v>1484-05</v>
          </cell>
          <cell r="C5489" t="str">
            <v>MAIN RETAINER</v>
          </cell>
          <cell r="D5489">
            <v>425.5</v>
          </cell>
          <cell r="N5489" t="str">
            <v>1484-05</v>
          </cell>
          <cell r="O5489" t="str">
            <v>MAIN RETAINER</v>
          </cell>
          <cell r="P5489">
            <v>851</v>
          </cell>
        </row>
        <row r="5490">
          <cell r="B5490" t="str">
            <v>384-03</v>
          </cell>
          <cell r="C5490" t="str">
            <v>SUPPORT YOKE ASS'Y</v>
          </cell>
          <cell r="D5490">
            <v>413.5</v>
          </cell>
          <cell r="N5490" t="str">
            <v>384-03</v>
          </cell>
          <cell r="O5490" t="str">
            <v>SUPPORT YOKE ASS'Y</v>
          </cell>
          <cell r="P5490">
            <v>827</v>
          </cell>
        </row>
        <row r="5491">
          <cell r="B5491" t="str">
            <v>1368-22</v>
          </cell>
          <cell r="C5491" t="str">
            <v>PISTON</v>
          </cell>
          <cell r="D5491">
            <v>426</v>
          </cell>
          <cell r="N5491" t="str">
            <v>1368-22</v>
          </cell>
          <cell r="O5491" t="str">
            <v>PISTON</v>
          </cell>
          <cell r="P5491">
            <v>852</v>
          </cell>
        </row>
        <row r="5492">
          <cell r="B5492" t="str">
            <v>1368-22</v>
          </cell>
          <cell r="C5492" t="str">
            <v>PISTON</v>
          </cell>
          <cell r="D5492">
            <v>426</v>
          </cell>
          <cell r="N5492" t="str">
            <v>1368-22</v>
          </cell>
          <cell r="O5492" t="str">
            <v>PISTON</v>
          </cell>
          <cell r="P5492">
            <v>852</v>
          </cell>
        </row>
        <row r="5493">
          <cell r="B5493" t="str">
            <v>1484-01</v>
          </cell>
          <cell r="C5493" t="str">
            <v>MAIN RETAINER</v>
          </cell>
          <cell r="D5493">
            <v>426</v>
          </cell>
          <cell r="N5493" t="str">
            <v>1484-01</v>
          </cell>
          <cell r="O5493" t="str">
            <v>MAIN RETAINER</v>
          </cell>
          <cell r="P5493">
            <v>852</v>
          </cell>
        </row>
        <row r="5494">
          <cell r="B5494" t="str">
            <v>1484-07</v>
          </cell>
          <cell r="C5494" t="str">
            <v>MAIN RETAINER</v>
          </cell>
          <cell r="D5494">
            <v>426</v>
          </cell>
          <cell r="N5494" t="str">
            <v>1484-07</v>
          </cell>
          <cell r="O5494" t="str">
            <v>MAIN RETAINER</v>
          </cell>
          <cell r="P5494">
            <v>852</v>
          </cell>
        </row>
        <row r="5495">
          <cell r="B5495" t="str">
            <v>1484-08</v>
          </cell>
          <cell r="C5495" t="str">
            <v>MAIN RETAINER</v>
          </cell>
          <cell r="D5495">
            <v>426</v>
          </cell>
          <cell r="N5495" t="str">
            <v>1484-08</v>
          </cell>
          <cell r="O5495" t="str">
            <v>MAIN RETAINER</v>
          </cell>
          <cell r="P5495">
            <v>852</v>
          </cell>
        </row>
        <row r="5496">
          <cell r="B5496" t="str">
            <v>1484-09</v>
          </cell>
          <cell r="C5496" t="str">
            <v>MAIN RETAINER</v>
          </cell>
          <cell r="D5496">
            <v>426</v>
          </cell>
          <cell r="N5496" t="str">
            <v>1484-09</v>
          </cell>
          <cell r="O5496" t="str">
            <v>MAIN RETAINER</v>
          </cell>
          <cell r="P5496">
            <v>852</v>
          </cell>
        </row>
        <row r="5497">
          <cell r="B5497" t="str">
            <v>1484-10</v>
          </cell>
          <cell r="C5497" t="str">
            <v>MAIN RETAINER</v>
          </cell>
          <cell r="D5497">
            <v>426</v>
          </cell>
          <cell r="N5497" t="str">
            <v>1484-10</v>
          </cell>
          <cell r="O5497" t="str">
            <v>MAIN RETAINER</v>
          </cell>
          <cell r="P5497">
            <v>852</v>
          </cell>
        </row>
        <row r="5498">
          <cell r="B5498" t="str">
            <v>1484-12</v>
          </cell>
          <cell r="C5498" t="str">
            <v>MAIN RETAINER</v>
          </cell>
          <cell r="D5498">
            <v>426</v>
          </cell>
          <cell r="N5498" t="str">
            <v>1484-12</v>
          </cell>
          <cell r="O5498" t="str">
            <v>MAIN RETAINER</v>
          </cell>
          <cell r="P5498">
            <v>852</v>
          </cell>
        </row>
        <row r="5499">
          <cell r="B5499" t="str">
            <v>1484-18</v>
          </cell>
          <cell r="C5499" t="str">
            <v>MAIN RETAINER</v>
          </cell>
          <cell r="D5499">
            <v>426</v>
          </cell>
          <cell r="N5499" t="str">
            <v>1484-18</v>
          </cell>
          <cell r="O5499" t="str">
            <v>MAIN RETAINER</v>
          </cell>
          <cell r="P5499">
            <v>852</v>
          </cell>
        </row>
        <row r="5500">
          <cell r="B5500" t="str">
            <v>1806-00</v>
          </cell>
          <cell r="C5500" t="str">
            <v>SUPPORT YOKE ASS'Y</v>
          </cell>
          <cell r="D5500">
            <v>426</v>
          </cell>
          <cell r="N5500" t="str">
            <v>1806-00</v>
          </cell>
          <cell r="O5500" t="str">
            <v>SUPPORT YOKE ASS'Y</v>
          </cell>
          <cell r="P5500">
            <v>852</v>
          </cell>
        </row>
        <row r="5501">
          <cell r="B5501" t="str">
            <v>849-01</v>
          </cell>
          <cell r="C5501" t="str">
            <v>ROD GUIDE ASS'Y</v>
          </cell>
          <cell r="D5501">
            <v>426</v>
          </cell>
          <cell r="N5501" t="str">
            <v>849-01</v>
          </cell>
          <cell r="O5501" t="str">
            <v>ROD GUIDE ASS'Y</v>
          </cell>
          <cell r="P5501">
            <v>852</v>
          </cell>
        </row>
        <row r="5502">
          <cell r="B5502" t="str">
            <v>894-02</v>
          </cell>
          <cell r="C5502" t="str">
            <v>PISTON</v>
          </cell>
          <cell r="D5502">
            <v>426</v>
          </cell>
          <cell r="N5502" t="str">
            <v>894-02</v>
          </cell>
          <cell r="O5502" t="str">
            <v>PISTON</v>
          </cell>
          <cell r="P5502">
            <v>852</v>
          </cell>
        </row>
        <row r="5503">
          <cell r="B5503" t="str">
            <v>956-00</v>
          </cell>
          <cell r="C5503" t="str">
            <v>MOBAVEL GEAR ASS'Y</v>
          </cell>
          <cell r="D5503">
            <v>511.2</v>
          </cell>
          <cell r="N5503" t="str">
            <v>956-00</v>
          </cell>
          <cell r="O5503" t="str">
            <v>MOBAVEL GEAR ASS'Y</v>
          </cell>
          <cell r="P5503">
            <v>852</v>
          </cell>
        </row>
        <row r="5504">
          <cell r="B5504" t="str">
            <v>956-00</v>
          </cell>
          <cell r="C5504" t="str">
            <v>MOBAVEL GEAR ASS'Y</v>
          </cell>
          <cell r="D5504">
            <v>511.2</v>
          </cell>
          <cell r="N5504" t="str">
            <v>956-00</v>
          </cell>
          <cell r="O5504" t="str">
            <v>MOBAVEL GEAR ASS'Y</v>
          </cell>
          <cell r="P5504">
            <v>852</v>
          </cell>
        </row>
        <row r="5505">
          <cell r="B5505" t="str">
            <v>1289-05</v>
          </cell>
          <cell r="C5505" t="str">
            <v>PISTON</v>
          </cell>
          <cell r="D5505">
            <v>385.5</v>
          </cell>
          <cell r="N5505" t="str">
            <v>1289-05</v>
          </cell>
          <cell r="O5505" t="str">
            <v>PISTON</v>
          </cell>
          <cell r="P5505">
            <v>771</v>
          </cell>
        </row>
        <row r="5506">
          <cell r="B5506" t="str">
            <v>1565-04</v>
          </cell>
          <cell r="C5506" t="str">
            <v>PISTON</v>
          </cell>
          <cell r="D5506">
            <v>427</v>
          </cell>
          <cell r="N5506" t="str">
            <v>1565-04</v>
          </cell>
          <cell r="O5506" t="str">
            <v>PISTON</v>
          </cell>
          <cell r="P5506">
            <v>854</v>
          </cell>
        </row>
        <row r="5507">
          <cell r="B5507" t="str">
            <v>1484-15</v>
          </cell>
          <cell r="C5507" t="str">
            <v>MAIN RETAINER</v>
          </cell>
          <cell r="D5507">
            <v>427.5</v>
          </cell>
          <cell r="N5507" t="str">
            <v>1484-15</v>
          </cell>
          <cell r="O5507" t="str">
            <v>MAIN RETAINER</v>
          </cell>
          <cell r="P5507">
            <v>855</v>
          </cell>
        </row>
        <row r="5508">
          <cell r="B5508" t="str">
            <v>949-00</v>
          </cell>
          <cell r="C5508" t="str">
            <v>SAMPLING CASE</v>
          </cell>
          <cell r="D5508">
            <v>483.59999999999997</v>
          </cell>
          <cell r="N5508" t="str">
            <v>949-00</v>
          </cell>
          <cell r="O5508" t="str">
            <v>SAMPLING CASE</v>
          </cell>
          <cell r="P5508">
            <v>806</v>
          </cell>
        </row>
        <row r="5509">
          <cell r="B5509" t="str">
            <v>1337-00</v>
          </cell>
          <cell r="C5509" t="str">
            <v>ROD GUIDE ASS'Y</v>
          </cell>
          <cell r="D5509">
            <v>428</v>
          </cell>
          <cell r="N5509" t="str">
            <v>1337-00</v>
          </cell>
          <cell r="O5509" t="str">
            <v>ROD GUIDE ASS'Y</v>
          </cell>
          <cell r="P5509">
            <v>856</v>
          </cell>
        </row>
        <row r="5510">
          <cell r="B5510" t="str">
            <v>1368-08</v>
          </cell>
          <cell r="C5510" t="str">
            <v>PISTON</v>
          </cell>
          <cell r="D5510">
            <v>420</v>
          </cell>
          <cell r="N5510" t="str">
            <v>1368-08</v>
          </cell>
          <cell r="O5510" t="str">
            <v>PISTON</v>
          </cell>
          <cell r="P5510">
            <v>840</v>
          </cell>
        </row>
        <row r="5511">
          <cell r="B5511" t="str">
            <v>1289-07</v>
          </cell>
          <cell r="C5511" t="str">
            <v>PISTON</v>
          </cell>
          <cell r="D5511">
            <v>383</v>
          </cell>
          <cell r="N5511" t="str">
            <v>1289-07</v>
          </cell>
          <cell r="O5511" t="str">
            <v>PISTON</v>
          </cell>
          <cell r="P5511">
            <v>766</v>
          </cell>
        </row>
        <row r="5512">
          <cell r="B5512" t="str">
            <v>1368-21</v>
          </cell>
          <cell r="C5512" t="str">
            <v>PISTON</v>
          </cell>
          <cell r="D5512">
            <v>408.5</v>
          </cell>
          <cell r="N5512" t="str">
            <v>1368-21</v>
          </cell>
          <cell r="O5512" t="str">
            <v>PISTON</v>
          </cell>
          <cell r="P5512">
            <v>817</v>
          </cell>
        </row>
        <row r="5513">
          <cell r="B5513" t="str">
            <v>1409-03</v>
          </cell>
          <cell r="C5513" t="str">
            <v>PISTON</v>
          </cell>
          <cell r="D5513">
            <v>429</v>
          </cell>
          <cell r="N5513" t="str">
            <v>1409-03</v>
          </cell>
          <cell r="O5513" t="str">
            <v>PISTON</v>
          </cell>
          <cell r="P5513">
            <v>858</v>
          </cell>
        </row>
        <row r="5514">
          <cell r="B5514" t="str">
            <v>1484-03</v>
          </cell>
          <cell r="C5514" t="str">
            <v>MAIN RETAINER</v>
          </cell>
          <cell r="D5514">
            <v>429</v>
          </cell>
          <cell r="N5514" t="str">
            <v>1484-03</v>
          </cell>
          <cell r="O5514" t="str">
            <v>MAIN RETAINER</v>
          </cell>
          <cell r="P5514">
            <v>858</v>
          </cell>
        </row>
        <row r="5515">
          <cell r="B5515" t="str">
            <v>1288-04</v>
          </cell>
          <cell r="C5515" t="str">
            <v>PISTON</v>
          </cell>
          <cell r="D5515">
            <v>429.5</v>
          </cell>
          <cell r="N5515" t="str">
            <v>1288-04</v>
          </cell>
          <cell r="O5515" t="str">
            <v>PISTON</v>
          </cell>
          <cell r="P5515">
            <v>859</v>
          </cell>
        </row>
        <row r="5516">
          <cell r="B5516" t="str">
            <v>1288-04</v>
          </cell>
          <cell r="C5516" t="str">
            <v>PISTON</v>
          </cell>
          <cell r="D5516">
            <v>429.5</v>
          </cell>
          <cell r="N5516" t="str">
            <v>1288-04</v>
          </cell>
          <cell r="O5516" t="str">
            <v>PISTON</v>
          </cell>
          <cell r="P5516">
            <v>859</v>
          </cell>
        </row>
        <row r="5517">
          <cell r="B5517" t="str">
            <v>1288-04</v>
          </cell>
          <cell r="C5517" t="str">
            <v>PISTON</v>
          </cell>
          <cell r="D5517">
            <v>429.5</v>
          </cell>
          <cell r="N5517" t="str">
            <v>1288-04</v>
          </cell>
          <cell r="O5517" t="str">
            <v>PISTON</v>
          </cell>
          <cell r="P5517">
            <v>859</v>
          </cell>
        </row>
        <row r="5518">
          <cell r="B5518" t="str">
            <v>1288-04</v>
          </cell>
          <cell r="C5518" t="str">
            <v>PISTON</v>
          </cell>
          <cell r="D5518">
            <v>429.5</v>
          </cell>
          <cell r="N5518" t="str">
            <v>1288-04</v>
          </cell>
          <cell r="O5518" t="str">
            <v>PISTON</v>
          </cell>
          <cell r="P5518">
            <v>859</v>
          </cell>
        </row>
        <row r="5519">
          <cell r="B5519" t="str">
            <v>1289-30</v>
          </cell>
          <cell r="C5519" t="str">
            <v>PISTON</v>
          </cell>
          <cell r="D5519">
            <v>416.5</v>
          </cell>
          <cell r="N5519" t="str">
            <v>1289-30</v>
          </cell>
          <cell r="O5519" t="str">
            <v>PISTON</v>
          </cell>
          <cell r="P5519">
            <v>833</v>
          </cell>
        </row>
        <row r="5520">
          <cell r="B5520" t="str">
            <v>1565-03</v>
          </cell>
          <cell r="C5520" t="str">
            <v>PISTON</v>
          </cell>
          <cell r="D5520">
            <v>429.5</v>
          </cell>
          <cell r="N5520" t="str">
            <v>1565-03</v>
          </cell>
          <cell r="O5520" t="str">
            <v>PISTON</v>
          </cell>
          <cell r="P5520">
            <v>859</v>
          </cell>
        </row>
        <row r="5521">
          <cell r="B5521" t="str">
            <v>1565-03</v>
          </cell>
          <cell r="C5521" t="str">
            <v>PISTON</v>
          </cell>
          <cell r="D5521">
            <v>429.5</v>
          </cell>
          <cell r="N5521" t="str">
            <v>1565-03</v>
          </cell>
          <cell r="O5521" t="str">
            <v>PISTON</v>
          </cell>
          <cell r="P5521">
            <v>859</v>
          </cell>
        </row>
        <row r="5522">
          <cell r="B5522" t="str">
            <v>1565-03</v>
          </cell>
          <cell r="C5522" t="str">
            <v>PISTON</v>
          </cell>
          <cell r="D5522">
            <v>429.5</v>
          </cell>
          <cell r="N5522" t="str">
            <v>1565-03</v>
          </cell>
          <cell r="O5522" t="str">
            <v>PISTON</v>
          </cell>
          <cell r="P5522">
            <v>859</v>
          </cell>
        </row>
        <row r="5523">
          <cell r="B5523" t="str">
            <v>1565-03</v>
          </cell>
          <cell r="C5523" t="str">
            <v>PISTON</v>
          </cell>
          <cell r="D5523">
            <v>429.5</v>
          </cell>
          <cell r="N5523" t="str">
            <v>1565-03</v>
          </cell>
          <cell r="O5523" t="str">
            <v>PISTON</v>
          </cell>
          <cell r="P5523">
            <v>859</v>
          </cell>
        </row>
        <row r="5524">
          <cell r="B5524" t="str">
            <v>1289-25</v>
          </cell>
          <cell r="C5524" t="str">
            <v>PISTON</v>
          </cell>
          <cell r="D5524">
            <v>423.5</v>
          </cell>
          <cell r="N5524" t="str">
            <v>1289-25</v>
          </cell>
          <cell r="O5524" t="str">
            <v>PISTON</v>
          </cell>
          <cell r="P5524">
            <v>847</v>
          </cell>
        </row>
        <row r="5525">
          <cell r="B5525" t="str">
            <v>1289-25</v>
          </cell>
          <cell r="C5525" t="str">
            <v>PISTON</v>
          </cell>
          <cell r="D5525">
            <v>423.5</v>
          </cell>
          <cell r="N5525" t="str">
            <v>1289-25</v>
          </cell>
          <cell r="O5525" t="str">
            <v>PISTON</v>
          </cell>
          <cell r="P5525">
            <v>847</v>
          </cell>
        </row>
        <row r="5526">
          <cell r="B5526" t="str">
            <v>1368-01</v>
          </cell>
          <cell r="C5526" t="str">
            <v>PISTON</v>
          </cell>
          <cell r="D5526">
            <v>384</v>
          </cell>
          <cell r="N5526" t="str">
            <v>1368-01</v>
          </cell>
          <cell r="O5526" t="str">
            <v>PISTON</v>
          </cell>
          <cell r="P5526">
            <v>768</v>
          </cell>
        </row>
        <row r="5527">
          <cell r="B5527" t="str">
            <v>1587-02</v>
          </cell>
          <cell r="C5527" t="str">
            <v>PISTON</v>
          </cell>
          <cell r="D5527">
            <v>424.5</v>
          </cell>
          <cell r="N5527" t="str">
            <v>1587-02</v>
          </cell>
          <cell r="O5527" t="str">
            <v>PISTON</v>
          </cell>
          <cell r="P5527">
            <v>849</v>
          </cell>
        </row>
        <row r="5528">
          <cell r="B5528" t="str">
            <v>1289-18</v>
          </cell>
          <cell r="C5528" t="str">
            <v>PISTON</v>
          </cell>
          <cell r="D5528">
            <v>394.5</v>
          </cell>
          <cell r="N5528" t="str">
            <v>1289-18</v>
          </cell>
          <cell r="O5528" t="str">
            <v>PISTON</v>
          </cell>
          <cell r="P5528">
            <v>789</v>
          </cell>
        </row>
        <row r="5529">
          <cell r="B5529" t="str">
            <v>1368-12</v>
          </cell>
          <cell r="C5529" t="str">
            <v>PISTON</v>
          </cell>
          <cell r="D5529">
            <v>410.5</v>
          </cell>
          <cell r="N5529" t="str">
            <v>1368-12</v>
          </cell>
          <cell r="O5529" t="str">
            <v>PISTON</v>
          </cell>
          <cell r="P5529">
            <v>821</v>
          </cell>
        </row>
        <row r="5530">
          <cell r="B5530" t="str">
            <v>1368-12</v>
          </cell>
          <cell r="C5530" t="str">
            <v>PISTON</v>
          </cell>
          <cell r="D5530">
            <v>410.5</v>
          </cell>
          <cell r="N5530" t="str">
            <v>1368-12</v>
          </cell>
          <cell r="O5530" t="str">
            <v>PISTON</v>
          </cell>
          <cell r="P5530">
            <v>821</v>
          </cell>
        </row>
        <row r="5531">
          <cell r="B5531" t="str">
            <v>1368-22</v>
          </cell>
          <cell r="C5531" t="str">
            <v>PISTON</v>
          </cell>
          <cell r="D5531">
            <v>426</v>
          </cell>
          <cell r="N5531" t="str">
            <v>1368-22</v>
          </cell>
          <cell r="O5531" t="str">
            <v>PISTON</v>
          </cell>
          <cell r="P5531">
            <v>852</v>
          </cell>
        </row>
        <row r="5532">
          <cell r="B5532" t="str">
            <v>1484-19</v>
          </cell>
          <cell r="C5532" t="str">
            <v>MAIN RETAINER</v>
          </cell>
          <cell r="D5532">
            <v>431</v>
          </cell>
          <cell r="N5532" t="str">
            <v>1484-19</v>
          </cell>
          <cell r="O5532" t="str">
            <v>MAIN RETAINER</v>
          </cell>
          <cell r="P5532">
            <v>862</v>
          </cell>
        </row>
        <row r="5533">
          <cell r="B5533" t="str">
            <v>1484-16</v>
          </cell>
          <cell r="C5533" t="str">
            <v>MAIN RETAINER</v>
          </cell>
          <cell r="D5533">
            <v>432</v>
          </cell>
          <cell r="N5533" t="str">
            <v>1484-16</v>
          </cell>
          <cell r="O5533" t="str">
            <v>MAIN RETAINER</v>
          </cell>
          <cell r="P5533">
            <v>864</v>
          </cell>
        </row>
        <row r="5534">
          <cell r="B5534" t="str">
            <v>1484-20</v>
          </cell>
          <cell r="C5534" t="str">
            <v>MAIN RETAINER</v>
          </cell>
          <cell r="D5534">
            <v>432</v>
          </cell>
          <cell r="N5534" t="str">
            <v>1484-20</v>
          </cell>
          <cell r="O5534" t="str">
            <v>MAIN RETAINER</v>
          </cell>
          <cell r="P5534">
            <v>864</v>
          </cell>
        </row>
        <row r="5535">
          <cell r="B5535" t="str">
            <v>1288-05</v>
          </cell>
          <cell r="C5535" t="str">
            <v>PISTON</v>
          </cell>
          <cell r="D5535">
            <v>432.5</v>
          </cell>
          <cell r="N5535" t="str">
            <v>1288-05</v>
          </cell>
          <cell r="O5535" t="str">
            <v>PISTON</v>
          </cell>
          <cell r="P5535">
            <v>865</v>
          </cell>
        </row>
        <row r="5536">
          <cell r="B5536" t="str">
            <v>1288-05</v>
          </cell>
          <cell r="C5536" t="str">
            <v>PISTON</v>
          </cell>
          <cell r="D5536">
            <v>432.5</v>
          </cell>
          <cell r="N5536" t="str">
            <v>1288-05</v>
          </cell>
          <cell r="O5536" t="str">
            <v>PISTON</v>
          </cell>
          <cell r="P5536">
            <v>865</v>
          </cell>
        </row>
        <row r="5537">
          <cell r="B5537" t="str">
            <v>1587-03</v>
          </cell>
          <cell r="C5537" t="str">
            <v>PISTON</v>
          </cell>
          <cell r="D5537">
            <v>326</v>
          </cell>
          <cell r="N5537" t="str">
            <v>1587-03</v>
          </cell>
          <cell r="O5537" t="str">
            <v>PISTON</v>
          </cell>
          <cell r="P5537">
            <v>652</v>
          </cell>
        </row>
        <row r="5538">
          <cell r="B5538" t="str">
            <v>1289-17</v>
          </cell>
          <cell r="C5538" t="str">
            <v>PISTON</v>
          </cell>
          <cell r="D5538">
            <v>405</v>
          </cell>
          <cell r="N5538" t="str">
            <v>1289-17</v>
          </cell>
          <cell r="O5538" t="str">
            <v>PISTON</v>
          </cell>
          <cell r="P5538">
            <v>810</v>
          </cell>
        </row>
        <row r="5539">
          <cell r="B5539" t="str">
            <v>1587-01</v>
          </cell>
          <cell r="C5539" t="str">
            <v>PISTON</v>
          </cell>
          <cell r="D5539">
            <v>433.5</v>
          </cell>
          <cell r="N5539" t="str">
            <v>1587-01</v>
          </cell>
          <cell r="O5539" t="str">
            <v>PISTON</v>
          </cell>
          <cell r="P5539">
            <v>867</v>
          </cell>
        </row>
        <row r="5540">
          <cell r="B5540" t="str">
            <v>1288-04</v>
          </cell>
          <cell r="C5540" t="str">
            <v>PISTON</v>
          </cell>
          <cell r="D5540">
            <v>429.5</v>
          </cell>
          <cell r="N5540" t="str">
            <v>1288-04</v>
          </cell>
          <cell r="O5540" t="str">
            <v>PISTON</v>
          </cell>
          <cell r="P5540">
            <v>859</v>
          </cell>
        </row>
        <row r="5541">
          <cell r="B5541" t="str">
            <v>1288-04</v>
          </cell>
          <cell r="C5541" t="str">
            <v>PISTON</v>
          </cell>
          <cell r="D5541">
            <v>429.5</v>
          </cell>
          <cell r="N5541" t="str">
            <v>1288-04</v>
          </cell>
          <cell r="O5541" t="str">
            <v>PISTON</v>
          </cell>
          <cell r="P5541">
            <v>859</v>
          </cell>
        </row>
        <row r="5542">
          <cell r="B5542" t="str">
            <v>1364-00</v>
          </cell>
          <cell r="C5542" t="str">
            <v>SUPPORT YOKE ASS'Y</v>
          </cell>
          <cell r="D5542">
            <v>434.5</v>
          </cell>
          <cell r="N5542" t="str">
            <v>1364-00</v>
          </cell>
          <cell r="O5542" t="str">
            <v>SUPPORT YOKE ASS'Y</v>
          </cell>
          <cell r="P5542">
            <v>869</v>
          </cell>
        </row>
        <row r="5543">
          <cell r="B5543" t="str">
            <v>956-00</v>
          </cell>
          <cell r="C5543" t="str">
            <v>MOBAVEL GEAR ASS'Y</v>
          </cell>
          <cell r="D5543">
            <v>511.2</v>
          </cell>
          <cell r="N5543" t="str">
            <v>956-00</v>
          </cell>
          <cell r="O5543" t="str">
            <v>MOBAVEL GEAR ASS'Y</v>
          </cell>
          <cell r="P5543">
            <v>852</v>
          </cell>
        </row>
        <row r="5544">
          <cell r="B5544" t="str">
            <v>1368-23</v>
          </cell>
          <cell r="C5544" t="str">
            <v>PISTON</v>
          </cell>
          <cell r="D5544">
            <v>435</v>
          </cell>
          <cell r="N5544" t="str">
            <v>1368-23</v>
          </cell>
          <cell r="O5544" t="str">
            <v>PISTON</v>
          </cell>
          <cell r="P5544">
            <v>870</v>
          </cell>
        </row>
        <row r="5545">
          <cell r="B5545" t="str">
            <v>1527-00</v>
          </cell>
          <cell r="C5545" t="str">
            <v>ROD GUIDE ASS'Y</v>
          </cell>
          <cell r="D5545">
            <v>435</v>
          </cell>
          <cell r="N5545" t="str">
            <v>1527-00</v>
          </cell>
          <cell r="O5545" t="str">
            <v>ROD GUIDE ASS'Y</v>
          </cell>
          <cell r="P5545">
            <v>870</v>
          </cell>
        </row>
        <row r="5546">
          <cell r="B5546" t="str">
            <v>2064-00</v>
          </cell>
          <cell r="C5546" t="str">
            <v>ROD GUIDE ASS'Y</v>
          </cell>
          <cell r="D5546">
            <v>435.5</v>
          </cell>
          <cell r="N5546" t="str">
            <v>2064-00</v>
          </cell>
          <cell r="O5546" t="str">
            <v>ROD GUIDE ASS'Y</v>
          </cell>
          <cell r="P5546">
            <v>871</v>
          </cell>
        </row>
        <row r="5547">
          <cell r="B5547" t="str">
            <v>2064-10</v>
          </cell>
          <cell r="C5547" t="str">
            <v>ROD GUIDE ASS'Y</v>
          </cell>
          <cell r="D5547">
            <v>435.5</v>
          </cell>
          <cell r="N5547" t="str">
            <v>2064-10</v>
          </cell>
          <cell r="O5547" t="str">
            <v>ROD GUIDE ASS'Y</v>
          </cell>
          <cell r="P5547">
            <v>871</v>
          </cell>
        </row>
        <row r="5548">
          <cell r="B5548" t="str">
            <v>1289-33</v>
          </cell>
          <cell r="C5548" t="str">
            <v>PISTON</v>
          </cell>
          <cell r="D5548">
            <v>436</v>
          </cell>
          <cell r="N5548" t="str">
            <v>1289-33</v>
          </cell>
          <cell r="O5548" t="str">
            <v>PISTON</v>
          </cell>
          <cell r="P5548">
            <v>872</v>
          </cell>
        </row>
        <row r="5549">
          <cell r="B5549" t="str">
            <v>1484-06</v>
          </cell>
          <cell r="C5549" t="str">
            <v>MAIN RETAINER</v>
          </cell>
          <cell r="D5549">
            <v>436.5</v>
          </cell>
          <cell r="N5549" t="str">
            <v>1484-06</v>
          </cell>
          <cell r="O5549" t="str">
            <v>MAIN RETAINER</v>
          </cell>
          <cell r="P5549">
            <v>873</v>
          </cell>
        </row>
        <row r="5550">
          <cell r="B5550" t="str">
            <v>1484-11</v>
          </cell>
          <cell r="C5550" t="str">
            <v>MAIN RETAINER</v>
          </cell>
          <cell r="D5550">
            <v>436.5</v>
          </cell>
          <cell r="N5550" t="str">
            <v>1484-11</v>
          </cell>
          <cell r="O5550" t="str">
            <v>MAIN RETAINER</v>
          </cell>
          <cell r="P5550">
            <v>873</v>
          </cell>
        </row>
        <row r="5551">
          <cell r="B5551" t="str">
            <v>1484-13</v>
          </cell>
          <cell r="C5551" t="str">
            <v>MAIN RETAINER</v>
          </cell>
          <cell r="D5551">
            <v>436.5</v>
          </cell>
          <cell r="N5551" t="str">
            <v>1484-13</v>
          </cell>
          <cell r="O5551" t="str">
            <v>MAIN RETAINER</v>
          </cell>
          <cell r="P5551">
            <v>873</v>
          </cell>
        </row>
        <row r="5552">
          <cell r="B5552" t="str">
            <v>956-00</v>
          </cell>
          <cell r="C5552" t="str">
            <v>MOBAVEL GEAR ASS'Y</v>
          </cell>
          <cell r="D5552">
            <v>511.2</v>
          </cell>
          <cell r="N5552" t="str">
            <v>956-00</v>
          </cell>
          <cell r="O5552" t="str">
            <v>MOBAVEL GEAR ASS'Y</v>
          </cell>
          <cell r="P5552">
            <v>852</v>
          </cell>
        </row>
        <row r="5553">
          <cell r="B5553" t="str">
            <v>1476-00</v>
          </cell>
          <cell r="C5553" t="str">
            <v>ROD GUIDE ASS'Y</v>
          </cell>
          <cell r="D5553">
            <v>437.5</v>
          </cell>
          <cell r="N5553" t="str">
            <v>1476-00</v>
          </cell>
          <cell r="O5553" t="str">
            <v>ROD GUIDE ASS'Y</v>
          </cell>
          <cell r="P5553">
            <v>875</v>
          </cell>
        </row>
        <row r="5554">
          <cell r="B5554" t="str">
            <v>1622-00</v>
          </cell>
          <cell r="C5554" t="str">
            <v>SUPPORT YOKE ASS'Y</v>
          </cell>
          <cell r="D5554">
            <v>385</v>
          </cell>
          <cell r="N5554" t="str">
            <v>1622-00</v>
          </cell>
          <cell r="O5554" t="str">
            <v>SUPPORT YOKE ASS'Y</v>
          </cell>
          <cell r="P5554">
            <v>770</v>
          </cell>
        </row>
        <row r="5555">
          <cell r="B5555" t="str">
            <v>1288-09</v>
          </cell>
          <cell r="C5555" t="str">
            <v>PISTON</v>
          </cell>
          <cell r="D5555">
            <v>438</v>
          </cell>
          <cell r="N5555" t="str">
            <v>1288-09</v>
          </cell>
          <cell r="O5555" t="str">
            <v>PISTON</v>
          </cell>
          <cell r="P5555">
            <v>876</v>
          </cell>
        </row>
        <row r="5556">
          <cell r="B5556" t="str">
            <v>1288-09</v>
          </cell>
          <cell r="C5556" t="str">
            <v>PISTON</v>
          </cell>
          <cell r="D5556">
            <v>438</v>
          </cell>
          <cell r="N5556" t="str">
            <v>1288-09</v>
          </cell>
          <cell r="O5556" t="str">
            <v>PISTON</v>
          </cell>
          <cell r="P5556">
            <v>876</v>
          </cell>
        </row>
        <row r="5557">
          <cell r="B5557" t="str">
            <v>1565-04</v>
          </cell>
          <cell r="C5557" t="str">
            <v>PISTON</v>
          </cell>
          <cell r="D5557">
            <v>427</v>
          </cell>
          <cell r="N5557" t="str">
            <v>1565-04</v>
          </cell>
          <cell r="O5557" t="str">
            <v>PISTON</v>
          </cell>
          <cell r="P5557">
            <v>854</v>
          </cell>
        </row>
        <row r="5558">
          <cell r="B5558" t="str">
            <v>1368-09</v>
          </cell>
          <cell r="C5558" t="str">
            <v>PISTON</v>
          </cell>
          <cell r="D5558">
            <v>438.5</v>
          </cell>
          <cell r="N5558" t="str">
            <v>1368-09</v>
          </cell>
          <cell r="O5558" t="str">
            <v>PISTON</v>
          </cell>
          <cell r="P5558">
            <v>877</v>
          </cell>
        </row>
        <row r="5559">
          <cell r="B5559" t="str">
            <v>956-00</v>
          </cell>
          <cell r="C5559" t="str">
            <v>MOBAVEL GEAR ASS'Y</v>
          </cell>
          <cell r="D5559">
            <v>511.2</v>
          </cell>
          <cell r="N5559" t="str">
            <v>956-00</v>
          </cell>
          <cell r="O5559" t="str">
            <v>MOBAVEL GEAR ASS'Y</v>
          </cell>
          <cell r="P5559">
            <v>852</v>
          </cell>
        </row>
        <row r="5560">
          <cell r="B5560" t="str">
            <v>1289-28</v>
          </cell>
          <cell r="C5560" t="str">
            <v>PISTON</v>
          </cell>
          <cell r="D5560">
            <v>439</v>
          </cell>
          <cell r="N5560" t="str">
            <v>1289-28</v>
          </cell>
          <cell r="O5560" t="str">
            <v>PISTON</v>
          </cell>
          <cell r="P5560">
            <v>878</v>
          </cell>
        </row>
        <row r="5561">
          <cell r="B5561" t="str">
            <v>1484-02</v>
          </cell>
          <cell r="C5561" t="str">
            <v>MAIN RETAINER</v>
          </cell>
          <cell r="D5561">
            <v>439</v>
          </cell>
          <cell r="N5561" t="str">
            <v>1484-02</v>
          </cell>
          <cell r="O5561" t="str">
            <v>MAIN RETAINER</v>
          </cell>
          <cell r="P5561">
            <v>878</v>
          </cell>
        </row>
        <row r="5562">
          <cell r="B5562" t="str">
            <v>1368-27</v>
          </cell>
          <cell r="C5562" t="str">
            <v>PISTON</v>
          </cell>
          <cell r="D5562">
            <v>440</v>
          </cell>
          <cell r="N5562" t="str">
            <v>1368-27</v>
          </cell>
          <cell r="O5562" t="str">
            <v>PISTON</v>
          </cell>
          <cell r="P5562">
            <v>880</v>
          </cell>
        </row>
        <row r="5563">
          <cell r="B5563" t="str">
            <v>1587-01</v>
          </cell>
          <cell r="C5563" t="str">
            <v>PISTON</v>
          </cell>
          <cell r="D5563">
            <v>433.5</v>
          </cell>
          <cell r="N5563" t="str">
            <v>1587-01</v>
          </cell>
          <cell r="O5563" t="str">
            <v>PISTON</v>
          </cell>
          <cell r="P5563">
            <v>867</v>
          </cell>
        </row>
        <row r="5564">
          <cell r="B5564" t="str">
            <v>1484-04</v>
          </cell>
          <cell r="C5564" t="str">
            <v>MAIN RETAINER</v>
          </cell>
          <cell r="D5564">
            <v>441.5</v>
          </cell>
          <cell r="N5564" t="str">
            <v>1484-04</v>
          </cell>
          <cell r="O5564" t="str">
            <v>MAIN RETAINER</v>
          </cell>
          <cell r="P5564">
            <v>883</v>
          </cell>
        </row>
        <row r="5565">
          <cell r="B5565" t="str">
            <v>1289-27</v>
          </cell>
          <cell r="C5565" t="str">
            <v>PISTON</v>
          </cell>
          <cell r="D5565">
            <v>442</v>
          </cell>
          <cell r="N5565" t="str">
            <v>1289-27</v>
          </cell>
          <cell r="O5565" t="str">
            <v>PISTON</v>
          </cell>
          <cell r="P5565">
            <v>884</v>
          </cell>
        </row>
        <row r="5566">
          <cell r="B5566" t="str">
            <v>1536-00</v>
          </cell>
          <cell r="C5566" t="str">
            <v>SUPPORT YOKE ASS'Y</v>
          </cell>
          <cell r="D5566">
            <v>442</v>
          </cell>
          <cell r="N5566" t="str">
            <v>1536-00</v>
          </cell>
          <cell r="O5566" t="str">
            <v>SUPPORT YOKE ASS'Y</v>
          </cell>
          <cell r="P5566">
            <v>884</v>
          </cell>
        </row>
        <row r="5567">
          <cell r="B5567" t="str">
            <v>1289-24</v>
          </cell>
          <cell r="C5567" t="str">
            <v>PISTON</v>
          </cell>
          <cell r="D5567">
            <v>415</v>
          </cell>
          <cell r="N5567" t="str">
            <v>1289-24</v>
          </cell>
          <cell r="O5567" t="str">
            <v>PISTON</v>
          </cell>
          <cell r="P5567">
            <v>830</v>
          </cell>
        </row>
        <row r="5568">
          <cell r="B5568" t="str">
            <v>1048-00</v>
          </cell>
          <cell r="C5568" t="str">
            <v>SIDE PLATE</v>
          </cell>
          <cell r="D5568">
            <v>532.19999999999993</v>
          </cell>
          <cell r="N5568" t="str">
            <v>1048-00</v>
          </cell>
          <cell r="O5568" t="str">
            <v>SIDE PLATE</v>
          </cell>
          <cell r="P5568">
            <v>887</v>
          </cell>
        </row>
        <row r="5569">
          <cell r="B5569" t="str">
            <v>1120-00</v>
          </cell>
          <cell r="C5569" t="str">
            <v>SIDE PLATE</v>
          </cell>
          <cell r="D5569">
            <v>532.19999999999993</v>
          </cell>
          <cell r="N5569" t="str">
            <v>1120-00</v>
          </cell>
          <cell r="O5569" t="str">
            <v>SIDE PLATE</v>
          </cell>
          <cell r="P5569">
            <v>887</v>
          </cell>
        </row>
        <row r="5570">
          <cell r="B5570" t="str">
            <v>1288-10</v>
          </cell>
          <cell r="C5570" t="str">
            <v>PISTON</v>
          </cell>
          <cell r="D5570">
            <v>423</v>
          </cell>
          <cell r="N5570" t="str">
            <v>1288-10</v>
          </cell>
          <cell r="O5570" t="str">
            <v>PISTON</v>
          </cell>
          <cell r="P5570">
            <v>846</v>
          </cell>
        </row>
        <row r="5571">
          <cell r="B5571" t="str">
            <v>1288-10</v>
          </cell>
          <cell r="C5571" t="str">
            <v>PISTON</v>
          </cell>
          <cell r="D5571">
            <v>423</v>
          </cell>
          <cell r="N5571" t="str">
            <v>1288-10</v>
          </cell>
          <cell r="O5571" t="str">
            <v>PISTON</v>
          </cell>
          <cell r="P5571">
            <v>846</v>
          </cell>
        </row>
        <row r="5572">
          <cell r="B5572" t="str">
            <v>1368-17</v>
          </cell>
          <cell r="C5572" t="str">
            <v>PISTON</v>
          </cell>
          <cell r="D5572">
            <v>443.5</v>
          </cell>
          <cell r="N5572" t="str">
            <v>1368-17</v>
          </cell>
          <cell r="O5572" t="str">
            <v>PISTON</v>
          </cell>
          <cell r="P5572">
            <v>887</v>
          </cell>
        </row>
        <row r="5573">
          <cell r="B5573" t="str">
            <v>1587-05</v>
          </cell>
          <cell r="C5573" t="str">
            <v>PISTON</v>
          </cell>
          <cell r="D5573">
            <v>443.5</v>
          </cell>
          <cell r="N5573" t="str">
            <v>1587-05</v>
          </cell>
          <cell r="O5573" t="str">
            <v>PISTON</v>
          </cell>
          <cell r="P5573">
            <v>887</v>
          </cell>
        </row>
        <row r="5574">
          <cell r="B5574" t="str">
            <v>956-00</v>
          </cell>
          <cell r="C5574" t="str">
            <v>MOBAVEL GEAR ASS'Y</v>
          </cell>
          <cell r="D5574">
            <v>511.2</v>
          </cell>
          <cell r="N5574" t="str">
            <v>956-00</v>
          </cell>
          <cell r="O5574" t="str">
            <v>MOBAVEL GEAR ASS'Y</v>
          </cell>
          <cell r="P5574">
            <v>852</v>
          </cell>
        </row>
        <row r="5575">
          <cell r="B5575" t="str">
            <v>1337-00</v>
          </cell>
          <cell r="C5575" t="str">
            <v>ROD GUIDE ASS'Y</v>
          </cell>
          <cell r="D5575">
            <v>428</v>
          </cell>
          <cell r="N5575" t="str">
            <v>1337-00</v>
          </cell>
          <cell r="O5575" t="str">
            <v>ROD GUIDE ASS'Y</v>
          </cell>
          <cell r="P5575">
            <v>856</v>
          </cell>
        </row>
        <row r="5576">
          <cell r="B5576" t="str">
            <v>1484-14</v>
          </cell>
          <cell r="C5576" t="str">
            <v>MAIN RETAINER</v>
          </cell>
          <cell r="D5576">
            <v>444</v>
          </cell>
          <cell r="N5576" t="str">
            <v>1484-14</v>
          </cell>
          <cell r="O5576" t="str">
            <v>MAIN RETAINER</v>
          </cell>
          <cell r="P5576">
            <v>888</v>
          </cell>
        </row>
        <row r="5577">
          <cell r="B5577" t="str">
            <v>1484-17</v>
          </cell>
          <cell r="C5577" t="str">
            <v>MAIN RETAINER</v>
          </cell>
          <cell r="D5577">
            <v>444</v>
          </cell>
          <cell r="N5577" t="str">
            <v>1484-17</v>
          </cell>
          <cell r="O5577" t="str">
            <v>MAIN RETAINER</v>
          </cell>
          <cell r="P5577">
            <v>888</v>
          </cell>
        </row>
        <row r="5578">
          <cell r="B5578" t="str">
            <v>1484-22</v>
          </cell>
          <cell r="C5578" t="str">
            <v>MAIN RETAINER</v>
          </cell>
          <cell r="D5578">
            <v>444</v>
          </cell>
          <cell r="N5578" t="str">
            <v>1484-22</v>
          </cell>
          <cell r="O5578" t="str">
            <v>MAIN RETAINER</v>
          </cell>
          <cell r="P5578">
            <v>888</v>
          </cell>
        </row>
        <row r="5579">
          <cell r="B5579" t="str">
            <v>1565-04</v>
          </cell>
          <cell r="C5579" t="str">
            <v>PISTON</v>
          </cell>
          <cell r="D5579">
            <v>427</v>
          </cell>
          <cell r="N5579" t="str">
            <v>1565-04</v>
          </cell>
          <cell r="O5579" t="str">
            <v>PISTON</v>
          </cell>
          <cell r="P5579">
            <v>854</v>
          </cell>
        </row>
        <row r="5580">
          <cell r="B5580" t="str">
            <v>1289-15</v>
          </cell>
          <cell r="C5580" t="str">
            <v>PISTON</v>
          </cell>
          <cell r="D5580">
            <v>416</v>
          </cell>
          <cell r="N5580" t="str">
            <v>1289-15</v>
          </cell>
          <cell r="O5580" t="str">
            <v>PISTON</v>
          </cell>
          <cell r="P5580">
            <v>832</v>
          </cell>
        </row>
        <row r="5581">
          <cell r="B5581" t="str">
            <v>1329-00</v>
          </cell>
          <cell r="C5581" t="str">
            <v>ROD GUIDE ASS'Y</v>
          </cell>
          <cell r="D5581">
            <v>444.5</v>
          </cell>
          <cell r="N5581" t="str">
            <v>1329-00</v>
          </cell>
          <cell r="O5581" t="str">
            <v>ROD GUIDE ASS'Y</v>
          </cell>
          <cell r="P5581">
            <v>889</v>
          </cell>
        </row>
        <row r="5582">
          <cell r="B5582" t="str">
            <v>1368-09</v>
          </cell>
          <cell r="C5582" t="str">
            <v>PISTON</v>
          </cell>
          <cell r="D5582">
            <v>438.5</v>
          </cell>
          <cell r="N5582" t="str">
            <v>1368-09</v>
          </cell>
          <cell r="O5582" t="str">
            <v>PISTON</v>
          </cell>
          <cell r="P5582">
            <v>877</v>
          </cell>
        </row>
        <row r="5583">
          <cell r="B5583" t="str">
            <v>913-00</v>
          </cell>
          <cell r="C5583" t="str">
            <v>HUB</v>
          </cell>
          <cell r="D5583">
            <v>534</v>
          </cell>
          <cell r="N5583" t="str">
            <v>913-00</v>
          </cell>
          <cell r="O5583" t="str">
            <v>HUB</v>
          </cell>
          <cell r="P5583">
            <v>890</v>
          </cell>
        </row>
        <row r="5584">
          <cell r="B5584" t="str">
            <v>913-00</v>
          </cell>
          <cell r="C5584" t="str">
            <v>HUB</v>
          </cell>
          <cell r="D5584">
            <v>534</v>
          </cell>
          <cell r="N5584" t="str">
            <v>913-00</v>
          </cell>
          <cell r="O5584" t="str">
            <v>HUB</v>
          </cell>
          <cell r="P5584">
            <v>890</v>
          </cell>
        </row>
        <row r="5585">
          <cell r="B5585" t="str">
            <v>913-00</v>
          </cell>
          <cell r="C5585" t="str">
            <v>HUB</v>
          </cell>
          <cell r="D5585">
            <v>534</v>
          </cell>
          <cell r="N5585" t="str">
            <v>913-00</v>
          </cell>
          <cell r="O5585" t="str">
            <v>HUB</v>
          </cell>
          <cell r="P5585">
            <v>890</v>
          </cell>
        </row>
        <row r="5586">
          <cell r="B5586" t="str">
            <v>913-00</v>
          </cell>
          <cell r="C5586" t="str">
            <v>HUB</v>
          </cell>
          <cell r="D5586">
            <v>534</v>
          </cell>
          <cell r="N5586" t="str">
            <v>913-00</v>
          </cell>
          <cell r="O5586" t="str">
            <v>HUB</v>
          </cell>
          <cell r="P5586">
            <v>890</v>
          </cell>
        </row>
        <row r="5587">
          <cell r="B5587" t="str">
            <v>913-00</v>
          </cell>
          <cell r="C5587" t="str">
            <v>HUB</v>
          </cell>
          <cell r="D5587">
            <v>534</v>
          </cell>
          <cell r="N5587" t="str">
            <v>913-00</v>
          </cell>
          <cell r="O5587" t="str">
            <v>HUB</v>
          </cell>
          <cell r="P5587">
            <v>890</v>
          </cell>
        </row>
        <row r="5588">
          <cell r="B5588" t="str">
            <v>913-00</v>
          </cell>
          <cell r="C5588" t="str">
            <v>HUB</v>
          </cell>
          <cell r="D5588">
            <v>534</v>
          </cell>
          <cell r="N5588" t="str">
            <v>913-00</v>
          </cell>
          <cell r="O5588" t="str">
            <v>HUB</v>
          </cell>
          <cell r="P5588">
            <v>890</v>
          </cell>
        </row>
        <row r="5589">
          <cell r="B5589" t="str">
            <v>913-00</v>
          </cell>
          <cell r="C5589" t="str">
            <v>HUB</v>
          </cell>
          <cell r="D5589">
            <v>534</v>
          </cell>
          <cell r="N5589" t="str">
            <v>913-00</v>
          </cell>
          <cell r="O5589" t="str">
            <v>HUB</v>
          </cell>
          <cell r="P5589">
            <v>890</v>
          </cell>
        </row>
        <row r="5590">
          <cell r="B5590" t="str">
            <v>1587-05</v>
          </cell>
          <cell r="C5590" t="str">
            <v>PISTON</v>
          </cell>
          <cell r="D5590">
            <v>443.5</v>
          </cell>
          <cell r="N5590" t="str">
            <v>1587-05</v>
          </cell>
          <cell r="O5590" t="str">
            <v>PISTON</v>
          </cell>
          <cell r="P5590">
            <v>887</v>
          </cell>
        </row>
        <row r="5591">
          <cell r="B5591" t="str">
            <v>598-31</v>
          </cell>
          <cell r="C5591" t="str">
            <v>PISTON</v>
          </cell>
          <cell r="D5591">
            <v>198</v>
          </cell>
          <cell r="N5591" t="str">
            <v>598-31</v>
          </cell>
          <cell r="O5591" t="str">
            <v>PISTON</v>
          </cell>
          <cell r="P5591">
            <v>396</v>
          </cell>
        </row>
        <row r="5592">
          <cell r="B5592" t="str">
            <v>1368-13</v>
          </cell>
          <cell r="C5592" t="str">
            <v>PISTON</v>
          </cell>
          <cell r="D5592">
            <v>446</v>
          </cell>
          <cell r="N5592" t="str">
            <v>1368-13</v>
          </cell>
          <cell r="O5592" t="str">
            <v>PISTON</v>
          </cell>
          <cell r="P5592">
            <v>892</v>
          </cell>
        </row>
        <row r="5593">
          <cell r="B5593" t="str">
            <v>1587-08</v>
          </cell>
          <cell r="C5593" t="str">
            <v>PISTON</v>
          </cell>
          <cell r="D5593">
            <v>413.5</v>
          </cell>
          <cell r="N5593" t="str">
            <v>1587-08</v>
          </cell>
          <cell r="O5593" t="str">
            <v>PISTON</v>
          </cell>
          <cell r="P5593">
            <v>827</v>
          </cell>
        </row>
        <row r="5594">
          <cell r="B5594" t="str">
            <v>1289-30</v>
          </cell>
          <cell r="C5594" t="str">
            <v>PISTON</v>
          </cell>
          <cell r="D5594">
            <v>416.5</v>
          </cell>
          <cell r="N5594" t="str">
            <v>1289-30</v>
          </cell>
          <cell r="O5594" t="str">
            <v>PISTON</v>
          </cell>
          <cell r="P5594">
            <v>833</v>
          </cell>
        </row>
        <row r="5595">
          <cell r="B5595" t="str">
            <v>1565-04</v>
          </cell>
          <cell r="C5595" t="str">
            <v>PISTON</v>
          </cell>
          <cell r="D5595">
            <v>427</v>
          </cell>
          <cell r="N5595" t="str">
            <v>1565-04</v>
          </cell>
          <cell r="O5595" t="str">
            <v>PISTON</v>
          </cell>
          <cell r="P5595">
            <v>854</v>
          </cell>
        </row>
        <row r="5596">
          <cell r="B5596" t="str">
            <v>2053-00</v>
          </cell>
          <cell r="C5596" t="str">
            <v>ROD GUIDE ASS'Y</v>
          </cell>
          <cell r="D5596">
            <v>446.5</v>
          </cell>
          <cell r="N5596" t="str">
            <v>2053-00</v>
          </cell>
          <cell r="O5596" t="str">
            <v>ROD GUIDE ASS'Y</v>
          </cell>
          <cell r="P5596">
            <v>893</v>
          </cell>
        </row>
        <row r="5597">
          <cell r="B5597" t="str">
            <v>1123-00</v>
          </cell>
          <cell r="C5597" t="str">
            <v>SUPPORT YOKE ASS'Y</v>
          </cell>
          <cell r="D5597">
            <v>311</v>
          </cell>
          <cell r="N5597" t="str">
            <v>1123-00</v>
          </cell>
          <cell r="O5597" t="str">
            <v>SUPPORT YOKE ASS'Y</v>
          </cell>
          <cell r="P5597">
            <v>622</v>
          </cell>
        </row>
        <row r="5598">
          <cell r="B5598" t="str">
            <v>1531-00</v>
          </cell>
          <cell r="C5598" t="str">
            <v>ROD GUIDE ASS'Y</v>
          </cell>
          <cell r="D5598">
            <v>447</v>
          </cell>
          <cell r="N5598" t="str">
            <v>1531-00</v>
          </cell>
          <cell r="O5598" t="str">
            <v>ROD GUIDE ASS'Y</v>
          </cell>
          <cell r="P5598">
            <v>894</v>
          </cell>
        </row>
        <row r="5599">
          <cell r="B5599" t="str">
            <v>1368-13</v>
          </cell>
          <cell r="C5599" t="str">
            <v>PISTON</v>
          </cell>
          <cell r="D5599">
            <v>446</v>
          </cell>
          <cell r="N5599" t="str">
            <v>1368-13</v>
          </cell>
          <cell r="O5599" t="str">
            <v>PISTON</v>
          </cell>
          <cell r="P5599">
            <v>892</v>
          </cell>
        </row>
        <row r="5600">
          <cell r="B5600" t="str">
            <v>1368-07</v>
          </cell>
          <cell r="C5600" t="str">
            <v>PISTON</v>
          </cell>
          <cell r="D5600">
            <v>448.5</v>
          </cell>
          <cell r="N5600" t="str">
            <v>1368-07</v>
          </cell>
          <cell r="O5600" t="str">
            <v>PISTON</v>
          </cell>
          <cell r="P5600">
            <v>897</v>
          </cell>
        </row>
        <row r="5601">
          <cell r="B5601" t="str">
            <v>1368-08</v>
          </cell>
          <cell r="C5601" t="str">
            <v>PISTON</v>
          </cell>
          <cell r="D5601">
            <v>420</v>
          </cell>
          <cell r="N5601" t="str">
            <v>1368-08</v>
          </cell>
          <cell r="O5601" t="str">
            <v>PISTON</v>
          </cell>
          <cell r="P5601">
            <v>840</v>
          </cell>
        </row>
        <row r="5602">
          <cell r="B5602" t="str">
            <v>1368-16</v>
          </cell>
          <cell r="C5602" t="str">
            <v>PISTON</v>
          </cell>
          <cell r="D5602">
            <v>369.5</v>
          </cell>
          <cell r="N5602" t="str">
            <v>1368-16</v>
          </cell>
          <cell r="O5602" t="str">
            <v>PISTON</v>
          </cell>
          <cell r="P5602">
            <v>739</v>
          </cell>
        </row>
        <row r="5603">
          <cell r="B5603" t="str">
            <v>1288-04</v>
          </cell>
          <cell r="C5603" t="str">
            <v>PISTON</v>
          </cell>
          <cell r="D5603">
            <v>429.5</v>
          </cell>
          <cell r="N5603" t="str">
            <v>1288-04</v>
          </cell>
          <cell r="O5603" t="str">
            <v>PISTON</v>
          </cell>
          <cell r="P5603">
            <v>859</v>
          </cell>
        </row>
        <row r="5604">
          <cell r="B5604" t="str">
            <v>1288-06</v>
          </cell>
          <cell r="C5604" t="str">
            <v>PISTON</v>
          </cell>
          <cell r="D5604">
            <v>384</v>
          </cell>
          <cell r="N5604" t="str">
            <v>1288-06</v>
          </cell>
          <cell r="O5604" t="str">
            <v>PISTON</v>
          </cell>
          <cell r="P5604">
            <v>768</v>
          </cell>
        </row>
        <row r="5605">
          <cell r="B5605" t="str">
            <v>1565-02</v>
          </cell>
          <cell r="C5605" t="str">
            <v>PISTON</v>
          </cell>
          <cell r="D5605">
            <v>449</v>
          </cell>
          <cell r="N5605" t="str">
            <v>1565-02</v>
          </cell>
          <cell r="O5605" t="str">
            <v>PISTON</v>
          </cell>
          <cell r="P5605">
            <v>898</v>
          </cell>
        </row>
        <row r="5606">
          <cell r="B5606" t="str">
            <v>1508-00</v>
          </cell>
          <cell r="C5606" t="str">
            <v>SUPPORT YOKE ASS'Y</v>
          </cell>
          <cell r="D5606">
            <v>398</v>
          </cell>
          <cell r="N5606" t="str">
            <v>1508-00</v>
          </cell>
          <cell r="O5606" t="str">
            <v>SUPPORT YOKE ASS'Y</v>
          </cell>
          <cell r="P5606">
            <v>796</v>
          </cell>
        </row>
        <row r="5607">
          <cell r="B5607" t="str">
            <v>1508-00</v>
          </cell>
          <cell r="C5607" t="str">
            <v>SUPPORT YOKE ASS'Y</v>
          </cell>
          <cell r="D5607">
            <v>398</v>
          </cell>
          <cell r="N5607" t="str">
            <v>1508-00</v>
          </cell>
          <cell r="O5607" t="str">
            <v>SUPPORT YOKE ASS'Y</v>
          </cell>
          <cell r="P5607">
            <v>796</v>
          </cell>
        </row>
        <row r="5608">
          <cell r="B5608" t="str">
            <v>1521-00</v>
          </cell>
          <cell r="C5608" t="str">
            <v>SUPPORT YOKE ASS'Y</v>
          </cell>
          <cell r="D5608">
            <v>354.5</v>
          </cell>
          <cell r="N5608" t="str">
            <v>1521-00</v>
          </cell>
          <cell r="O5608" t="str">
            <v>SUPPORT YOKE ASS'Y</v>
          </cell>
          <cell r="P5608">
            <v>709</v>
          </cell>
        </row>
        <row r="5609">
          <cell r="B5609" t="str">
            <v>1484-21</v>
          </cell>
          <cell r="C5609" t="str">
            <v>MAIN RETAINER</v>
          </cell>
          <cell r="D5609">
            <v>450</v>
          </cell>
          <cell r="N5609" t="str">
            <v>1484-21</v>
          </cell>
          <cell r="O5609" t="str">
            <v>MAIN RETAINER</v>
          </cell>
          <cell r="P5609">
            <v>900</v>
          </cell>
        </row>
        <row r="5610">
          <cell r="B5610" t="str">
            <v>2088-00</v>
          </cell>
          <cell r="C5610" t="str">
            <v>ROD GUIDE ASS'Y</v>
          </cell>
          <cell r="D5610">
            <v>450</v>
          </cell>
          <cell r="N5610" t="str">
            <v>2088-00</v>
          </cell>
          <cell r="O5610" t="str">
            <v>ROD GUIDE ASS'Y</v>
          </cell>
          <cell r="P5610">
            <v>900</v>
          </cell>
        </row>
        <row r="5611">
          <cell r="B5611" t="str">
            <v>2088-00</v>
          </cell>
          <cell r="C5611" t="str">
            <v>ROD GUIDE ASS'Y</v>
          </cell>
          <cell r="D5611">
            <v>450</v>
          </cell>
          <cell r="N5611" t="str">
            <v>2088-00</v>
          </cell>
          <cell r="O5611" t="str">
            <v>ROD GUIDE ASS'Y</v>
          </cell>
          <cell r="P5611">
            <v>900</v>
          </cell>
        </row>
        <row r="5612">
          <cell r="B5612" t="str">
            <v>799-00</v>
          </cell>
          <cell r="C5612" t="str">
            <v>PUMP BODY</v>
          </cell>
          <cell r="D5612">
            <v>450</v>
          </cell>
          <cell r="N5612" t="str">
            <v>799-00</v>
          </cell>
          <cell r="O5612" t="str">
            <v>PUMP BODY</v>
          </cell>
          <cell r="P5612">
            <v>900</v>
          </cell>
        </row>
        <row r="5613">
          <cell r="B5613" t="str">
            <v>894-01</v>
          </cell>
          <cell r="C5613" t="str">
            <v>PISTON</v>
          </cell>
          <cell r="D5613">
            <v>450</v>
          </cell>
          <cell r="N5613" t="str">
            <v>894-01</v>
          </cell>
          <cell r="O5613" t="str">
            <v>PISTON</v>
          </cell>
          <cell r="P5613">
            <v>900</v>
          </cell>
        </row>
        <row r="5614">
          <cell r="B5614" t="str">
            <v>1368-17</v>
          </cell>
          <cell r="C5614" t="str">
            <v>PISTON</v>
          </cell>
          <cell r="D5614">
            <v>443.5</v>
          </cell>
          <cell r="N5614" t="str">
            <v>1368-17</v>
          </cell>
          <cell r="O5614" t="str">
            <v>PISTON</v>
          </cell>
          <cell r="P5614">
            <v>887</v>
          </cell>
        </row>
        <row r="5615">
          <cell r="B5615" t="str">
            <v>1758-00</v>
          </cell>
          <cell r="C5615" t="str">
            <v>ROD GUIDE ASS'Y</v>
          </cell>
          <cell r="D5615">
            <v>450.5</v>
          </cell>
          <cell r="N5615" t="str">
            <v>1758-00</v>
          </cell>
          <cell r="O5615" t="str">
            <v>ROD GUIDE ASS'Y</v>
          </cell>
          <cell r="P5615">
            <v>901</v>
          </cell>
        </row>
        <row r="5616">
          <cell r="B5616" t="str">
            <v>1587-01</v>
          </cell>
          <cell r="C5616" t="str">
            <v>PISTON</v>
          </cell>
          <cell r="D5616">
            <v>433.5</v>
          </cell>
          <cell r="N5616" t="str">
            <v>1587-01</v>
          </cell>
          <cell r="O5616" t="str">
            <v>PISTON</v>
          </cell>
          <cell r="P5616">
            <v>867</v>
          </cell>
        </row>
        <row r="5617">
          <cell r="B5617" t="str">
            <v>1368-21</v>
          </cell>
          <cell r="C5617" t="str">
            <v>PISTON</v>
          </cell>
          <cell r="D5617">
            <v>408.5</v>
          </cell>
          <cell r="N5617" t="str">
            <v>1368-21</v>
          </cell>
          <cell r="O5617" t="str">
            <v>PISTON</v>
          </cell>
          <cell r="P5617">
            <v>817</v>
          </cell>
        </row>
        <row r="5618">
          <cell r="B5618" t="str">
            <v>1587-05</v>
          </cell>
          <cell r="C5618" t="str">
            <v>PISTON</v>
          </cell>
          <cell r="D5618">
            <v>443.5</v>
          </cell>
          <cell r="N5618" t="str">
            <v>1587-05</v>
          </cell>
          <cell r="O5618" t="str">
            <v>PISTON</v>
          </cell>
          <cell r="P5618">
            <v>887</v>
          </cell>
        </row>
        <row r="5619">
          <cell r="B5619" t="str">
            <v>1123-00</v>
          </cell>
          <cell r="C5619" t="str">
            <v>SUPPORT YOKE ASS'Y</v>
          </cell>
          <cell r="D5619">
            <v>311</v>
          </cell>
          <cell r="N5619" t="str">
            <v>1123-00</v>
          </cell>
          <cell r="O5619" t="str">
            <v>SUPPORT YOKE ASS'Y</v>
          </cell>
          <cell r="P5619">
            <v>622</v>
          </cell>
        </row>
        <row r="5620">
          <cell r="B5620" t="str">
            <v>1289-03</v>
          </cell>
          <cell r="C5620" t="str">
            <v>PISTON</v>
          </cell>
          <cell r="D5620">
            <v>396.5</v>
          </cell>
          <cell r="N5620" t="str">
            <v>1289-03</v>
          </cell>
          <cell r="O5620" t="str">
            <v>PISTON</v>
          </cell>
          <cell r="P5620">
            <v>793</v>
          </cell>
        </row>
        <row r="5621">
          <cell r="B5621" t="str">
            <v>1289-14</v>
          </cell>
          <cell r="C5621" t="str">
            <v>PISTON</v>
          </cell>
          <cell r="D5621">
            <v>350</v>
          </cell>
          <cell r="N5621" t="str">
            <v>1289-14</v>
          </cell>
          <cell r="O5621" t="str">
            <v>PISTON</v>
          </cell>
          <cell r="P5621">
            <v>700</v>
          </cell>
        </row>
        <row r="5622">
          <cell r="B5622" t="str">
            <v>1289-27</v>
          </cell>
          <cell r="C5622" t="str">
            <v>PISTON</v>
          </cell>
          <cell r="D5622">
            <v>442</v>
          </cell>
          <cell r="N5622" t="str">
            <v>1289-27</v>
          </cell>
          <cell r="O5622" t="str">
            <v>PISTON</v>
          </cell>
          <cell r="P5622">
            <v>884</v>
          </cell>
        </row>
        <row r="5623">
          <cell r="B5623" t="str">
            <v>1368-11</v>
          </cell>
          <cell r="C5623" t="str">
            <v>PISTON</v>
          </cell>
          <cell r="D5623">
            <v>453</v>
          </cell>
          <cell r="N5623" t="str">
            <v>1368-11</v>
          </cell>
          <cell r="O5623" t="str">
            <v>PISTON</v>
          </cell>
          <cell r="P5623">
            <v>906</v>
          </cell>
        </row>
        <row r="5624">
          <cell r="B5624" t="str">
            <v>1036-00</v>
          </cell>
          <cell r="C5624" t="str">
            <v>SUB BEARING</v>
          </cell>
          <cell r="D5624">
            <v>544.19999999999993</v>
          </cell>
          <cell r="N5624" t="str">
            <v>1036-00</v>
          </cell>
          <cell r="O5624" t="str">
            <v>SUB BEARING</v>
          </cell>
          <cell r="P5624">
            <v>907</v>
          </cell>
        </row>
        <row r="5625">
          <cell r="B5625" t="str">
            <v>1758-00</v>
          </cell>
          <cell r="C5625" t="str">
            <v>ROD GUIDE ASS'Y</v>
          </cell>
          <cell r="D5625">
            <v>450.5</v>
          </cell>
          <cell r="N5625" t="str">
            <v>1758-00</v>
          </cell>
          <cell r="O5625" t="str">
            <v>ROD GUIDE ASS'Y</v>
          </cell>
          <cell r="P5625">
            <v>901</v>
          </cell>
        </row>
        <row r="5626">
          <cell r="B5626" t="str">
            <v>1758-00</v>
          </cell>
          <cell r="C5626" t="str">
            <v>ROD GUIDE ASS'Y</v>
          </cell>
          <cell r="D5626">
            <v>450.5</v>
          </cell>
          <cell r="N5626" t="str">
            <v>1758-00</v>
          </cell>
          <cell r="O5626" t="str">
            <v>ROD GUIDE ASS'Y</v>
          </cell>
          <cell r="P5626">
            <v>901</v>
          </cell>
        </row>
        <row r="5627">
          <cell r="B5627" t="str">
            <v>1587-08</v>
          </cell>
          <cell r="C5627" t="str">
            <v>PISTON</v>
          </cell>
          <cell r="D5627">
            <v>413.5</v>
          </cell>
          <cell r="N5627" t="str">
            <v>1587-08</v>
          </cell>
          <cell r="O5627" t="str">
            <v>PISTON</v>
          </cell>
          <cell r="P5627">
            <v>827</v>
          </cell>
        </row>
        <row r="5628">
          <cell r="B5628" t="str">
            <v>964-02</v>
          </cell>
          <cell r="C5628" t="str">
            <v>ROD GUIDE ASS'Y</v>
          </cell>
          <cell r="D5628">
            <v>454</v>
          </cell>
          <cell r="N5628" t="str">
            <v>964-02</v>
          </cell>
          <cell r="O5628" t="str">
            <v>ROD GUIDE ASS'Y</v>
          </cell>
          <cell r="P5628">
            <v>908</v>
          </cell>
        </row>
        <row r="5629">
          <cell r="B5629" t="str">
            <v>1408-01</v>
          </cell>
          <cell r="C5629" t="str">
            <v>PISTON</v>
          </cell>
          <cell r="D5629">
            <v>454.5</v>
          </cell>
          <cell r="N5629" t="str">
            <v>1408-01</v>
          </cell>
          <cell r="O5629" t="str">
            <v>PISTON</v>
          </cell>
          <cell r="P5629">
            <v>909</v>
          </cell>
        </row>
        <row r="5630">
          <cell r="B5630" t="str">
            <v>1487-00</v>
          </cell>
          <cell r="C5630" t="str">
            <v>ROD GUIDE ASS'Y</v>
          </cell>
          <cell r="D5630">
            <v>425</v>
          </cell>
          <cell r="N5630" t="str">
            <v>1487-00</v>
          </cell>
          <cell r="O5630" t="str">
            <v>ROD GUIDE ASS'Y</v>
          </cell>
          <cell r="P5630">
            <v>850</v>
          </cell>
        </row>
        <row r="5631">
          <cell r="B5631" t="str">
            <v>1565-06</v>
          </cell>
          <cell r="C5631" t="str">
            <v>PISTON</v>
          </cell>
          <cell r="D5631">
            <v>454.5</v>
          </cell>
          <cell r="N5631" t="str">
            <v>1565-06</v>
          </cell>
          <cell r="O5631" t="str">
            <v>PISTON</v>
          </cell>
          <cell r="P5631">
            <v>909</v>
          </cell>
        </row>
        <row r="5632">
          <cell r="B5632" t="str">
            <v>1565-06</v>
          </cell>
          <cell r="C5632" t="str">
            <v>PISTON</v>
          </cell>
          <cell r="D5632">
            <v>454.5</v>
          </cell>
          <cell r="N5632" t="str">
            <v>1565-06</v>
          </cell>
          <cell r="O5632" t="str">
            <v>PISTON</v>
          </cell>
          <cell r="P5632">
            <v>909</v>
          </cell>
        </row>
        <row r="5633">
          <cell r="B5633" t="str">
            <v>2032-00</v>
          </cell>
          <cell r="C5633" t="str">
            <v>PLT TRANS BRG SUPT</v>
          </cell>
          <cell r="D5633">
            <v>455.5</v>
          </cell>
          <cell r="N5633" t="str">
            <v>2032-00</v>
          </cell>
          <cell r="O5633" t="str">
            <v>PLT TRANS BRG SUPT</v>
          </cell>
          <cell r="P5633">
            <v>911</v>
          </cell>
        </row>
        <row r="5634">
          <cell r="B5634" t="str">
            <v>2053-00</v>
          </cell>
          <cell r="C5634" t="str">
            <v>ROD GUIDE ASS'Y</v>
          </cell>
          <cell r="D5634">
            <v>446.5</v>
          </cell>
          <cell r="N5634" t="str">
            <v>2053-00</v>
          </cell>
          <cell r="O5634" t="str">
            <v>ROD GUIDE ASS'Y</v>
          </cell>
          <cell r="P5634">
            <v>893</v>
          </cell>
        </row>
        <row r="5635">
          <cell r="B5635" t="str">
            <v>1289-30</v>
          </cell>
          <cell r="C5635" t="str">
            <v>PISTON</v>
          </cell>
          <cell r="D5635">
            <v>416.5</v>
          </cell>
          <cell r="N5635" t="str">
            <v>1289-30</v>
          </cell>
          <cell r="O5635" t="str">
            <v>PISTON</v>
          </cell>
          <cell r="P5635">
            <v>833</v>
          </cell>
        </row>
        <row r="5636">
          <cell r="B5636" t="str">
            <v>1364-00</v>
          </cell>
          <cell r="C5636" t="str">
            <v>SUPPORT YOKE ASS'Y</v>
          </cell>
          <cell r="D5636">
            <v>434.5</v>
          </cell>
          <cell r="N5636" t="str">
            <v>1364-00</v>
          </cell>
          <cell r="O5636" t="str">
            <v>SUPPORT YOKE ASS'Y</v>
          </cell>
          <cell r="P5636">
            <v>869</v>
          </cell>
        </row>
        <row r="5637">
          <cell r="B5637" t="str">
            <v>1368-17</v>
          </cell>
          <cell r="C5637" t="str">
            <v>PISTON</v>
          </cell>
          <cell r="D5637">
            <v>443.5</v>
          </cell>
          <cell r="N5637" t="str">
            <v>1368-17</v>
          </cell>
          <cell r="O5637" t="str">
            <v>PISTON</v>
          </cell>
          <cell r="P5637">
            <v>887</v>
          </cell>
        </row>
        <row r="5638">
          <cell r="B5638" t="str">
            <v>1289-27</v>
          </cell>
          <cell r="C5638" t="str">
            <v>PISTON</v>
          </cell>
          <cell r="D5638">
            <v>442</v>
          </cell>
          <cell r="N5638" t="str">
            <v>1289-27</v>
          </cell>
          <cell r="O5638" t="str">
            <v>PISTON</v>
          </cell>
          <cell r="P5638">
            <v>884</v>
          </cell>
        </row>
        <row r="5639">
          <cell r="B5639" t="str">
            <v>1288-13</v>
          </cell>
          <cell r="C5639" t="str">
            <v>PISTON</v>
          </cell>
          <cell r="D5639">
            <v>457.5</v>
          </cell>
          <cell r="N5639" t="str">
            <v>1288-13</v>
          </cell>
          <cell r="O5639" t="str">
            <v>PISTON</v>
          </cell>
          <cell r="P5639">
            <v>915</v>
          </cell>
        </row>
        <row r="5640">
          <cell r="B5640" t="str">
            <v>1289-26</v>
          </cell>
          <cell r="C5640" t="str">
            <v>PISTON</v>
          </cell>
          <cell r="D5640">
            <v>406</v>
          </cell>
          <cell r="N5640" t="str">
            <v>1289-26</v>
          </cell>
          <cell r="O5640" t="str">
            <v>PISTON</v>
          </cell>
          <cell r="P5640">
            <v>812</v>
          </cell>
        </row>
        <row r="5641">
          <cell r="B5641" t="str">
            <v>1368-28</v>
          </cell>
          <cell r="C5641" t="str">
            <v>PISTON</v>
          </cell>
          <cell r="D5641">
            <v>457.5</v>
          </cell>
          <cell r="N5641" t="str">
            <v>1368-28</v>
          </cell>
          <cell r="O5641" t="str">
            <v>PISTON</v>
          </cell>
          <cell r="P5641">
            <v>915</v>
          </cell>
        </row>
        <row r="5642">
          <cell r="B5642" t="str">
            <v>1368-18</v>
          </cell>
          <cell r="C5642" t="str">
            <v>PISTON</v>
          </cell>
          <cell r="D5642">
            <v>458</v>
          </cell>
          <cell r="N5642" t="str">
            <v>1368-18</v>
          </cell>
          <cell r="O5642" t="str">
            <v>PISTON</v>
          </cell>
          <cell r="P5642">
            <v>916</v>
          </cell>
        </row>
        <row r="5643">
          <cell r="B5643" t="str">
            <v>1368-18</v>
          </cell>
          <cell r="C5643" t="str">
            <v>PISTON</v>
          </cell>
          <cell r="D5643">
            <v>458</v>
          </cell>
          <cell r="N5643" t="str">
            <v>1368-18</v>
          </cell>
          <cell r="O5643" t="str">
            <v>PISTON</v>
          </cell>
          <cell r="P5643">
            <v>916</v>
          </cell>
        </row>
        <row r="5644">
          <cell r="B5644" t="str">
            <v>1368-22</v>
          </cell>
          <cell r="C5644" t="str">
            <v>PISTON</v>
          </cell>
          <cell r="D5644">
            <v>426</v>
          </cell>
          <cell r="N5644" t="str">
            <v>1368-22</v>
          </cell>
          <cell r="O5644" t="str">
            <v>PISTON</v>
          </cell>
          <cell r="P5644">
            <v>852</v>
          </cell>
        </row>
        <row r="5645">
          <cell r="B5645" t="str">
            <v>1288-01</v>
          </cell>
          <cell r="C5645" t="str">
            <v>PISTON</v>
          </cell>
          <cell r="D5645">
            <v>369</v>
          </cell>
          <cell r="N5645" t="str">
            <v>1288-01</v>
          </cell>
          <cell r="O5645" t="str">
            <v>PISTON</v>
          </cell>
          <cell r="P5645">
            <v>738</v>
          </cell>
        </row>
        <row r="5646">
          <cell r="B5646" t="str">
            <v>1289-23</v>
          </cell>
          <cell r="C5646" t="str">
            <v>PISTON</v>
          </cell>
          <cell r="D5646">
            <v>459.5</v>
          </cell>
          <cell r="N5646" t="str">
            <v>1289-23</v>
          </cell>
          <cell r="O5646" t="str">
            <v>PISTON</v>
          </cell>
          <cell r="P5646">
            <v>919</v>
          </cell>
        </row>
        <row r="5647">
          <cell r="B5647" t="str">
            <v>1289-23</v>
          </cell>
          <cell r="C5647" t="str">
            <v>PISTON</v>
          </cell>
          <cell r="D5647">
            <v>459.5</v>
          </cell>
          <cell r="N5647" t="str">
            <v>1289-23</v>
          </cell>
          <cell r="O5647" t="str">
            <v>PISTON</v>
          </cell>
          <cell r="P5647">
            <v>919</v>
          </cell>
        </row>
        <row r="5648">
          <cell r="B5648" t="str">
            <v>1289-23</v>
          </cell>
          <cell r="C5648" t="str">
            <v>PISTON</v>
          </cell>
          <cell r="D5648">
            <v>459.5</v>
          </cell>
          <cell r="N5648" t="str">
            <v>1289-23</v>
          </cell>
          <cell r="O5648" t="str">
            <v>PISTON</v>
          </cell>
          <cell r="P5648">
            <v>919</v>
          </cell>
        </row>
        <row r="5649">
          <cell r="B5649" t="str">
            <v>912-00</v>
          </cell>
          <cell r="C5649" t="str">
            <v>HUB</v>
          </cell>
          <cell r="D5649">
            <v>551.4</v>
          </cell>
          <cell r="N5649" t="str">
            <v>912-00</v>
          </cell>
          <cell r="O5649" t="str">
            <v>HUB</v>
          </cell>
          <cell r="P5649">
            <v>919</v>
          </cell>
        </row>
        <row r="5650">
          <cell r="B5650" t="str">
            <v>912-00</v>
          </cell>
          <cell r="C5650" t="str">
            <v>HUB</v>
          </cell>
          <cell r="D5650">
            <v>551.4</v>
          </cell>
          <cell r="N5650" t="str">
            <v>912-00</v>
          </cell>
          <cell r="O5650" t="str">
            <v>HUB</v>
          </cell>
          <cell r="P5650">
            <v>919</v>
          </cell>
        </row>
        <row r="5651">
          <cell r="B5651" t="str">
            <v>912-00</v>
          </cell>
          <cell r="C5651" t="str">
            <v>HUB</v>
          </cell>
          <cell r="D5651">
            <v>551.4</v>
          </cell>
          <cell r="N5651" t="str">
            <v>912-00</v>
          </cell>
          <cell r="O5651" t="str">
            <v>HUB</v>
          </cell>
          <cell r="P5651">
            <v>919</v>
          </cell>
        </row>
        <row r="5652">
          <cell r="B5652" t="str">
            <v>912-00</v>
          </cell>
          <cell r="C5652" t="str">
            <v>HUB</v>
          </cell>
          <cell r="D5652">
            <v>551.4</v>
          </cell>
          <cell r="N5652" t="str">
            <v>912-00</v>
          </cell>
          <cell r="O5652" t="str">
            <v>HUB</v>
          </cell>
          <cell r="P5652">
            <v>919</v>
          </cell>
        </row>
        <row r="5653">
          <cell r="B5653" t="str">
            <v>912-00</v>
          </cell>
          <cell r="C5653" t="str">
            <v>HUB</v>
          </cell>
          <cell r="D5653">
            <v>551.4</v>
          </cell>
          <cell r="N5653" t="str">
            <v>912-00</v>
          </cell>
          <cell r="O5653" t="str">
            <v>HUB</v>
          </cell>
          <cell r="P5653">
            <v>919</v>
          </cell>
        </row>
        <row r="5654">
          <cell r="B5654" t="str">
            <v>912-00</v>
          </cell>
          <cell r="C5654" t="str">
            <v>HUB</v>
          </cell>
          <cell r="D5654">
            <v>551.4</v>
          </cell>
          <cell r="N5654" t="str">
            <v>912-00</v>
          </cell>
          <cell r="O5654" t="str">
            <v>HUB</v>
          </cell>
          <cell r="P5654">
            <v>919</v>
          </cell>
        </row>
        <row r="5655">
          <cell r="B5655" t="str">
            <v>912-00</v>
          </cell>
          <cell r="C5655" t="str">
            <v>HUB</v>
          </cell>
          <cell r="D5655">
            <v>551.4</v>
          </cell>
          <cell r="N5655" t="str">
            <v>912-00</v>
          </cell>
          <cell r="O5655" t="str">
            <v>HUB</v>
          </cell>
          <cell r="P5655">
            <v>919</v>
          </cell>
        </row>
        <row r="5656">
          <cell r="B5656" t="str">
            <v>1565-06</v>
          </cell>
          <cell r="C5656" t="str">
            <v>PISTON</v>
          </cell>
          <cell r="D5656">
            <v>454.5</v>
          </cell>
          <cell r="N5656" t="str">
            <v>1565-06</v>
          </cell>
          <cell r="O5656" t="str">
            <v>PISTON</v>
          </cell>
          <cell r="P5656">
            <v>909</v>
          </cell>
        </row>
        <row r="5657">
          <cell r="B5657" t="str">
            <v>985-07</v>
          </cell>
          <cell r="C5657" t="str">
            <v>BODY</v>
          </cell>
          <cell r="D5657">
            <v>460.5</v>
          </cell>
          <cell r="N5657" t="str">
            <v>985-07</v>
          </cell>
          <cell r="O5657" t="str">
            <v>BODY</v>
          </cell>
          <cell r="P5657">
            <v>921</v>
          </cell>
        </row>
        <row r="5658">
          <cell r="B5658" t="str">
            <v>1486-00</v>
          </cell>
          <cell r="C5658" t="str">
            <v>ROD GUIDE ASS'Y</v>
          </cell>
          <cell r="D5658">
            <v>461</v>
          </cell>
          <cell r="N5658" t="str">
            <v>1486-00</v>
          </cell>
          <cell r="O5658" t="str">
            <v>ROD GUIDE ASS'Y</v>
          </cell>
          <cell r="P5658">
            <v>922</v>
          </cell>
        </row>
        <row r="5659">
          <cell r="B5659" t="str">
            <v>836-01</v>
          </cell>
          <cell r="C5659" t="str">
            <v>MOVABLE GEAR ASS'Y(LH)</v>
          </cell>
          <cell r="D5659">
            <v>304.2</v>
          </cell>
          <cell r="N5659" t="str">
            <v>836-01</v>
          </cell>
          <cell r="O5659" t="str">
            <v>MOVABLE GEAR ASS'Y(LH)</v>
          </cell>
          <cell r="P5659">
            <v>507</v>
          </cell>
        </row>
        <row r="5660">
          <cell r="B5660" t="str">
            <v>836-02</v>
          </cell>
          <cell r="C5660" t="str">
            <v>MOVABLE GEAR ASS'Y(RH)</v>
          </cell>
          <cell r="D5660">
            <v>304.2</v>
          </cell>
          <cell r="N5660" t="str">
            <v>836-02</v>
          </cell>
          <cell r="O5660" t="str">
            <v>MOVABLE GEAR ASS'Y(RH)</v>
          </cell>
          <cell r="P5660">
            <v>507</v>
          </cell>
        </row>
        <row r="5661">
          <cell r="B5661" t="str">
            <v>1368-08</v>
          </cell>
          <cell r="C5661" t="str">
            <v>PISTON</v>
          </cell>
          <cell r="D5661">
            <v>420</v>
          </cell>
          <cell r="N5661" t="str">
            <v>1368-08</v>
          </cell>
          <cell r="O5661" t="str">
            <v>PISTON</v>
          </cell>
          <cell r="P5661">
            <v>840</v>
          </cell>
        </row>
        <row r="5662">
          <cell r="B5662" t="str">
            <v>1368-11</v>
          </cell>
          <cell r="C5662" t="str">
            <v>PISTON</v>
          </cell>
          <cell r="D5662">
            <v>453</v>
          </cell>
          <cell r="N5662" t="str">
            <v>1368-11</v>
          </cell>
          <cell r="O5662" t="str">
            <v>PISTON</v>
          </cell>
          <cell r="P5662">
            <v>906</v>
          </cell>
        </row>
        <row r="5663">
          <cell r="B5663" t="str">
            <v>1368-15</v>
          </cell>
          <cell r="C5663" t="str">
            <v>PISTON</v>
          </cell>
          <cell r="D5663">
            <v>384</v>
          </cell>
          <cell r="N5663" t="str">
            <v>1368-15</v>
          </cell>
          <cell r="O5663" t="str">
            <v>PISTON</v>
          </cell>
          <cell r="P5663">
            <v>768</v>
          </cell>
        </row>
        <row r="5664">
          <cell r="B5664" t="str">
            <v>1506-00</v>
          </cell>
          <cell r="C5664" t="str">
            <v>ROD GUIDE ASS'Y</v>
          </cell>
          <cell r="D5664">
            <v>462.5</v>
          </cell>
          <cell r="N5664" t="str">
            <v>1506-00</v>
          </cell>
          <cell r="O5664" t="str">
            <v>ROD GUIDE ASS'Y</v>
          </cell>
          <cell r="P5664">
            <v>925</v>
          </cell>
        </row>
        <row r="5665">
          <cell r="B5665" t="str">
            <v>152-08</v>
          </cell>
          <cell r="C5665" t="str">
            <v>ROD GUIDE ASS'Y</v>
          </cell>
          <cell r="D5665">
            <v>462.5</v>
          </cell>
          <cell r="N5665" t="str">
            <v>152-08</v>
          </cell>
          <cell r="O5665" t="str">
            <v>ROD GUIDE ASS'Y</v>
          </cell>
          <cell r="P5665">
            <v>925</v>
          </cell>
        </row>
        <row r="5666">
          <cell r="B5666" t="str">
            <v>1766-00</v>
          </cell>
          <cell r="C5666" t="str">
            <v>ROD GUIDE ASS'Y</v>
          </cell>
          <cell r="D5666">
            <v>463</v>
          </cell>
          <cell r="N5666" t="str">
            <v>1766-00</v>
          </cell>
          <cell r="O5666" t="str">
            <v>ROD GUIDE ASS'Y</v>
          </cell>
          <cell r="P5666">
            <v>926</v>
          </cell>
        </row>
        <row r="5667">
          <cell r="B5667" t="str">
            <v>1368-13</v>
          </cell>
          <cell r="C5667" t="str">
            <v>PISTON</v>
          </cell>
          <cell r="D5667">
            <v>446</v>
          </cell>
          <cell r="N5667" t="str">
            <v>1368-13</v>
          </cell>
          <cell r="O5667" t="str">
            <v>PISTON</v>
          </cell>
          <cell r="P5667">
            <v>892</v>
          </cell>
        </row>
        <row r="5668">
          <cell r="B5668" t="str">
            <v>1531-00</v>
          </cell>
          <cell r="C5668" t="str">
            <v>ROD GUIDE ASS'Y</v>
          </cell>
          <cell r="D5668">
            <v>447</v>
          </cell>
          <cell r="N5668" t="str">
            <v>1531-00</v>
          </cell>
          <cell r="O5668" t="str">
            <v>ROD GUIDE ASS'Y</v>
          </cell>
          <cell r="P5668">
            <v>894</v>
          </cell>
        </row>
        <row r="5669">
          <cell r="B5669" t="str">
            <v>1368-18</v>
          </cell>
          <cell r="C5669" t="str">
            <v>PISTON</v>
          </cell>
          <cell r="D5669">
            <v>458</v>
          </cell>
          <cell r="N5669" t="str">
            <v>1368-18</v>
          </cell>
          <cell r="O5669" t="str">
            <v>PISTON</v>
          </cell>
          <cell r="P5669">
            <v>916</v>
          </cell>
        </row>
        <row r="5670">
          <cell r="B5670" t="str">
            <v>1368-28</v>
          </cell>
          <cell r="C5670" t="str">
            <v>PISTON</v>
          </cell>
          <cell r="D5670">
            <v>457.5</v>
          </cell>
          <cell r="N5670" t="str">
            <v>1368-28</v>
          </cell>
          <cell r="O5670" t="str">
            <v>PISTON</v>
          </cell>
          <cell r="P5670">
            <v>915</v>
          </cell>
        </row>
        <row r="5671">
          <cell r="B5671" t="str">
            <v>1531-00</v>
          </cell>
          <cell r="C5671" t="str">
            <v>ROD GUIDE ASS'Y</v>
          </cell>
          <cell r="D5671">
            <v>447</v>
          </cell>
          <cell r="N5671" t="str">
            <v>1531-00</v>
          </cell>
          <cell r="O5671" t="str">
            <v>ROD GUIDE ASS'Y</v>
          </cell>
          <cell r="P5671">
            <v>894</v>
          </cell>
        </row>
        <row r="5672">
          <cell r="B5672" t="str">
            <v>051-03</v>
          </cell>
          <cell r="C5672" t="str">
            <v>PISTON</v>
          </cell>
          <cell r="D5672">
            <v>309.5</v>
          </cell>
          <cell r="N5672" t="str">
            <v>051-03</v>
          </cell>
          <cell r="O5672" t="str">
            <v>PISTON</v>
          </cell>
          <cell r="P5672">
            <v>619</v>
          </cell>
        </row>
        <row r="5673">
          <cell r="B5673" t="str">
            <v>1587-02</v>
          </cell>
          <cell r="C5673" t="str">
            <v>PISTON</v>
          </cell>
          <cell r="D5673">
            <v>424.5</v>
          </cell>
          <cell r="N5673" t="str">
            <v>1587-02</v>
          </cell>
          <cell r="O5673" t="str">
            <v>PISTON</v>
          </cell>
          <cell r="P5673">
            <v>849</v>
          </cell>
        </row>
        <row r="5674">
          <cell r="B5674" t="str">
            <v>1637-00</v>
          </cell>
          <cell r="C5674" t="str">
            <v>PISTON</v>
          </cell>
          <cell r="D5674">
            <v>465.5</v>
          </cell>
          <cell r="N5674" t="str">
            <v>1637-00</v>
          </cell>
          <cell r="O5674" t="str">
            <v>PISTON</v>
          </cell>
          <cell r="P5674">
            <v>931</v>
          </cell>
        </row>
        <row r="5675">
          <cell r="B5675" t="str">
            <v>1766-00</v>
          </cell>
          <cell r="C5675" t="str">
            <v>ROD GUIDE ASS'Y</v>
          </cell>
          <cell r="D5675">
            <v>463</v>
          </cell>
          <cell r="N5675" t="str">
            <v>1766-00</v>
          </cell>
          <cell r="O5675" t="str">
            <v>ROD GUIDE ASS'Y</v>
          </cell>
          <cell r="P5675">
            <v>926</v>
          </cell>
        </row>
        <row r="5676">
          <cell r="B5676" t="str">
            <v>1289-27</v>
          </cell>
          <cell r="C5676" t="str">
            <v>PISTON</v>
          </cell>
          <cell r="D5676">
            <v>442</v>
          </cell>
          <cell r="N5676" t="str">
            <v>1289-27</v>
          </cell>
          <cell r="O5676" t="str">
            <v>PISTON</v>
          </cell>
          <cell r="P5676">
            <v>884</v>
          </cell>
        </row>
        <row r="5677">
          <cell r="B5677" t="str">
            <v>1289-24</v>
          </cell>
          <cell r="C5677" t="str">
            <v>PISTON</v>
          </cell>
          <cell r="D5677">
            <v>415</v>
          </cell>
          <cell r="N5677" t="str">
            <v>1289-24</v>
          </cell>
          <cell r="O5677" t="str">
            <v>PISTON</v>
          </cell>
          <cell r="P5677">
            <v>830</v>
          </cell>
        </row>
        <row r="5678">
          <cell r="B5678" t="str">
            <v>1329-00</v>
          </cell>
          <cell r="C5678" t="str">
            <v>ROD GUIDE ASS'Y</v>
          </cell>
          <cell r="D5678">
            <v>444.5</v>
          </cell>
          <cell r="N5678" t="str">
            <v>1329-00</v>
          </cell>
          <cell r="O5678" t="str">
            <v>ROD GUIDE ASS'Y</v>
          </cell>
          <cell r="P5678">
            <v>889</v>
          </cell>
        </row>
        <row r="5679">
          <cell r="B5679" t="str">
            <v>1536-00</v>
          </cell>
          <cell r="C5679" t="str">
            <v>SUPPORT YOKE ASS'Y</v>
          </cell>
          <cell r="D5679">
            <v>442</v>
          </cell>
          <cell r="N5679" t="str">
            <v>1536-00</v>
          </cell>
          <cell r="O5679" t="str">
            <v>SUPPORT YOKE ASS'Y</v>
          </cell>
          <cell r="P5679">
            <v>884</v>
          </cell>
        </row>
        <row r="5680">
          <cell r="B5680" t="str">
            <v>598-13</v>
          </cell>
          <cell r="C5680" t="str">
            <v>PISTON</v>
          </cell>
          <cell r="D5680">
            <v>162</v>
          </cell>
          <cell r="N5680" t="str">
            <v>598-13</v>
          </cell>
          <cell r="O5680" t="str">
            <v>PISTON</v>
          </cell>
          <cell r="P5680">
            <v>324</v>
          </cell>
        </row>
        <row r="5681">
          <cell r="B5681" t="str">
            <v>1368-01</v>
          </cell>
          <cell r="C5681" t="str">
            <v>PISTON</v>
          </cell>
          <cell r="D5681">
            <v>384</v>
          </cell>
          <cell r="N5681" t="str">
            <v>1368-01</v>
          </cell>
          <cell r="O5681" t="str">
            <v>PISTON</v>
          </cell>
          <cell r="P5681">
            <v>768</v>
          </cell>
        </row>
        <row r="5682">
          <cell r="B5682" t="str">
            <v>1252-05</v>
          </cell>
          <cell r="C5682" t="str">
            <v>PISTON</v>
          </cell>
          <cell r="D5682">
            <v>192.5</v>
          </cell>
          <cell r="N5682" t="str">
            <v>1252-05</v>
          </cell>
          <cell r="O5682" t="str">
            <v>PISTON</v>
          </cell>
          <cell r="P5682">
            <v>385</v>
          </cell>
        </row>
        <row r="5683">
          <cell r="B5683" t="str">
            <v>1739-00</v>
          </cell>
          <cell r="C5683" t="str">
            <v>ROD GUIDE ASS'Y</v>
          </cell>
          <cell r="D5683">
            <v>468</v>
          </cell>
          <cell r="N5683" t="str">
            <v>1739-00</v>
          </cell>
          <cell r="O5683" t="str">
            <v>ROD GUIDE ASS'Y</v>
          </cell>
          <cell r="P5683">
            <v>936</v>
          </cell>
        </row>
        <row r="5684">
          <cell r="B5684" t="str">
            <v>1750-05</v>
          </cell>
          <cell r="C5684" t="str">
            <v>PISTON</v>
          </cell>
          <cell r="D5684">
            <v>202.5</v>
          </cell>
          <cell r="N5684" t="str">
            <v>1750-05</v>
          </cell>
          <cell r="O5684" t="str">
            <v>PISTON</v>
          </cell>
          <cell r="P5684">
            <v>405</v>
          </cell>
        </row>
        <row r="5685">
          <cell r="B5685" t="str">
            <v>1368-09</v>
          </cell>
          <cell r="C5685" t="str">
            <v>PISTON</v>
          </cell>
          <cell r="D5685">
            <v>438.5</v>
          </cell>
          <cell r="N5685" t="str">
            <v>1368-09</v>
          </cell>
          <cell r="O5685" t="str">
            <v>PISTON</v>
          </cell>
          <cell r="P5685">
            <v>877</v>
          </cell>
        </row>
        <row r="5686">
          <cell r="B5686" t="str">
            <v>1368-22</v>
          </cell>
          <cell r="C5686" t="str">
            <v>PISTON</v>
          </cell>
          <cell r="D5686">
            <v>426</v>
          </cell>
          <cell r="N5686" t="str">
            <v>1368-22</v>
          </cell>
          <cell r="O5686" t="str">
            <v>PISTON</v>
          </cell>
          <cell r="P5686">
            <v>852</v>
          </cell>
        </row>
        <row r="5687">
          <cell r="B5687" t="str">
            <v>152-08</v>
          </cell>
          <cell r="C5687" t="str">
            <v>ROD GUIDE ASS'Y</v>
          </cell>
          <cell r="D5687">
            <v>462.5</v>
          </cell>
          <cell r="N5687" t="str">
            <v>152-08</v>
          </cell>
          <cell r="O5687" t="str">
            <v>ROD GUIDE ASS'Y</v>
          </cell>
          <cell r="P5687">
            <v>925</v>
          </cell>
        </row>
        <row r="5688">
          <cell r="B5688" t="str">
            <v>1288-04</v>
          </cell>
          <cell r="C5688" t="str">
            <v>PISTON</v>
          </cell>
          <cell r="D5688">
            <v>429.5</v>
          </cell>
          <cell r="N5688" t="str">
            <v>1288-04</v>
          </cell>
          <cell r="O5688" t="str">
            <v>PISTON</v>
          </cell>
          <cell r="P5688">
            <v>859</v>
          </cell>
        </row>
        <row r="5689">
          <cell r="B5689" t="str">
            <v>1364-01</v>
          </cell>
          <cell r="C5689" t="str">
            <v>SUPPORT YOKE ASS'Y</v>
          </cell>
          <cell r="D5689">
            <v>469</v>
          </cell>
          <cell r="N5689" t="str">
            <v>1364-01</v>
          </cell>
          <cell r="O5689" t="str">
            <v>SUPPORT YOKE ASS'Y</v>
          </cell>
          <cell r="P5689">
            <v>938</v>
          </cell>
        </row>
        <row r="5690">
          <cell r="B5690" t="str">
            <v>1587-02</v>
          </cell>
          <cell r="C5690" t="str">
            <v>PISTON</v>
          </cell>
          <cell r="D5690">
            <v>424.5</v>
          </cell>
          <cell r="N5690" t="str">
            <v>1587-02</v>
          </cell>
          <cell r="O5690" t="str">
            <v>PISTON</v>
          </cell>
          <cell r="P5690">
            <v>849</v>
          </cell>
        </row>
        <row r="5691">
          <cell r="B5691" t="str">
            <v>1288-13</v>
          </cell>
          <cell r="C5691" t="str">
            <v>PISTON</v>
          </cell>
          <cell r="D5691">
            <v>457.5</v>
          </cell>
          <cell r="N5691" t="str">
            <v>1288-13</v>
          </cell>
          <cell r="O5691" t="str">
            <v>PISTON</v>
          </cell>
          <cell r="P5691">
            <v>915</v>
          </cell>
        </row>
        <row r="5692">
          <cell r="B5692" t="str">
            <v>1288-13</v>
          </cell>
          <cell r="C5692" t="str">
            <v>PISTON</v>
          </cell>
          <cell r="D5692">
            <v>457.5</v>
          </cell>
          <cell r="N5692" t="str">
            <v>1288-13</v>
          </cell>
          <cell r="O5692" t="str">
            <v>PISTON</v>
          </cell>
          <cell r="P5692">
            <v>915</v>
          </cell>
        </row>
        <row r="5693">
          <cell r="B5693" t="str">
            <v>1289-07</v>
          </cell>
          <cell r="C5693" t="str">
            <v>PISTON</v>
          </cell>
          <cell r="D5693">
            <v>383</v>
          </cell>
          <cell r="N5693" t="str">
            <v>1289-07</v>
          </cell>
          <cell r="O5693" t="str">
            <v>PISTON</v>
          </cell>
          <cell r="P5693">
            <v>766</v>
          </cell>
        </row>
        <row r="5694">
          <cell r="B5694" t="str">
            <v>1368-15</v>
          </cell>
          <cell r="C5694" t="str">
            <v>PISTON</v>
          </cell>
          <cell r="D5694">
            <v>384</v>
          </cell>
          <cell r="N5694" t="str">
            <v>1368-15</v>
          </cell>
          <cell r="O5694" t="str">
            <v>PISTON</v>
          </cell>
          <cell r="P5694">
            <v>768</v>
          </cell>
        </row>
        <row r="5695">
          <cell r="B5695" t="str">
            <v>1368-28</v>
          </cell>
          <cell r="C5695" t="str">
            <v>PISTON</v>
          </cell>
          <cell r="D5695">
            <v>457.5</v>
          </cell>
          <cell r="N5695" t="str">
            <v>1368-28</v>
          </cell>
          <cell r="O5695" t="str">
            <v>PISTON</v>
          </cell>
          <cell r="P5695">
            <v>915</v>
          </cell>
        </row>
        <row r="5696">
          <cell r="B5696" t="str">
            <v>1524-01</v>
          </cell>
          <cell r="C5696" t="str">
            <v>PISTON</v>
          </cell>
          <cell r="D5696">
            <v>470</v>
          </cell>
          <cell r="N5696" t="str">
            <v>1524-01</v>
          </cell>
          <cell r="O5696" t="str">
            <v>PISTON</v>
          </cell>
          <cell r="P5696">
            <v>940</v>
          </cell>
        </row>
        <row r="5697">
          <cell r="B5697" t="str">
            <v>1757-01</v>
          </cell>
          <cell r="C5697" t="str">
            <v>ROD GUIDE ASS'Y</v>
          </cell>
          <cell r="D5697">
            <v>470.5</v>
          </cell>
          <cell r="N5697" t="str">
            <v>1757-01</v>
          </cell>
          <cell r="O5697" t="str">
            <v>ROD GUIDE ASS'Y</v>
          </cell>
          <cell r="P5697">
            <v>941</v>
          </cell>
        </row>
        <row r="5698">
          <cell r="B5698" t="str">
            <v>1757-01</v>
          </cell>
          <cell r="C5698" t="str">
            <v>ROD GUIDE ASS'Y</v>
          </cell>
          <cell r="D5698">
            <v>470.5</v>
          </cell>
          <cell r="N5698" t="str">
            <v>1757-01</v>
          </cell>
          <cell r="O5698" t="str">
            <v>ROD GUIDE ASS'Y</v>
          </cell>
          <cell r="P5698">
            <v>941</v>
          </cell>
        </row>
        <row r="5699">
          <cell r="B5699" t="str">
            <v>1289-10</v>
          </cell>
          <cell r="C5699" t="str">
            <v>PISTON</v>
          </cell>
          <cell r="D5699">
            <v>471</v>
          </cell>
          <cell r="N5699" t="str">
            <v>1289-10</v>
          </cell>
          <cell r="O5699" t="str">
            <v>PISTON</v>
          </cell>
          <cell r="P5699">
            <v>942</v>
          </cell>
        </row>
        <row r="5700">
          <cell r="B5700" t="str">
            <v>1289-10</v>
          </cell>
          <cell r="C5700" t="str">
            <v>PISTON</v>
          </cell>
          <cell r="D5700">
            <v>471</v>
          </cell>
          <cell r="N5700" t="str">
            <v>1289-10</v>
          </cell>
          <cell r="O5700" t="str">
            <v>PISTON</v>
          </cell>
          <cell r="P5700">
            <v>942</v>
          </cell>
        </row>
        <row r="5701">
          <cell r="B5701" t="str">
            <v>1739-10</v>
          </cell>
          <cell r="C5701" t="str">
            <v>ROD GUIDE ASS'Y</v>
          </cell>
          <cell r="D5701">
            <v>471.5</v>
          </cell>
          <cell r="N5701" t="str">
            <v>1739-10</v>
          </cell>
          <cell r="O5701" t="str">
            <v>ROD GUIDE ASS'Y</v>
          </cell>
          <cell r="P5701">
            <v>943</v>
          </cell>
        </row>
        <row r="5702">
          <cell r="B5702" t="str">
            <v>1368-04</v>
          </cell>
          <cell r="C5702" t="str">
            <v>PISTON</v>
          </cell>
          <cell r="D5702">
            <v>350</v>
          </cell>
          <cell r="N5702" t="str">
            <v>1368-04</v>
          </cell>
          <cell r="O5702" t="str">
            <v>PISTON</v>
          </cell>
          <cell r="P5702">
            <v>700</v>
          </cell>
        </row>
        <row r="5703">
          <cell r="B5703" t="str">
            <v>1289-15</v>
          </cell>
          <cell r="C5703" t="str">
            <v>PISTON</v>
          </cell>
          <cell r="D5703">
            <v>416</v>
          </cell>
          <cell r="N5703" t="str">
            <v>1289-15</v>
          </cell>
          <cell r="O5703" t="str">
            <v>PISTON</v>
          </cell>
          <cell r="P5703">
            <v>832</v>
          </cell>
        </row>
        <row r="5704">
          <cell r="B5704" t="str">
            <v>1322-00</v>
          </cell>
          <cell r="C5704" t="str">
            <v>HUB-CLUTCH 5</v>
          </cell>
          <cell r="D5704">
            <v>472.5</v>
          </cell>
          <cell r="N5704" t="str">
            <v>1322-00</v>
          </cell>
          <cell r="O5704" t="str">
            <v>HUB-CLUTCH 5</v>
          </cell>
          <cell r="P5704">
            <v>945</v>
          </cell>
        </row>
        <row r="5705">
          <cell r="B5705" t="str">
            <v>1587-02</v>
          </cell>
          <cell r="C5705" t="str">
            <v>PISTON</v>
          </cell>
          <cell r="D5705">
            <v>424.5</v>
          </cell>
          <cell r="N5705" t="str">
            <v>1587-02</v>
          </cell>
          <cell r="O5705" t="str">
            <v>PISTON</v>
          </cell>
          <cell r="P5705">
            <v>849</v>
          </cell>
        </row>
        <row r="5706">
          <cell r="B5706" t="str">
            <v>1099-00</v>
          </cell>
          <cell r="C5706" t="str">
            <v>SUPPORT YOKE ASS'Y</v>
          </cell>
          <cell r="D5706">
            <v>473.5</v>
          </cell>
          <cell r="N5706" t="str">
            <v>1099-00</v>
          </cell>
          <cell r="O5706" t="str">
            <v>SUPPORT YOKE ASS'Y</v>
          </cell>
          <cell r="P5706">
            <v>947</v>
          </cell>
        </row>
        <row r="5707">
          <cell r="B5707" t="str">
            <v>1368-08</v>
          </cell>
          <cell r="C5707" t="str">
            <v>PISTON</v>
          </cell>
          <cell r="D5707">
            <v>420</v>
          </cell>
          <cell r="N5707" t="str">
            <v>1368-08</v>
          </cell>
          <cell r="O5707" t="str">
            <v>PISTON</v>
          </cell>
          <cell r="P5707">
            <v>840</v>
          </cell>
        </row>
        <row r="5708">
          <cell r="B5708" t="str">
            <v>1368-08</v>
          </cell>
          <cell r="C5708" t="str">
            <v>PISTON</v>
          </cell>
          <cell r="D5708">
            <v>420</v>
          </cell>
          <cell r="N5708" t="str">
            <v>1368-08</v>
          </cell>
          <cell r="O5708" t="str">
            <v>PISTON</v>
          </cell>
          <cell r="P5708">
            <v>840</v>
          </cell>
        </row>
        <row r="5709">
          <cell r="B5709" t="str">
            <v>1587-04</v>
          </cell>
          <cell r="C5709" t="str">
            <v>PISTON</v>
          </cell>
          <cell r="D5709">
            <v>346</v>
          </cell>
          <cell r="N5709" t="str">
            <v>1587-04</v>
          </cell>
          <cell r="O5709" t="str">
            <v>PISTON</v>
          </cell>
          <cell r="P5709">
            <v>692</v>
          </cell>
        </row>
        <row r="5710">
          <cell r="B5710" t="str">
            <v>1739-00</v>
          </cell>
          <cell r="C5710" t="str">
            <v>ROD GUIDE ASS'Y</v>
          </cell>
          <cell r="D5710">
            <v>468</v>
          </cell>
          <cell r="N5710" t="str">
            <v>1739-00</v>
          </cell>
          <cell r="O5710" t="str">
            <v>ROD GUIDE ASS'Y</v>
          </cell>
          <cell r="P5710">
            <v>936</v>
          </cell>
        </row>
        <row r="5711">
          <cell r="B5711" t="str">
            <v>1289-25</v>
          </cell>
          <cell r="C5711" t="str">
            <v>PISTON</v>
          </cell>
          <cell r="D5711">
            <v>423.5</v>
          </cell>
          <cell r="N5711" t="str">
            <v>1289-25</v>
          </cell>
          <cell r="O5711" t="str">
            <v>PISTON</v>
          </cell>
          <cell r="P5711">
            <v>847</v>
          </cell>
        </row>
        <row r="5712">
          <cell r="B5712" t="str">
            <v>1368-03</v>
          </cell>
          <cell r="C5712" t="str">
            <v>PISTON</v>
          </cell>
          <cell r="D5712">
            <v>474</v>
          </cell>
          <cell r="N5712" t="str">
            <v>1368-03</v>
          </cell>
          <cell r="O5712" t="str">
            <v>PISTON</v>
          </cell>
          <cell r="P5712">
            <v>948</v>
          </cell>
        </row>
        <row r="5713">
          <cell r="B5713" t="str">
            <v>1368-03</v>
          </cell>
          <cell r="C5713" t="str">
            <v>PISTON</v>
          </cell>
          <cell r="D5713">
            <v>474</v>
          </cell>
          <cell r="N5713" t="str">
            <v>1368-03</v>
          </cell>
          <cell r="O5713" t="str">
            <v>PISTON</v>
          </cell>
          <cell r="P5713">
            <v>948</v>
          </cell>
        </row>
        <row r="5714">
          <cell r="B5714" t="str">
            <v>2087-00</v>
          </cell>
          <cell r="C5714" t="str">
            <v>ROD GUIDE ASS'Y</v>
          </cell>
          <cell r="D5714">
            <v>475</v>
          </cell>
          <cell r="N5714" t="str">
            <v>2087-00</v>
          </cell>
          <cell r="O5714" t="str">
            <v>ROD GUIDE ASS'Y</v>
          </cell>
          <cell r="P5714">
            <v>950</v>
          </cell>
        </row>
        <row r="5715">
          <cell r="B5715" t="str">
            <v>2087-00</v>
          </cell>
          <cell r="C5715" t="str">
            <v>ROD GUIDE ASS'Y</v>
          </cell>
          <cell r="D5715">
            <v>475</v>
          </cell>
          <cell r="N5715" t="str">
            <v>2087-00</v>
          </cell>
          <cell r="O5715" t="str">
            <v>ROD GUIDE ASS'Y</v>
          </cell>
          <cell r="P5715">
            <v>950</v>
          </cell>
        </row>
        <row r="5716">
          <cell r="B5716" t="str">
            <v>799-02</v>
          </cell>
          <cell r="C5716" t="str">
            <v>PUMP BODY</v>
          </cell>
          <cell r="D5716">
            <v>475</v>
          </cell>
          <cell r="N5716" t="str">
            <v>799-02</v>
          </cell>
          <cell r="O5716" t="str">
            <v>PUMP BODY</v>
          </cell>
          <cell r="P5716">
            <v>950</v>
          </cell>
        </row>
        <row r="5717">
          <cell r="B5717" t="str">
            <v>1123-00</v>
          </cell>
          <cell r="C5717" t="str">
            <v>SUPPORT YOKE ASS'Y</v>
          </cell>
          <cell r="D5717">
            <v>311</v>
          </cell>
          <cell r="N5717" t="str">
            <v>1123-00</v>
          </cell>
          <cell r="O5717" t="str">
            <v>SUPPORT YOKE ASS'Y</v>
          </cell>
          <cell r="P5717">
            <v>622</v>
          </cell>
        </row>
        <row r="5718">
          <cell r="B5718" t="str">
            <v>1368-10</v>
          </cell>
          <cell r="C5718" t="str">
            <v>PISTON</v>
          </cell>
          <cell r="D5718">
            <v>475.5</v>
          </cell>
          <cell r="N5718" t="str">
            <v>1368-10</v>
          </cell>
          <cell r="O5718" t="str">
            <v>PISTON</v>
          </cell>
          <cell r="P5718">
            <v>951</v>
          </cell>
        </row>
        <row r="5719">
          <cell r="B5719" t="str">
            <v>1368-10</v>
          </cell>
          <cell r="C5719" t="str">
            <v>PISTON</v>
          </cell>
          <cell r="D5719">
            <v>475.5</v>
          </cell>
          <cell r="N5719" t="str">
            <v>1368-10</v>
          </cell>
          <cell r="O5719" t="str">
            <v>PISTON</v>
          </cell>
          <cell r="P5719">
            <v>951</v>
          </cell>
        </row>
        <row r="5720">
          <cell r="B5720" t="str">
            <v>1368-10</v>
          </cell>
          <cell r="C5720" t="str">
            <v>PISTON</v>
          </cell>
          <cell r="D5720">
            <v>475.5</v>
          </cell>
          <cell r="N5720" t="str">
            <v>1368-10</v>
          </cell>
          <cell r="O5720" t="str">
            <v>PISTON</v>
          </cell>
          <cell r="P5720">
            <v>951</v>
          </cell>
        </row>
        <row r="5721">
          <cell r="B5721" t="str">
            <v>1587-04</v>
          </cell>
          <cell r="C5721" t="str">
            <v>PISTON</v>
          </cell>
          <cell r="D5721">
            <v>346</v>
          </cell>
          <cell r="N5721" t="str">
            <v>1587-04</v>
          </cell>
          <cell r="O5721" t="str">
            <v>PISTON</v>
          </cell>
          <cell r="P5721">
            <v>692</v>
          </cell>
        </row>
        <row r="5722">
          <cell r="B5722" t="str">
            <v>964-01</v>
          </cell>
          <cell r="C5722" t="str">
            <v>ROD GUIDE ASS'Y</v>
          </cell>
          <cell r="D5722">
            <v>476.5</v>
          </cell>
          <cell r="N5722" t="str">
            <v>964-01</v>
          </cell>
          <cell r="O5722" t="str">
            <v>ROD GUIDE ASS'Y</v>
          </cell>
          <cell r="P5722">
            <v>953</v>
          </cell>
        </row>
        <row r="5723">
          <cell r="B5723" t="str">
            <v>1565-02</v>
          </cell>
          <cell r="C5723" t="str">
            <v>PISTON</v>
          </cell>
          <cell r="D5723">
            <v>449</v>
          </cell>
          <cell r="N5723" t="str">
            <v>1565-02</v>
          </cell>
          <cell r="O5723" t="str">
            <v>PISTON</v>
          </cell>
          <cell r="P5723">
            <v>898</v>
          </cell>
        </row>
        <row r="5724">
          <cell r="B5724" t="str">
            <v>1288-01</v>
          </cell>
          <cell r="C5724" t="str">
            <v>PISTON</v>
          </cell>
          <cell r="D5724">
            <v>369</v>
          </cell>
          <cell r="N5724" t="str">
            <v>1288-01</v>
          </cell>
          <cell r="O5724" t="str">
            <v>PISTON</v>
          </cell>
          <cell r="P5724">
            <v>738</v>
          </cell>
        </row>
        <row r="5725">
          <cell r="B5725" t="str">
            <v>1565-02</v>
          </cell>
          <cell r="C5725" t="str">
            <v>PISTON</v>
          </cell>
          <cell r="D5725">
            <v>449</v>
          </cell>
          <cell r="N5725" t="str">
            <v>1565-02</v>
          </cell>
          <cell r="O5725" t="str">
            <v>PISTON</v>
          </cell>
          <cell r="P5725">
            <v>898</v>
          </cell>
        </row>
        <row r="5726">
          <cell r="B5726" t="str">
            <v>1289-11</v>
          </cell>
          <cell r="C5726" t="str">
            <v>PISTON</v>
          </cell>
          <cell r="D5726">
            <v>478</v>
          </cell>
          <cell r="N5726" t="str">
            <v>1289-11</v>
          </cell>
          <cell r="O5726" t="str">
            <v>PISTON</v>
          </cell>
          <cell r="P5726">
            <v>956</v>
          </cell>
        </row>
        <row r="5727">
          <cell r="B5727" t="str">
            <v>1289-11</v>
          </cell>
          <cell r="C5727" t="str">
            <v>PISTON</v>
          </cell>
          <cell r="D5727">
            <v>478</v>
          </cell>
          <cell r="N5727" t="str">
            <v>1289-11</v>
          </cell>
          <cell r="O5727" t="str">
            <v>PISTON</v>
          </cell>
          <cell r="P5727">
            <v>956</v>
          </cell>
        </row>
        <row r="5728">
          <cell r="B5728" t="str">
            <v>1368-20</v>
          </cell>
          <cell r="C5728" t="str">
            <v>PISTON</v>
          </cell>
          <cell r="D5728">
            <v>478</v>
          </cell>
          <cell r="N5728" t="str">
            <v>1368-20</v>
          </cell>
          <cell r="O5728" t="str">
            <v>PISTON</v>
          </cell>
          <cell r="P5728">
            <v>956</v>
          </cell>
        </row>
        <row r="5729">
          <cell r="B5729" t="str">
            <v>1368-20</v>
          </cell>
          <cell r="C5729" t="str">
            <v>PISTON</v>
          </cell>
          <cell r="D5729">
            <v>478</v>
          </cell>
          <cell r="N5729" t="str">
            <v>1368-20</v>
          </cell>
          <cell r="O5729" t="str">
            <v>PISTON</v>
          </cell>
          <cell r="P5729">
            <v>956</v>
          </cell>
        </row>
        <row r="5730">
          <cell r="B5730" t="str">
            <v>964-02</v>
          </cell>
          <cell r="C5730" t="str">
            <v>ROD GUIDE ASS'Y</v>
          </cell>
          <cell r="D5730">
            <v>454</v>
          </cell>
          <cell r="N5730" t="str">
            <v>964-02</v>
          </cell>
          <cell r="O5730" t="str">
            <v>ROD GUIDE ASS'Y</v>
          </cell>
          <cell r="P5730">
            <v>908</v>
          </cell>
        </row>
        <row r="5731">
          <cell r="B5731" t="str">
            <v>1368-17</v>
          </cell>
          <cell r="C5731" t="str">
            <v>PISTON</v>
          </cell>
          <cell r="D5731">
            <v>443.5</v>
          </cell>
          <cell r="N5731" t="str">
            <v>1368-17</v>
          </cell>
          <cell r="O5731" t="str">
            <v>PISTON</v>
          </cell>
          <cell r="P5731">
            <v>887</v>
          </cell>
        </row>
        <row r="5732">
          <cell r="B5732" t="str">
            <v>1625-00</v>
          </cell>
          <cell r="C5732" t="str">
            <v>COM NUT SPANNER</v>
          </cell>
          <cell r="D5732">
            <v>479.5</v>
          </cell>
          <cell r="N5732" t="str">
            <v>1625-00</v>
          </cell>
          <cell r="O5732" t="str">
            <v>COM NUT SPANNER</v>
          </cell>
          <cell r="P5732">
            <v>959</v>
          </cell>
        </row>
        <row r="5733">
          <cell r="B5733" t="str">
            <v>1755-00</v>
          </cell>
          <cell r="C5733" t="str">
            <v>ROD GUIDE ASS'Y</v>
          </cell>
          <cell r="D5733">
            <v>479.5</v>
          </cell>
          <cell r="N5733" t="str">
            <v>1755-00</v>
          </cell>
          <cell r="O5733" t="str">
            <v>ROD GUIDE ASS'Y</v>
          </cell>
          <cell r="P5733">
            <v>959</v>
          </cell>
        </row>
        <row r="5734">
          <cell r="B5734" t="str">
            <v>1322-00</v>
          </cell>
          <cell r="C5734" t="str">
            <v>HUB-CLUTCH 5</v>
          </cell>
          <cell r="D5734">
            <v>472.5</v>
          </cell>
          <cell r="N5734" t="str">
            <v>1322-00</v>
          </cell>
          <cell r="O5734" t="str">
            <v>HUB-CLUTCH 5</v>
          </cell>
          <cell r="P5734">
            <v>945</v>
          </cell>
        </row>
        <row r="5735">
          <cell r="B5735" t="str">
            <v>896-01</v>
          </cell>
          <cell r="C5735" t="str">
            <v>BODY</v>
          </cell>
          <cell r="D5735">
            <v>346.5</v>
          </cell>
          <cell r="N5735" t="str">
            <v>896-01</v>
          </cell>
          <cell r="O5735" t="str">
            <v>BODY</v>
          </cell>
          <cell r="P5735">
            <v>693</v>
          </cell>
        </row>
        <row r="5736">
          <cell r="B5736" t="str">
            <v>1123-00</v>
          </cell>
          <cell r="C5736" t="str">
            <v>SUPPORT YOKE ASS'Y</v>
          </cell>
          <cell r="D5736">
            <v>311</v>
          </cell>
          <cell r="N5736" t="str">
            <v>1123-00</v>
          </cell>
          <cell r="O5736" t="str">
            <v>SUPPORT YOKE ASS'Y</v>
          </cell>
          <cell r="P5736">
            <v>622</v>
          </cell>
        </row>
        <row r="5737">
          <cell r="B5737" t="str">
            <v>1364-00</v>
          </cell>
          <cell r="C5737" t="str">
            <v>SUPPORT YOKE ASS'Y</v>
          </cell>
          <cell r="D5737">
            <v>434.5</v>
          </cell>
          <cell r="N5737" t="str">
            <v>1364-00</v>
          </cell>
          <cell r="O5737" t="str">
            <v>SUPPORT YOKE ASS'Y</v>
          </cell>
          <cell r="P5737">
            <v>869</v>
          </cell>
        </row>
        <row r="5738">
          <cell r="B5738" t="str">
            <v>1364-00</v>
          </cell>
          <cell r="C5738" t="str">
            <v>SUPPORT YOKE ASS'Y</v>
          </cell>
          <cell r="D5738">
            <v>434.5</v>
          </cell>
          <cell r="N5738" t="str">
            <v>1364-00</v>
          </cell>
          <cell r="O5738" t="str">
            <v>SUPPORT YOKE ASS'Y</v>
          </cell>
          <cell r="P5738">
            <v>869</v>
          </cell>
        </row>
        <row r="5739">
          <cell r="B5739" t="str">
            <v>1368-11</v>
          </cell>
          <cell r="C5739" t="str">
            <v>PISTON</v>
          </cell>
          <cell r="D5739">
            <v>453</v>
          </cell>
          <cell r="N5739" t="str">
            <v>1368-11</v>
          </cell>
          <cell r="O5739" t="str">
            <v>PISTON</v>
          </cell>
          <cell r="P5739">
            <v>906</v>
          </cell>
        </row>
        <row r="5740">
          <cell r="B5740" t="str">
            <v>1506-00</v>
          </cell>
          <cell r="C5740" t="str">
            <v>ROD GUIDE ASS'Y</v>
          </cell>
          <cell r="D5740">
            <v>462.5</v>
          </cell>
          <cell r="N5740" t="str">
            <v>1506-00</v>
          </cell>
          <cell r="O5740" t="str">
            <v>ROD GUIDE ASS'Y</v>
          </cell>
          <cell r="P5740">
            <v>925</v>
          </cell>
        </row>
        <row r="5741">
          <cell r="B5741" t="str">
            <v>1523-00</v>
          </cell>
          <cell r="C5741" t="str">
            <v>TONE WHEEL</v>
          </cell>
          <cell r="D5741">
            <v>481.5</v>
          </cell>
          <cell r="N5741" t="str">
            <v>1523-00</v>
          </cell>
          <cell r="O5741" t="str">
            <v>TONE WHEEL</v>
          </cell>
          <cell r="P5741">
            <v>963</v>
          </cell>
        </row>
        <row r="5742">
          <cell r="B5742" t="str">
            <v>1523-00</v>
          </cell>
          <cell r="C5742" t="str">
            <v>TONE WHEEL</v>
          </cell>
          <cell r="D5742">
            <v>481.5</v>
          </cell>
          <cell r="N5742" t="str">
            <v>1523-00</v>
          </cell>
          <cell r="O5742" t="str">
            <v>TONE WHEEL</v>
          </cell>
          <cell r="P5742">
            <v>963</v>
          </cell>
        </row>
        <row r="5743">
          <cell r="B5743" t="str">
            <v>1523-00</v>
          </cell>
          <cell r="C5743" t="str">
            <v>TONE WHEEL</v>
          </cell>
          <cell r="D5743">
            <v>481.5</v>
          </cell>
          <cell r="N5743" t="str">
            <v>1523-00</v>
          </cell>
          <cell r="O5743" t="str">
            <v>TONE WHEEL</v>
          </cell>
          <cell r="P5743">
            <v>963</v>
          </cell>
        </row>
        <row r="5744">
          <cell r="B5744" t="str">
            <v>1288-08</v>
          </cell>
          <cell r="C5744" t="str">
            <v>PISTON</v>
          </cell>
          <cell r="D5744">
            <v>482</v>
          </cell>
          <cell r="N5744" t="str">
            <v>1288-08</v>
          </cell>
          <cell r="O5744" t="str">
            <v>PISTON</v>
          </cell>
          <cell r="P5744">
            <v>964</v>
          </cell>
        </row>
        <row r="5745">
          <cell r="B5745" t="str">
            <v>1288-08</v>
          </cell>
          <cell r="C5745" t="str">
            <v>PISTON</v>
          </cell>
          <cell r="D5745">
            <v>482</v>
          </cell>
          <cell r="N5745" t="str">
            <v>1288-08</v>
          </cell>
          <cell r="O5745" t="str">
            <v>PISTON</v>
          </cell>
          <cell r="P5745">
            <v>964</v>
          </cell>
        </row>
        <row r="5746">
          <cell r="B5746" t="str">
            <v>1288-08</v>
          </cell>
          <cell r="C5746" t="str">
            <v>PISTON</v>
          </cell>
          <cell r="D5746">
            <v>482</v>
          </cell>
          <cell r="N5746" t="str">
            <v>1288-08</v>
          </cell>
          <cell r="O5746" t="str">
            <v>PISTON</v>
          </cell>
          <cell r="P5746">
            <v>964</v>
          </cell>
        </row>
        <row r="5747">
          <cell r="B5747" t="str">
            <v>1288-08</v>
          </cell>
          <cell r="C5747" t="str">
            <v>PISTON</v>
          </cell>
          <cell r="D5747">
            <v>482</v>
          </cell>
          <cell r="N5747" t="str">
            <v>1288-08</v>
          </cell>
          <cell r="O5747" t="str">
            <v>PISTON</v>
          </cell>
          <cell r="P5747">
            <v>964</v>
          </cell>
        </row>
        <row r="5748">
          <cell r="B5748" t="str">
            <v>1289-21</v>
          </cell>
          <cell r="C5748" t="str">
            <v>PISTON</v>
          </cell>
          <cell r="D5748">
            <v>482</v>
          </cell>
          <cell r="N5748" t="str">
            <v>1289-21</v>
          </cell>
          <cell r="O5748" t="str">
            <v>PISTON</v>
          </cell>
          <cell r="P5748">
            <v>964</v>
          </cell>
        </row>
        <row r="5749">
          <cell r="B5749" t="str">
            <v>1368-13</v>
          </cell>
          <cell r="C5749" t="str">
            <v>PISTON</v>
          </cell>
          <cell r="D5749">
            <v>446</v>
          </cell>
          <cell r="N5749" t="str">
            <v>1368-13</v>
          </cell>
          <cell r="O5749" t="str">
            <v>PISTON</v>
          </cell>
          <cell r="P5749">
            <v>892</v>
          </cell>
        </row>
        <row r="5750">
          <cell r="B5750" t="str">
            <v>1289-21</v>
          </cell>
          <cell r="C5750" t="str">
            <v>PISTON</v>
          </cell>
          <cell r="D5750">
            <v>482</v>
          </cell>
          <cell r="N5750" t="str">
            <v>1289-21</v>
          </cell>
          <cell r="O5750" t="str">
            <v>PISTON</v>
          </cell>
          <cell r="P5750">
            <v>964</v>
          </cell>
        </row>
        <row r="5751">
          <cell r="B5751" t="str">
            <v>1288-14</v>
          </cell>
          <cell r="C5751" t="str">
            <v>PISTON</v>
          </cell>
          <cell r="D5751">
            <v>408</v>
          </cell>
          <cell r="N5751" t="str">
            <v>1288-14</v>
          </cell>
          <cell r="O5751" t="str">
            <v>PISTON</v>
          </cell>
          <cell r="P5751">
            <v>816</v>
          </cell>
        </row>
        <row r="5752">
          <cell r="B5752" t="str">
            <v>1289-22</v>
          </cell>
          <cell r="C5752" t="str">
            <v>PISTON</v>
          </cell>
          <cell r="D5752">
            <v>403.5</v>
          </cell>
          <cell r="N5752" t="str">
            <v>1289-22</v>
          </cell>
          <cell r="O5752" t="str">
            <v>PISTON</v>
          </cell>
          <cell r="P5752">
            <v>807</v>
          </cell>
        </row>
        <row r="5753">
          <cell r="B5753" t="str">
            <v>152-08</v>
          </cell>
          <cell r="C5753" t="str">
            <v>ROD GUIDE ASS'Y</v>
          </cell>
          <cell r="D5753">
            <v>462.5</v>
          </cell>
          <cell r="N5753" t="str">
            <v>152-08</v>
          </cell>
          <cell r="O5753" t="str">
            <v>ROD GUIDE ASS'Y</v>
          </cell>
          <cell r="P5753">
            <v>925</v>
          </cell>
        </row>
        <row r="5754">
          <cell r="B5754" t="str">
            <v>1289-15</v>
          </cell>
          <cell r="C5754" t="str">
            <v>PISTON</v>
          </cell>
          <cell r="D5754">
            <v>416</v>
          </cell>
          <cell r="N5754" t="str">
            <v>1289-15</v>
          </cell>
          <cell r="O5754" t="str">
            <v>PISTON</v>
          </cell>
          <cell r="P5754">
            <v>832</v>
          </cell>
        </row>
        <row r="5755">
          <cell r="B5755" t="str">
            <v>152-08</v>
          </cell>
          <cell r="C5755" t="str">
            <v>ROD GUIDE ASS'Y</v>
          </cell>
          <cell r="D5755">
            <v>462.5</v>
          </cell>
          <cell r="N5755" t="str">
            <v>152-08</v>
          </cell>
          <cell r="O5755" t="str">
            <v>ROD GUIDE ASS'Y</v>
          </cell>
          <cell r="P5755">
            <v>925</v>
          </cell>
        </row>
        <row r="5756">
          <cell r="B5756" t="str">
            <v>1565-01</v>
          </cell>
          <cell r="C5756" t="str">
            <v>PISTON</v>
          </cell>
          <cell r="D5756">
            <v>387</v>
          </cell>
          <cell r="N5756" t="str">
            <v>1565-01</v>
          </cell>
          <cell r="O5756" t="str">
            <v>PISTON</v>
          </cell>
          <cell r="P5756">
            <v>774</v>
          </cell>
        </row>
        <row r="5757">
          <cell r="B5757" t="str">
            <v>1289-14</v>
          </cell>
          <cell r="C5757" t="str">
            <v>PISTON</v>
          </cell>
          <cell r="D5757">
            <v>350</v>
          </cell>
          <cell r="N5757" t="str">
            <v>1289-14</v>
          </cell>
          <cell r="O5757" t="str">
            <v>PISTON</v>
          </cell>
          <cell r="P5757">
            <v>700</v>
          </cell>
        </row>
        <row r="5758">
          <cell r="B5758" t="str">
            <v>896-02</v>
          </cell>
          <cell r="C5758" t="str">
            <v>BODY</v>
          </cell>
          <cell r="D5758">
            <v>365.5</v>
          </cell>
          <cell r="N5758" t="str">
            <v>896-02</v>
          </cell>
          <cell r="O5758" t="str">
            <v>BODY</v>
          </cell>
          <cell r="P5758">
            <v>731</v>
          </cell>
        </row>
        <row r="5759">
          <cell r="B5759" t="str">
            <v>1368-18</v>
          </cell>
          <cell r="C5759" t="str">
            <v>PISTON</v>
          </cell>
          <cell r="D5759">
            <v>458</v>
          </cell>
          <cell r="N5759" t="str">
            <v>1368-18</v>
          </cell>
          <cell r="O5759" t="str">
            <v>PISTON</v>
          </cell>
          <cell r="P5759">
            <v>916</v>
          </cell>
        </row>
        <row r="5760">
          <cell r="B5760" t="str">
            <v>1625-00</v>
          </cell>
          <cell r="C5760" t="str">
            <v>COM NUT SPANNER</v>
          </cell>
          <cell r="D5760">
            <v>479.5</v>
          </cell>
          <cell r="N5760" t="str">
            <v>1625-00</v>
          </cell>
          <cell r="O5760" t="str">
            <v>COM NUT SPANNER</v>
          </cell>
          <cell r="P5760">
            <v>959</v>
          </cell>
        </row>
        <row r="5761">
          <cell r="B5761" t="str">
            <v>2068-00</v>
          </cell>
          <cell r="C5761" t="str">
            <v>PISTON</v>
          </cell>
          <cell r="D5761">
            <v>487</v>
          </cell>
          <cell r="N5761" t="str">
            <v>2068-00</v>
          </cell>
          <cell r="O5761" t="str">
            <v>PISTON</v>
          </cell>
          <cell r="P5761">
            <v>974</v>
          </cell>
        </row>
        <row r="5762">
          <cell r="B5762" t="str">
            <v>1368-07</v>
          </cell>
          <cell r="C5762" t="str">
            <v>PISTON</v>
          </cell>
          <cell r="D5762">
            <v>448.5</v>
          </cell>
          <cell r="N5762" t="str">
            <v>1368-07</v>
          </cell>
          <cell r="O5762" t="str">
            <v>PISTON</v>
          </cell>
          <cell r="P5762">
            <v>897</v>
          </cell>
        </row>
        <row r="5763">
          <cell r="B5763" t="str">
            <v>1289-05</v>
          </cell>
          <cell r="C5763" t="str">
            <v>PISTON</v>
          </cell>
          <cell r="D5763">
            <v>385.5</v>
          </cell>
          <cell r="N5763" t="str">
            <v>1289-05</v>
          </cell>
          <cell r="O5763" t="str">
            <v>PISTON</v>
          </cell>
          <cell r="P5763">
            <v>771</v>
          </cell>
        </row>
        <row r="5764">
          <cell r="B5764" t="str">
            <v>1288-06</v>
          </cell>
          <cell r="C5764" t="str">
            <v>PISTON</v>
          </cell>
          <cell r="D5764">
            <v>384</v>
          </cell>
          <cell r="N5764" t="str">
            <v>1288-06</v>
          </cell>
          <cell r="O5764" t="str">
            <v>PISTON</v>
          </cell>
          <cell r="P5764">
            <v>768</v>
          </cell>
        </row>
        <row r="5765">
          <cell r="B5765" t="str">
            <v>1368-14</v>
          </cell>
          <cell r="C5765" t="str">
            <v>PISTON</v>
          </cell>
          <cell r="D5765">
            <v>490.5</v>
          </cell>
          <cell r="N5765" t="str">
            <v>1368-14</v>
          </cell>
          <cell r="O5765" t="str">
            <v>PISTON</v>
          </cell>
          <cell r="P5765">
            <v>981</v>
          </cell>
        </row>
        <row r="5766">
          <cell r="B5766" t="str">
            <v>1368-16</v>
          </cell>
          <cell r="C5766" t="str">
            <v>PISTON</v>
          </cell>
          <cell r="D5766">
            <v>369.5</v>
          </cell>
          <cell r="N5766" t="str">
            <v>1368-16</v>
          </cell>
          <cell r="O5766" t="str">
            <v>PISTON</v>
          </cell>
          <cell r="P5766">
            <v>739</v>
          </cell>
        </row>
        <row r="5767">
          <cell r="B5767" t="str">
            <v>1368-26</v>
          </cell>
          <cell r="C5767" t="str">
            <v>PISTON</v>
          </cell>
          <cell r="D5767">
            <v>399.5</v>
          </cell>
          <cell r="N5767" t="str">
            <v>1368-26</v>
          </cell>
          <cell r="O5767" t="str">
            <v>PISTON</v>
          </cell>
          <cell r="P5767">
            <v>799</v>
          </cell>
        </row>
        <row r="5768">
          <cell r="B5768" t="str">
            <v>1288-15</v>
          </cell>
          <cell r="C5768" t="str">
            <v>PISTON</v>
          </cell>
          <cell r="D5768">
            <v>491.5</v>
          </cell>
          <cell r="N5768" t="str">
            <v>1288-15</v>
          </cell>
          <cell r="O5768" t="str">
            <v>PISTON</v>
          </cell>
          <cell r="P5768">
            <v>983</v>
          </cell>
        </row>
        <row r="5769">
          <cell r="B5769" t="str">
            <v>1905-01</v>
          </cell>
          <cell r="C5769" t="str">
            <v>PISTON</v>
          </cell>
          <cell r="D5769">
            <v>491.5</v>
          </cell>
          <cell r="N5769" t="str">
            <v>1905-01</v>
          </cell>
          <cell r="O5769" t="str">
            <v>PISTON</v>
          </cell>
          <cell r="P5769">
            <v>983</v>
          </cell>
        </row>
        <row r="5770">
          <cell r="B5770" t="str">
            <v>2036-00</v>
          </cell>
          <cell r="C5770" t="str">
            <v>SPCR-TRANS FNL DRV PLNT GR</v>
          </cell>
          <cell r="D5770">
            <v>589.79999999999995</v>
          </cell>
          <cell r="N5770" t="str">
            <v>2036-00</v>
          </cell>
          <cell r="O5770" t="str">
            <v>SPCR-TRANS FNL DRV PLNT GR</v>
          </cell>
          <cell r="P5770">
            <v>983</v>
          </cell>
        </row>
        <row r="5771">
          <cell r="B5771" t="str">
            <v>1289-03</v>
          </cell>
          <cell r="C5771" t="str">
            <v>PISTON</v>
          </cell>
          <cell r="D5771">
            <v>396.5</v>
          </cell>
          <cell r="N5771" t="str">
            <v>1289-03</v>
          </cell>
          <cell r="O5771" t="str">
            <v>PISTON</v>
          </cell>
          <cell r="P5771">
            <v>793</v>
          </cell>
        </row>
        <row r="5772">
          <cell r="B5772" t="str">
            <v>1257-00</v>
          </cell>
          <cell r="C5772" t="str">
            <v>FIXED GEAR</v>
          </cell>
          <cell r="D5772">
            <v>591</v>
          </cell>
          <cell r="N5772" t="str">
            <v>1257-00</v>
          </cell>
          <cell r="O5772" t="str">
            <v>FIXED GEAR</v>
          </cell>
          <cell r="P5772">
            <v>985</v>
          </cell>
        </row>
        <row r="5773">
          <cell r="B5773" t="str">
            <v>1289-21</v>
          </cell>
          <cell r="C5773" t="str">
            <v>PISTON</v>
          </cell>
          <cell r="D5773">
            <v>482</v>
          </cell>
          <cell r="N5773" t="str">
            <v>1289-21</v>
          </cell>
          <cell r="O5773" t="str">
            <v>PISTON</v>
          </cell>
          <cell r="P5773">
            <v>964</v>
          </cell>
        </row>
        <row r="5774">
          <cell r="B5774" t="str">
            <v>1364-01</v>
          </cell>
          <cell r="C5774" t="str">
            <v>SUPPORT YOKE ASS'Y</v>
          </cell>
          <cell r="D5774">
            <v>469</v>
          </cell>
          <cell r="N5774" t="str">
            <v>1364-01</v>
          </cell>
          <cell r="O5774" t="str">
            <v>SUPPORT YOKE ASS'Y</v>
          </cell>
          <cell r="P5774">
            <v>938</v>
          </cell>
        </row>
        <row r="5775">
          <cell r="B5775" t="str">
            <v>1368-11</v>
          </cell>
          <cell r="C5775" t="str">
            <v>PISTON</v>
          </cell>
          <cell r="D5775">
            <v>453</v>
          </cell>
          <cell r="N5775" t="str">
            <v>1368-11</v>
          </cell>
          <cell r="O5775" t="str">
            <v>PISTON</v>
          </cell>
          <cell r="P5775">
            <v>906</v>
          </cell>
        </row>
        <row r="5776">
          <cell r="B5776" t="str">
            <v>1364-01</v>
          </cell>
          <cell r="C5776" t="str">
            <v>SUPPORT YOKE ASS'Y</v>
          </cell>
          <cell r="D5776">
            <v>469</v>
          </cell>
          <cell r="N5776" t="str">
            <v>1364-01</v>
          </cell>
          <cell r="O5776" t="str">
            <v>SUPPORT YOKE ASS'Y</v>
          </cell>
          <cell r="P5776">
            <v>938</v>
          </cell>
        </row>
        <row r="5777">
          <cell r="B5777" t="str">
            <v>1368-11</v>
          </cell>
          <cell r="C5777" t="str">
            <v>PISTON</v>
          </cell>
          <cell r="D5777">
            <v>453</v>
          </cell>
          <cell r="N5777" t="str">
            <v>1368-11</v>
          </cell>
          <cell r="O5777" t="str">
            <v>PISTON</v>
          </cell>
          <cell r="P5777">
            <v>906</v>
          </cell>
        </row>
        <row r="5778">
          <cell r="B5778" t="str">
            <v>1368-11</v>
          </cell>
          <cell r="C5778" t="str">
            <v>PISTON</v>
          </cell>
          <cell r="D5778">
            <v>453</v>
          </cell>
          <cell r="N5778" t="str">
            <v>1368-11</v>
          </cell>
          <cell r="O5778" t="str">
            <v>PISTON</v>
          </cell>
          <cell r="P5778">
            <v>906</v>
          </cell>
        </row>
        <row r="5779">
          <cell r="B5779" t="str">
            <v>1368-23</v>
          </cell>
          <cell r="C5779" t="str">
            <v>PISTON</v>
          </cell>
          <cell r="D5779">
            <v>435</v>
          </cell>
          <cell r="N5779" t="str">
            <v>1368-23</v>
          </cell>
          <cell r="O5779" t="str">
            <v>PISTON</v>
          </cell>
          <cell r="P5779">
            <v>870</v>
          </cell>
        </row>
        <row r="5780">
          <cell r="B5780" t="str">
            <v>1289-22</v>
          </cell>
          <cell r="C5780" t="str">
            <v>PISTON</v>
          </cell>
          <cell r="D5780">
            <v>403.5</v>
          </cell>
          <cell r="N5780" t="str">
            <v>1289-22</v>
          </cell>
          <cell r="O5780" t="str">
            <v>PISTON</v>
          </cell>
          <cell r="P5780">
            <v>807</v>
          </cell>
        </row>
        <row r="5781">
          <cell r="B5781" t="str">
            <v>1289-23</v>
          </cell>
          <cell r="C5781" t="str">
            <v>PISTON</v>
          </cell>
          <cell r="D5781">
            <v>459.5</v>
          </cell>
          <cell r="N5781" t="str">
            <v>1289-23</v>
          </cell>
          <cell r="O5781" t="str">
            <v>PISTON</v>
          </cell>
          <cell r="P5781">
            <v>919</v>
          </cell>
        </row>
        <row r="5782">
          <cell r="B5782" t="str">
            <v>1486-00</v>
          </cell>
          <cell r="C5782" t="str">
            <v>ROD GUIDE ASS'Y</v>
          </cell>
          <cell r="D5782">
            <v>461</v>
          </cell>
          <cell r="N5782" t="str">
            <v>1486-00</v>
          </cell>
          <cell r="O5782" t="str">
            <v>ROD GUIDE ASS'Y</v>
          </cell>
          <cell r="P5782">
            <v>922</v>
          </cell>
        </row>
        <row r="5783">
          <cell r="B5783" t="str">
            <v>1506-00</v>
          </cell>
          <cell r="C5783" t="str">
            <v>ROD GUIDE ASS'Y</v>
          </cell>
          <cell r="D5783">
            <v>462.5</v>
          </cell>
          <cell r="N5783" t="str">
            <v>1506-00</v>
          </cell>
          <cell r="O5783" t="str">
            <v>ROD GUIDE ASS'Y</v>
          </cell>
          <cell r="P5783">
            <v>925</v>
          </cell>
        </row>
        <row r="5784">
          <cell r="B5784" t="str">
            <v>1289-31</v>
          </cell>
          <cell r="C5784" t="str">
            <v>PISTON</v>
          </cell>
          <cell r="D5784">
            <v>496.5</v>
          </cell>
          <cell r="N5784" t="str">
            <v>1289-31</v>
          </cell>
          <cell r="O5784" t="str">
            <v>PISTON</v>
          </cell>
          <cell r="P5784">
            <v>993</v>
          </cell>
        </row>
        <row r="5785">
          <cell r="B5785" t="str">
            <v>1757-01</v>
          </cell>
          <cell r="C5785" t="str">
            <v>ROD GUIDE ASS'Y</v>
          </cell>
          <cell r="D5785">
            <v>470.5</v>
          </cell>
          <cell r="N5785" t="str">
            <v>1757-01</v>
          </cell>
          <cell r="O5785" t="str">
            <v>ROD GUIDE ASS'Y</v>
          </cell>
          <cell r="P5785">
            <v>941</v>
          </cell>
        </row>
        <row r="5786">
          <cell r="B5786" t="str">
            <v>893-04</v>
          </cell>
          <cell r="C5786" t="str">
            <v>PISTON</v>
          </cell>
          <cell r="D5786">
            <v>304.5</v>
          </cell>
          <cell r="N5786" t="str">
            <v>893-04</v>
          </cell>
          <cell r="O5786" t="str">
            <v>PISTON</v>
          </cell>
          <cell r="P5786">
            <v>609</v>
          </cell>
        </row>
        <row r="5787">
          <cell r="B5787" t="str">
            <v>893-04</v>
          </cell>
          <cell r="C5787" t="str">
            <v>PISTON</v>
          </cell>
          <cell r="D5787">
            <v>304.5</v>
          </cell>
          <cell r="N5787" t="str">
            <v>893-04</v>
          </cell>
          <cell r="O5787" t="str">
            <v>PISTON</v>
          </cell>
          <cell r="P5787">
            <v>609</v>
          </cell>
        </row>
        <row r="5788">
          <cell r="B5788" t="str">
            <v>1289-07</v>
          </cell>
          <cell r="C5788" t="str">
            <v>PISTON</v>
          </cell>
          <cell r="D5788">
            <v>383</v>
          </cell>
          <cell r="N5788" t="str">
            <v>1289-07</v>
          </cell>
          <cell r="O5788" t="str">
            <v>PISTON</v>
          </cell>
          <cell r="P5788">
            <v>766</v>
          </cell>
        </row>
        <row r="5789">
          <cell r="B5789" t="str">
            <v>1289-12</v>
          </cell>
          <cell r="C5789" t="str">
            <v>PISTON</v>
          </cell>
          <cell r="D5789">
            <v>498</v>
          </cell>
          <cell r="N5789" t="str">
            <v>1289-12</v>
          </cell>
          <cell r="O5789" t="str">
            <v>PISTON</v>
          </cell>
          <cell r="P5789">
            <v>996</v>
          </cell>
        </row>
        <row r="5790">
          <cell r="B5790" t="str">
            <v>1289-12</v>
          </cell>
          <cell r="C5790" t="str">
            <v>PISTON</v>
          </cell>
          <cell r="D5790">
            <v>498</v>
          </cell>
          <cell r="N5790" t="str">
            <v>1289-12</v>
          </cell>
          <cell r="O5790" t="str">
            <v>PISTON</v>
          </cell>
          <cell r="P5790">
            <v>996</v>
          </cell>
        </row>
        <row r="5791">
          <cell r="B5791" t="str">
            <v>1368-06</v>
          </cell>
          <cell r="C5791" t="str">
            <v>PISTON</v>
          </cell>
          <cell r="D5791">
            <v>498</v>
          </cell>
          <cell r="N5791" t="str">
            <v>1368-06</v>
          </cell>
          <cell r="O5791" t="str">
            <v>PISTON</v>
          </cell>
          <cell r="P5791">
            <v>996</v>
          </cell>
        </row>
        <row r="5792">
          <cell r="B5792" t="str">
            <v>1368-06</v>
          </cell>
          <cell r="C5792" t="str">
            <v>PISTON</v>
          </cell>
          <cell r="D5792">
            <v>498</v>
          </cell>
          <cell r="N5792" t="str">
            <v>1368-06</v>
          </cell>
          <cell r="O5792" t="str">
            <v>PISTON</v>
          </cell>
          <cell r="P5792">
            <v>996</v>
          </cell>
        </row>
        <row r="5793">
          <cell r="B5793" t="str">
            <v>1368-26</v>
          </cell>
          <cell r="C5793" t="str">
            <v>PISTON</v>
          </cell>
          <cell r="D5793">
            <v>399.5</v>
          </cell>
          <cell r="N5793" t="str">
            <v>1368-26</v>
          </cell>
          <cell r="O5793" t="str">
            <v>PISTON</v>
          </cell>
          <cell r="P5793">
            <v>799</v>
          </cell>
        </row>
        <row r="5794">
          <cell r="B5794" t="str">
            <v>1368-08</v>
          </cell>
          <cell r="C5794" t="str">
            <v>PISTON</v>
          </cell>
          <cell r="D5794">
            <v>420</v>
          </cell>
          <cell r="N5794" t="str">
            <v>1368-08</v>
          </cell>
          <cell r="O5794" t="str">
            <v>PISTON</v>
          </cell>
          <cell r="P5794">
            <v>840</v>
          </cell>
        </row>
        <row r="5795">
          <cell r="B5795" t="str">
            <v>799-03</v>
          </cell>
          <cell r="C5795" t="str">
            <v>PUMP BODY</v>
          </cell>
          <cell r="D5795">
            <v>500</v>
          </cell>
          <cell r="N5795" t="str">
            <v>799-03</v>
          </cell>
          <cell r="O5795" t="str">
            <v>PUMP BODY</v>
          </cell>
          <cell r="P5795">
            <v>1000</v>
          </cell>
        </row>
        <row r="5796">
          <cell r="B5796" t="str">
            <v>1565-05</v>
          </cell>
          <cell r="C5796" t="str">
            <v>PISTON</v>
          </cell>
          <cell r="D5796">
            <v>501</v>
          </cell>
          <cell r="N5796" t="str">
            <v>1565-05</v>
          </cell>
          <cell r="O5796" t="str">
            <v>PISTON</v>
          </cell>
          <cell r="P5796">
            <v>1002</v>
          </cell>
        </row>
        <row r="5797">
          <cell r="B5797" t="str">
            <v>1625-00</v>
          </cell>
          <cell r="C5797" t="str">
            <v>COM NUT SPANNER</v>
          </cell>
          <cell r="D5797">
            <v>479.5</v>
          </cell>
          <cell r="N5797" t="str">
            <v>1625-00</v>
          </cell>
          <cell r="O5797" t="str">
            <v>COM NUT SPANNER</v>
          </cell>
          <cell r="P5797">
            <v>959</v>
          </cell>
        </row>
        <row r="5798">
          <cell r="B5798" t="str">
            <v>1408-03</v>
          </cell>
          <cell r="C5798" t="str">
            <v>PISTON</v>
          </cell>
          <cell r="D5798">
            <v>503</v>
          </cell>
          <cell r="N5798" t="str">
            <v>1408-03</v>
          </cell>
          <cell r="O5798" t="str">
            <v>PISTON</v>
          </cell>
          <cell r="P5798">
            <v>1006</v>
          </cell>
        </row>
        <row r="5799">
          <cell r="B5799" t="str">
            <v>1641-01</v>
          </cell>
          <cell r="C5799" t="str">
            <v>ROD GUIDE ASS'Y</v>
          </cell>
          <cell r="D5799">
            <v>504</v>
          </cell>
          <cell r="N5799" t="str">
            <v>1641-01</v>
          </cell>
          <cell r="O5799" t="str">
            <v>ROD GUIDE ASS'Y</v>
          </cell>
          <cell r="P5799">
            <v>1008</v>
          </cell>
        </row>
        <row r="5800">
          <cell r="B5800" t="str">
            <v>1641-01</v>
          </cell>
          <cell r="C5800" t="str">
            <v>ROD GUIDE ASS'Y</v>
          </cell>
          <cell r="D5800">
            <v>504</v>
          </cell>
          <cell r="N5800" t="str">
            <v>1641-01</v>
          </cell>
          <cell r="O5800" t="str">
            <v>ROD GUIDE ASS'Y</v>
          </cell>
          <cell r="P5800">
            <v>1008</v>
          </cell>
        </row>
        <row r="5801">
          <cell r="B5801" t="str">
            <v>2032-00</v>
          </cell>
          <cell r="C5801" t="str">
            <v>PLT TRANS BRG SUPT</v>
          </cell>
          <cell r="D5801">
            <v>546.6</v>
          </cell>
          <cell r="N5801" t="str">
            <v>2032-00</v>
          </cell>
          <cell r="O5801" t="str">
            <v>PLT TRANS BRG SUPT</v>
          </cell>
          <cell r="P5801">
            <v>911</v>
          </cell>
        </row>
        <row r="5802">
          <cell r="B5802" t="str">
            <v>2032-00</v>
          </cell>
          <cell r="C5802" t="str">
            <v>PLT TRANS BRG SUPT</v>
          </cell>
          <cell r="D5802">
            <v>546.6</v>
          </cell>
          <cell r="N5802" t="str">
            <v>2032-00</v>
          </cell>
          <cell r="O5802" t="str">
            <v>PLT TRANS BRG SUPT</v>
          </cell>
          <cell r="P5802">
            <v>911</v>
          </cell>
        </row>
        <row r="5803">
          <cell r="B5803" t="str">
            <v>1368-04</v>
          </cell>
          <cell r="C5803" t="str">
            <v>PISTON</v>
          </cell>
          <cell r="D5803">
            <v>350</v>
          </cell>
          <cell r="N5803" t="str">
            <v>1368-04</v>
          </cell>
          <cell r="O5803" t="str">
            <v>PISTON</v>
          </cell>
          <cell r="P5803">
            <v>700</v>
          </cell>
        </row>
        <row r="5804">
          <cell r="B5804" t="str">
            <v>1288-08</v>
          </cell>
          <cell r="C5804" t="str">
            <v>PISTON</v>
          </cell>
          <cell r="D5804">
            <v>482</v>
          </cell>
          <cell r="N5804" t="str">
            <v>1288-08</v>
          </cell>
          <cell r="O5804" t="str">
            <v>PISTON</v>
          </cell>
          <cell r="P5804">
            <v>964</v>
          </cell>
        </row>
        <row r="5805">
          <cell r="B5805" t="str">
            <v>1288-08</v>
          </cell>
          <cell r="C5805" t="str">
            <v>PISTON</v>
          </cell>
          <cell r="D5805">
            <v>482</v>
          </cell>
          <cell r="N5805" t="str">
            <v>1288-08</v>
          </cell>
          <cell r="O5805" t="str">
            <v>PISTON</v>
          </cell>
          <cell r="P5805">
            <v>964</v>
          </cell>
        </row>
        <row r="5806">
          <cell r="B5806" t="str">
            <v>1289-13</v>
          </cell>
          <cell r="C5806" t="str">
            <v>PISTON</v>
          </cell>
          <cell r="D5806">
            <v>364.5</v>
          </cell>
          <cell r="N5806" t="str">
            <v>1289-13</v>
          </cell>
          <cell r="O5806" t="str">
            <v>PISTON</v>
          </cell>
          <cell r="P5806">
            <v>729</v>
          </cell>
        </row>
        <row r="5807">
          <cell r="B5807" t="str">
            <v>1289-13</v>
          </cell>
          <cell r="C5807" t="str">
            <v>PISTON</v>
          </cell>
          <cell r="D5807">
            <v>364.5</v>
          </cell>
          <cell r="N5807" t="str">
            <v>1289-13</v>
          </cell>
          <cell r="O5807" t="str">
            <v>PISTON</v>
          </cell>
          <cell r="P5807">
            <v>729</v>
          </cell>
        </row>
        <row r="5808">
          <cell r="B5808" t="str">
            <v>1288-09</v>
          </cell>
          <cell r="C5808" t="str">
            <v>PISTON</v>
          </cell>
          <cell r="D5808">
            <v>438</v>
          </cell>
          <cell r="N5808" t="str">
            <v>1288-09</v>
          </cell>
          <cell r="O5808" t="str">
            <v>PISTON</v>
          </cell>
          <cell r="P5808">
            <v>876</v>
          </cell>
        </row>
        <row r="5809">
          <cell r="B5809" t="str">
            <v>1288-09</v>
          </cell>
          <cell r="C5809" t="str">
            <v>PISTON</v>
          </cell>
          <cell r="D5809">
            <v>438</v>
          </cell>
          <cell r="N5809" t="str">
            <v>1288-09</v>
          </cell>
          <cell r="O5809" t="str">
            <v>PISTON</v>
          </cell>
          <cell r="P5809">
            <v>876</v>
          </cell>
        </row>
        <row r="5810">
          <cell r="B5810" t="str">
            <v>1368-15</v>
          </cell>
          <cell r="C5810" t="str">
            <v>PISTON</v>
          </cell>
          <cell r="D5810">
            <v>384</v>
          </cell>
          <cell r="N5810" t="str">
            <v>1368-15</v>
          </cell>
          <cell r="O5810" t="str">
            <v>PISTON</v>
          </cell>
          <cell r="P5810">
            <v>768</v>
          </cell>
        </row>
        <row r="5811">
          <cell r="B5811" t="str">
            <v>1289-05</v>
          </cell>
          <cell r="C5811" t="str">
            <v>PISTON</v>
          </cell>
          <cell r="D5811">
            <v>385.5</v>
          </cell>
          <cell r="N5811" t="str">
            <v>1289-05</v>
          </cell>
          <cell r="O5811" t="str">
            <v>PISTON</v>
          </cell>
          <cell r="P5811">
            <v>771</v>
          </cell>
        </row>
        <row r="5812">
          <cell r="B5812" t="str">
            <v>911-00</v>
          </cell>
          <cell r="C5812" t="str">
            <v>GEAR SINTERING</v>
          </cell>
          <cell r="D5812">
            <v>610.79999999999995</v>
          </cell>
          <cell r="N5812" t="str">
            <v>911-00</v>
          </cell>
          <cell r="O5812" t="str">
            <v>GEAR SINTERING</v>
          </cell>
          <cell r="P5812">
            <v>1018</v>
          </cell>
        </row>
        <row r="5813">
          <cell r="B5813" t="str">
            <v>911-00</v>
          </cell>
          <cell r="C5813" t="str">
            <v>GEAR SINTERING</v>
          </cell>
          <cell r="D5813">
            <v>610.79999999999995</v>
          </cell>
          <cell r="N5813" t="str">
            <v>911-00</v>
          </cell>
          <cell r="O5813" t="str">
            <v>GEAR SINTERING</v>
          </cell>
          <cell r="P5813">
            <v>1018</v>
          </cell>
        </row>
        <row r="5814">
          <cell r="B5814" t="str">
            <v>911-00</v>
          </cell>
          <cell r="C5814" t="str">
            <v>GEAR SINTERING</v>
          </cell>
          <cell r="D5814">
            <v>610.79999999999995</v>
          </cell>
          <cell r="N5814" t="str">
            <v>911-00</v>
          </cell>
          <cell r="O5814" t="str">
            <v>GEAR SINTERING</v>
          </cell>
          <cell r="P5814">
            <v>1018</v>
          </cell>
        </row>
        <row r="5815">
          <cell r="B5815" t="str">
            <v>911-00</v>
          </cell>
          <cell r="C5815" t="str">
            <v>GEAR SINTERING</v>
          </cell>
          <cell r="D5815">
            <v>610.79999999999995</v>
          </cell>
          <cell r="N5815" t="str">
            <v>911-00</v>
          </cell>
          <cell r="O5815" t="str">
            <v>GEAR SINTERING</v>
          </cell>
          <cell r="P5815">
            <v>1018</v>
          </cell>
        </row>
        <row r="5816">
          <cell r="B5816" t="str">
            <v>1289-25</v>
          </cell>
          <cell r="C5816" t="str">
            <v>PISTON</v>
          </cell>
          <cell r="D5816">
            <v>423.5</v>
          </cell>
          <cell r="N5816" t="str">
            <v>1289-25</v>
          </cell>
          <cell r="O5816" t="str">
            <v>PISTON</v>
          </cell>
          <cell r="P5816">
            <v>847</v>
          </cell>
        </row>
        <row r="5817">
          <cell r="B5817" t="str">
            <v>1289-31</v>
          </cell>
          <cell r="C5817" t="str">
            <v>PISTON</v>
          </cell>
          <cell r="D5817">
            <v>496.5</v>
          </cell>
          <cell r="N5817" t="str">
            <v>1289-31</v>
          </cell>
          <cell r="O5817" t="str">
            <v>PISTON</v>
          </cell>
          <cell r="P5817">
            <v>993</v>
          </cell>
        </row>
        <row r="5818">
          <cell r="B5818" t="str">
            <v>1288-14</v>
          </cell>
          <cell r="C5818" t="str">
            <v>PISTON</v>
          </cell>
          <cell r="D5818">
            <v>408</v>
          </cell>
          <cell r="N5818" t="str">
            <v>1288-14</v>
          </cell>
          <cell r="O5818" t="str">
            <v>PISTON</v>
          </cell>
          <cell r="P5818">
            <v>816</v>
          </cell>
        </row>
        <row r="5819">
          <cell r="B5819" t="str">
            <v>893-05</v>
          </cell>
          <cell r="C5819" t="str">
            <v>PISTON</v>
          </cell>
          <cell r="D5819">
            <v>340.5</v>
          </cell>
          <cell r="N5819" t="str">
            <v>893-05</v>
          </cell>
          <cell r="O5819" t="str">
            <v>PISTON</v>
          </cell>
          <cell r="P5819">
            <v>681</v>
          </cell>
        </row>
        <row r="5820">
          <cell r="B5820" t="str">
            <v>1289-08</v>
          </cell>
          <cell r="C5820" t="str">
            <v>PISTON</v>
          </cell>
          <cell r="D5820">
            <v>512.5</v>
          </cell>
          <cell r="N5820" t="str">
            <v>1289-08</v>
          </cell>
          <cell r="O5820" t="str">
            <v>PISTON</v>
          </cell>
          <cell r="P5820">
            <v>1025</v>
          </cell>
        </row>
        <row r="5821">
          <cell r="B5821" t="str">
            <v>1289-08</v>
          </cell>
          <cell r="C5821" t="str">
            <v>PISTON</v>
          </cell>
          <cell r="D5821">
            <v>512.5</v>
          </cell>
          <cell r="N5821" t="str">
            <v>1289-08</v>
          </cell>
          <cell r="O5821" t="str">
            <v>PISTON</v>
          </cell>
          <cell r="P5821">
            <v>1025</v>
          </cell>
        </row>
        <row r="5822">
          <cell r="B5822" t="str">
            <v>1368-17</v>
          </cell>
          <cell r="C5822" t="str">
            <v>PISTON</v>
          </cell>
          <cell r="D5822">
            <v>443.5</v>
          </cell>
          <cell r="N5822" t="str">
            <v>1368-17</v>
          </cell>
          <cell r="O5822" t="str">
            <v>PISTON</v>
          </cell>
          <cell r="P5822">
            <v>887</v>
          </cell>
        </row>
        <row r="5823">
          <cell r="B5823" t="str">
            <v>893-02</v>
          </cell>
          <cell r="C5823" t="str">
            <v>PISTON</v>
          </cell>
          <cell r="D5823">
            <v>333.5</v>
          </cell>
          <cell r="N5823" t="str">
            <v>893-02</v>
          </cell>
          <cell r="O5823" t="str">
            <v>PISTON</v>
          </cell>
          <cell r="P5823">
            <v>667</v>
          </cell>
        </row>
        <row r="5824">
          <cell r="B5824" t="str">
            <v>1289-07</v>
          </cell>
          <cell r="C5824" t="str">
            <v>PISTON</v>
          </cell>
          <cell r="D5824">
            <v>383</v>
          </cell>
          <cell r="N5824" t="str">
            <v>1289-07</v>
          </cell>
          <cell r="O5824" t="str">
            <v>PISTON</v>
          </cell>
          <cell r="P5824">
            <v>766</v>
          </cell>
        </row>
        <row r="5825">
          <cell r="B5825" t="str">
            <v>1257-00</v>
          </cell>
          <cell r="C5825" t="str">
            <v>FIXED GEAR</v>
          </cell>
          <cell r="D5825">
            <v>591</v>
          </cell>
          <cell r="N5825" t="str">
            <v>1257-00</v>
          </cell>
          <cell r="O5825" t="str">
            <v>FIXED GEAR</v>
          </cell>
          <cell r="P5825">
            <v>985</v>
          </cell>
        </row>
        <row r="5826">
          <cell r="B5826" t="str">
            <v>090-03</v>
          </cell>
          <cell r="C5826" t="str">
            <v>PISTON</v>
          </cell>
          <cell r="D5826">
            <v>414.5</v>
          </cell>
          <cell r="N5826" t="str">
            <v>090-03</v>
          </cell>
          <cell r="O5826" t="str">
            <v>PISTON</v>
          </cell>
          <cell r="P5826">
            <v>829</v>
          </cell>
        </row>
        <row r="5827">
          <cell r="B5827" t="str">
            <v>1990-01</v>
          </cell>
          <cell r="C5827" t="str">
            <v>COM NUT SPANNER</v>
          </cell>
          <cell r="D5827">
            <v>518.5</v>
          </cell>
          <cell r="N5827" t="str">
            <v>1990-01</v>
          </cell>
          <cell r="O5827" t="str">
            <v>COM NUT SPANNER</v>
          </cell>
          <cell r="P5827">
            <v>1037</v>
          </cell>
        </row>
        <row r="5828">
          <cell r="B5828" t="str">
            <v>1505-00</v>
          </cell>
          <cell r="C5828" t="str">
            <v>ROD GUIDE ASS'Y</v>
          </cell>
          <cell r="D5828">
            <v>519</v>
          </cell>
          <cell r="N5828" t="str">
            <v>1505-00</v>
          </cell>
          <cell r="O5828" t="str">
            <v>ROD GUIDE ASS'Y</v>
          </cell>
          <cell r="P5828">
            <v>1038</v>
          </cell>
        </row>
        <row r="5829">
          <cell r="B5829" t="str">
            <v>893-03</v>
          </cell>
          <cell r="C5829" t="str">
            <v>PISTON</v>
          </cell>
          <cell r="D5829">
            <v>345.5</v>
          </cell>
          <cell r="N5829" t="str">
            <v>893-03</v>
          </cell>
          <cell r="O5829" t="str">
            <v>PISTON</v>
          </cell>
          <cell r="P5829">
            <v>691</v>
          </cell>
        </row>
        <row r="5830">
          <cell r="B5830" t="str">
            <v>1289-33</v>
          </cell>
          <cell r="C5830" t="str">
            <v>PISTON</v>
          </cell>
          <cell r="D5830">
            <v>436</v>
          </cell>
          <cell r="N5830" t="str">
            <v>1289-33</v>
          </cell>
          <cell r="O5830" t="str">
            <v>PISTON</v>
          </cell>
          <cell r="P5830">
            <v>872</v>
          </cell>
        </row>
        <row r="5831">
          <cell r="B5831" t="str">
            <v>1289-32</v>
          </cell>
          <cell r="C5831" t="str">
            <v>PISTON</v>
          </cell>
          <cell r="D5831">
            <v>521</v>
          </cell>
          <cell r="N5831" t="str">
            <v>1289-32</v>
          </cell>
          <cell r="O5831" t="str">
            <v>PISTON</v>
          </cell>
          <cell r="P5831">
            <v>1042</v>
          </cell>
        </row>
        <row r="5832">
          <cell r="B5832" t="str">
            <v>1368-05</v>
          </cell>
          <cell r="C5832" t="str">
            <v>PISTON</v>
          </cell>
          <cell r="D5832">
            <v>522.5</v>
          </cell>
          <cell r="N5832" t="str">
            <v>1368-05</v>
          </cell>
          <cell r="O5832" t="str">
            <v>PISTON</v>
          </cell>
          <cell r="P5832">
            <v>1045</v>
          </cell>
        </row>
        <row r="5833">
          <cell r="B5833" t="str">
            <v>893-06</v>
          </cell>
          <cell r="C5833" t="str">
            <v>PISTON</v>
          </cell>
          <cell r="D5833">
            <v>357</v>
          </cell>
          <cell r="N5833" t="str">
            <v>893-06</v>
          </cell>
          <cell r="O5833" t="str">
            <v>PISTON</v>
          </cell>
          <cell r="P5833">
            <v>714</v>
          </cell>
        </row>
        <row r="5834">
          <cell r="B5834" t="str">
            <v>1364-01</v>
          </cell>
          <cell r="C5834" t="str">
            <v>SUPPORT YOKE ASS'Y</v>
          </cell>
          <cell r="D5834">
            <v>469</v>
          </cell>
          <cell r="N5834" t="str">
            <v>1364-01</v>
          </cell>
          <cell r="O5834" t="str">
            <v>SUPPORT YOKE ASS'Y</v>
          </cell>
          <cell r="P5834">
            <v>938</v>
          </cell>
        </row>
        <row r="5835">
          <cell r="B5835" t="str">
            <v>1364-01</v>
          </cell>
          <cell r="C5835" t="str">
            <v>SUPPORT YOKE ASS'Y</v>
          </cell>
          <cell r="D5835">
            <v>469</v>
          </cell>
          <cell r="N5835" t="str">
            <v>1364-01</v>
          </cell>
          <cell r="O5835" t="str">
            <v>SUPPORT YOKE ASS'Y</v>
          </cell>
          <cell r="P5835">
            <v>938</v>
          </cell>
        </row>
        <row r="5836">
          <cell r="B5836" t="str">
            <v>2065-00</v>
          </cell>
          <cell r="C5836" t="str">
            <v>ROD GUIDE ASS'Y</v>
          </cell>
          <cell r="D5836">
            <v>524</v>
          </cell>
          <cell r="N5836" t="str">
            <v>2065-00</v>
          </cell>
          <cell r="O5836" t="str">
            <v>ROD GUIDE ASS'Y</v>
          </cell>
          <cell r="P5836">
            <v>1048</v>
          </cell>
        </row>
        <row r="5837">
          <cell r="B5837" t="str">
            <v>893-02</v>
          </cell>
          <cell r="C5837" t="str">
            <v>PISTON</v>
          </cell>
          <cell r="D5837">
            <v>333.5</v>
          </cell>
          <cell r="N5837" t="str">
            <v>893-02</v>
          </cell>
          <cell r="O5837" t="str">
            <v>PISTON</v>
          </cell>
          <cell r="P5837">
            <v>667</v>
          </cell>
        </row>
        <row r="5838">
          <cell r="B5838" t="str">
            <v>1757-00</v>
          </cell>
          <cell r="C5838" t="str">
            <v>ROD GUIDE ASS'Y</v>
          </cell>
          <cell r="D5838">
            <v>525</v>
          </cell>
          <cell r="N5838" t="str">
            <v>1757-00</v>
          </cell>
          <cell r="O5838" t="str">
            <v>ROD GUIDE ASS'Y</v>
          </cell>
          <cell r="P5838">
            <v>1050</v>
          </cell>
        </row>
        <row r="5839">
          <cell r="B5839" t="str">
            <v>799-03</v>
          </cell>
          <cell r="C5839" t="str">
            <v>PUMP BODY</v>
          </cell>
          <cell r="D5839">
            <v>500</v>
          </cell>
          <cell r="N5839" t="str">
            <v>799-03</v>
          </cell>
          <cell r="O5839" t="str">
            <v>PUMP BODY</v>
          </cell>
          <cell r="P5839">
            <v>1000</v>
          </cell>
        </row>
        <row r="5840">
          <cell r="B5840" t="str">
            <v>799-04</v>
          </cell>
          <cell r="C5840" t="str">
            <v>PUMP BODY</v>
          </cell>
          <cell r="D5840">
            <v>525</v>
          </cell>
          <cell r="N5840" t="str">
            <v>799-04</v>
          </cell>
          <cell r="O5840" t="str">
            <v>PUMP BODY</v>
          </cell>
          <cell r="P5840">
            <v>1050</v>
          </cell>
        </row>
        <row r="5841">
          <cell r="B5841" t="str">
            <v>974-02</v>
          </cell>
          <cell r="C5841" t="str">
            <v>CAM</v>
          </cell>
          <cell r="D5841">
            <v>630.6</v>
          </cell>
          <cell r="N5841" t="str">
            <v>974-02</v>
          </cell>
          <cell r="O5841" t="str">
            <v>CAM</v>
          </cell>
          <cell r="P5841">
            <v>1051</v>
          </cell>
        </row>
        <row r="5842">
          <cell r="B5842" t="str">
            <v>2066-00</v>
          </cell>
          <cell r="C5842" t="str">
            <v>ROD GUIDE ASS'Y</v>
          </cell>
          <cell r="D5842">
            <v>526</v>
          </cell>
          <cell r="N5842" t="str">
            <v>2066-00</v>
          </cell>
          <cell r="O5842" t="str">
            <v>ROD GUIDE ASS'Y</v>
          </cell>
          <cell r="P5842">
            <v>1052</v>
          </cell>
        </row>
        <row r="5843">
          <cell r="B5843" t="str">
            <v>1289-05</v>
          </cell>
          <cell r="C5843" t="str">
            <v>PISTON</v>
          </cell>
          <cell r="D5843">
            <v>385.5</v>
          </cell>
          <cell r="N5843" t="str">
            <v>1289-05</v>
          </cell>
          <cell r="O5843" t="str">
            <v>PISTON</v>
          </cell>
          <cell r="P5843">
            <v>771</v>
          </cell>
        </row>
        <row r="5844">
          <cell r="B5844" t="str">
            <v>1289-05</v>
          </cell>
          <cell r="C5844" t="str">
            <v>PISTON</v>
          </cell>
          <cell r="D5844">
            <v>385.5</v>
          </cell>
          <cell r="N5844" t="str">
            <v>1289-05</v>
          </cell>
          <cell r="O5844" t="str">
            <v>PISTON</v>
          </cell>
          <cell r="P5844">
            <v>771</v>
          </cell>
        </row>
        <row r="5845">
          <cell r="B5845" t="str">
            <v>1307-00</v>
          </cell>
          <cell r="C5845" t="str">
            <v>SUPPORT YOKE ASS'Y</v>
          </cell>
          <cell r="D5845">
            <v>526.5</v>
          </cell>
          <cell r="N5845" t="str">
            <v>1307-00</v>
          </cell>
          <cell r="O5845" t="str">
            <v>SUPPORT YOKE ASS'Y</v>
          </cell>
          <cell r="P5845">
            <v>1053</v>
          </cell>
        </row>
        <row r="5846">
          <cell r="B5846" t="str">
            <v>1307-00</v>
          </cell>
          <cell r="C5846" t="str">
            <v>SUPPORT YOKE ASS'Y</v>
          </cell>
          <cell r="D5846">
            <v>526.5</v>
          </cell>
          <cell r="N5846" t="str">
            <v>1307-00</v>
          </cell>
          <cell r="O5846" t="str">
            <v>SUPPORT YOKE ASS'Y</v>
          </cell>
          <cell r="P5846">
            <v>1053</v>
          </cell>
        </row>
        <row r="5847">
          <cell r="B5847" t="str">
            <v>1368-27</v>
          </cell>
          <cell r="C5847" t="str">
            <v>PISTON</v>
          </cell>
          <cell r="D5847">
            <v>440</v>
          </cell>
          <cell r="N5847" t="str">
            <v>1368-27</v>
          </cell>
          <cell r="O5847" t="str">
            <v>PISTON</v>
          </cell>
          <cell r="P5847">
            <v>880</v>
          </cell>
        </row>
        <row r="5848">
          <cell r="B5848" t="str">
            <v>1289-15</v>
          </cell>
          <cell r="C5848" t="str">
            <v>PISTON</v>
          </cell>
          <cell r="D5848">
            <v>416</v>
          </cell>
          <cell r="N5848" t="str">
            <v>1289-15</v>
          </cell>
          <cell r="O5848" t="str">
            <v>PISTON</v>
          </cell>
          <cell r="P5848">
            <v>832</v>
          </cell>
        </row>
        <row r="5849">
          <cell r="B5849" t="str">
            <v>1289-21</v>
          </cell>
          <cell r="C5849" t="str">
            <v>PISTON</v>
          </cell>
          <cell r="D5849">
            <v>482</v>
          </cell>
          <cell r="N5849" t="str">
            <v>1289-21</v>
          </cell>
          <cell r="O5849" t="str">
            <v>PISTON</v>
          </cell>
          <cell r="P5849">
            <v>964</v>
          </cell>
        </row>
        <row r="5850">
          <cell r="B5850" t="str">
            <v>1990-00</v>
          </cell>
          <cell r="C5850" t="str">
            <v>COM NUT SPANNER</v>
          </cell>
          <cell r="D5850">
            <v>531</v>
          </cell>
          <cell r="N5850" t="str">
            <v>1990-00</v>
          </cell>
          <cell r="O5850" t="str">
            <v>COM NUT SPANNER</v>
          </cell>
          <cell r="P5850">
            <v>1062</v>
          </cell>
        </row>
        <row r="5851">
          <cell r="B5851" t="str">
            <v>1565-01</v>
          </cell>
          <cell r="C5851" t="str">
            <v>PISTON</v>
          </cell>
          <cell r="D5851">
            <v>387</v>
          </cell>
          <cell r="N5851" t="str">
            <v>1565-01</v>
          </cell>
          <cell r="O5851" t="str">
            <v>PISTON</v>
          </cell>
          <cell r="P5851">
            <v>774</v>
          </cell>
        </row>
        <row r="5852">
          <cell r="B5852" t="str">
            <v>1641-01</v>
          </cell>
          <cell r="C5852" t="str">
            <v>ROD GUIDE ASS'Y</v>
          </cell>
          <cell r="D5852">
            <v>504</v>
          </cell>
          <cell r="N5852" t="str">
            <v>1641-01</v>
          </cell>
          <cell r="O5852" t="str">
            <v>ROD GUIDE ASS'Y</v>
          </cell>
          <cell r="P5852">
            <v>1008</v>
          </cell>
        </row>
        <row r="5853">
          <cell r="B5853" t="str">
            <v>1368-23</v>
          </cell>
          <cell r="C5853" t="str">
            <v>PISTON</v>
          </cell>
          <cell r="D5853">
            <v>435</v>
          </cell>
          <cell r="N5853" t="str">
            <v>1368-23</v>
          </cell>
          <cell r="O5853" t="str">
            <v>PISTON</v>
          </cell>
          <cell r="P5853">
            <v>870</v>
          </cell>
        </row>
        <row r="5854">
          <cell r="B5854" t="str">
            <v>1289-22</v>
          </cell>
          <cell r="C5854" t="str">
            <v>PISTON</v>
          </cell>
          <cell r="D5854">
            <v>403.5</v>
          </cell>
          <cell r="N5854" t="str">
            <v>1289-22</v>
          </cell>
          <cell r="O5854" t="str">
            <v>PISTON</v>
          </cell>
          <cell r="P5854">
            <v>807</v>
          </cell>
        </row>
        <row r="5855">
          <cell r="B5855" t="str">
            <v>1289-31</v>
          </cell>
          <cell r="C5855" t="str">
            <v>PISTON</v>
          </cell>
          <cell r="D5855">
            <v>496.5</v>
          </cell>
          <cell r="N5855" t="str">
            <v>1289-31</v>
          </cell>
          <cell r="O5855" t="str">
            <v>PISTON</v>
          </cell>
          <cell r="P5855">
            <v>993</v>
          </cell>
        </row>
        <row r="5856">
          <cell r="B5856" t="str">
            <v>1505-00</v>
          </cell>
          <cell r="C5856" t="str">
            <v>ROD GUIDE ASS'Y</v>
          </cell>
          <cell r="D5856">
            <v>519</v>
          </cell>
          <cell r="N5856" t="str">
            <v>1505-00</v>
          </cell>
          <cell r="O5856" t="str">
            <v>ROD GUIDE ASS'Y</v>
          </cell>
          <cell r="P5856">
            <v>1038</v>
          </cell>
        </row>
        <row r="5857">
          <cell r="B5857" t="str">
            <v>1307-00</v>
          </cell>
          <cell r="C5857" t="str">
            <v>SUPPORT YOKE ASS'Y</v>
          </cell>
          <cell r="D5857">
            <v>526.5</v>
          </cell>
          <cell r="N5857" t="str">
            <v>1307-00</v>
          </cell>
          <cell r="O5857" t="str">
            <v>SUPPORT YOKE ASS'Y</v>
          </cell>
          <cell r="P5857">
            <v>1053</v>
          </cell>
        </row>
        <row r="5858">
          <cell r="B5858" t="str">
            <v>1289-07</v>
          </cell>
          <cell r="C5858" t="str">
            <v>PISTON</v>
          </cell>
          <cell r="D5858">
            <v>383</v>
          </cell>
          <cell r="N5858" t="str">
            <v>1289-07</v>
          </cell>
          <cell r="O5858" t="str">
            <v>PISTON</v>
          </cell>
          <cell r="P5858">
            <v>766</v>
          </cell>
        </row>
        <row r="5859">
          <cell r="B5859" t="str">
            <v>1368-24</v>
          </cell>
          <cell r="C5859" t="str">
            <v>PISTON</v>
          </cell>
          <cell r="D5859">
            <v>543</v>
          </cell>
          <cell r="N5859" t="str">
            <v>1368-24</v>
          </cell>
          <cell r="O5859" t="str">
            <v>PISTON</v>
          </cell>
          <cell r="P5859">
            <v>1086</v>
          </cell>
        </row>
        <row r="5860">
          <cell r="B5860" t="str">
            <v>1368-19</v>
          </cell>
          <cell r="C5860" t="str">
            <v>PISTON</v>
          </cell>
          <cell r="D5860">
            <v>544.5</v>
          </cell>
          <cell r="N5860" t="str">
            <v>1368-19</v>
          </cell>
          <cell r="O5860" t="str">
            <v>PISTON</v>
          </cell>
          <cell r="P5860">
            <v>1089</v>
          </cell>
        </row>
        <row r="5861">
          <cell r="B5861" t="str">
            <v>2036-00</v>
          </cell>
          <cell r="C5861" t="str">
            <v>SPCR-TRANS FNL DRV PLNT GR</v>
          </cell>
          <cell r="D5861">
            <v>589.79999999999995</v>
          </cell>
          <cell r="N5861" t="str">
            <v>2036-00</v>
          </cell>
          <cell r="O5861" t="str">
            <v>SPCR-TRANS FNL DRV PLNT GR</v>
          </cell>
          <cell r="P5861">
            <v>983</v>
          </cell>
        </row>
        <row r="5862">
          <cell r="B5862" t="str">
            <v>2036-00</v>
          </cell>
          <cell r="C5862" t="str">
            <v>SPCR-TRANS FNL DRV PLNT GR</v>
          </cell>
          <cell r="D5862">
            <v>589.79999999999995</v>
          </cell>
          <cell r="N5862" t="str">
            <v>2036-00</v>
          </cell>
          <cell r="O5862" t="str">
            <v>SPCR-TRANS FNL DRV PLNT GR</v>
          </cell>
          <cell r="P5862">
            <v>983</v>
          </cell>
        </row>
        <row r="5863">
          <cell r="B5863" t="str">
            <v>893-01</v>
          </cell>
          <cell r="C5863" t="str">
            <v>PISTON</v>
          </cell>
          <cell r="D5863">
            <v>382</v>
          </cell>
          <cell r="N5863" t="str">
            <v>893-01</v>
          </cell>
          <cell r="O5863" t="str">
            <v>PISTON</v>
          </cell>
          <cell r="P5863">
            <v>764</v>
          </cell>
        </row>
        <row r="5864">
          <cell r="B5864" t="str">
            <v>1289-23</v>
          </cell>
          <cell r="C5864" t="str">
            <v>PISTON</v>
          </cell>
          <cell r="D5864">
            <v>459.5</v>
          </cell>
          <cell r="N5864" t="str">
            <v>1289-23</v>
          </cell>
          <cell r="O5864" t="str">
            <v>PISTON</v>
          </cell>
          <cell r="P5864">
            <v>919</v>
          </cell>
        </row>
        <row r="5865">
          <cell r="B5865" t="str">
            <v>1368-20</v>
          </cell>
          <cell r="C5865" t="str">
            <v>PISTON</v>
          </cell>
          <cell r="D5865">
            <v>478</v>
          </cell>
          <cell r="N5865" t="str">
            <v>1368-20</v>
          </cell>
          <cell r="O5865" t="str">
            <v>PISTON</v>
          </cell>
          <cell r="P5865">
            <v>956</v>
          </cell>
        </row>
        <row r="5866">
          <cell r="B5866" t="str">
            <v>1368-30</v>
          </cell>
          <cell r="C5866" t="str">
            <v>PISTON</v>
          </cell>
          <cell r="D5866">
            <v>548.5</v>
          </cell>
          <cell r="N5866" t="str">
            <v>1368-30</v>
          </cell>
          <cell r="O5866" t="str">
            <v>PISTON</v>
          </cell>
          <cell r="P5866">
            <v>1097</v>
          </cell>
        </row>
        <row r="5867">
          <cell r="B5867" t="str">
            <v>893-03</v>
          </cell>
          <cell r="C5867" t="str">
            <v>PISTON</v>
          </cell>
          <cell r="D5867">
            <v>345.5</v>
          </cell>
          <cell r="N5867" t="str">
            <v>893-03</v>
          </cell>
          <cell r="O5867" t="str">
            <v>PISTON</v>
          </cell>
          <cell r="P5867">
            <v>691</v>
          </cell>
        </row>
        <row r="5868">
          <cell r="B5868" t="str">
            <v>1239-01</v>
          </cell>
          <cell r="C5868" t="str">
            <v>TONE WHEEL</v>
          </cell>
          <cell r="D5868">
            <v>550</v>
          </cell>
          <cell r="N5868" t="str">
            <v>1239-01</v>
          </cell>
          <cell r="O5868" t="str">
            <v>TONE WHEEL</v>
          </cell>
          <cell r="P5868">
            <v>1100</v>
          </cell>
        </row>
        <row r="5869">
          <cell r="B5869" t="str">
            <v>1239-01</v>
          </cell>
          <cell r="C5869" t="str">
            <v>TONE WHEEL</v>
          </cell>
          <cell r="D5869">
            <v>550</v>
          </cell>
          <cell r="N5869" t="str">
            <v>1239-01</v>
          </cell>
          <cell r="O5869" t="str">
            <v>TONE WHEEL</v>
          </cell>
          <cell r="P5869">
            <v>1100</v>
          </cell>
        </row>
        <row r="5870">
          <cell r="B5870" t="str">
            <v>1239-01</v>
          </cell>
          <cell r="C5870" t="str">
            <v>TONE WHEEL</v>
          </cell>
          <cell r="D5870">
            <v>550</v>
          </cell>
          <cell r="N5870" t="str">
            <v>1239-01</v>
          </cell>
          <cell r="O5870" t="str">
            <v>TONE WHEEL</v>
          </cell>
          <cell r="P5870">
            <v>1100</v>
          </cell>
        </row>
        <row r="5871">
          <cell r="B5871" t="str">
            <v>799-04</v>
          </cell>
          <cell r="C5871" t="str">
            <v>PUMP BODY</v>
          </cell>
          <cell r="D5871">
            <v>525</v>
          </cell>
          <cell r="N5871" t="str">
            <v>799-04</v>
          </cell>
          <cell r="O5871" t="str">
            <v>PUMP BODY</v>
          </cell>
          <cell r="P5871">
            <v>1050</v>
          </cell>
        </row>
        <row r="5872">
          <cell r="B5872" t="str">
            <v>1368-19</v>
          </cell>
          <cell r="C5872" t="str">
            <v>PISTON</v>
          </cell>
          <cell r="D5872">
            <v>544.5</v>
          </cell>
          <cell r="N5872" t="str">
            <v>1368-19</v>
          </cell>
          <cell r="O5872" t="str">
            <v>PISTON</v>
          </cell>
          <cell r="P5872">
            <v>1089</v>
          </cell>
        </row>
        <row r="5873">
          <cell r="B5873" t="str">
            <v>1600-00</v>
          </cell>
          <cell r="C5873" t="str">
            <v>HUB CIRCULAR</v>
          </cell>
          <cell r="D5873">
            <v>555</v>
          </cell>
          <cell r="N5873" t="str">
            <v>1600-00</v>
          </cell>
          <cell r="O5873" t="str">
            <v>HUB CIRCULAR</v>
          </cell>
          <cell r="P5873">
            <v>1110</v>
          </cell>
        </row>
        <row r="5874">
          <cell r="B5874" t="str">
            <v>1505-00</v>
          </cell>
          <cell r="C5874" t="str">
            <v>ROD GUIDE ASS'Y</v>
          </cell>
          <cell r="D5874">
            <v>519</v>
          </cell>
          <cell r="N5874" t="str">
            <v>1505-00</v>
          </cell>
          <cell r="O5874" t="str">
            <v>ROD GUIDE ASS'Y</v>
          </cell>
          <cell r="P5874">
            <v>1038</v>
          </cell>
        </row>
        <row r="5875">
          <cell r="B5875" t="str">
            <v>1989-00</v>
          </cell>
          <cell r="C5875" t="str">
            <v>Sensor Cam</v>
          </cell>
          <cell r="D5875">
            <v>668.4</v>
          </cell>
          <cell r="N5875" t="str">
            <v>1989-00</v>
          </cell>
          <cell r="O5875" t="str">
            <v>Sensor Cam</v>
          </cell>
          <cell r="P5875">
            <v>1114</v>
          </cell>
        </row>
        <row r="5876">
          <cell r="B5876" t="str">
            <v>1658-00</v>
          </cell>
          <cell r="C5876" t="str">
            <v>ROD GUIDE</v>
          </cell>
          <cell r="D5876">
            <v>557.5</v>
          </cell>
          <cell r="N5876" t="str">
            <v>1658-00</v>
          </cell>
          <cell r="O5876" t="str">
            <v>ROD GUIDE</v>
          </cell>
          <cell r="P5876">
            <v>1115</v>
          </cell>
        </row>
        <row r="5877">
          <cell r="B5877" t="str">
            <v>1565-07</v>
          </cell>
          <cell r="C5877" t="str">
            <v>PISTON</v>
          </cell>
          <cell r="D5877">
            <v>558</v>
          </cell>
          <cell r="N5877" t="str">
            <v>1565-07</v>
          </cell>
          <cell r="O5877" t="str">
            <v>PISTON</v>
          </cell>
          <cell r="P5877">
            <v>1116</v>
          </cell>
        </row>
        <row r="5878">
          <cell r="B5878" t="str">
            <v>1289-25</v>
          </cell>
          <cell r="C5878" t="str">
            <v>PISTON</v>
          </cell>
          <cell r="D5878">
            <v>423.5</v>
          </cell>
          <cell r="N5878" t="str">
            <v>1289-25</v>
          </cell>
          <cell r="O5878" t="str">
            <v>PISTON</v>
          </cell>
          <cell r="P5878">
            <v>847</v>
          </cell>
        </row>
        <row r="5879">
          <cell r="B5879" t="str">
            <v>152-05</v>
          </cell>
          <cell r="C5879" t="str">
            <v>ROD GUIDE ASS'Y</v>
          </cell>
          <cell r="D5879">
            <v>562.5</v>
          </cell>
          <cell r="N5879" t="str">
            <v>152-05</v>
          </cell>
          <cell r="O5879" t="str">
            <v>ROD GUIDE ASS'Y</v>
          </cell>
          <cell r="P5879">
            <v>1125</v>
          </cell>
        </row>
        <row r="5880">
          <cell r="B5880" t="str">
            <v>1289-05</v>
          </cell>
          <cell r="C5880" t="str">
            <v>PISTON</v>
          </cell>
          <cell r="D5880">
            <v>385.5</v>
          </cell>
          <cell r="N5880" t="str">
            <v>1289-05</v>
          </cell>
          <cell r="O5880" t="str">
            <v>PISTON</v>
          </cell>
          <cell r="P5880">
            <v>771</v>
          </cell>
        </row>
        <row r="5881">
          <cell r="B5881" t="str">
            <v>1289-05</v>
          </cell>
          <cell r="C5881" t="str">
            <v>PISTON</v>
          </cell>
          <cell r="D5881">
            <v>385.5</v>
          </cell>
          <cell r="N5881" t="str">
            <v>1289-05</v>
          </cell>
          <cell r="O5881" t="str">
            <v>PISTON</v>
          </cell>
          <cell r="P5881">
            <v>771</v>
          </cell>
        </row>
        <row r="5882">
          <cell r="B5882" t="str">
            <v>986-00</v>
          </cell>
          <cell r="C5882" t="str">
            <v>SUB BEARING</v>
          </cell>
          <cell r="D5882">
            <v>563</v>
          </cell>
          <cell r="N5882" t="str">
            <v>986-00</v>
          </cell>
          <cell r="O5882" t="str">
            <v>SUB BEARING</v>
          </cell>
          <cell r="P5882">
            <v>1126</v>
          </cell>
        </row>
        <row r="5883">
          <cell r="B5883" t="str">
            <v>1565-08</v>
          </cell>
          <cell r="C5883" t="str">
            <v>PISTON</v>
          </cell>
          <cell r="D5883">
            <v>564</v>
          </cell>
          <cell r="N5883" t="str">
            <v>1565-08</v>
          </cell>
          <cell r="O5883" t="str">
            <v>PISTON</v>
          </cell>
          <cell r="P5883">
            <v>1128</v>
          </cell>
        </row>
        <row r="5884">
          <cell r="B5884" t="str">
            <v>1368-17</v>
          </cell>
          <cell r="C5884" t="str">
            <v>PISTON</v>
          </cell>
          <cell r="D5884">
            <v>443.5</v>
          </cell>
          <cell r="N5884" t="str">
            <v>1368-17</v>
          </cell>
          <cell r="O5884" t="str">
            <v>PISTON</v>
          </cell>
          <cell r="P5884">
            <v>887</v>
          </cell>
        </row>
        <row r="5885">
          <cell r="B5885" t="str">
            <v>2045-00</v>
          </cell>
          <cell r="C5885" t="str">
            <v>ROD GUIDE ASS'Y</v>
          </cell>
          <cell r="D5885">
            <v>570</v>
          </cell>
          <cell r="N5885" t="str">
            <v>2045-00</v>
          </cell>
          <cell r="O5885" t="str">
            <v>ROD GUIDE ASS'Y</v>
          </cell>
          <cell r="P5885">
            <v>1140</v>
          </cell>
        </row>
        <row r="5886">
          <cell r="B5886" t="str">
            <v>1107-02</v>
          </cell>
          <cell r="C5886" t="str">
            <v>UPPER RETAINER ASS'Y</v>
          </cell>
          <cell r="D5886">
            <v>570.5</v>
          </cell>
          <cell r="N5886" t="str">
            <v>1107-02</v>
          </cell>
          <cell r="O5886" t="str">
            <v>UPPER RETAINER ASS'Y</v>
          </cell>
          <cell r="P5886">
            <v>1141</v>
          </cell>
        </row>
        <row r="5887">
          <cell r="B5887" t="str">
            <v>1564-00</v>
          </cell>
          <cell r="C5887" t="str">
            <v>TONE WHEEL</v>
          </cell>
          <cell r="D5887">
            <v>571.5</v>
          </cell>
          <cell r="N5887" t="str">
            <v>1564-00</v>
          </cell>
          <cell r="O5887" t="str">
            <v>TONE WHEEL</v>
          </cell>
          <cell r="P5887">
            <v>1143</v>
          </cell>
        </row>
        <row r="5888">
          <cell r="B5888" t="str">
            <v>893-01</v>
          </cell>
          <cell r="C5888" t="str">
            <v>PISTON</v>
          </cell>
          <cell r="D5888">
            <v>382</v>
          </cell>
          <cell r="N5888" t="str">
            <v>893-01</v>
          </cell>
          <cell r="O5888" t="str">
            <v>PISTON</v>
          </cell>
          <cell r="P5888">
            <v>764</v>
          </cell>
        </row>
        <row r="5889">
          <cell r="B5889" t="str">
            <v>1564-00</v>
          </cell>
          <cell r="C5889" t="str">
            <v>TONE WHEEL</v>
          </cell>
          <cell r="D5889">
            <v>571.5</v>
          </cell>
          <cell r="N5889" t="str">
            <v>1564-00</v>
          </cell>
          <cell r="O5889" t="str">
            <v>TONE WHEEL</v>
          </cell>
          <cell r="P5889">
            <v>1143</v>
          </cell>
        </row>
        <row r="5890">
          <cell r="B5890" t="str">
            <v>1368-19</v>
          </cell>
          <cell r="C5890" t="str">
            <v>PISTON</v>
          </cell>
          <cell r="D5890">
            <v>544.5</v>
          </cell>
          <cell r="N5890" t="str">
            <v>1368-19</v>
          </cell>
          <cell r="O5890" t="str">
            <v>PISTON</v>
          </cell>
          <cell r="P5890">
            <v>1089</v>
          </cell>
        </row>
        <row r="5891">
          <cell r="B5891" t="str">
            <v>1368-20</v>
          </cell>
          <cell r="C5891" t="str">
            <v>PISTON</v>
          </cell>
          <cell r="D5891">
            <v>478</v>
          </cell>
          <cell r="N5891" t="str">
            <v>1368-20</v>
          </cell>
          <cell r="O5891" t="str">
            <v>PISTON</v>
          </cell>
          <cell r="P5891">
            <v>956</v>
          </cell>
        </row>
        <row r="5892">
          <cell r="B5892" t="str">
            <v>1368-25</v>
          </cell>
          <cell r="C5892" t="str">
            <v>PISTON</v>
          </cell>
          <cell r="D5892">
            <v>576</v>
          </cell>
          <cell r="N5892" t="str">
            <v>1368-25</v>
          </cell>
          <cell r="O5892" t="str">
            <v>PISTON</v>
          </cell>
          <cell r="P5892">
            <v>1152</v>
          </cell>
        </row>
        <row r="5893">
          <cell r="B5893" t="str">
            <v>1368-25</v>
          </cell>
          <cell r="C5893" t="str">
            <v>PISTON</v>
          </cell>
          <cell r="D5893">
            <v>576</v>
          </cell>
          <cell r="N5893" t="str">
            <v>1368-25</v>
          </cell>
          <cell r="O5893" t="str">
            <v>PISTON</v>
          </cell>
          <cell r="P5893">
            <v>1152</v>
          </cell>
        </row>
        <row r="5894">
          <cell r="B5894" t="str">
            <v>2044-00</v>
          </cell>
          <cell r="C5894" t="str">
            <v>ROD GUIDE ASS'Y</v>
          </cell>
          <cell r="D5894">
            <v>576.5</v>
          </cell>
          <cell r="N5894" t="str">
            <v>2044-00</v>
          </cell>
          <cell r="O5894" t="str">
            <v>ROD GUIDE ASS'Y</v>
          </cell>
          <cell r="P5894">
            <v>1153</v>
          </cell>
        </row>
        <row r="5895">
          <cell r="B5895" t="str">
            <v>1565-10</v>
          </cell>
          <cell r="C5895" t="str">
            <v>PISTON</v>
          </cell>
          <cell r="D5895">
            <v>578</v>
          </cell>
          <cell r="N5895" t="str">
            <v>1565-10</v>
          </cell>
          <cell r="O5895" t="str">
            <v>PISTON</v>
          </cell>
          <cell r="P5895">
            <v>1156</v>
          </cell>
        </row>
        <row r="5896">
          <cell r="B5896" t="str">
            <v>1565-11</v>
          </cell>
          <cell r="C5896" t="str">
            <v>PISTON</v>
          </cell>
          <cell r="D5896">
            <v>578</v>
          </cell>
          <cell r="N5896" t="str">
            <v>1565-11</v>
          </cell>
          <cell r="O5896" t="str">
            <v>PISTON</v>
          </cell>
          <cell r="P5896">
            <v>1156</v>
          </cell>
        </row>
        <row r="5897">
          <cell r="B5897" t="str">
            <v>1049-00</v>
          </cell>
          <cell r="C5897" t="str">
            <v>PRESSURE PLATE</v>
          </cell>
          <cell r="D5897">
            <v>696</v>
          </cell>
          <cell r="N5897" t="str">
            <v>1049-00</v>
          </cell>
          <cell r="O5897" t="str">
            <v>PRESSURE PLATE</v>
          </cell>
          <cell r="P5897">
            <v>1160</v>
          </cell>
        </row>
        <row r="5898">
          <cell r="B5898" t="str">
            <v>1121-00</v>
          </cell>
          <cell r="C5898" t="str">
            <v>PRESSURE PLATE</v>
          </cell>
          <cell r="D5898">
            <v>696</v>
          </cell>
          <cell r="N5898" t="str">
            <v>1121-00</v>
          </cell>
          <cell r="O5898" t="str">
            <v>PRESSURE PLATE</v>
          </cell>
          <cell r="P5898">
            <v>1160</v>
          </cell>
        </row>
        <row r="5899">
          <cell r="B5899" t="str">
            <v>975-02</v>
          </cell>
          <cell r="C5899" t="str">
            <v>ROTOR</v>
          </cell>
          <cell r="D5899">
            <v>696</v>
          </cell>
          <cell r="N5899" t="str">
            <v>975-02</v>
          </cell>
          <cell r="O5899" t="str">
            <v>ROTOR</v>
          </cell>
          <cell r="P5899">
            <v>1160</v>
          </cell>
        </row>
        <row r="5900">
          <cell r="B5900" t="str">
            <v>1288-15</v>
          </cell>
          <cell r="C5900" t="str">
            <v>PISTON</v>
          </cell>
          <cell r="D5900">
            <v>491.5</v>
          </cell>
          <cell r="N5900" t="str">
            <v>1288-15</v>
          </cell>
          <cell r="O5900" t="str">
            <v>PISTON</v>
          </cell>
          <cell r="P5900">
            <v>983</v>
          </cell>
        </row>
        <row r="5901">
          <cell r="B5901" t="str">
            <v>916-00</v>
          </cell>
          <cell r="C5901" t="str">
            <v>HUB</v>
          </cell>
          <cell r="D5901">
            <v>699</v>
          </cell>
          <cell r="N5901" t="str">
            <v>916-00</v>
          </cell>
          <cell r="O5901" t="str">
            <v>HUB</v>
          </cell>
          <cell r="P5901">
            <v>1165</v>
          </cell>
        </row>
        <row r="5902">
          <cell r="B5902" t="str">
            <v>916-00</v>
          </cell>
          <cell r="C5902" t="str">
            <v>HUB</v>
          </cell>
          <cell r="D5902">
            <v>699</v>
          </cell>
          <cell r="N5902" t="str">
            <v>916-00</v>
          </cell>
          <cell r="O5902" t="str">
            <v>HUB</v>
          </cell>
          <cell r="P5902">
            <v>1165</v>
          </cell>
        </row>
        <row r="5903">
          <cell r="B5903" t="str">
            <v>916-00</v>
          </cell>
          <cell r="C5903" t="str">
            <v>HUB</v>
          </cell>
          <cell r="D5903">
            <v>699</v>
          </cell>
          <cell r="N5903" t="str">
            <v>916-00</v>
          </cell>
          <cell r="O5903" t="str">
            <v>HUB</v>
          </cell>
          <cell r="P5903">
            <v>1165</v>
          </cell>
        </row>
        <row r="5904">
          <cell r="B5904" t="str">
            <v>1990-00</v>
          </cell>
          <cell r="C5904" t="str">
            <v>COM NUT SPANNER</v>
          </cell>
          <cell r="D5904">
            <v>531</v>
          </cell>
          <cell r="N5904" t="str">
            <v>1990-00</v>
          </cell>
          <cell r="O5904" t="str">
            <v>COM NUT SPANNER</v>
          </cell>
          <cell r="P5904">
            <v>1062</v>
          </cell>
        </row>
        <row r="5905">
          <cell r="B5905" t="str">
            <v>1990-00</v>
          </cell>
          <cell r="C5905" t="str">
            <v>COM NUT SPANNER</v>
          </cell>
          <cell r="D5905">
            <v>531</v>
          </cell>
          <cell r="N5905" t="str">
            <v>1990-00</v>
          </cell>
          <cell r="O5905" t="str">
            <v>COM NUT SPANNER</v>
          </cell>
          <cell r="P5905">
            <v>1062</v>
          </cell>
        </row>
        <row r="5906">
          <cell r="B5906" t="str">
            <v>1990-00</v>
          </cell>
          <cell r="C5906" t="str">
            <v>COM NUT SPANNER</v>
          </cell>
          <cell r="D5906">
            <v>531</v>
          </cell>
          <cell r="N5906" t="str">
            <v>1990-00</v>
          </cell>
          <cell r="O5906" t="str">
            <v>COM NUT SPANNER</v>
          </cell>
          <cell r="P5906">
            <v>1062</v>
          </cell>
        </row>
        <row r="5907">
          <cell r="B5907" t="str">
            <v>1112-00</v>
          </cell>
          <cell r="C5907" t="str">
            <v>TONE WHEEL</v>
          </cell>
          <cell r="D5907">
            <v>584.5</v>
          </cell>
          <cell r="N5907" t="str">
            <v>1112-00</v>
          </cell>
          <cell r="O5907" t="str">
            <v>TONE WHEEL</v>
          </cell>
          <cell r="P5907">
            <v>1169</v>
          </cell>
        </row>
        <row r="5908">
          <cell r="B5908" t="str">
            <v>323-00</v>
          </cell>
          <cell r="C5908" t="str">
            <v>GEAR(대)</v>
          </cell>
          <cell r="D5908">
            <v>421.5</v>
          </cell>
          <cell r="N5908" t="str">
            <v>323-00</v>
          </cell>
          <cell r="O5908" t="str">
            <v>GEAR(대)</v>
          </cell>
          <cell r="P5908">
            <v>843</v>
          </cell>
        </row>
        <row r="5909">
          <cell r="B5909" t="str">
            <v>2035-00</v>
          </cell>
          <cell r="C5909" t="str">
            <v>SPCR-TRANS FNL DRV PLNT GR</v>
          </cell>
          <cell r="D5909">
            <v>450</v>
          </cell>
          <cell r="N5909" t="str">
            <v>2035-00</v>
          </cell>
          <cell r="O5909" t="str">
            <v>SPCR-TRANS FNL DRV PLNT GR</v>
          </cell>
          <cell r="P5909">
            <v>750</v>
          </cell>
        </row>
        <row r="5910">
          <cell r="B5910" t="str">
            <v>2035-00</v>
          </cell>
          <cell r="C5910" t="str">
            <v>SPCR-TRANS FNL DRV PLNT GR</v>
          </cell>
          <cell r="D5910">
            <v>450</v>
          </cell>
          <cell r="N5910" t="str">
            <v>2035-00</v>
          </cell>
          <cell r="O5910" t="str">
            <v>SPCR-TRANS FNL DRV PLNT GR</v>
          </cell>
          <cell r="P5910">
            <v>750</v>
          </cell>
        </row>
        <row r="5911">
          <cell r="B5911" t="str">
            <v>1565-09</v>
          </cell>
          <cell r="C5911" t="str">
            <v>PISTON</v>
          </cell>
          <cell r="D5911">
            <v>587.5</v>
          </cell>
          <cell r="N5911" t="str">
            <v>1565-09</v>
          </cell>
          <cell r="O5911" t="str">
            <v>PISTON</v>
          </cell>
          <cell r="P5911">
            <v>1175</v>
          </cell>
        </row>
        <row r="5912">
          <cell r="B5912" t="str">
            <v>1990-00</v>
          </cell>
          <cell r="C5912" t="str">
            <v>COM NUT SPANNER</v>
          </cell>
          <cell r="D5912">
            <v>531</v>
          </cell>
          <cell r="N5912" t="str">
            <v>1990-00</v>
          </cell>
          <cell r="O5912" t="str">
            <v>COM NUT SPANNER</v>
          </cell>
          <cell r="P5912">
            <v>1062</v>
          </cell>
        </row>
        <row r="5913">
          <cell r="B5913" t="str">
            <v>894-01</v>
          </cell>
          <cell r="C5913" t="str">
            <v>PISTON</v>
          </cell>
          <cell r="D5913">
            <v>450</v>
          </cell>
          <cell r="N5913" t="str">
            <v>894-01</v>
          </cell>
          <cell r="O5913" t="str">
            <v>PISTON</v>
          </cell>
          <cell r="P5913">
            <v>900</v>
          </cell>
        </row>
        <row r="5914">
          <cell r="B5914" t="str">
            <v>1565-11</v>
          </cell>
          <cell r="C5914" t="str">
            <v>PISTON</v>
          </cell>
          <cell r="D5914">
            <v>578</v>
          </cell>
          <cell r="N5914" t="str">
            <v>1565-11</v>
          </cell>
          <cell r="O5914" t="str">
            <v>PISTON</v>
          </cell>
          <cell r="P5914">
            <v>1156</v>
          </cell>
        </row>
        <row r="5915">
          <cell r="B5915" t="str">
            <v>905-02</v>
          </cell>
          <cell r="C5915" t="str">
            <v>CLUTCH GEAR</v>
          </cell>
          <cell r="D5915">
            <v>592</v>
          </cell>
          <cell r="N5915" t="str">
            <v>905-02</v>
          </cell>
          <cell r="O5915" t="str">
            <v>CLUTCH GEAR</v>
          </cell>
          <cell r="P5915">
            <v>1184</v>
          </cell>
        </row>
        <row r="5916">
          <cell r="B5916" t="str">
            <v>1368-24</v>
          </cell>
          <cell r="C5916" t="str">
            <v>PISTON</v>
          </cell>
          <cell r="D5916">
            <v>543</v>
          </cell>
          <cell r="N5916" t="str">
            <v>1368-24</v>
          </cell>
          <cell r="O5916" t="str">
            <v>PISTON</v>
          </cell>
          <cell r="P5916">
            <v>1086</v>
          </cell>
        </row>
        <row r="5917">
          <cell r="B5917" t="str">
            <v>533-00</v>
          </cell>
          <cell r="C5917" t="str">
            <v>FLY WEIGHT</v>
          </cell>
          <cell r="D5917">
            <v>715.8</v>
          </cell>
          <cell r="N5917" t="str">
            <v>533-00</v>
          </cell>
          <cell r="O5917" t="str">
            <v>FLY WEIGHT</v>
          </cell>
          <cell r="P5917">
            <v>1193</v>
          </cell>
        </row>
        <row r="5918">
          <cell r="B5918" t="str">
            <v>533-00</v>
          </cell>
          <cell r="C5918" t="str">
            <v>FLY WEIGHT</v>
          </cell>
          <cell r="D5918">
            <v>715.8</v>
          </cell>
          <cell r="N5918" t="str">
            <v>533-00</v>
          </cell>
          <cell r="O5918" t="str">
            <v>FLY WEIGHT</v>
          </cell>
          <cell r="P5918">
            <v>1193</v>
          </cell>
        </row>
        <row r="5919">
          <cell r="B5919" t="str">
            <v>152-06</v>
          </cell>
          <cell r="C5919" t="str">
            <v>ROD GUIDE ASS'Y</v>
          </cell>
          <cell r="D5919">
            <v>597</v>
          </cell>
          <cell r="N5919" t="str">
            <v>152-06</v>
          </cell>
          <cell r="O5919" t="str">
            <v>ROD GUIDE ASS'Y</v>
          </cell>
          <cell r="P5919">
            <v>1194</v>
          </cell>
        </row>
        <row r="5920">
          <cell r="B5920" t="str">
            <v>905-00</v>
          </cell>
          <cell r="C5920" t="str">
            <v>CLUTCH GEAR</v>
          </cell>
          <cell r="D5920">
            <v>597</v>
          </cell>
          <cell r="N5920" t="str">
            <v>905-00</v>
          </cell>
          <cell r="O5920" t="str">
            <v>CLUTCH GEAR</v>
          </cell>
          <cell r="P5920">
            <v>1194</v>
          </cell>
        </row>
        <row r="5921">
          <cell r="B5921" t="str">
            <v>905-01</v>
          </cell>
          <cell r="C5921" t="str">
            <v>CLUTCH GEAR</v>
          </cell>
          <cell r="D5921">
            <v>597</v>
          </cell>
          <cell r="N5921" t="str">
            <v>905-01</v>
          </cell>
          <cell r="O5921" t="str">
            <v>CLUTCH GEAR</v>
          </cell>
          <cell r="P5921">
            <v>1194</v>
          </cell>
        </row>
        <row r="5922">
          <cell r="B5922" t="str">
            <v>1107-03</v>
          </cell>
          <cell r="C5922" t="str">
            <v>UPPER RETAINER ASS'Y</v>
          </cell>
          <cell r="D5922">
            <v>598</v>
          </cell>
          <cell r="N5922" t="str">
            <v>1107-03</v>
          </cell>
          <cell r="O5922" t="str">
            <v>UPPER RETAINER ASS'Y</v>
          </cell>
          <cell r="P5922">
            <v>1196</v>
          </cell>
        </row>
        <row r="5923">
          <cell r="B5923" t="str">
            <v>1182-14</v>
          </cell>
          <cell r="C5923" t="str">
            <v>VALVE PISTON</v>
          </cell>
          <cell r="D5923">
            <v>267.5</v>
          </cell>
          <cell r="N5923" t="str">
            <v>1182-14</v>
          </cell>
          <cell r="O5923" t="str">
            <v>VALVE PISTON</v>
          </cell>
          <cell r="P5923">
            <v>535</v>
          </cell>
        </row>
        <row r="5924">
          <cell r="B5924" t="str">
            <v>1182-14</v>
          </cell>
          <cell r="C5924" t="str">
            <v>VALVE PISTON</v>
          </cell>
          <cell r="D5924">
            <v>267.5</v>
          </cell>
          <cell r="N5924" t="str">
            <v>1182-14</v>
          </cell>
          <cell r="O5924" t="str">
            <v>VALVE PISTON</v>
          </cell>
          <cell r="P5924">
            <v>535</v>
          </cell>
        </row>
        <row r="5925">
          <cell r="B5925" t="str">
            <v>1398-00</v>
          </cell>
          <cell r="C5925" t="str">
            <v>CAM PLATE</v>
          </cell>
          <cell r="D5925">
            <v>723.6</v>
          </cell>
          <cell r="N5925" t="str">
            <v>1398-00</v>
          </cell>
          <cell r="O5925" t="str">
            <v>CAM PLATE</v>
          </cell>
          <cell r="P5925">
            <v>1206</v>
          </cell>
        </row>
        <row r="5926">
          <cell r="B5926" t="str">
            <v>894-02</v>
          </cell>
          <cell r="C5926" t="str">
            <v>PISTON</v>
          </cell>
          <cell r="D5926">
            <v>426</v>
          </cell>
          <cell r="N5926" t="str">
            <v>894-02</v>
          </cell>
          <cell r="O5926" t="str">
            <v>PISTON</v>
          </cell>
          <cell r="P5926">
            <v>852</v>
          </cell>
        </row>
        <row r="5927">
          <cell r="B5927" t="str">
            <v>090-03</v>
          </cell>
          <cell r="C5927" t="str">
            <v>PISTON</v>
          </cell>
          <cell r="D5927">
            <v>414.5</v>
          </cell>
          <cell r="N5927" t="str">
            <v>090-03</v>
          </cell>
          <cell r="O5927" t="str">
            <v>PISTON</v>
          </cell>
          <cell r="P5927">
            <v>829</v>
          </cell>
        </row>
        <row r="5928">
          <cell r="B5928" t="str">
            <v>152-08</v>
          </cell>
          <cell r="C5928" t="str">
            <v>ROD GUIDE ASS'Y</v>
          </cell>
          <cell r="D5928">
            <v>462.5</v>
          </cell>
          <cell r="N5928" t="str">
            <v>152-08</v>
          </cell>
          <cell r="O5928" t="str">
            <v>ROD GUIDE ASS'Y</v>
          </cell>
          <cell r="P5928">
            <v>925</v>
          </cell>
        </row>
        <row r="5929">
          <cell r="B5929" t="str">
            <v>152-08</v>
          </cell>
          <cell r="C5929" t="str">
            <v>ROD GUIDE ASS'Y</v>
          </cell>
          <cell r="D5929">
            <v>462.5</v>
          </cell>
          <cell r="N5929" t="str">
            <v>152-08</v>
          </cell>
          <cell r="O5929" t="str">
            <v>ROD GUIDE ASS'Y</v>
          </cell>
          <cell r="P5929">
            <v>925</v>
          </cell>
        </row>
        <row r="5930">
          <cell r="B5930" t="str">
            <v>152-08</v>
          </cell>
          <cell r="C5930" t="str">
            <v>ROD GUIDE ASS'Y</v>
          </cell>
          <cell r="D5930">
            <v>462.5</v>
          </cell>
          <cell r="N5930" t="str">
            <v>152-08</v>
          </cell>
          <cell r="O5930" t="str">
            <v>ROD GUIDE ASS'Y</v>
          </cell>
          <cell r="P5930">
            <v>925</v>
          </cell>
        </row>
        <row r="5931">
          <cell r="B5931" t="str">
            <v>1990-00</v>
          </cell>
          <cell r="C5931" t="str">
            <v>COM NUT SPANNER</v>
          </cell>
          <cell r="D5931">
            <v>531</v>
          </cell>
          <cell r="N5931" t="str">
            <v>1990-00</v>
          </cell>
          <cell r="O5931" t="str">
            <v>COM NUT SPANNER</v>
          </cell>
          <cell r="P5931">
            <v>1062</v>
          </cell>
        </row>
        <row r="5932">
          <cell r="B5932" t="str">
            <v>152-07</v>
          </cell>
          <cell r="C5932" t="str">
            <v>ROD GUIDE ASS'Y</v>
          </cell>
          <cell r="D5932">
            <v>609.5</v>
          </cell>
          <cell r="N5932" t="str">
            <v>152-07</v>
          </cell>
          <cell r="O5932" t="str">
            <v>ROD GUIDE ASS'Y</v>
          </cell>
          <cell r="P5932">
            <v>1219</v>
          </cell>
        </row>
        <row r="5933">
          <cell r="B5933" t="str">
            <v>942-00</v>
          </cell>
          <cell r="C5933" t="str">
            <v>BEARG SPACER</v>
          </cell>
          <cell r="D5933">
            <v>731.4</v>
          </cell>
          <cell r="N5933" t="str">
            <v>942-00</v>
          </cell>
          <cell r="O5933" t="str">
            <v>BEARG SPACER</v>
          </cell>
          <cell r="P5933">
            <v>1219</v>
          </cell>
        </row>
        <row r="5934">
          <cell r="B5934" t="str">
            <v>1692-00</v>
          </cell>
          <cell r="C5934" t="str">
            <v>MOTOR BOSS</v>
          </cell>
          <cell r="D5934">
            <v>735</v>
          </cell>
          <cell r="N5934" t="str">
            <v>1692-00</v>
          </cell>
          <cell r="O5934" t="str">
            <v>MOTOR BOSS</v>
          </cell>
          <cell r="P5934">
            <v>1225</v>
          </cell>
        </row>
        <row r="5935">
          <cell r="B5935" t="str">
            <v>1692-00</v>
          </cell>
          <cell r="C5935" t="str">
            <v>MOTOR BOSS</v>
          </cell>
          <cell r="D5935">
            <v>735</v>
          </cell>
          <cell r="N5935" t="str">
            <v>1692-00</v>
          </cell>
          <cell r="O5935" t="str">
            <v>MOTOR BOSS</v>
          </cell>
          <cell r="P5935">
            <v>1225</v>
          </cell>
        </row>
        <row r="5936">
          <cell r="B5936" t="str">
            <v>1107-01</v>
          </cell>
          <cell r="C5936" t="str">
            <v>UPPER RETAINER ASS'Y</v>
          </cell>
          <cell r="D5936">
            <v>616</v>
          </cell>
          <cell r="N5936" t="str">
            <v>1107-01</v>
          </cell>
          <cell r="O5936" t="str">
            <v>UPPER RETAINER ASS'Y</v>
          </cell>
          <cell r="P5936">
            <v>1232</v>
          </cell>
        </row>
        <row r="5937">
          <cell r="B5937" t="str">
            <v>894-02</v>
          </cell>
          <cell r="C5937" t="str">
            <v>PISTON</v>
          </cell>
          <cell r="D5937">
            <v>426</v>
          </cell>
          <cell r="N5937" t="str">
            <v>894-02</v>
          </cell>
          <cell r="O5937" t="str">
            <v>PISTON</v>
          </cell>
          <cell r="P5937">
            <v>852</v>
          </cell>
        </row>
        <row r="5938">
          <cell r="B5938" t="str">
            <v>1238-00</v>
          </cell>
          <cell r="C5938" t="str">
            <v>TONE WHEEL</v>
          </cell>
          <cell r="D5938">
            <v>620</v>
          </cell>
          <cell r="N5938" t="str">
            <v>1238-00</v>
          </cell>
          <cell r="O5938" t="str">
            <v>TONE WHEEL</v>
          </cell>
          <cell r="P5938">
            <v>1240</v>
          </cell>
        </row>
        <row r="5939">
          <cell r="B5939" t="str">
            <v>1238-00</v>
          </cell>
          <cell r="C5939" t="str">
            <v>TONE WHEEL</v>
          </cell>
          <cell r="D5939">
            <v>620</v>
          </cell>
          <cell r="N5939" t="str">
            <v>1238-00</v>
          </cell>
          <cell r="O5939" t="str">
            <v>TONE WHEEL</v>
          </cell>
          <cell r="P5939">
            <v>1240</v>
          </cell>
        </row>
        <row r="5940">
          <cell r="B5940" t="str">
            <v>1238-00</v>
          </cell>
          <cell r="C5940" t="str">
            <v>TONE WHEEL</v>
          </cell>
          <cell r="D5940">
            <v>620</v>
          </cell>
          <cell r="N5940" t="str">
            <v>1238-00</v>
          </cell>
          <cell r="O5940" t="str">
            <v>TONE WHEEL</v>
          </cell>
          <cell r="P5940">
            <v>1240</v>
          </cell>
        </row>
        <row r="5941">
          <cell r="B5941" t="str">
            <v>1675-00</v>
          </cell>
          <cell r="C5941" t="str">
            <v>CAM BASE</v>
          </cell>
          <cell r="D5941">
            <v>620</v>
          </cell>
          <cell r="N5941" t="str">
            <v>1675-00</v>
          </cell>
          <cell r="O5941" t="str">
            <v>CAM BASE</v>
          </cell>
          <cell r="P5941">
            <v>1240</v>
          </cell>
        </row>
        <row r="5942">
          <cell r="B5942" t="str">
            <v>1452-01</v>
          </cell>
          <cell r="C5942" t="str">
            <v>UPPER RETAINER</v>
          </cell>
          <cell r="D5942">
            <v>627.5</v>
          </cell>
          <cell r="N5942" t="str">
            <v>1452-01</v>
          </cell>
          <cell r="O5942" t="str">
            <v>UPPER RETAINER</v>
          </cell>
          <cell r="P5942">
            <v>1255</v>
          </cell>
        </row>
        <row r="5943">
          <cell r="B5943" t="str">
            <v>894-01</v>
          </cell>
          <cell r="C5943" t="str">
            <v>PISTON</v>
          </cell>
          <cell r="D5943">
            <v>450</v>
          </cell>
          <cell r="N5943" t="str">
            <v>894-01</v>
          </cell>
          <cell r="O5943" t="str">
            <v>PISTON</v>
          </cell>
          <cell r="P5943">
            <v>900</v>
          </cell>
        </row>
        <row r="5944">
          <cell r="B5944" t="str">
            <v>1321-00</v>
          </cell>
          <cell r="C5944" t="str">
            <v>HUB-CLUTCH 3,4</v>
          </cell>
          <cell r="D5944">
            <v>632.5</v>
          </cell>
          <cell r="N5944" t="str">
            <v>1321-00</v>
          </cell>
          <cell r="O5944" t="str">
            <v>HUB-CLUTCH 3,4</v>
          </cell>
          <cell r="P5944">
            <v>1265</v>
          </cell>
        </row>
        <row r="5945">
          <cell r="B5945" t="str">
            <v>1248-01</v>
          </cell>
          <cell r="C5945" t="str">
            <v>LIMITER ASS'Y</v>
          </cell>
          <cell r="D5945">
            <v>763.8</v>
          </cell>
          <cell r="N5945" t="str">
            <v>1248-01</v>
          </cell>
          <cell r="O5945" t="str">
            <v>LIMITER ASS'Y</v>
          </cell>
          <cell r="P5945">
            <v>1273</v>
          </cell>
        </row>
        <row r="5946">
          <cell r="B5946" t="str">
            <v>1248-01</v>
          </cell>
          <cell r="C5946" t="str">
            <v>LIMITER ASS'Y</v>
          </cell>
          <cell r="D5946">
            <v>763.8</v>
          </cell>
          <cell r="N5946" t="str">
            <v>1248-01</v>
          </cell>
          <cell r="O5946" t="str">
            <v>LIMITER ASS'Y</v>
          </cell>
          <cell r="P5946">
            <v>1273</v>
          </cell>
        </row>
        <row r="5947">
          <cell r="B5947" t="str">
            <v>1248-01</v>
          </cell>
          <cell r="C5947" t="str">
            <v>LIMITER ASS'Y</v>
          </cell>
          <cell r="D5947">
            <v>763.8</v>
          </cell>
          <cell r="N5947" t="str">
            <v>1248-01</v>
          </cell>
          <cell r="O5947" t="str">
            <v>LIMITER ASS'Y</v>
          </cell>
          <cell r="P5947">
            <v>1273</v>
          </cell>
        </row>
        <row r="5948">
          <cell r="B5948" t="str">
            <v>090-03</v>
          </cell>
          <cell r="C5948" t="str">
            <v>PISTON</v>
          </cell>
          <cell r="D5948">
            <v>414.5</v>
          </cell>
          <cell r="N5948" t="str">
            <v>090-03</v>
          </cell>
          <cell r="O5948" t="str">
            <v>PISTON</v>
          </cell>
          <cell r="P5948">
            <v>829</v>
          </cell>
        </row>
        <row r="5949">
          <cell r="B5949" t="str">
            <v>1248-01</v>
          </cell>
          <cell r="C5949" t="str">
            <v>LIMITER ASS'Y</v>
          </cell>
          <cell r="D5949">
            <v>763.8</v>
          </cell>
          <cell r="N5949" t="str">
            <v>1248-01</v>
          </cell>
          <cell r="O5949" t="str">
            <v>LIMITER ASS'Y</v>
          </cell>
          <cell r="P5949">
            <v>1273</v>
          </cell>
        </row>
        <row r="5950">
          <cell r="B5950" t="str">
            <v>1248-01</v>
          </cell>
          <cell r="C5950" t="str">
            <v>LIMITER ASS'Y</v>
          </cell>
          <cell r="D5950">
            <v>763.8</v>
          </cell>
          <cell r="N5950" t="str">
            <v>1248-01</v>
          </cell>
          <cell r="O5950" t="str">
            <v>LIMITER ASS'Y</v>
          </cell>
          <cell r="P5950">
            <v>1273</v>
          </cell>
        </row>
        <row r="5951">
          <cell r="B5951" t="str">
            <v>1248-01</v>
          </cell>
          <cell r="C5951" t="str">
            <v>LIMITER ASS'Y</v>
          </cell>
          <cell r="D5951">
            <v>763.8</v>
          </cell>
          <cell r="N5951" t="str">
            <v>1248-01</v>
          </cell>
          <cell r="O5951" t="str">
            <v>LIMITER ASS'Y</v>
          </cell>
          <cell r="P5951">
            <v>1273</v>
          </cell>
        </row>
        <row r="5952">
          <cell r="B5952" t="str">
            <v>1321-00</v>
          </cell>
          <cell r="C5952" t="str">
            <v>HUB-CLUTCH 3,4</v>
          </cell>
          <cell r="D5952">
            <v>632.5</v>
          </cell>
          <cell r="N5952" t="str">
            <v>1321-00</v>
          </cell>
          <cell r="O5952" t="str">
            <v>HUB-CLUTCH 3,4</v>
          </cell>
          <cell r="P5952">
            <v>1265</v>
          </cell>
        </row>
        <row r="5953">
          <cell r="B5953" t="str">
            <v>894-01</v>
          </cell>
          <cell r="C5953" t="str">
            <v>PISTON</v>
          </cell>
          <cell r="D5953">
            <v>450</v>
          </cell>
          <cell r="N5953" t="str">
            <v>894-01</v>
          </cell>
          <cell r="O5953" t="str">
            <v>PISTON</v>
          </cell>
          <cell r="P5953">
            <v>900</v>
          </cell>
        </row>
        <row r="5954">
          <cell r="B5954" t="str">
            <v>5008-00</v>
          </cell>
          <cell r="C5954" t="str">
            <v>PLATE 3-5-REV CLU BKG</v>
          </cell>
          <cell r="D5954">
            <v>776.4</v>
          </cell>
          <cell r="N5954" t="str">
            <v>5008-00</v>
          </cell>
          <cell r="O5954" t="str">
            <v>PLATE 3-5-REV CLU BKG</v>
          </cell>
          <cell r="P5954">
            <v>1294</v>
          </cell>
        </row>
        <row r="5955">
          <cell r="B5955" t="str">
            <v>1320-04</v>
          </cell>
          <cell r="C5955" t="str">
            <v>HUB-CLUTCH 1,2</v>
          </cell>
          <cell r="D5955">
            <v>650</v>
          </cell>
          <cell r="N5955" t="str">
            <v>1320-04</v>
          </cell>
          <cell r="O5955" t="str">
            <v>HUB-CLUTCH 1,2</v>
          </cell>
          <cell r="P5955">
            <v>1300</v>
          </cell>
        </row>
        <row r="5956">
          <cell r="B5956" t="str">
            <v>1320-04</v>
          </cell>
          <cell r="C5956" t="str">
            <v>HUB-CLUTCH 1,2</v>
          </cell>
          <cell r="D5956">
            <v>650</v>
          </cell>
          <cell r="N5956" t="str">
            <v>1320-04</v>
          </cell>
          <cell r="O5956" t="str">
            <v>HUB-CLUTCH 1,2</v>
          </cell>
          <cell r="P5956">
            <v>1300</v>
          </cell>
        </row>
        <row r="5957">
          <cell r="B5957" t="str">
            <v>894-02</v>
          </cell>
          <cell r="C5957" t="str">
            <v>PISTON</v>
          </cell>
          <cell r="D5957">
            <v>426</v>
          </cell>
          <cell r="N5957" t="str">
            <v>894-02</v>
          </cell>
          <cell r="O5957" t="str">
            <v>PISTON</v>
          </cell>
          <cell r="P5957">
            <v>852</v>
          </cell>
        </row>
        <row r="5958">
          <cell r="B5958" t="str">
            <v>1641-00</v>
          </cell>
          <cell r="C5958" t="str">
            <v>ROD GUIDE ASS'Y</v>
          </cell>
          <cell r="D5958">
            <v>654.5</v>
          </cell>
          <cell r="N5958" t="str">
            <v>1641-00</v>
          </cell>
          <cell r="O5958" t="str">
            <v>ROD GUIDE ASS'Y</v>
          </cell>
          <cell r="P5958">
            <v>1309</v>
          </cell>
        </row>
        <row r="5959">
          <cell r="B5959" t="str">
            <v>2032-00</v>
          </cell>
          <cell r="C5959" t="str">
            <v>PLT TRANS BRG SUPT</v>
          </cell>
          <cell r="D5959">
            <v>546.6</v>
          </cell>
          <cell r="N5959" t="str">
            <v>2032-00</v>
          </cell>
          <cell r="O5959" t="str">
            <v>PLT TRANS BRG SUPT</v>
          </cell>
          <cell r="P5959">
            <v>911</v>
          </cell>
        </row>
        <row r="5960">
          <cell r="B5960" t="str">
            <v>2032-00</v>
          </cell>
          <cell r="C5960" t="str">
            <v>PLT TRANS BRG SUPT</v>
          </cell>
          <cell r="D5960">
            <v>546.6</v>
          </cell>
          <cell r="N5960" t="str">
            <v>2032-00</v>
          </cell>
          <cell r="O5960" t="str">
            <v>PLT TRANS BRG SUPT</v>
          </cell>
          <cell r="P5960">
            <v>911</v>
          </cell>
        </row>
        <row r="5961">
          <cell r="B5961" t="str">
            <v>1641-01</v>
          </cell>
          <cell r="C5961" t="str">
            <v>ROD GUIDE ASS'Y</v>
          </cell>
          <cell r="D5961">
            <v>504</v>
          </cell>
          <cell r="N5961" t="str">
            <v>1641-01</v>
          </cell>
          <cell r="O5961" t="str">
            <v>ROD GUIDE ASS'Y</v>
          </cell>
          <cell r="P5961">
            <v>1008</v>
          </cell>
        </row>
        <row r="5962">
          <cell r="B5962" t="str">
            <v>1641-01</v>
          </cell>
          <cell r="C5962" t="str">
            <v>ROD GUIDE ASS'Y</v>
          </cell>
          <cell r="D5962">
            <v>504</v>
          </cell>
          <cell r="N5962" t="str">
            <v>1641-01</v>
          </cell>
          <cell r="O5962" t="str">
            <v>ROD GUIDE ASS'Y</v>
          </cell>
          <cell r="P5962">
            <v>1008</v>
          </cell>
        </row>
        <row r="5963">
          <cell r="B5963" t="str">
            <v>1248-01</v>
          </cell>
          <cell r="C5963" t="str">
            <v>LIMITER ASS'Y</v>
          </cell>
          <cell r="D5963">
            <v>763.8</v>
          </cell>
          <cell r="N5963" t="str">
            <v>1248-01</v>
          </cell>
          <cell r="O5963" t="str">
            <v>LIMITER ASS'Y</v>
          </cell>
          <cell r="P5963">
            <v>1273</v>
          </cell>
        </row>
        <row r="5964">
          <cell r="B5964" t="str">
            <v>324-01</v>
          </cell>
          <cell r="C5964" t="str">
            <v>FLY WEIGHT</v>
          </cell>
          <cell r="D5964">
            <v>789.6</v>
          </cell>
          <cell r="N5964" t="str">
            <v>324-01</v>
          </cell>
          <cell r="O5964" t="str">
            <v>FLY WEIGHT</v>
          </cell>
          <cell r="P5964">
            <v>1316</v>
          </cell>
        </row>
        <row r="5965">
          <cell r="B5965" t="str">
            <v>324-01</v>
          </cell>
          <cell r="C5965" t="str">
            <v>FLY WEIGHT</v>
          </cell>
          <cell r="D5965">
            <v>789.6</v>
          </cell>
          <cell r="N5965" t="str">
            <v>324-01</v>
          </cell>
          <cell r="O5965" t="str">
            <v>FLY WEIGHT</v>
          </cell>
          <cell r="P5965">
            <v>1316</v>
          </cell>
        </row>
        <row r="5966">
          <cell r="B5966" t="str">
            <v>894-01</v>
          </cell>
          <cell r="C5966" t="str">
            <v>PISTON</v>
          </cell>
          <cell r="D5966">
            <v>450</v>
          </cell>
          <cell r="N5966" t="str">
            <v>894-01</v>
          </cell>
          <cell r="O5966" t="str">
            <v>PISTON</v>
          </cell>
          <cell r="P5966">
            <v>900</v>
          </cell>
        </row>
        <row r="5967">
          <cell r="B5967" t="str">
            <v>1248-01</v>
          </cell>
          <cell r="C5967" t="str">
            <v>LIMITER ASS'Y</v>
          </cell>
          <cell r="D5967">
            <v>763.8</v>
          </cell>
          <cell r="N5967" t="str">
            <v>1248-01</v>
          </cell>
          <cell r="O5967" t="str">
            <v>LIMITER ASS'Y</v>
          </cell>
          <cell r="P5967">
            <v>1273</v>
          </cell>
        </row>
        <row r="5968">
          <cell r="B5968" t="str">
            <v>1248-01</v>
          </cell>
          <cell r="C5968" t="str">
            <v>LIMITER ASS'Y</v>
          </cell>
          <cell r="D5968">
            <v>763.8</v>
          </cell>
          <cell r="N5968" t="str">
            <v>1248-01</v>
          </cell>
          <cell r="O5968" t="str">
            <v>LIMITER ASS'Y</v>
          </cell>
          <cell r="P5968">
            <v>1273</v>
          </cell>
        </row>
        <row r="5969">
          <cell r="B5969" t="str">
            <v>1606-00</v>
          </cell>
          <cell r="C5969" t="str">
            <v>LIMITER ASS'Y</v>
          </cell>
          <cell r="D5969">
            <v>799.8</v>
          </cell>
          <cell r="N5969" t="str">
            <v>1606-00</v>
          </cell>
          <cell r="O5969" t="str">
            <v>LIMITER ASS'Y</v>
          </cell>
          <cell r="P5969">
            <v>1333</v>
          </cell>
        </row>
        <row r="5970">
          <cell r="B5970" t="str">
            <v>1606-00</v>
          </cell>
          <cell r="C5970" t="str">
            <v>LIMITER ASS'Y</v>
          </cell>
          <cell r="D5970">
            <v>799.8</v>
          </cell>
          <cell r="N5970" t="str">
            <v>1606-00</v>
          </cell>
          <cell r="O5970" t="str">
            <v>LIMITER ASS'Y</v>
          </cell>
          <cell r="P5970">
            <v>1333</v>
          </cell>
        </row>
        <row r="5971">
          <cell r="B5971" t="str">
            <v>1000-00</v>
          </cell>
          <cell r="C5971" t="str">
            <v>ROTOR</v>
          </cell>
          <cell r="D5971">
            <v>801.6</v>
          </cell>
          <cell r="N5971" t="str">
            <v>1000-00</v>
          </cell>
          <cell r="O5971" t="str">
            <v>ROTOR</v>
          </cell>
          <cell r="P5971">
            <v>1336</v>
          </cell>
        </row>
        <row r="5972">
          <cell r="B5972" t="str">
            <v>1606-00</v>
          </cell>
          <cell r="C5972" t="str">
            <v>LIMITER ASS'Y</v>
          </cell>
          <cell r="D5972">
            <v>799.8</v>
          </cell>
          <cell r="N5972" t="str">
            <v>1606-00</v>
          </cell>
          <cell r="O5972" t="str">
            <v>LIMITER ASS'Y</v>
          </cell>
          <cell r="P5972">
            <v>1333</v>
          </cell>
        </row>
        <row r="5973">
          <cell r="B5973" t="str">
            <v>1606-00</v>
          </cell>
          <cell r="C5973" t="str">
            <v>LIMITER ASS'Y</v>
          </cell>
          <cell r="D5973">
            <v>799.8</v>
          </cell>
          <cell r="N5973" t="str">
            <v>1606-00</v>
          </cell>
          <cell r="O5973" t="str">
            <v>LIMITER ASS'Y</v>
          </cell>
          <cell r="P5973">
            <v>1333</v>
          </cell>
        </row>
        <row r="5974">
          <cell r="B5974" t="str">
            <v>1606-00</v>
          </cell>
          <cell r="C5974" t="str">
            <v>LIMITER ASS'Y</v>
          </cell>
          <cell r="D5974">
            <v>799.8</v>
          </cell>
          <cell r="N5974" t="str">
            <v>1606-00</v>
          </cell>
          <cell r="O5974" t="str">
            <v>LIMITER ASS'Y</v>
          </cell>
          <cell r="P5974">
            <v>1333</v>
          </cell>
        </row>
        <row r="5975">
          <cell r="B5975" t="str">
            <v>1606-00</v>
          </cell>
          <cell r="C5975" t="str">
            <v>LIMITER ASS'Y</v>
          </cell>
          <cell r="D5975">
            <v>799.8</v>
          </cell>
          <cell r="N5975" t="str">
            <v>1606-00</v>
          </cell>
          <cell r="O5975" t="str">
            <v>LIMITER ASS'Y</v>
          </cell>
          <cell r="P5975">
            <v>1333</v>
          </cell>
        </row>
        <row r="5976">
          <cell r="B5976" t="str">
            <v>911-00</v>
          </cell>
          <cell r="C5976" t="str">
            <v>GEAR SINTERING</v>
          </cell>
          <cell r="D5976">
            <v>610.79999999999995</v>
          </cell>
          <cell r="N5976" t="str">
            <v>911-00</v>
          </cell>
          <cell r="O5976" t="str">
            <v>GEAR SINTERING</v>
          </cell>
          <cell r="P5976">
            <v>1018</v>
          </cell>
        </row>
        <row r="5977">
          <cell r="B5977" t="str">
            <v>2033-00</v>
          </cell>
          <cell r="C5977" t="str">
            <v>SPCR-TRANS LOW&amp;REV GR</v>
          </cell>
          <cell r="D5977">
            <v>815.4</v>
          </cell>
          <cell r="N5977" t="str">
            <v>2033-00</v>
          </cell>
          <cell r="O5977" t="str">
            <v>SPCR-TRANS LOW&amp;REV GR</v>
          </cell>
          <cell r="P5977">
            <v>1359</v>
          </cell>
        </row>
        <row r="5978">
          <cell r="B5978" t="str">
            <v>2033-00</v>
          </cell>
          <cell r="C5978" t="str">
            <v>SPCR-TRANS LOW&amp;REV GR</v>
          </cell>
          <cell r="D5978">
            <v>815.4</v>
          </cell>
          <cell r="N5978" t="str">
            <v>2033-00</v>
          </cell>
          <cell r="O5978" t="str">
            <v>SPCR-TRANS LOW&amp;REV GR</v>
          </cell>
          <cell r="P5978">
            <v>1359</v>
          </cell>
        </row>
        <row r="5979">
          <cell r="B5979" t="str">
            <v>2033-00</v>
          </cell>
          <cell r="C5979" t="str">
            <v>SPCR-TRANS LOW&amp;REV GR</v>
          </cell>
          <cell r="D5979">
            <v>815.4</v>
          </cell>
          <cell r="N5979" t="str">
            <v>2033-00</v>
          </cell>
          <cell r="O5979" t="str">
            <v>SPCR-TRANS LOW&amp;REV GR</v>
          </cell>
          <cell r="P5979">
            <v>1359</v>
          </cell>
        </row>
        <row r="5980">
          <cell r="B5980" t="str">
            <v>917-00</v>
          </cell>
          <cell r="C5980" t="str">
            <v>HUB</v>
          </cell>
          <cell r="D5980">
            <v>841.19999999999993</v>
          </cell>
          <cell r="N5980" t="str">
            <v>917-00</v>
          </cell>
          <cell r="O5980" t="str">
            <v>HUB</v>
          </cell>
          <cell r="P5980">
            <v>1402</v>
          </cell>
        </row>
        <row r="5981">
          <cell r="B5981" t="str">
            <v>917-00</v>
          </cell>
          <cell r="C5981" t="str">
            <v>HUB</v>
          </cell>
          <cell r="D5981">
            <v>841.19999999999993</v>
          </cell>
          <cell r="N5981" t="str">
            <v>917-00</v>
          </cell>
          <cell r="O5981" t="str">
            <v>HUB</v>
          </cell>
          <cell r="P5981">
            <v>1402</v>
          </cell>
        </row>
        <row r="5982">
          <cell r="B5982" t="str">
            <v>917-00</v>
          </cell>
          <cell r="C5982" t="str">
            <v>HUB</v>
          </cell>
          <cell r="D5982">
            <v>841.19999999999993</v>
          </cell>
          <cell r="N5982" t="str">
            <v>917-00</v>
          </cell>
          <cell r="O5982" t="str">
            <v>HUB</v>
          </cell>
          <cell r="P5982">
            <v>1402</v>
          </cell>
        </row>
        <row r="5983">
          <cell r="B5983" t="str">
            <v>1401-00</v>
          </cell>
          <cell r="C5983" t="str">
            <v>LIMITER ASS'Y</v>
          </cell>
          <cell r="D5983">
            <v>846</v>
          </cell>
          <cell r="N5983" t="str">
            <v>1401-00</v>
          </cell>
          <cell r="O5983" t="str">
            <v>LIMITER ASS'Y</v>
          </cell>
          <cell r="P5983">
            <v>1410</v>
          </cell>
        </row>
        <row r="5984">
          <cell r="B5984" t="str">
            <v>1401-00</v>
          </cell>
          <cell r="C5984" t="str">
            <v>LIMITER ASS'Y</v>
          </cell>
          <cell r="D5984">
            <v>846</v>
          </cell>
          <cell r="N5984" t="str">
            <v>1401-00</v>
          </cell>
          <cell r="O5984" t="str">
            <v>LIMITER ASS'Y</v>
          </cell>
          <cell r="P5984">
            <v>1410</v>
          </cell>
        </row>
        <row r="5985">
          <cell r="B5985" t="str">
            <v>905-03</v>
          </cell>
          <cell r="C5985" t="str">
            <v>CLUTCH GEAR</v>
          </cell>
          <cell r="D5985">
            <v>706.5</v>
          </cell>
          <cell r="N5985" t="str">
            <v>905-03</v>
          </cell>
          <cell r="O5985" t="str">
            <v>CLUTCH GEAR</v>
          </cell>
          <cell r="P5985">
            <v>1413</v>
          </cell>
        </row>
        <row r="5986">
          <cell r="B5986" t="str">
            <v>1416-00</v>
          </cell>
          <cell r="C5986" t="str">
            <v>ROD GUIDE</v>
          </cell>
          <cell r="D5986">
            <v>707.5</v>
          </cell>
          <cell r="N5986" t="str">
            <v>1416-00</v>
          </cell>
          <cell r="O5986" t="str">
            <v>ROD GUIDE</v>
          </cell>
          <cell r="P5986">
            <v>1415</v>
          </cell>
        </row>
        <row r="5987">
          <cell r="B5987" t="str">
            <v>1401-00</v>
          </cell>
          <cell r="C5987" t="str">
            <v>LIMITER ASS'Y</v>
          </cell>
          <cell r="D5987">
            <v>846</v>
          </cell>
          <cell r="N5987" t="str">
            <v>1401-00</v>
          </cell>
          <cell r="O5987" t="str">
            <v>LIMITER ASS'Y</v>
          </cell>
          <cell r="P5987">
            <v>1410</v>
          </cell>
        </row>
        <row r="5988">
          <cell r="B5988" t="str">
            <v>2202-00</v>
          </cell>
          <cell r="C5988" t="str">
            <v>PULLEY</v>
          </cell>
          <cell r="D5988">
            <v>853.19999999999993</v>
          </cell>
          <cell r="N5988" t="str">
            <v>2202-00</v>
          </cell>
          <cell r="O5988" t="str">
            <v>PULLEY</v>
          </cell>
          <cell r="P5988">
            <v>1422</v>
          </cell>
        </row>
        <row r="5989">
          <cell r="B5989" t="str">
            <v>1947-00</v>
          </cell>
          <cell r="C5989" t="str">
            <v>Hub Inner Shift</v>
          </cell>
          <cell r="D5989">
            <v>712</v>
          </cell>
          <cell r="N5989" t="str">
            <v>1947-00</v>
          </cell>
          <cell r="O5989" t="str">
            <v>Hub Inner Shift</v>
          </cell>
          <cell r="P5989">
            <v>1424</v>
          </cell>
        </row>
        <row r="5990">
          <cell r="B5990" t="str">
            <v>1360-01</v>
          </cell>
          <cell r="C5990" t="str">
            <v>MOTOR PULLEY</v>
          </cell>
          <cell r="D5990">
            <v>717.5</v>
          </cell>
          <cell r="N5990" t="str">
            <v>1360-01</v>
          </cell>
          <cell r="O5990" t="str">
            <v>MOTOR PULLEY</v>
          </cell>
          <cell r="P5990">
            <v>1435</v>
          </cell>
        </row>
        <row r="5991">
          <cell r="B5991" t="str">
            <v>1083-02</v>
          </cell>
          <cell r="C5991" t="str">
            <v>HUB(5TH SPEED SYNC)</v>
          </cell>
          <cell r="D5991">
            <v>718</v>
          </cell>
          <cell r="N5991" t="str">
            <v>1083-02</v>
          </cell>
          <cell r="O5991" t="str">
            <v>HUB(5TH SPEED SYNC)</v>
          </cell>
          <cell r="P5991">
            <v>1436</v>
          </cell>
        </row>
        <row r="5992">
          <cell r="B5992" t="str">
            <v>1083-02</v>
          </cell>
          <cell r="C5992" t="str">
            <v>HUB(5TH SPEED SYNC)</v>
          </cell>
          <cell r="D5992">
            <v>718</v>
          </cell>
          <cell r="N5992" t="str">
            <v>1083-02</v>
          </cell>
          <cell r="O5992" t="str">
            <v>HUB(5TH SPEED SYNC)</v>
          </cell>
          <cell r="P5992">
            <v>1436</v>
          </cell>
        </row>
        <row r="5993">
          <cell r="B5993" t="str">
            <v>1378-00</v>
          </cell>
          <cell r="C5993" t="str">
            <v>ROD GUIDE</v>
          </cell>
          <cell r="D5993">
            <v>719</v>
          </cell>
          <cell r="N5993" t="str">
            <v>1378-00</v>
          </cell>
          <cell r="O5993" t="str">
            <v>ROD GUIDE</v>
          </cell>
          <cell r="P5993">
            <v>1438</v>
          </cell>
        </row>
        <row r="5994">
          <cell r="B5994" t="str">
            <v>2036-00</v>
          </cell>
          <cell r="C5994" t="str">
            <v>SPCR-TRANS FNL DRV PLNT GR</v>
          </cell>
          <cell r="D5994">
            <v>589.79999999999995</v>
          </cell>
          <cell r="N5994" t="str">
            <v>2036-00</v>
          </cell>
          <cell r="O5994" t="str">
            <v>SPCR-TRANS FNL DRV PLNT GR</v>
          </cell>
          <cell r="P5994">
            <v>983</v>
          </cell>
        </row>
        <row r="5995">
          <cell r="B5995" t="str">
            <v>2036-00</v>
          </cell>
          <cell r="C5995" t="str">
            <v>SPCR-TRANS FNL DRV PLNT GR</v>
          </cell>
          <cell r="D5995">
            <v>589.79999999999995</v>
          </cell>
          <cell r="N5995" t="str">
            <v>2036-00</v>
          </cell>
          <cell r="O5995" t="str">
            <v>SPCR-TRANS FNL DRV PLNT GR</v>
          </cell>
          <cell r="P5995">
            <v>983</v>
          </cell>
        </row>
        <row r="5996">
          <cell r="B5996" t="str">
            <v>5003-01</v>
          </cell>
          <cell r="C5996" t="str">
            <v>PLATE 3-5-REV CLU BKG</v>
          </cell>
          <cell r="D5996">
            <v>878.4</v>
          </cell>
          <cell r="N5996" t="str">
            <v>5003-01</v>
          </cell>
          <cell r="O5996" t="str">
            <v>PLATE 3-5-REV CLU BKG</v>
          </cell>
          <cell r="P5996">
            <v>1464</v>
          </cell>
        </row>
        <row r="5997">
          <cell r="B5997" t="str">
            <v>1360-00</v>
          </cell>
          <cell r="C5997" t="str">
            <v>MOTOR PULLEY</v>
          </cell>
          <cell r="D5997">
            <v>734</v>
          </cell>
          <cell r="N5997" t="str">
            <v>1360-00</v>
          </cell>
          <cell r="O5997" t="str">
            <v>MOTOR PULLEY</v>
          </cell>
          <cell r="P5997">
            <v>1468</v>
          </cell>
        </row>
        <row r="5998">
          <cell r="B5998" t="str">
            <v>090-03</v>
          </cell>
          <cell r="C5998" t="str">
            <v>PISTON</v>
          </cell>
          <cell r="D5998">
            <v>414.5</v>
          </cell>
          <cell r="N5998" t="str">
            <v>090-03</v>
          </cell>
          <cell r="O5998" t="str">
            <v>PISTON</v>
          </cell>
          <cell r="P5998">
            <v>829</v>
          </cell>
        </row>
        <row r="5999">
          <cell r="B5999" t="str">
            <v>1882-00</v>
          </cell>
          <cell r="C5999" t="str">
            <v>ROTOR</v>
          </cell>
          <cell r="D5999">
            <v>896.4</v>
          </cell>
          <cell r="N5999" t="str">
            <v>1882-00</v>
          </cell>
          <cell r="O5999" t="str">
            <v>ROTOR</v>
          </cell>
          <cell r="P5999">
            <v>1494</v>
          </cell>
        </row>
        <row r="6000">
          <cell r="B6000" t="str">
            <v>1883-00</v>
          </cell>
          <cell r="C6000" t="str">
            <v>SLIDE</v>
          </cell>
          <cell r="D6000">
            <v>747</v>
          </cell>
          <cell r="N6000" t="str">
            <v>1883-00</v>
          </cell>
          <cell r="O6000" t="str">
            <v>SLIDE</v>
          </cell>
          <cell r="P6000">
            <v>1494</v>
          </cell>
        </row>
        <row r="6001">
          <cell r="B6001" t="str">
            <v>321-02</v>
          </cell>
          <cell r="C6001" t="str">
            <v>GEAR &amp; HOLDER ASS'Y</v>
          </cell>
          <cell r="D6001">
            <v>754</v>
          </cell>
          <cell r="N6001" t="str">
            <v>321-02</v>
          </cell>
          <cell r="O6001" t="str">
            <v>GEAR &amp; HOLDER ASS'Y</v>
          </cell>
          <cell r="P6001">
            <v>1508</v>
          </cell>
        </row>
        <row r="6002">
          <cell r="B6002" t="str">
            <v>1360-00</v>
          </cell>
          <cell r="C6002" t="str">
            <v>MOTOR PULLEY</v>
          </cell>
          <cell r="D6002">
            <v>734</v>
          </cell>
          <cell r="N6002" t="str">
            <v>1360-00</v>
          </cell>
          <cell r="O6002" t="str">
            <v>MOTOR PULLEY</v>
          </cell>
          <cell r="P6002">
            <v>1468</v>
          </cell>
        </row>
        <row r="6003">
          <cell r="B6003" t="str">
            <v>1360-00</v>
          </cell>
          <cell r="C6003" t="str">
            <v>MOTOR PULLEY</v>
          </cell>
          <cell r="D6003">
            <v>734</v>
          </cell>
          <cell r="N6003" t="str">
            <v>1360-00</v>
          </cell>
          <cell r="O6003" t="str">
            <v>MOTOR PULLEY</v>
          </cell>
          <cell r="P6003">
            <v>1468</v>
          </cell>
        </row>
        <row r="6004">
          <cell r="B6004" t="str">
            <v>89.06.0</v>
          </cell>
          <cell r="C6004" t="str">
            <v>PREMIX</v>
          </cell>
          <cell r="D6004">
            <v>909.24</v>
          </cell>
          <cell r="N6004" t="str">
            <v>89.06.0</v>
          </cell>
          <cell r="O6004" t="str">
            <v>PREMIX</v>
          </cell>
          <cell r="P6004">
            <v>1515.4</v>
          </cell>
        </row>
        <row r="6005">
          <cell r="B6005" t="str">
            <v>1360-00</v>
          </cell>
          <cell r="C6005" t="str">
            <v>MOTOR PULLEY</v>
          </cell>
          <cell r="D6005">
            <v>734</v>
          </cell>
          <cell r="N6005" t="str">
            <v>1360-00</v>
          </cell>
          <cell r="O6005" t="str">
            <v>MOTOR PULLEY</v>
          </cell>
          <cell r="P6005">
            <v>1468</v>
          </cell>
        </row>
        <row r="6006">
          <cell r="B6006" t="str">
            <v>1470-01</v>
          </cell>
          <cell r="C6006" t="str">
            <v>ROTOR</v>
          </cell>
          <cell r="D6006">
            <v>928.8</v>
          </cell>
          <cell r="N6006" t="str">
            <v>1470-01</v>
          </cell>
          <cell r="O6006" t="str">
            <v>ROTOR</v>
          </cell>
          <cell r="P6006">
            <v>1548</v>
          </cell>
        </row>
        <row r="6007">
          <cell r="B6007" t="str">
            <v>1437-00</v>
          </cell>
          <cell r="C6007" t="str">
            <v>TONE WHEEL</v>
          </cell>
          <cell r="D6007">
            <v>775</v>
          </cell>
          <cell r="N6007" t="str">
            <v>1437-00</v>
          </cell>
          <cell r="O6007" t="str">
            <v>TONE WHEEL</v>
          </cell>
          <cell r="P6007">
            <v>1550</v>
          </cell>
        </row>
        <row r="6008">
          <cell r="B6008" t="str">
            <v>903-01</v>
          </cell>
          <cell r="C6008" t="str">
            <v>CAMSHAFT GEAR</v>
          </cell>
          <cell r="D6008">
            <v>931.8</v>
          </cell>
          <cell r="N6008" t="str">
            <v>903-01</v>
          </cell>
          <cell r="O6008" t="str">
            <v>CAMSHAFT GEAR</v>
          </cell>
          <cell r="P6008">
            <v>1553</v>
          </cell>
        </row>
        <row r="6009">
          <cell r="B6009" t="str">
            <v>903-01</v>
          </cell>
          <cell r="C6009" t="str">
            <v>CAMSHAFT GEAR</v>
          </cell>
          <cell r="D6009">
            <v>931.8</v>
          </cell>
          <cell r="N6009" t="str">
            <v>903-01</v>
          </cell>
          <cell r="O6009" t="str">
            <v>CAMSHAFT GEAR</v>
          </cell>
          <cell r="P6009">
            <v>1553</v>
          </cell>
        </row>
        <row r="6010">
          <cell r="B6010" t="str">
            <v>903-01</v>
          </cell>
          <cell r="C6010" t="str">
            <v>CAMSHAFT GEAR</v>
          </cell>
          <cell r="D6010">
            <v>931.8</v>
          </cell>
          <cell r="N6010" t="str">
            <v>903-01</v>
          </cell>
          <cell r="O6010" t="str">
            <v>CAMSHAFT GEAR</v>
          </cell>
          <cell r="P6010">
            <v>1553</v>
          </cell>
        </row>
        <row r="6011">
          <cell r="B6011" t="str">
            <v>2033-01</v>
          </cell>
          <cell r="C6011" t="str">
            <v>SPCR-TRANS LOW&amp;REV GR</v>
          </cell>
          <cell r="D6011">
            <v>946.19999999999993</v>
          </cell>
          <cell r="N6011" t="str">
            <v>2033-01</v>
          </cell>
          <cell r="O6011" t="str">
            <v>SPCR-TRANS LOW&amp;REV GR</v>
          </cell>
          <cell r="P6011">
            <v>1577</v>
          </cell>
        </row>
        <row r="6012">
          <cell r="B6012" t="str">
            <v>2033-01</v>
          </cell>
          <cell r="C6012" t="str">
            <v>SPCR-TRANS LOW&amp;REV GR</v>
          </cell>
          <cell r="D6012">
            <v>946.19999999999993</v>
          </cell>
          <cell r="N6012" t="str">
            <v>2033-01</v>
          </cell>
          <cell r="O6012" t="str">
            <v>SPCR-TRANS LOW&amp;REV GR</v>
          </cell>
          <cell r="P6012">
            <v>1577</v>
          </cell>
        </row>
        <row r="6013">
          <cell r="B6013" t="str">
            <v>2033-01</v>
          </cell>
          <cell r="C6013" t="str">
            <v>SPCR-TRANS LOW&amp;REV GR</v>
          </cell>
          <cell r="D6013">
            <v>946.19999999999993</v>
          </cell>
          <cell r="N6013" t="str">
            <v>2033-01</v>
          </cell>
          <cell r="O6013" t="str">
            <v>SPCR-TRANS LOW&amp;REV GR</v>
          </cell>
          <cell r="P6013">
            <v>1577</v>
          </cell>
        </row>
        <row r="6014">
          <cell r="B6014" t="str">
            <v>2033-01</v>
          </cell>
          <cell r="C6014" t="str">
            <v>SPCR-TRANS LOW&amp;REV GR</v>
          </cell>
          <cell r="D6014">
            <v>946.19999999999993</v>
          </cell>
          <cell r="N6014" t="str">
            <v>2033-01</v>
          </cell>
          <cell r="O6014" t="str">
            <v>SPCR-TRANS LOW&amp;REV GR</v>
          </cell>
          <cell r="P6014">
            <v>1577</v>
          </cell>
        </row>
        <row r="6015">
          <cell r="B6015" t="str">
            <v>1344-02</v>
          </cell>
          <cell r="C6015" t="str">
            <v>LIMITER ASS'Y</v>
          </cell>
          <cell r="D6015">
            <v>948</v>
          </cell>
          <cell r="N6015" t="str">
            <v>1344-02</v>
          </cell>
          <cell r="O6015" t="str">
            <v>LIMITER ASS'Y</v>
          </cell>
          <cell r="P6015">
            <v>1580</v>
          </cell>
        </row>
        <row r="6016">
          <cell r="B6016" t="str">
            <v>1344-02</v>
          </cell>
          <cell r="C6016" t="str">
            <v>LIMITER ASS'Y</v>
          </cell>
          <cell r="D6016">
            <v>948</v>
          </cell>
          <cell r="N6016" t="str">
            <v>1344-02</v>
          </cell>
          <cell r="O6016" t="str">
            <v>LIMITER ASS'Y</v>
          </cell>
          <cell r="P6016">
            <v>1580</v>
          </cell>
        </row>
        <row r="6017">
          <cell r="B6017" t="str">
            <v>1344-02</v>
          </cell>
          <cell r="C6017" t="str">
            <v>LIMITER ASS'Y</v>
          </cell>
          <cell r="D6017">
            <v>948</v>
          </cell>
          <cell r="N6017" t="str">
            <v>1344-02</v>
          </cell>
          <cell r="O6017" t="str">
            <v>LIMITER ASS'Y</v>
          </cell>
          <cell r="P6017">
            <v>1580</v>
          </cell>
        </row>
        <row r="6018">
          <cell r="B6018" t="str">
            <v>1925-00</v>
          </cell>
          <cell r="C6018" t="str">
            <v>PISTON</v>
          </cell>
          <cell r="D6018">
            <v>289.5</v>
          </cell>
          <cell r="N6018" t="str">
            <v>1925-00</v>
          </cell>
          <cell r="O6018" t="str">
            <v>PISTON</v>
          </cell>
          <cell r="P6018">
            <v>579</v>
          </cell>
        </row>
        <row r="6019">
          <cell r="B6019" t="str">
            <v>5002-00</v>
          </cell>
          <cell r="C6019" t="str">
            <v>PLATE 4-5-6 CLU BKG</v>
          </cell>
          <cell r="D6019">
            <v>397.2</v>
          </cell>
          <cell r="N6019" t="str">
            <v>5002-00</v>
          </cell>
          <cell r="O6019" t="str">
            <v>PLATE 4-5-6 CLU BKG</v>
          </cell>
          <cell r="P6019">
            <v>662</v>
          </cell>
        </row>
        <row r="6020">
          <cell r="B6020" t="str">
            <v>5002-00</v>
          </cell>
          <cell r="C6020" t="str">
            <v>PLATE 4-5-6 CLU BKG</v>
          </cell>
          <cell r="D6020">
            <v>397.2</v>
          </cell>
          <cell r="N6020" t="str">
            <v>5002-00</v>
          </cell>
          <cell r="O6020" t="str">
            <v>PLATE 4-5-6 CLU BKG</v>
          </cell>
          <cell r="P6020">
            <v>662</v>
          </cell>
        </row>
        <row r="6021">
          <cell r="B6021" t="str">
            <v>5002-00</v>
          </cell>
          <cell r="C6021" t="str">
            <v>PLATE 4-5-6 CLU BKG</v>
          </cell>
          <cell r="D6021">
            <v>397.2</v>
          </cell>
          <cell r="N6021" t="str">
            <v>5002-00</v>
          </cell>
          <cell r="O6021" t="str">
            <v>PLATE 4-5-6 CLU BKG</v>
          </cell>
          <cell r="P6021">
            <v>662</v>
          </cell>
        </row>
        <row r="6022">
          <cell r="B6022" t="str">
            <v>904-00</v>
          </cell>
          <cell r="C6022" t="str">
            <v>CLUTCH GEAR</v>
          </cell>
          <cell r="D6022">
            <v>960</v>
          </cell>
          <cell r="N6022" t="str">
            <v>904-00</v>
          </cell>
          <cell r="O6022" t="str">
            <v>CLUTCH GEAR</v>
          </cell>
          <cell r="P6022">
            <v>1600</v>
          </cell>
        </row>
        <row r="6023">
          <cell r="B6023" t="str">
            <v>904-01</v>
          </cell>
          <cell r="C6023" t="str">
            <v>CLUTCH GEAR</v>
          </cell>
          <cell r="D6023">
            <v>960</v>
          </cell>
          <cell r="N6023" t="str">
            <v>904-01</v>
          </cell>
          <cell r="O6023" t="str">
            <v>CLUTCH GEAR</v>
          </cell>
          <cell r="P6023">
            <v>1600</v>
          </cell>
        </row>
        <row r="6024">
          <cell r="B6024" t="str">
            <v>927-00</v>
          </cell>
          <cell r="C6024" t="str">
            <v>POLE PIECE ST</v>
          </cell>
          <cell r="D6024">
            <v>967.19999999999993</v>
          </cell>
          <cell r="N6024" t="str">
            <v>927-00</v>
          </cell>
          <cell r="O6024" t="str">
            <v>POLE PIECE ST</v>
          </cell>
          <cell r="P6024">
            <v>1612</v>
          </cell>
        </row>
        <row r="6025">
          <cell r="B6025" t="str">
            <v>1914-00</v>
          </cell>
          <cell r="C6025" t="str">
            <v>MOTOR PULLEY</v>
          </cell>
          <cell r="D6025">
            <v>807.5</v>
          </cell>
          <cell r="N6025" t="str">
            <v>1914-00</v>
          </cell>
          <cell r="O6025" t="str">
            <v>MOTOR PULLEY</v>
          </cell>
          <cell r="P6025">
            <v>1615</v>
          </cell>
        </row>
        <row r="6026">
          <cell r="B6026" t="str">
            <v>999-01</v>
          </cell>
          <cell r="C6026" t="str">
            <v>CAM</v>
          </cell>
          <cell r="D6026">
            <v>969</v>
          </cell>
          <cell r="N6026" t="str">
            <v>999-01</v>
          </cell>
          <cell r="O6026" t="str">
            <v>CAM</v>
          </cell>
          <cell r="P6026">
            <v>1615</v>
          </cell>
        </row>
        <row r="6027">
          <cell r="B6027" t="str">
            <v>1140-00</v>
          </cell>
          <cell r="C6027" t="str">
            <v>VALVE BODY</v>
          </cell>
          <cell r="D6027">
            <v>814.5</v>
          </cell>
          <cell r="N6027" t="str">
            <v>1140-00</v>
          </cell>
          <cell r="O6027" t="str">
            <v>VALVE BODY</v>
          </cell>
          <cell r="P6027">
            <v>1629</v>
          </cell>
        </row>
        <row r="6028">
          <cell r="B6028" t="str">
            <v>1344-01</v>
          </cell>
          <cell r="C6028" t="str">
            <v>LIMITER ASS'Y</v>
          </cell>
          <cell r="D6028">
            <v>977.4</v>
          </cell>
          <cell r="N6028" t="str">
            <v>1344-01</v>
          </cell>
          <cell r="O6028" t="str">
            <v>LIMITER ASS'Y</v>
          </cell>
          <cell r="P6028">
            <v>1629</v>
          </cell>
        </row>
        <row r="6029">
          <cell r="B6029" t="str">
            <v>1344-01</v>
          </cell>
          <cell r="C6029" t="str">
            <v>LIMITER ASS'Y</v>
          </cell>
          <cell r="D6029">
            <v>977.4</v>
          </cell>
          <cell r="N6029" t="str">
            <v>1344-01</v>
          </cell>
          <cell r="O6029" t="str">
            <v>LIMITER ASS'Y</v>
          </cell>
          <cell r="P6029">
            <v>1629</v>
          </cell>
        </row>
        <row r="6030">
          <cell r="B6030" t="str">
            <v>902-01</v>
          </cell>
          <cell r="C6030" t="str">
            <v>CAMSHAFT GEAR</v>
          </cell>
          <cell r="D6030">
            <v>990</v>
          </cell>
          <cell r="N6030" t="str">
            <v>902-01</v>
          </cell>
          <cell r="O6030" t="str">
            <v>CAMSHAFT GEAR</v>
          </cell>
          <cell r="P6030">
            <v>1650</v>
          </cell>
        </row>
        <row r="6031">
          <cell r="B6031" t="str">
            <v>1914-00</v>
          </cell>
          <cell r="C6031" t="str">
            <v>MOTOR PULLEY</v>
          </cell>
          <cell r="D6031">
            <v>807.5</v>
          </cell>
          <cell r="N6031" t="str">
            <v>1914-00</v>
          </cell>
          <cell r="O6031" t="str">
            <v>MOTOR PULLEY</v>
          </cell>
          <cell r="P6031">
            <v>1615</v>
          </cell>
        </row>
        <row r="6032">
          <cell r="B6032" t="str">
            <v>1040-00</v>
          </cell>
          <cell r="C6032" t="str">
            <v>SUB BEARING</v>
          </cell>
          <cell r="D6032">
            <v>1002</v>
          </cell>
          <cell r="N6032" t="str">
            <v>1040-00</v>
          </cell>
          <cell r="O6032" t="str">
            <v>SUB BEARING</v>
          </cell>
          <cell r="P6032">
            <v>1670</v>
          </cell>
        </row>
        <row r="6033">
          <cell r="B6033" t="str">
            <v>5003-01</v>
          </cell>
          <cell r="C6033" t="str">
            <v>PLATE 3-5-REV CLU BKG</v>
          </cell>
          <cell r="D6033">
            <v>878.4</v>
          </cell>
          <cell r="N6033" t="str">
            <v>5003-01</v>
          </cell>
          <cell r="O6033" t="str">
            <v>PLATE 3-5-REV CLU BKG</v>
          </cell>
          <cell r="P6033">
            <v>1464</v>
          </cell>
        </row>
        <row r="6034">
          <cell r="B6034" t="str">
            <v>2127-00</v>
          </cell>
          <cell r="C6034" t="str">
            <v>ROD GUIDE ASS'Y</v>
          </cell>
          <cell r="D6034">
            <v>847</v>
          </cell>
          <cell r="N6034" t="str">
            <v>2127-00</v>
          </cell>
          <cell r="O6034" t="str">
            <v>ROD GUIDE ASS'Y</v>
          </cell>
          <cell r="P6034">
            <v>1694</v>
          </cell>
        </row>
        <row r="6035">
          <cell r="B6035" t="str">
            <v>1032-00</v>
          </cell>
          <cell r="C6035" t="str">
            <v>SPROCKET</v>
          </cell>
          <cell r="D6035">
            <v>866</v>
          </cell>
          <cell r="N6035" t="str">
            <v>1032-00</v>
          </cell>
          <cell r="O6035" t="str">
            <v>SPROCKET</v>
          </cell>
          <cell r="P6035">
            <v>1732</v>
          </cell>
        </row>
        <row r="6036">
          <cell r="B6036" t="str">
            <v>1033-00</v>
          </cell>
          <cell r="C6036" t="str">
            <v>PULLEY(F/IN JN PUMP DRV)</v>
          </cell>
          <cell r="D6036">
            <v>866</v>
          </cell>
          <cell r="N6036" t="str">
            <v>1033-00</v>
          </cell>
          <cell r="O6036" t="str">
            <v>PULLEY(F/IN JN PUMP DRV)</v>
          </cell>
          <cell r="P6036">
            <v>1732</v>
          </cell>
        </row>
        <row r="6037">
          <cell r="B6037" t="str">
            <v>1033-00</v>
          </cell>
          <cell r="C6037" t="str">
            <v>PULLEY(F/IN JN PUMP DRV)</v>
          </cell>
          <cell r="D6037">
            <v>866</v>
          </cell>
          <cell r="N6037" t="str">
            <v>1033-00</v>
          </cell>
          <cell r="O6037" t="str">
            <v>PULLEY(F/IN JN PUMP DRV)</v>
          </cell>
          <cell r="P6037">
            <v>1732</v>
          </cell>
        </row>
        <row r="6038">
          <cell r="B6038" t="str">
            <v>1033-00</v>
          </cell>
          <cell r="C6038" t="str">
            <v>PULLEY(F/IN JN PUMP DRV)</v>
          </cell>
          <cell r="D6038">
            <v>866</v>
          </cell>
          <cell r="N6038" t="str">
            <v>1033-00</v>
          </cell>
          <cell r="O6038" t="str">
            <v>PULLEY(F/IN JN PUMP DRV)</v>
          </cell>
          <cell r="P6038">
            <v>1732</v>
          </cell>
        </row>
        <row r="6039">
          <cell r="B6039" t="str">
            <v>1032-00</v>
          </cell>
          <cell r="C6039" t="str">
            <v>SPROCKET</v>
          </cell>
          <cell r="D6039">
            <v>866</v>
          </cell>
          <cell r="N6039" t="str">
            <v>1032-00</v>
          </cell>
          <cell r="O6039" t="str">
            <v>SPROCKET</v>
          </cell>
          <cell r="P6039">
            <v>1732</v>
          </cell>
        </row>
        <row r="6040">
          <cell r="B6040" t="str">
            <v>1032-00</v>
          </cell>
          <cell r="C6040" t="str">
            <v>SPROCKET</v>
          </cell>
          <cell r="D6040">
            <v>866</v>
          </cell>
          <cell r="N6040" t="str">
            <v>1032-00</v>
          </cell>
          <cell r="O6040" t="str">
            <v>SPROCKET</v>
          </cell>
          <cell r="P6040">
            <v>1732</v>
          </cell>
        </row>
        <row r="6041">
          <cell r="B6041" t="str">
            <v>901-01</v>
          </cell>
          <cell r="C6041" t="str">
            <v>CAMSHAFT GEAR</v>
          </cell>
          <cell r="D6041">
            <v>1062</v>
          </cell>
          <cell r="N6041" t="str">
            <v>901-01</v>
          </cell>
          <cell r="O6041" t="str">
            <v>CAMSHAFT GEAR</v>
          </cell>
          <cell r="P6041">
            <v>1770</v>
          </cell>
        </row>
        <row r="6042">
          <cell r="B6042" t="str">
            <v>901-02</v>
          </cell>
          <cell r="C6042" t="str">
            <v>CAMSHAFT GEAR</v>
          </cell>
          <cell r="D6042">
            <v>1062</v>
          </cell>
          <cell r="N6042" t="str">
            <v>901-02</v>
          </cell>
          <cell r="O6042" t="str">
            <v>CAMSHAFT GEAR</v>
          </cell>
          <cell r="P6042">
            <v>1770</v>
          </cell>
        </row>
        <row r="6043">
          <cell r="B6043" t="str">
            <v>1949-00</v>
          </cell>
          <cell r="C6043" t="str">
            <v>ROTOR</v>
          </cell>
          <cell r="D6043">
            <v>1083</v>
          </cell>
          <cell r="N6043" t="str">
            <v>1949-00</v>
          </cell>
          <cell r="O6043" t="str">
            <v>ROTOR</v>
          </cell>
          <cell r="P6043">
            <v>1805</v>
          </cell>
        </row>
        <row r="6044">
          <cell r="B6044" t="str">
            <v>915-00</v>
          </cell>
          <cell r="C6044" t="str">
            <v>HUB</v>
          </cell>
          <cell r="D6044">
            <v>1107</v>
          </cell>
          <cell r="N6044" t="str">
            <v>915-00</v>
          </cell>
          <cell r="O6044" t="str">
            <v>HUB</v>
          </cell>
          <cell r="P6044">
            <v>1845</v>
          </cell>
        </row>
        <row r="6045">
          <cell r="B6045" t="str">
            <v>915-00</v>
          </cell>
          <cell r="C6045" t="str">
            <v>HUB</v>
          </cell>
          <cell r="D6045">
            <v>1107</v>
          </cell>
          <cell r="N6045" t="str">
            <v>915-00</v>
          </cell>
          <cell r="O6045" t="str">
            <v>HUB</v>
          </cell>
          <cell r="P6045">
            <v>1845</v>
          </cell>
        </row>
        <row r="6046">
          <cell r="B6046" t="str">
            <v>915-00</v>
          </cell>
          <cell r="C6046" t="str">
            <v>HUB</v>
          </cell>
          <cell r="D6046">
            <v>1107</v>
          </cell>
          <cell r="N6046" t="str">
            <v>915-00</v>
          </cell>
          <cell r="O6046" t="str">
            <v>HUB</v>
          </cell>
          <cell r="P6046">
            <v>1845</v>
          </cell>
        </row>
        <row r="6047">
          <cell r="B6047" t="str">
            <v>1695-00</v>
          </cell>
          <cell r="C6047" t="str">
            <v>MOTOR PULLEY</v>
          </cell>
          <cell r="D6047">
            <v>928</v>
          </cell>
          <cell r="N6047" t="str">
            <v>1695-00</v>
          </cell>
          <cell r="O6047" t="str">
            <v>MOTOR PULLEY</v>
          </cell>
          <cell r="P6047">
            <v>1856</v>
          </cell>
        </row>
        <row r="6048">
          <cell r="B6048" t="str">
            <v>1083-01</v>
          </cell>
          <cell r="C6048" t="str">
            <v>HUB(5TH SPEED SYNC)</v>
          </cell>
          <cell r="D6048">
            <v>936.5</v>
          </cell>
          <cell r="N6048" t="str">
            <v>1083-01</v>
          </cell>
          <cell r="O6048" t="str">
            <v>HUB(5TH SPEED SYNC)</v>
          </cell>
          <cell r="P6048">
            <v>1873</v>
          </cell>
        </row>
        <row r="6049">
          <cell r="B6049" t="str">
            <v>1083-01</v>
          </cell>
          <cell r="C6049" t="str">
            <v>HUB(5TH SPEED SYNC)</v>
          </cell>
          <cell r="D6049">
            <v>936.5</v>
          </cell>
          <cell r="N6049" t="str">
            <v>1083-01</v>
          </cell>
          <cell r="O6049" t="str">
            <v>HUB(5TH SPEED SYNC)</v>
          </cell>
          <cell r="P6049">
            <v>1873</v>
          </cell>
        </row>
        <row r="6050">
          <cell r="B6050" t="str">
            <v>1083-01</v>
          </cell>
          <cell r="C6050" t="str">
            <v>HUB(5TH SPEED SYNC)</v>
          </cell>
          <cell r="D6050">
            <v>936.5</v>
          </cell>
          <cell r="N6050" t="str">
            <v>1083-01</v>
          </cell>
          <cell r="O6050" t="str">
            <v>HUB(5TH SPEED SYNC)</v>
          </cell>
          <cell r="P6050">
            <v>1873</v>
          </cell>
        </row>
        <row r="6051">
          <cell r="B6051" t="str">
            <v>1083-01</v>
          </cell>
          <cell r="C6051" t="str">
            <v>HUB(5TH SPEED SYNC)</v>
          </cell>
          <cell r="D6051">
            <v>936.5</v>
          </cell>
          <cell r="N6051" t="str">
            <v>1083-01</v>
          </cell>
          <cell r="O6051" t="str">
            <v>HUB(5TH SPEED SYNC)</v>
          </cell>
          <cell r="P6051">
            <v>1873</v>
          </cell>
        </row>
        <row r="6052">
          <cell r="B6052" t="str">
            <v>1083-01</v>
          </cell>
          <cell r="C6052" t="str">
            <v>HUB(5TH SPEED SYNC)</v>
          </cell>
          <cell r="D6052">
            <v>936.5</v>
          </cell>
          <cell r="N6052" t="str">
            <v>1083-01</v>
          </cell>
          <cell r="O6052" t="str">
            <v>HUB(5TH SPEED SYNC)</v>
          </cell>
          <cell r="P6052">
            <v>1873</v>
          </cell>
        </row>
        <row r="6053">
          <cell r="B6053" t="str">
            <v>999-02</v>
          </cell>
          <cell r="C6053" t="str">
            <v>CAM</v>
          </cell>
          <cell r="D6053">
            <v>1129.2</v>
          </cell>
          <cell r="N6053" t="str">
            <v>999-02</v>
          </cell>
          <cell r="O6053" t="str">
            <v>CAM</v>
          </cell>
          <cell r="P6053">
            <v>1882</v>
          </cell>
        </row>
        <row r="6054">
          <cell r="B6054" t="str">
            <v>5003-01</v>
          </cell>
          <cell r="C6054" t="str">
            <v>PLATE 3-5-REV CLU BKG</v>
          </cell>
          <cell r="D6054">
            <v>878.4</v>
          </cell>
          <cell r="N6054" t="str">
            <v>5003-01</v>
          </cell>
          <cell r="O6054" t="str">
            <v>PLATE 3-5-REV CLU BKG</v>
          </cell>
          <cell r="P6054">
            <v>1464</v>
          </cell>
        </row>
        <row r="6055">
          <cell r="B6055" t="str">
            <v>5003-01</v>
          </cell>
          <cell r="C6055" t="str">
            <v>PLATE 3-5-REV CLU BKG</v>
          </cell>
          <cell r="D6055">
            <v>878.4</v>
          </cell>
          <cell r="N6055" t="str">
            <v>5003-01</v>
          </cell>
          <cell r="O6055" t="str">
            <v>PLATE 3-5-REV CLU BKG</v>
          </cell>
          <cell r="P6055">
            <v>1464</v>
          </cell>
        </row>
        <row r="6056">
          <cell r="B6056" t="str">
            <v>5003-01</v>
          </cell>
          <cell r="C6056" t="str">
            <v>PLATE 3-5-REV CLU BKG</v>
          </cell>
          <cell r="D6056">
            <v>878.4</v>
          </cell>
          <cell r="N6056" t="str">
            <v>5003-01</v>
          </cell>
          <cell r="O6056" t="str">
            <v>PLATE 3-5-REV CLU BKG</v>
          </cell>
          <cell r="P6056">
            <v>1464</v>
          </cell>
        </row>
        <row r="6057">
          <cell r="B6057" t="str">
            <v>1086-00</v>
          </cell>
          <cell r="C6057" t="str">
            <v>SPROCKET ASM-CR/SHF</v>
          </cell>
          <cell r="D6057">
            <v>956.5</v>
          </cell>
          <cell r="N6057" t="str">
            <v>1086-00</v>
          </cell>
          <cell r="O6057" t="str">
            <v>SPROCKET ASM-CR/SHF</v>
          </cell>
          <cell r="P6057">
            <v>1913</v>
          </cell>
        </row>
        <row r="6058">
          <cell r="B6058" t="str">
            <v>1086-00</v>
          </cell>
          <cell r="C6058" t="str">
            <v>SPROCKET ASM-CR/SHF</v>
          </cell>
          <cell r="D6058">
            <v>956.5</v>
          </cell>
          <cell r="N6058" t="str">
            <v>1086-00</v>
          </cell>
          <cell r="O6058" t="str">
            <v>SPROCKET ASM-CR/SHF</v>
          </cell>
          <cell r="P6058">
            <v>1913</v>
          </cell>
        </row>
        <row r="6059">
          <cell r="B6059" t="str">
            <v>1086-00</v>
          </cell>
          <cell r="C6059" t="str">
            <v>SPROCKET ASM-CR/SHF</v>
          </cell>
          <cell r="D6059">
            <v>956.5</v>
          </cell>
          <cell r="N6059" t="str">
            <v>1086-00</v>
          </cell>
          <cell r="O6059" t="str">
            <v>SPROCKET ASM-CR/SHF</v>
          </cell>
          <cell r="P6059">
            <v>1913</v>
          </cell>
        </row>
        <row r="6060">
          <cell r="B6060" t="str">
            <v>985-02</v>
          </cell>
          <cell r="C6060" t="str">
            <v>BODY</v>
          </cell>
          <cell r="D6060">
            <v>970</v>
          </cell>
          <cell r="N6060" t="str">
            <v>985-02</v>
          </cell>
          <cell r="O6060" t="str">
            <v>BODY</v>
          </cell>
          <cell r="P6060">
            <v>1940</v>
          </cell>
        </row>
        <row r="6061">
          <cell r="B6061" t="str">
            <v>985-10</v>
          </cell>
          <cell r="C6061" t="str">
            <v>BODY</v>
          </cell>
          <cell r="D6061">
            <v>970</v>
          </cell>
          <cell r="N6061" t="str">
            <v>985-10</v>
          </cell>
          <cell r="O6061" t="str">
            <v>BODY</v>
          </cell>
          <cell r="P6061">
            <v>1940</v>
          </cell>
        </row>
        <row r="6062">
          <cell r="B6062" t="str">
            <v>1401-01</v>
          </cell>
          <cell r="C6062" t="str">
            <v>LIMITER ASS'Y</v>
          </cell>
          <cell r="D6062">
            <v>1167</v>
          </cell>
          <cell r="N6062" t="str">
            <v>1401-01</v>
          </cell>
          <cell r="O6062" t="str">
            <v>LIMITER ASS'Y</v>
          </cell>
          <cell r="P6062">
            <v>1945</v>
          </cell>
        </row>
        <row r="6063">
          <cell r="B6063" t="str">
            <v>1401-01</v>
          </cell>
          <cell r="C6063" t="str">
            <v>LIMITER ASS'Y</v>
          </cell>
          <cell r="D6063">
            <v>1167</v>
          </cell>
          <cell r="N6063" t="str">
            <v>1401-01</v>
          </cell>
          <cell r="O6063" t="str">
            <v>LIMITER ASS'Y</v>
          </cell>
          <cell r="P6063">
            <v>1945</v>
          </cell>
        </row>
        <row r="6064">
          <cell r="B6064" t="str">
            <v>1401-01</v>
          </cell>
          <cell r="C6064" t="str">
            <v>LIMITER ASS'Y</v>
          </cell>
          <cell r="D6064">
            <v>1167</v>
          </cell>
          <cell r="N6064" t="str">
            <v>1401-01</v>
          </cell>
          <cell r="O6064" t="str">
            <v>LIMITER ASS'Y</v>
          </cell>
          <cell r="P6064">
            <v>1945</v>
          </cell>
        </row>
        <row r="6065">
          <cell r="B6065" t="str">
            <v>1401-01</v>
          </cell>
          <cell r="C6065" t="str">
            <v>LIMITER ASS'Y</v>
          </cell>
          <cell r="D6065">
            <v>1167</v>
          </cell>
          <cell r="N6065" t="str">
            <v>1401-01</v>
          </cell>
          <cell r="O6065" t="str">
            <v>LIMITER ASS'Y</v>
          </cell>
          <cell r="P6065">
            <v>1945</v>
          </cell>
        </row>
        <row r="6066">
          <cell r="B6066" t="str">
            <v>985-11</v>
          </cell>
          <cell r="C6066" t="str">
            <v>BODY</v>
          </cell>
          <cell r="D6066">
            <v>984.5</v>
          </cell>
          <cell r="N6066" t="str">
            <v>985-11</v>
          </cell>
          <cell r="O6066" t="str">
            <v>BODY</v>
          </cell>
          <cell r="P6066">
            <v>1969</v>
          </cell>
        </row>
        <row r="6067">
          <cell r="B6067" t="str">
            <v>1470-02</v>
          </cell>
          <cell r="C6067" t="str">
            <v>ROTOR</v>
          </cell>
          <cell r="D6067">
            <v>1190.3999999999999</v>
          </cell>
          <cell r="N6067" t="str">
            <v>1470-02</v>
          </cell>
          <cell r="O6067" t="str">
            <v>ROTOR</v>
          </cell>
          <cell r="P6067">
            <v>1984</v>
          </cell>
        </row>
        <row r="6068">
          <cell r="B6068" t="str">
            <v>1330-01</v>
          </cell>
          <cell r="C6068" t="str">
            <v>SUPPORT CYLINDER ASS'Y</v>
          </cell>
          <cell r="D6068">
            <v>1192.8</v>
          </cell>
          <cell r="N6068" t="str">
            <v>1330-01</v>
          </cell>
          <cell r="O6068" t="str">
            <v>SUPPORT CYLINDER ASS'Y</v>
          </cell>
          <cell r="P6068">
            <v>1988</v>
          </cell>
        </row>
        <row r="6069">
          <cell r="B6069" t="str">
            <v>1330-02</v>
          </cell>
          <cell r="C6069" t="str">
            <v>SUPPORT CYLINDER ASS'Y</v>
          </cell>
          <cell r="D6069">
            <v>1192.8</v>
          </cell>
          <cell r="N6069" t="str">
            <v>1330-02</v>
          </cell>
          <cell r="O6069" t="str">
            <v>SUPPORT CYLINDER ASS'Y</v>
          </cell>
          <cell r="P6069">
            <v>1988</v>
          </cell>
        </row>
        <row r="6070">
          <cell r="B6070" t="str">
            <v>1330-02</v>
          </cell>
          <cell r="C6070" t="str">
            <v>SUPPORT CYLINDER ASS'Y</v>
          </cell>
          <cell r="D6070">
            <v>1192.8</v>
          </cell>
          <cell r="N6070" t="str">
            <v>1330-02</v>
          </cell>
          <cell r="O6070" t="str">
            <v>SUPPORT CYLINDER ASS'Y</v>
          </cell>
          <cell r="P6070">
            <v>1988</v>
          </cell>
        </row>
        <row r="6071">
          <cell r="B6071" t="str">
            <v>2033-01</v>
          </cell>
          <cell r="C6071" t="str">
            <v>SPCR-TRANS LOW&amp;REV GR</v>
          </cell>
          <cell r="D6071">
            <v>946.19999999999993</v>
          </cell>
          <cell r="N6071" t="str">
            <v>2033-01</v>
          </cell>
          <cell r="O6071" t="str">
            <v>SPCR-TRANS LOW&amp;REV GR</v>
          </cell>
          <cell r="P6071">
            <v>1577</v>
          </cell>
        </row>
        <row r="6072">
          <cell r="B6072" t="str">
            <v>2033-01</v>
          </cell>
          <cell r="C6072" t="str">
            <v>SPCR-TRANS LOW&amp;REV GR</v>
          </cell>
          <cell r="D6072">
            <v>946.19999999999993</v>
          </cell>
          <cell r="N6072" t="str">
            <v>2033-01</v>
          </cell>
          <cell r="O6072" t="str">
            <v>SPCR-TRANS LOW&amp;REV GR</v>
          </cell>
          <cell r="P6072">
            <v>1577</v>
          </cell>
        </row>
        <row r="6073">
          <cell r="B6073" t="str">
            <v>1903-00</v>
          </cell>
          <cell r="C6073" t="str">
            <v>PULLEY</v>
          </cell>
          <cell r="D6073">
            <v>1009.5</v>
          </cell>
          <cell r="N6073" t="str">
            <v>1903-00</v>
          </cell>
          <cell r="O6073" t="str">
            <v>PULLEY</v>
          </cell>
          <cell r="P6073">
            <v>2019</v>
          </cell>
        </row>
        <row r="6074">
          <cell r="B6074" t="str">
            <v>1729-00</v>
          </cell>
          <cell r="C6074" t="str">
            <v>PISTON</v>
          </cell>
          <cell r="D6074">
            <v>225</v>
          </cell>
          <cell r="N6074" t="str">
            <v>1729-00</v>
          </cell>
          <cell r="O6074" t="str">
            <v>PISTON</v>
          </cell>
          <cell r="P6074">
            <v>450</v>
          </cell>
        </row>
        <row r="6075">
          <cell r="B6075" t="str">
            <v>1914-00</v>
          </cell>
          <cell r="C6075" t="str">
            <v>MOTOR PULLEY</v>
          </cell>
          <cell r="D6075">
            <v>807.5</v>
          </cell>
          <cell r="N6075" t="str">
            <v>1914-00</v>
          </cell>
          <cell r="O6075" t="str">
            <v>MOTOR PULLEY</v>
          </cell>
          <cell r="P6075">
            <v>1615</v>
          </cell>
        </row>
        <row r="6076">
          <cell r="B6076" t="str">
            <v>1330-01</v>
          </cell>
          <cell r="C6076" t="str">
            <v>SUPPORT CYLINDER ASS'Y</v>
          </cell>
          <cell r="D6076">
            <v>1192.8</v>
          </cell>
          <cell r="N6076" t="str">
            <v>1330-01</v>
          </cell>
          <cell r="O6076" t="str">
            <v>SUPPORT CYLINDER ASS'Y</v>
          </cell>
          <cell r="P6076">
            <v>1988</v>
          </cell>
        </row>
        <row r="6077">
          <cell r="B6077" t="str">
            <v>1464-01</v>
          </cell>
          <cell r="C6077" t="str">
            <v>PULLEY</v>
          </cell>
          <cell r="D6077">
            <v>1078</v>
          </cell>
          <cell r="N6077" t="str">
            <v>1464-01</v>
          </cell>
          <cell r="O6077" t="str">
            <v>PULLEY</v>
          </cell>
          <cell r="P6077">
            <v>2156</v>
          </cell>
        </row>
        <row r="6078">
          <cell r="B6078" t="str">
            <v>1159-00</v>
          </cell>
          <cell r="C6078" t="str">
            <v>TELES BLOCK(R)</v>
          </cell>
          <cell r="D6078">
            <v>1081</v>
          </cell>
          <cell r="N6078" t="str">
            <v>1159-00</v>
          </cell>
          <cell r="O6078" t="str">
            <v>TELES BLOCK(R)</v>
          </cell>
          <cell r="P6078">
            <v>2162</v>
          </cell>
        </row>
        <row r="6079">
          <cell r="B6079" t="str">
            <v>970-01</v>
          </cell>
          <cell r="C6079" t="str">
            <v>REACTION BLOCK</v>
          </cell>
          <cell r="D6079">
            <v>1322.3999999999999</v>
          </cell>
          <cell r="N6079" t="str">
            <v>970-01</v>
          </cell>
          <cell r="O6079" t="str">
            <v>REACTION BLOCK</v>
          </cell>
          <cell r="P6079">
            <v>2204</v>
          </cell>
        </row>
        <row r="6080">
          <cell r="B6080" t="str">
            <v>970-02</v>
          </cell>
          <cell r="C6080" t="str">
            <v>REACTION BLOCK</v>
          </cell>
          <cell r="D6080">
            <v>1322.3999999999999</v>
          </cell>
          <cell r="N6080" t="str">
            <v>970-02</v>
          </cell>
          <cell r="O6080" t="str">
            <v>REACTION BLOCK</v>
          </cell>
          <cell r="P6080">
            <v>2204</v>
          </cell>
        </row>
        <row r="6081">
          <cell r="B6081" t="str">
            <v>970-03</v>
          </cell>
          <cell r="C6081" t="str">
            <v>REACTION BLOCK</v>
          </cell>
          <cell r="D6081">
            <v>1322.3999999999999</v>
          </cell>
          <cell r="N6081" t="str">
            <v>970-03</v>
          </cell>
          <cell r="O6081" t="str">
            <v>REACTION BLOCK</v>
          </cell>
          <cell r="P6081">
            <v>2204</v>
          </cell>
        </row>
        <row r="6082">
          <cell r="B6082" t="str">
            <v>970-04</v>
          </cell>
          <cell r="C6082" t="str">
            <v>REACTION BLOCK</v>
          </cell>
          <cell r="D6082">
            <v>1322.3999999999999</v>
          </cell>
          <cell r="N6082" t="str">
            <v>970-04</v>
          </cell>
          <cell r="O6082" t="str">
            <v>REACTION BLOCK</v>
          </cell>
          <cell r="P6082">
            <v>2204</v>
          </cell>
        </row>
        <row r="6083">
          <cell r="B6083" t="str">
            <v>970-04</v>
          </cell>
          <cell r="C6083" t="str">
            <v>REACTION BLOCK</v>
          </cell>
          <cell r="D6083">
            <v>1322.3999999999999</v>
          </cell>
          <cell r="N6083" t="str">
            <v>970-04</v>
          </cell>
          <cell r="O6083" t="str">
            <v>REACTION BLOCK</v>
          </cell>
          <cell r="P6083">
            <v>2204</v>
          </cell>
        </row>
        <row r="6084">
          <cell r="B6084" t="str">
            <v>970-04</v>
          </cell>
          <cell r="C6084" t="str">
            <v>REACTION BLOCK</v>
          </cell>
          <cell r="D6084">
            <v>1322.3999999999999</v>
          </cell>
          <cell r="N6084" t="str">
            <v>970-04</v>
          </cell>
          <cell r="O6084" t="str">
            <v>REACTION BLOCK</v>
          </cell>
          <cell r="P6084">
            <v>2204</v>
          </cell>
        </row>
        <row r="6085">
          <cell r="B6085" t="str">
            <v>970-04</v>
          </cell>
          <cell r="C6085" t="str">
            <v>REACTION BLOCK</v>
          </cell>
          <cell r="D6085">
            <v>1322.3999999999999</v>
          </cell>
          <cell r="N6085" t="str">
            <v>970-04</v>
          </cell>
          <cell r="O6085" t="str">
            <v>REACTION BLOCK</v>
          </cell>
          <cell r="P6085">
            <v>2204</v>
          </cell>
        </row>
        <row r="6086">
          <cell r="B6086" t="str">
            <v>970-05</v>
          </cell>
          <cell r="C6086" t="str">
            <v>REACTION BLOCK</v>
          </cell>
          <cell r="D6086">
            <v>1328.3999999999999</v>
          </cell>
          <cell r="N6086" t="str">
            <v>970-05</v>
          </cell>
          <cell r="O6086" t="str">
            <v>REACTION BLOCK</v>
          </cell>
          <cell r="P6086">
            <v>2214</v>
          </cell>
        </row>
        <row r="6087">
          <cell r="B6087" t="str">
            <v>970-05</v>
          </cell>
          <cell r="C6087" t="str">
            <v>REACTION BLOCK</v>
          </cell>
          <cell r="D6087">
            <v>1328.3999999999999</v>
          </cell>
          <cell r="N6087" t="str">
            <v>970-05</v>
          </cell>
          <cell r="O6087" t="str">
            <v>REACTION BLOCK</v>
          </cell>
          <cell r="P6087">
            <v>2214</v>
          </cell>
        </row>
        <row r="6088">
          <cell r="B6088" t="str">
            <v>970-05</v>
          </cell>
          <cell r="C6088" t="str">
            <v>REACTION BLOCK</v>
          </cell>
          <cell r="D6088">
            <v>1328.3999999999999</v>
          </cell>
          <cell r="N6088" t="str">
            <v>970-05</v>
          </cell>
          <cell r="O6088" t="str">
            <v>REACTION BLOCK</v>
          </cell>
          <cell r="P6088">
            <v>2214</v>
          </cell>
        </row>
        <row r="6089">
          <cell r="B6089" t="str">
            <v>970-05</v>
          </cell>
          <cell r="C6089" t="str">
            <v>REACTION BLOCK</v>
          </cell>
          <cell r="D6089">
            <v>1328.3999999999999</v>
          </cell>
          <cell r="N6089" t="str">
            <v>970-05</v>
          </cell>
          <cell r="O6089" t="str">
            <v>REACTION BLOCK</v>
          </cell>
          <cell r="P6089">
            <v>2214</v>
          </cell>
        </row>
        <row r="6090">
          <cell r="B6090" t="str">
            <v>1154-00</v>
          </cell>
          <cell r="C6090" t="str">
            <v>TELES BLOCK(L)</v>
          </cell>
          <cell r="D6090">
            <v>1124.5</v>
          </cell>
          <cell r="N6090" t="str">
            <v>1154-00</v>
          </cell>
          <cell r="O6090" t="str">
            <v>TELES BLOCK(L)</v>
          </cell>
          <cell r="P6090">
            <v>2249</v>
          </cell>
        </row>
        <row r="6091">
          <cell r="B6091" t="str">
            <v>1464-01</v>
          </cell>
          <cell r="C6091" t="str">
            <v>PULLEY</v>
          </cell>
          <cell r="D6091">
            <v>1078</v>
          </cell>
          <cell r="N6091" t="str">
            <v>1464-01</v>
          </cell>
          <cell r="O6091" t="str">
            <v>PULLEY</v>
          </cell>
          <cell r="P6091">
            <v>2156</v>
          </cell>
        </row>
        <row r="6092">
          <cell r="B6092" t="str">
            <v>1406-00</v>
          </cell>
          <cell r="C6092" t="str">
            <v>HUB</v>
          </cell>
          <cell r="D6092">
            <v>1380</v>
          </cell>
          <cell r="N6092" t="str">
            <v>1406-00</v>
          </cell>
          <cell r="O6092" t="str">
            <v>HUB</v>
          </cell>
          <cell r="P6092">
            <v>2300</v>
          </cell>
        </row>
        <row r="6093">
          <cell r="B6093" t="str">
            <v>1463-01</v>
          </cell>
          <cell r="C6093" t="str">
            <v>IMPELLER 400HF</v>
          </cell>
          <cell r="D6093">
            <v>1380</v>
          </cell>
          <cell r="N6093" t="str">
            <v>1463-01</v>
          </cell>
          <cell r="O6093" t="str">
            <v>IMPELLER 400HF</v>
          </cell>
          <cell r="P6093">
            <v>2300</v>
          </cell>
        </row>
        <row r="6094">
          <cell r="B6094" t="str">
            <v>1082-01</v>
          </cell>
          <cell r="C6094" t="str">
            <v>HUB(HIGH SPEED)</v>
          </cell>
          <cell r="D6094">
            <v>1156</v>
          </cell>
          <cell r="N6094" t="str">
            <v>1082-01</v>
          </cell>
          <cell r="O6094" t="str">
            <v>HUB(HIGH SPEED)</v>
          </cell>
          <cell r="P6094">
            <v>2312</v>
          </cell>
        </row>
        <row r="6095">
          <cell r="B6095" t="str">
            <v>1082-01</v>
          </cell>
          <cell r="C6095" t="str">
            <v>HUB(HIGH SPEED)</v>
          </cell>
          <cell r="D6095">
            <v>1156</v>
          </cell>
          <cell r="N6095" t="str">
            <v>1082-01</v>
          </cell>
          <cell r="O6095" t="str">
            <v>HUB(HIGH SPEED)</v>
          </cell>
          <cell r="P6095">
            <v>2312</v>
          </cell>
        </row>
        <row r="6096">
          <cell r="B6096" t="str">
            <v>1082-01</v>
          </cell>
          <cell r="C6096" t="str">
            <v>HUB(HIGH SPEED)</v>
          </cell>
          <cell r="D6096">
            <v>1156</v>
          </cell>
          <cell r="N6096" t="str">
            <v>1082-01</v>
          </cell>
          <cell r="O6096" t="str">
            <v>HUB(HIGH SPEED)</v>
          </cell>
          <cell r="P6096">
            <v>2312</v>
          </cell>
        </row>
        <row r="6097">
          <cell r="B6097" t="str">
            <v>1082-01</v>
          </cell>
          <cell r="C6097" t="str">
            <v>HUB(HIGH SPEED)</v>
          </cell>
          <cell r="D6097">
            <v>1156</v>
          </cell>
          <cell r="N6097" t="str">
            <v>1082-01</v>
          </cell>
          <cell r="O6097" t="str">
            <v>HUB(HIGH SPEED)</v>
          </cell>
          <cell r="P6097">
            <v>2312</v>
          </cell>
        </row>
        <row r="6098">
          <cell r="B6098" t="str">
            <v>1082-01</v>
          </cell>
          <cell r="C6098" t="str">
            <v>HUB(HIGH SPEED)</v>
          </cell>
          <cell r="D6098">
            <v>1156</v>
          </cell>
          <cell r="N6098" t="str">
            <v>1082-01</v>
          </cell>
          <cell r="O6098" t="str">
            <v>HUB(HIGH SPEED)</v>
          </cell>
          <cell r="P6098">
            <v>2312</v>
          </cell>
        </row>
        <row r="6099">
          <cell r="B6099" t="str">
            <v>1330-04</v>
          </cell>
          <cell r="C6099" t="str">
            <v>SUPPORT CYLINDER ASS'Y</v>
          </cell>
          <cell r="D6099">
            <v>1406.3999999999999</v>
          </cell>
          <cell r="N6099" t="str">
            <v>1330-04</v>
          </cell>
          <cell r="O6099" t="str">
            <v>SUPPORT CYLINDER ASS'Y</v>
          </cell>
          <cell r="P6099">
            <v>2344</v>
          </cell>
        </row>
        <row r="6100">
          <cell r="B6100" t="str">
            <v>1330-04</v>
          </cell>
          <cell r="C6100" t="str">
            <v>SUPPORT CYLINDER ASS'Y</v>
          </cell>
          <cell r="D6100">
            <v>1406.3999999999999</v>
          </cell>
          <cell r="N6100" t="str">
            <v>1330-04</v>
          </cell>
          <cell r="O6100" t="str">
            <v>SUPPORT CYLINDER ASS'Y</v>
          </cell>
          <cell r="P6100">
            <v>2344</v>
          </cell>
        </row>
        <row r="6101">
          <cell r="B6101" t="str">
            <v>1785-00</v>
          </cell>
          <cell r="C6101" t="str">
            <v>MOTOR PULLEY</v>
          </cell>
          <cell r="D6101">
            <v>1175.5</v>
          </cell>
          <cell r="N6101" t="str">
            <v>1785-00</v>
          </cell>
          <cell r="O6101" t="str">
            <v>MOTOR PULLEY</v>
          </cell>
          <cell r="P6101">
            <v>2351</v>
          </cell>
        </row>
        <row r="6102">
          <cell r="B6102" t="str">
            <v>1785-00</v>
          </cell>
          <cell r="C6102" t="str">
            <v>MOTOR PULLEY</v>
          </cell>
          <cell r="D6102">
            <v>1175.5</v>
          </cell>
          <cell r="N6102" t="str">
            <v>1785-00</v>
          </cell>
          <cell r="O6102" t="str">
            <v>MOTOR PULLEY</v>
          </cell>
          <cell r="P6102">
            <v>2351</v>
          </cell>
        </row>
        <row r="6103">
          <cell r="B6103" t="str">
            <v>1330-05</v>
          </cell>
          <cell r="C6103" t="str">
            <v>SUPPORT CYLINDER ASS'Y</v>
          </cell>
          <cell r="D6103">
            <v>1422</v>
          </cell>
          <cell r="N6103" t="str">
            <v>1330-05</v>
          </cell>
          <cell r="O6103" t="str">
            <v>SUPPORT CYLINDER ASS'Y</v>
          </cell>
          <cell r="P6103">
            <v>2370</v>
          </cell>
        </row>
        <row r="6104">
          <cell r="B6104" t="str">
            <v>1330-05</v>
          </cell>
          <cell r="C6104" t="str">
            <v>SUPPORT CYLINDER ASS'Y</v>
          </cell>
          <cell r="D6104">
            <v>1422</v>
          </cell>
          <cell r="N6104" t="str">
            <v>1330-05</v>
          </cell>
          <cell r="O6104" t="str">
            <v>SUPPORT CYLINDER ASS'Y</v>
          </cell>
          <cell r="P6104">
            <v>2370</v>
          </cell>
        </row>
        <row r="6105">
          <cell r="B6105" t="str">
            <v>1463-02</v>
          </cell>
          <cell r="C6105" t="str">
            <v>IMPELLER 600HF</v>
          </cell>
          <cell r="D6105">
            <v>1440</v>
          </cell>
          <cell r="N6105" t="str">
            <v>1463-02</v>
          </cell>
          <cell r="O6105" t="str">
            <v>IMPELLER 600HF</v>
          </cell>
          <cell r="P6105">
            <v>2400</v>
          </cell>
        </row>
        <row r="6106">
          <cell r="B6106" t="str">
            <v>904-03</v>
          </cell>
          <cell r="C6106" t="str">
            <v>CLUTCH GEAR</v>
          </cell>
          <cell r="D6106">
            <v>1440</v>
          </cell>
          <cell r="N6106" t="str">
            <v>904-03</v>
          </cell>
          <cell r="O6106" t="str">
            <v>CLUTCH GEAR</v>
          </cell>
          <cell r="P6106">
            <v>2400</v>
          </cell>
        </row>
        <row r="6107">
          <cell r="B6107" t="str">
            <v>1695-00</v>
          </cell>
          <cell r="C6107" t="str">
            <v>MOTOR PULLEY</v>
          </cell>
          <cell r="D6107">
            <v>928</v>
          </cell>
          <cell r="N6107" t="str">
            <v>1695-00</v>
          </cell>
          <cell r="O6107" t="str">
            <v>MOTOR PULLEY</v>
          </cell>
          <cell r="P6107">
            <v>1856</v>
          </cell>
        </row>
        <row r="6108">
          <cell r="B6108" t="str">
            <v>1695-00</v>
          </cell>
          <cell r="C6108" t="str">
            <v>MOTOR PULLEY</v>
          </cell>
          <cell r="D6108">
            <v>928</v>
          </cell>
          <cell r="N6108" t="str">
            <v>1695-00</v>
          </cell>
          <cell r="O6108" t="str">
            <v>MOTOR PULLEY</v>
          </cell>
          <cell r="P6108">
            <v>1856</v>
          </cell>
        </row>
        <row r="6109">
          <cell r="B6109" t="str">
            <v>1785-00</v>
          </cell>
          <cell r="C6109" t="str">
            <v>MOTOR PULLEY</v>
          </cell>
          <cell r="D6109">
            <v>1175.5</v>
          </cell>
          <cell r="N6109" t="str">
            <v>1785-00</v>
          </cell>
          <cell r="O6109" t="str">
            <v>MOTOR PULLEY</v>
          </cell>
          <cell r="P6109">
            <v>2351</v>
          </cell>
        </row>
        <row r="6110">
          <cell r="B6110" t="str">
            <v>1785-00</v>
          </cell>
          <cell r="C6110" t="str">
            <v>MOTOR PULLEY</v>
          </cell>
          <cell r="D6110">
            <v>1175.5</v>
          </cell>
          <cell r="N6110" t="str">
            <v>1785-00</v>
          </cell>
          <cell r="O6110" t="str">
            <v>MOTOR PULLEY</v>
          </cell>
          <cell r="P6110">
            <v>2351</v>
          </cell>
        </row>
        <row r="6111">
          <cell r="B6111" t="str">
            <v>1464-00</v>
          </cell>
          <cell r="C6111" t="str">
            <v>PULLEY</v>
          </cell>
          <cell r="D6111">
            <v>1204.5</v>
          </cell>
          <cell r="N6111" t="str">
            <v>1464-00</v>
          </cell>
          <cell r="O6111" t="str">
            <v>PULLEY</v>
          </cell>
          <cell r="P6111">
            <v>2409</v>
          </cell>
        </row>
        <row r="6112">
          <cell r="B6112" t="str">
            <v>1469-01</v>
          </cell>
          <cell r="C6112" t="str">
            <v>CAM</v>
          </cell>
          <cell r="D6112">
            <v>1208.5</v>
          </cell>
          <cell r="N6112" t="str">
            <v>1469-01</v>
          </cell>
          <cell r="O6112" t="str">
            <v>CAM</v>
          </cell>
          <cell r="P6112">
            <v>2417</v>
          </cell>
        </row>
        <row r="6113">
          <cell r="B6113" t="str">
            <v>1256-00</v>
          </cell>
          <cell r="C6113" t="str">
            <v>DISTANCE GEAR</v>
          </cell>
          <cell r="D6113">
            <v>1466.3999999999999</v>
          </cell>
          <cell r="N6113" t="str">
            <v>1256-00</v>
          </cell>
          <cell r="O6113" t="str">
            <v>DISTANCE GEAR</v>
          </cell>
          <cell r="P6113">
            <v>2444</v>
          </cell>
        </row>
        <row r="6114">
          <cell r="B6114" t="str">
            <v>1464-01</v>
          </cell>
          <cell r="C6114" t="str">
            <v>PULLEY</v>
          </cell>
          <cell r="D6114">
            <v>1078</v>
          </cell>
          <cell r="N6114" t="str">
            <v>1464-01</v>
          </cell>
          <cell r="O6114" t="str">
            <v>PULLEY</v>
          </cell>
          <cell r="P6114">
            <v>2156</v>
          </cell>
        </row>
        <row r="6115">
          <cell r="B6115" t="str">
            <v>980-01</v>
          </cell>
          <cell r="C6115" t="str">
            <v>REACTION BLOCK</v>
          </cell>
          <cell r="D6115">
            <v>1530</v>
          </cell>
          <cell r="N6115" t="str">
            <v>980-01</v>
          </cell>
          <cell r="O6115" t="str">
            <v>REACTION BLOCK</v>
          </cell>
          <cell r="P6115">
            <v>2550</v>
          </cell>
        </row>
        <row r="6116">
          <cell r="B6116" t="str">
            <v>980-02</v>
          </cell>
          <cell r="C6116" t="str">
            <v>REACTION BLOCK</v>
          </cell>
          <cell r="D6116">
            <v>1530</v>
          </cell>
          <cell r="N6116" t="str">
            <v>980-02</v>
          </cell>
          <cell r="O6116" t="str">
            <v>REACTION BLOCK</v>
          </cell>
          <cell r="P6116">
            <v>2550</v>
          </cell>
        </row>
        <row r="6117">
          <cell r="B6117" t="str">
            <v>980-02</v>
          </cell>
          <cell r="C6117" t="str">
            <v>REACTION BLOCK</v>
          </cell>
          <cell r="D6117">
            <v>1530</v>
          </cell>
          <cell r="N6117" t="str">
            <v>980-02</v>
          </cell>
          <cell r="O6117" t="str">
            <v>REACTION BLOCK</v>
          </cell>
          <cell r="P6117">
            <v>2550</v>
          </cell>
        </row>
        <row r="6118">
          <cell r="B6118" t="str">
            <v>980-03</v>
          </cell>
          <cell r="C6118" t="str">
            <v>REACTION BLOCK</v>
          </cell>
          <cell r="D6118">
            <v>1530</v>
          </cell>
          <cell r="N6118" t="str">
            <v>980-03</v>
          </cell>
          <cell r="O6118" t="str">
            <v>REACTION BLOCK</v>
          </cell>
          <cell r="P6118">
            <v>2550</v>
          </cell>
        </row>
        <row r="6119">
          <cell r="B6119" t="str">
            <v>980-03</v>
          </cell>
          <cell r="C6119" t="str">
            <v>REACTION BLOCK</v>
          </cell>
          <cell r="D6119">
            <v>1530</v>
          </cell>
          <cell r="N6119" t="str">
            <v>980-03</v>
          </cell>
          <cell r="O6119" t="str">
            <v>REACTION BLOCK</v>
          </cell>
          <cell r="P6119">
            <v>2550</v>
          </cell>
        </row>
        <row r="6120">
          <cell r="B6120" t="str">
            <v>980-03</v>
          </cell>
          <cell r="C6120" t="str">
            <v>REACTION BLOCK</v>
          </cell>
          <cell r="D6120">
            <v>1530</v>
          </cell>
          <cell r="N6120" t="str">
            <v>980-03</v>
          </cell>
          <cell r="O6120" t="str">
            <v>REACTION BLOCK</v>
          </cell>
          <cell r="P6120">
            <v>2550</v>
          </cell>
        </row>
        <row r="6121">
          <cell r="B6121" t="str">
            <v>980-03</v>
          </cell>
          <cell r="C6121" t="str">
            <v>REACTION BLOCK</v>
          </cell>
          <cell r="D6121">
            <v>1530</v>
          </cell>
          <cell r="N6121" t="str">
            <v>980-03</v>
          </cell>
          <cell r="O6121" t="str">
            <v>REACTION BLOCK</v>
          </cell>
          <cell r="P6121">
            <v>2550</v>
          </cell>
        </row>
        <row r="6122">
          <cell r="B6122" t="str">
            <v>980-03</v>
          </cell>
          <cell r="C6122" t="str">
            <v>REACTION BLOCK</v>
          </cell>
          <cell r="D6122">
            <v>1530</v>
          </cell>
          <cell r="N6122" t="str">
            <v>980-03</v>
          </cell>
          <cell r="O6122" t="str">
            <v>REACTION BLOCK</v>
          </cell>
          <cell r="P6122">
            <v>2550</v>
          </cell>
        </row>
        <row r="6123">
          <cell r="B6123" t="str">
            <v>1464-00</v>
          </cell>
          <cell r="C6123" t="str">
            <v>PULLEY</v>
          </cell>
          <cell r="D6123">
            <v>1204.5</v>
          </cell>
          <cell r="N6123" t="str">
            <v>1464-00</v>
          </cell>
          <cell r="O6123" t="str">
            <v>PULLEY</v>
          </cell>
          <cell r="P6123">
            <v>2409</v>
          </cell>
        </row>
        <row r="6124">
          <cell r="B6124" t="str">
            <v>980-04</v>
          </cell>
          <cell r="C6124" t="str">
            <v>REACTION BLOCK</v>
          </cell>
          <cell r="D6124">
            <v>1536</v>
          </cell>
          <cell r="N6124" t="str">
            <v>980-04</v>
          </cell>
          <cell r="O6124" t="str">
            <v>REACTION BLOCK</v>
          </cell>
          <cell r="P6124">
            <v>2560</v>
          </cell>
        </row>
        <row r="6125">
          <cell r="B6125" t="str">
            <v>980-04</v>
          </cell>
          <cell r="C6125" t="str">
            <v>REACTION BLOCK</v>
          </cell>
          <cell r="D6125">
            <v>1536</v>
          </cell>
          <cell r="N6125" t="str">
            <v>980-04</v>
          </cell>
          <cell r="O6125" t="str">
            <v>REACTION BLOCK</v>
          </cell>
          <cell r="P6125">
            <v>2560</v>
          </cell>
        </row>
        <row r="6126">
          <cell r="B6126" t="str">
            <v>980-04</v>
          </cell>
          <cell r="C6126" t="str">
            <v>REACTION BLOCK</v>
          </cell>
          <cell r="D6126">
            <v>1536</v>
          </cell>
          <cell r="N6126" t="str">
            <v>980-04</v>
          </cell>
          <cell r="O6126" t="str">
            <v>REACTION BLOCK</v>
          </cell>
          <cell r="P6126">
            <v>2560</v>
          </cell>
        </row>
        <row r="6127">
          <cell r="B6127" t="str">
            <v>980-04</v>
          </cell>
          <cell r="C6127" t="str">
            <v>REACTION BLOCK</v>
          </cell>
          <cell r="D6127">
            <v>1536</v>
          </cell>
          <cell r="N6127" t="str">
            <v>980-04</v>
          </cell>
          <cell r="O6127" t="str">
            <v>REACTION BLOCK</v>
          </cell>
          <cell r="P6127">
            <v>2560</v>
          </cell>
        </row>
        <row r="6128">
          <cell r="B6128" t="str">
            <v>980-04</v>
          </cell>
          <cell r="C6128" t="str">
            <v>REACTION BLOCK</v>
          </cell>
          <cell r="D6128">
            <v>1536</v>
          </cell>
          <cell r="N6128" t="str">
            <v>980-04</v>
          </cell>
          <cell r="O6128" t="str">
            <v>REACTION BLOCK</v>
          </cell>
          <cell r="P6128">
            <v>2560</v>
          </cell>
        </row>
        <row r="6129">
          <cell r="B6129" t="str">
            <v>980-05</v>
          </cell>
          <cell r="C6129" t="str">
            <v>REACTION BLOCK</v>
          </cell>
          <cell r="D6129">
            <v>1536</v>
          </cell>
          <cell r="N6129" t="str">
            <v>980-05</v>
          </cell>
          <cell r="O6129" t="str">
            <v>REACTION BLOCK</v>
          </cell>
          <cell r="P6129">
            <v>2560</v>
          </cell>
        </row>
        <row r="6130">
          <cell r="B6130" t="str">
            <v>980-05</v>
          </cell>
          <cell r="C6130" t="str">
            <v>REACTION BLOCK</v>
          </cell>
          <cell r="D6130">
            <v>1536</v>
          </cell>
          <cell r="N6130" t="str">
            <v>980-05</v>
          </cell>
          <cell r="O6130" t="str">
            <v>REACTION BLOCK</v>
          </cell>
          <cell r="P6130">
            <v>2560</v>
          </cell>
        </row>
        <row r="6131">
          <cell r="B6131" t="str">
            <v>980-05</v>
          </cell>
          <cell r="C6131" t="str">
            <v>REACTION BLOCK</v>
          </cell>
          <cell r="D6131">
            <v>1536</v>
          </cell>
          <cell r="N6131" t="str">
            <v>980-05</v>
          </cell>
          <cell r="O6131" t="str">
            <v>REACTION BLOCK</v>
          </cell>
          <cell r="P6131">
            <v>2560</v>
          </cell>
        </row>
        <row r="6132">
          <cell r="B6132" t="str">
            <v>980-05</v>
          </cell>
          <cell r="C6132" t="str">
            <v>REACTION BLOCK</v>
          </cell>
          <cell r="D6132">
            <v>1536</v>
          </cell>
          <cell r="N6132" t="str">
            <v>980-05</v>
          </cell>
          <cell r="O6132" t="str">
            <v>REACTION BLOCK</v>
          </cell>
          <cell r="P6132">
            <v>2560</v>
          </cell>
        </row>
        <row r="6133">
          <cell r="B6133" t="str">
            <v>980-06</v>
          </cell>
          <cell r="C6133" t="str">
            <v>REACTION BLOCK</v>
          </cell>
          <cell r="D6133">
            <v>1536</v>
          </cell>
          <cell r="N6133" t="str">
            <v>980-06</v>
          </cell>
          <cell r="O6133" t="str">
            <v>REACTION BLOCK</v>
          </cell>
          <cell r="P6133">
            <v>2560</v>
          </cell>
        </row>
        <row r="6134">
          <cell r="B6134" t="str">
            <v>980-06</v>
          </cell>
          <cell r="C6134" t="str">
            <v>REACTION BLOCK</v>
          </cell>
          <cell r="D6134">
            <v>1536</v>
          </cell>
          <cell r="N6134" t="str">
            <v>980-06</v>
          </cell>
          <cell r="O6134" t="str">
            <v>REACTION BLOCK</v>
          </cell>
          <cell r="P6134">
            <v>2560</v>
          </cell>
        </row>
        <row r="6135">
          <cell r="B6135" t="str">
            <v>980-06</v>
          </cell>
          <cell r="C6135" t="str">
            <v>REACTION BLOCK</v>
          </cell>
          <cell r="D6135">
            <v>1536</v>
          </cell>
          <cell r="N6135" t="str">
            <v>980-06</v>
          </cell>
          <cell r="O6135" t="str">
            <v>REACTION BLOCK</v>
          </cell>
          <cell r="P6135">
            <v>2560</v>
          </cell>
        </row>
        <row r="6136">
          <cell r="B6136" t="str">
            <v>980-07</v>
          </cell>
          <cell r="C6136" t="str">
            <v>REACTION BLOCK</v>
          </cell>
          <cell r="D6136">
            <v>1542</v>
          </cell>
          <cell r="N6136" t="str">
            <v>980-07</v>
          </cell>
          <cell r="O6136" t="str">
            <v>REACTION BLOCK</v>
          </cell>
          <cell r="P6136">
            <v>2570</v>
          </cell>
        </row>
        <row r="6137">
          <cell r="B6137" t="str">
            <v>5009-00</v>
          </cell>
          <cell r="C6137" t="str">
            <v>PLATE LOW &amp; REV CLU BKG</v>
          </cell>
          <cell r="D6137">
            <v>1286</v>
          </cell>
          <cell r="N6137" t="str">
            <v>5009-00</v>
          </cell>
          <cell r="O6137" t="str">
            <v>PLATE LOW &amp; REV CLU BKG</v>
          </cell>
          <cell r="P6137">
            <v>2572</v>
          </cell>
        </row>
        <row r="6138">
          <cell r="B6138" t="str">
            <v>5009-00</v>
          </cell>
          <cell r="C6138" t="str">
            <v>PLATE LOW &amp; REV CLU BKG</v>
          </cell>
          <cell r="D6138">
            <v>1286</v>
          </cell>
          <cell r="N6138" t="str">
            <v>5009-00</v>
          </cell>
          <cell r="O6138" t="str">
            <v>PLATE LOW &amp; REV CLU BKG</v>
          </cell>
          <cell r="P6138">
            <v>2572</v>
          </cell>
        </row>
        <row r="6139">
          <cell r="B6139" t="str">
            <v>1781-00</v>
          </cell>
          <cell r="C6139" t="str">
            <v>PULLEY</v>
          </cell>
          <cell r="D6139">
            <v>1292</v>
          </cell>
          <cell r="N6139" t="str">
            <v>1781-00</v>
          </cell>
          <cell r="O6139" t="str">
            <v>PULLEY</v>
          </cell>
          <cell r="P6139">
            <v>2584</v>
          </cell>
        </row>
        <row r="6140">
          <cell r="B6140" t="str">
            <v>1540-01</v>
          </cell>
          <cell r="C6140" t="str">
            <v>IMPELLER 750HF</v>
          </cell>
          <cell r="D6140">
            <v>1300</v>
          </cell>
          <cell r="N6140" t="str">
            <v>1540-01</v>
          </cell>
          <cell r="O6140" t="str">
            <v>IMPELLER 750HF</v>
          </cell>
          <cell r="P6140">
            <v>2600</v>
          </cell>
        </row>
        <row r="6141">
          <cell r="B6141" t="str">
            <v>1081-01</v>
          </cell>
          <cell r="C6141" t="str">
            <v>HUB(LOW SPEED)</v>
          </cell>
          <cell r="D6141">
            <v>1329</v>
          </cell>
          <cell r="N6141" t="str">
            <v>1081-01</v>
          </cell>
          <cell r="O6141" t="str">
            <v>HUB(LOW SPEED)</v>
          </cell>
          <cell r="P6141">
            <v>2658</v>
          </cell>
        </row>
        <row r="6142">
          <cell r="B6142" t="str">
            <v>1081-01</v>
          </cell>
          <cell r="C6142" t="str">
            <v>HUB(LOW SPEED)</v>
          </cell>
          <cell r="D6142">
            <v>1329</v>
          </cell>
          <cell r="N6142" t="str">
            <v>1081-01</v>
          </cell>
          <cell r="O6142" t="str">
            <v>HUB(LOW SPEED)</v>
          </cell>
          <cell r="P6142">
            <v>2658</v>
          </cell>
        </row>
        <row r="6143">
          <cell r="B6143" t="str">
            <v>1081-01</v>
          </cell>
          <cell r="C6143" t="str">
            <v>HUB(LOW SPEED)</v>
          </cell>
          <cell r="D6143">
            <v>1329</v>
          </cell>
          <cell r="N6143" t="str">
            <v>1081-01</v>
          </cell>
          <cell r="O6143" t="str">
            <v>HUB(LOW SPEED)</v>
          </cell>
          <cell r="P6143">
            <v>2658</v>
          </cell>
        </row>
        <row r="6144">
          <cell r="B6144" t="str">
            <v>1081-01</v>
          </cell>
          <cell r="C6144" t="str">
            <v>HUB(LOW SPEED)</v>
          </cell>
          <cell r="D6144">
            <v>1329</v>
          </cell>
          <cell r="N6144" t="str">
            <v>1081-01</v>
          </cell>
          <cell r="O6144" t="str">
            <v>HUB(LOW SPEED)</v>
          </cell>
          <cell r="P6144">
            <v>2658</v>
          </cell>
        </row>
        <row r="6145">
          <cell r="B6145" t="str">
            <v>1081-01</v>
          </cell>
          <cell r="C6145" t="str">
            <v>HUB(LOW SPEED)</v>
          </cell>
          <cell r="D6145">
            <v>1329</v>
          </cell>
          <cell r="N6145" t="str">
            <v>1081-01</v>
          </cell>
          <cell r="O6145" t="str">
            <v>HUB(LOW SPEED)</v>
          </cell>
          <cell r="P6145">
            <v>2658</v>
          </cell>
        </row>
        <row r="6146">
          <cell r="B6146" t="str">
            <v>1540-02</v>
          </cell>
          <cell r="C6146" t="str">
            <v>IMPELLER 900HF</v>
          </cell>
          <cell r="D6146">
            <v>1350</v>
          </cell>
          <cell r="N6146" t="str">
            <v>1540-02</v>
          </cell>
          <cell r="O6146" t="str">
            <v>IMPELLER 900HF</v>
          </cell>
          <cell r="P6146">
            <v>2700</v>
          </cell>
        </row>
        <row r="6147">
          <cell r="B6147" t="str">
            <v>1080-08</v>
          </cell>
          <cell r="C6147" t="str">
            <v>REACTION BLOCK</v>
          </cell>
          <cell r="D6147">
            <v>1660.8</v>
          </cell>
          <cell r="N6147" t="str">
            <v>1080-08</v>
          </cell>
          <cell r="O6147" t="str">
            <v>REACTION BLOCK</v>
          </cell>
          <cell r="P6147">
            <v>2768</v>
          </cell>
        </row>
        <row r="6148">
          <cell r="B6148" t="str">
            <v>1080-05</v>
          </cell>
          <cell r="C6148" t="str">
            <v>REACTION BLOCK</v>
          </cell>
          <cell r="D6148">
            <v>1684.8</v>
          </cell>
          <cell r="N6148" t="str">
            <v>1080-05</v>
          </cell>
          <cell r="O6148" t="str">
            <v>REACTION BLOCK</v>
          </cell>
          <cell r="P6148">
            <v>2808</v>
          </cell>
        </row>
        <row r="6149">
          <cell r="B6149" t="str">
            <v>1080-05</v>
          </cell>
          <cell r="C6149" t="str">
            <v>REACTION BLOCK</v>
          </cell>
          <cell r="D6149">
            <v>1684.8</v>
          </cell>
          <cell r="N6149" t="str">
            <v>1080-05</v>
          </cell>
          <cell r="O6149" t="str">
            <v>REACTION BLOCK</v>
          </cell>
          <cell r="P6149">
            <v>2808</v>
          </cell>
        </row>
        <row r="6150">
          <cell r="B6150" t="str">
            <v>1080-05</v>
          </cell>
          <cell r="C6150" t="str">
            <v>REACTION BLOCK</v>
          </cell>
          <cell r="D6150">
            <v>1684.8</v>
          </cell>
          <cell r="N6150" t="str">
            <v>1080-05</v>
          </cell>
          <cell r="O6150" t="str">
            <v>REACTION BLOCK</v>
          </cell>
          <cell r="P6150">
            <v>2808</v>
          </cell>
        </row>
        <row r="6151">
          <cell r="B6151" t="str">
            <v>1080-05</v>
          </cell>
          <cell r="C6151" t="str">
            <v>REACTION BLOCK</v>
          </cell>
          <cell r="D6151">
            <v>1684.8</v>
          </cell>
          <cell r="N6151" t="str">
            <v>1080-05</v>
          </cell>
          <cell r="O6151" t="str">
            <v>REACTION BLOCK</v>
          </cell>
          <cell r="P6151">
            <v>2808</v>
          </cell>
        </row>
        <row r="6152">
          <cell r="B6152" t="str">
            <v>1080-05</v>
          </cell>
          <cell r="C6152" t="str">
            <v>REACTION BLOCK</v>
          </cell>
          <cell r="D6152">
            <v>1684.8</v>
          </cell>
          <cell r="N6152" t="str">
            <v>1080-05</v>
          </cell>
          <cell r="O6152" t="str">
            <v>REACTION BLOCK</v>
          </cell>
          <cell r="P6152">
            <v>2808</v>
          </cell>
        </row>
        <row r="6153">
          <cell r="B6153" t="str">
            <v>1080-06</v>
          </cell>
          <cell r="C6153" t="str">
            <v>REACTION BLOCK</v>
          </cell>
          <cell r="D6153">
            <v>1684.8</v>
          </cell>
          <cell r="N6153" t="str">
            <v>1080-06</v>
          </cell>
          <cell r="O6153" t="str">
            <v>REACTION BLOCK</v>
          </cell>
          <cell r="P6153">
            <v>2808</v>
          </cell>
        </row>
        <row r="6154">
          <cell r="B6154" t="str">
            <v>1080-06</v>
          </cell>
          <cell r="C6154" t="str">
            <v>REACTION BLOCK</v>
          </cell>
          <cell r="D6154">
            <v>1684.8</v>
          </cell>
          <cell r="N6154" t="str">
            <v>1080-06</v>
          </cell>
          <cell r="O6154" t="str">
            <v>REACTION BLOCK</v>
          </cell>
          <cell r="P6154">
            <v>2808</v>
          </cell>
        </row>
        <row r="6155">
          <cell r="B6155" t="str">
            <v>1080-06</v>
          </cell>
          <cell r="C6155" t="str">
            <v>REACTION BLOCK</v>
          </cell>
          <cell r="D6155">
            <v>1684.8</v>
          </cell>
          <cell r="N6155" t="str">
            <v>1080-06</v>
          </cell>
          <cell r="O6155" t="str">
            <v>REACTION BLOCK</v>
          </cell>
          <cell r="P6155">
            <v>2808</v>
          </cell>
        </row>
        <row r="6156">
          <cell r="B6156" t="str">
            <v>1080-06</v>
          </cell>
          <cell r="C6156" t="str">
            <v>REACTION BLOCK</v>
          </cell>
          <cell r="D6156">
            <v>1684.8</v>
          </cell>
          <cell r="N6156" t="str">
            <v>1080-06</v>
          </cell>
          <cell r="O6156" t="str">
            <v>REACTION BLOCK</v>
          </cell>
          <cell r="P6156">
            <v>2808</v>
          </cell>
        </row>
        <row r="6157">
          <cell r="B6157" t="str">
            <v>1080-06</v>
          </cell>
          <cell r="C6157" t="str">
            <v>REACTION BLOCK</v>
          </cell>
          <cell r="D6157">
            <v>1684.8</v>
          </cell>
          <cell r="N6157" t="str">
            <v>1080-06</v>
          </cell>
          <cell r="O6157" t="str">
            <v>REACTION BLOCK</v>
          </cell>
          <cell r="P6157">
            <v>2808</v>
          </cell>
        </row>
        <row r="6158">
          <cell r="B6158" t="str">
            <v>5009-00</v>
          </cell>
          <cell r="C6158" t="str">
            <v>PLATE LOW &amp; REV CLU BKG</v>
          </cell>
          <cell r="D6158">
            <v>1286</v>
          </cell>
          <cell r="N6158" t="str">
            <v>5009-00</v>
          </cell>
          <cell r="O6158" t="str">
            <v>PLATE LOW &amp; REV CLU BKG</v>
          </cell>
          <cell r="P6158">
            <v>2572</v>
          </cell>
        </row>
        <row r="6159">
          <cell r="B6159" t="str">
            <v>5009-00</v>
          </cell>
          <cell r="C6159" t="str">
            <v>PLATE LOW &amp; REV CLU BKG</v>
          </cell>
          <cell r="D6159">
            <v>1286</v>
          </cell>
          <cell r="N6159" t="str">
            <v>5009-00</v>
          </cell>
          <cell r="O6159" t="str">
            <v>PLATE LOW &amp; REV CLU BKG</v>
          </cell>
          <cell r="P6159">
            <v>2572</v>
          </cell>
        </row>
        <row r="6160">
          <cell r="B6160" t="str">
            <v>5009-00</v>
          </cell>
          <cell r="C6160" t="str">
            <v>PLATE LOW &amp; REV CLU BKG</v>
          </cell>
          <cell r="D6160">
            <v>1286</v>
          </cell>
          <cell r="N6160" t="str">
            <v>5009-00</v>
          </cell>
          <cell r="O6160" t="str">
            <v>PLATE LOW &amp; REV CLU BKG</v>
          </cell>
          <cell r="P6160">
            <v>2572</v>
          </cell>
        </row>
        <row r="6161">
          <cell r="B6161" t="str">
            <v>1080-07</v>
          </cell>
          <cell r="C6161" t="str">
            <v>REACTION BLOCK</v>
          </cell>
          <cell r="D6161">
            <v>1690.8</v>
          </cell>
          <cell r="N6161" t="str">
            <v>1080-07</v>
          </cell>
          <cell r="O6161" t="str">
            <v>REACTION BLOCK</v>
          </cell>
          <cell r="P6161">
            <v>2818</v>
          </cell>
        </row>
        <row r="6162">
          <cell r="B6162" t="str">
            <v>5004-00</v>
          </cell>
          <cell r="C6162" t="str">
            <v>PLATE LOW &amp; REV CLU BKG</v>
          </cell>
          <cell r="D6162">
            <v>1423</v>
          </cell>
          <cell r="N6162" t="str">
            <v>5004-00</v>
          </cell>
          <cell r="O6162" t="str">
            <v>PLATE LOW &amp; REV CLU BKG</v>
          </cell>
          <cell r="P6162">
            <v>2846</v>
          </cell>
        </row>
        <row r="6163">
          <cell r="B6163" t="str">
            <v>5004-00</v>
          </cell>
          <cell r="C6163" t="str">
            <v>PLATE LOW &amp; REV CLU BKG</v>
          </cell>
          <cell r="D6163">
            <v>1423</v>
          </cell>
          <cell r="N6163" t="str">
            <v>5004-00</v>
          </cell>
          <cell r="O6163" t="str">
            <v>PLATE LOW &amp; REV CLU BKG</v>
          </cell>
          <cell r="P6163">
            <v>2846</v>
          </cell>
        </row>
        <row r="6164">
          <cell r="B6164" t="str">
            <v>1080-01</v>
          </cell>
          <cell r="C6164" t="str">
            <v>REACTION BLOCK</v>
          </cell>
          <cell r="D6164">
            <v>1708.8</v>
          </cell>
          <cell r="N6164" t="str">
            <v>1080-01</v>
          </cell>
          <cell r="O6164" t="str">
            <v>REACTION BLOCK</v>
          </cell>
          <cell r="P6164">
            <v>2848</v>
          </cell>
        </row>
        <row r="6165">
          <cell r="B6165" t="str">
            <v>1080-02</v>
          </cell>
          <cell r="C6165" t="str">
            <v>REACTION BLOCK</v>
          </cell>
          <cell r="D6165">
            <v>1708.8</v>
          </cell>
          <cell r="N6165" t="str">
            <v>1080-02</v>
          </cell>
          <cell r="O6165" t="str">
            <v>REACTION BLOCK</v>
          </cell>
          <cell r="P6165">
            <v>2848</v>
          </cell>
        </row>
        <row r="6166">
          <cell r="B6166" t="str">
            <v>1080-04</v>
          </cell>
          <cell r="C6166" t="str">
            <v>REACTION BLOCK</v>
          </cell>
          <cell r="D6166">
            <v>1714.8</v>
          </cell>
          <cell r="N6166" t="str">
            <v>1080-04</v>
          </cell>
          <cell r="O6166" t="str">
            <v>REACTION BLOCK</v>
          </cell>
          <cell r="P6166">
            <v>2858</v>
          </cell>
        </row>
        <row r="6167">
          <cell r="B6167" t="str">
            <v>1080-04</v>
          </cell>
          <cell r="C6167" t="str">
            <v>REACTION BLOCK</v>
          </cell>
          <cell r="D6167">
            <v>1714.8</v>
          </cell>
          <cell r="N6167" t="str">
            <v>1080-04</v>
          </cell>
          <cell r="O6167" t="str">
            <v>REACTION BLOCK</v>
          </cell>
          <cell r="P6167">
            <v>2858</v>
          </cell>
        </row>
        <row r="6168">
          <cell r="B6168" t="str">
            <v>1080-04</v>
          </cell>
          <cell r="C6168" t="str">
            <v>REACTION BLOCK</v>
          </cell>
          <cell r="D6168">
            <v>1714.8</v>
          </cell>
          <cell r="N6168" t="str">
            <v>1080-04</v>
          </cell>
          <cell r="O6168" t="str">
            <v>REACTION BLOCK</v>
          </cell>
          <cell r="P6168">
            <v>2858</v>
          </cell>
        </row>
        <row r="6169">
          <cell r="B6169" t="str">
            <v>1510-01</v>
          </cell>
          <cell r="C6169" t="str">
            <v>PULLEY LARGE</v>
          </cell>
          <cell r="D6169">
            <v>1433.5</v>
          </cell>
          <cell r="N6169" t="str">
            <v>1510-01</v>
          </cell>
          <cell r="O6169" t="str">
            <v>PULLEY LARGE</v>
          </cell>
          <cell r="P6169">
            <v>2867</v>
          </cell>
        </row>
        <row r="6170">
          <cell r="B6170" t="str">
            <v>1080-03</v>
          </cell>
          <cell r="C6170" t="str">
            <v>REACTION BLOCK</v>
          </cell>
          <cell r="D6170">
            <v>1738.8</v>
          </cell>
          <cell r="N6170" t="str">
            <v>1080-03</v>
          </cell>
          <cell r="O6170" t="str">
            <v>REACTION BLOCK</v>
          </cell>
          <cell r="P6170">
            <v>2898</v>
          </cell>
        </row>
        <row r="6171">
          <cell r="B6171" t="str">
            <v>2140-00</v>
          </cell>
          <cell r="C6171" t="str">
            <v>CAM PLATE</v>
          </cell>
          <cell r="D6171">
            <v>1763.3999999999999</v>
          </cell>
          <cell r="N6171" t="str">
            <v>2140-00</v>
          </cell>
          <cell r="O6171" t="str">
            <v>CAM PLATE</v>
          </cell>
          <cell r="P6171">
            <v>2939</v>
          </cell>
        </row>
        <row r="6172">
          <cell r="B6172" t="str">
            <v>1510-01</v>
          </cell>
          <cell r="C6172" t="str">
            <v>PULLEY LARGE</v>
          </cell>
          <cell r="D6172">
            <v>1433.5</v>
          </cell>
          <cell r="N6172" t="str">
            <v>1510-01</v>
          </cell>
          <cell r="O6172" t="str">
            <v>PULLEY LARGE</v>
          </cell>
          <cell r="P6172">
            <v>2867</v>
          </cell>
        </row>
        <row r="6173">
          <cell r="B6173" t="str">
            <v>5004-00</v>
          </cell>
          <cell r="C6173" t="str">
            <v>PLATE LOW &amp; REV CLU BKG</v>
          </cell>
          <cell r="D6173">
            <v>1423</v>
          </cell>
          <cell r="N6173" t="str">
            <v>5004-00</v>
          </cell>
          <cell r="O6173" t="str">
            <v>PLATE LOW &amp; REV CLU BKG</v>
          </cell>
          <cell r="P6173">
            <v>2846</v>
          </cell>
        </row>
        <row r="6174">
          <cell r="B6174" t="str">
            <v>5004-00</v>
          </cell>
          <cell r="C6174" t="str">
            <v>PLATE LOW &amp; REV CLU BKG</v>
          </cell>
          <cell r="D6174">
            <v>1423</v>
          </cell>
          <cell r="N6174" t="str">
            <v>5004-00</v>
          </cell>
          <cell r="O6174" t="str">
            <v>PLATE LOW &amp; REV CLU BKG</v>
          </cell>
          <cell r="P6174">
            <v>2846</v>
          </cell>
        </row>
        <row r="6175">
          <cell r="B6175" t="str">
            <v>5004-00</v>
          </cell>
          <cell r="C6175" t="str">
            <v>PLATE LOW &amp; REV CLU BKG</v>
          </cell>
          <cell r="D6175">
            <v>1423</v>
          </cell>
          <cell r="N6175" t="str">
            <v>5004-00</v>
          </cell>
          <cell r="O6175" t="str">
            <v>PLATE LOW &amp; REV CLU BKG</v>
          </cell>
          <cell r="P6175">
            <v>2846</v>
          </cell>
        </row>
        <row r="6176">
          <cell r="B6176" t="str">
            <v>1469-02</v>
          </cell>
          <cell r="C6176" t="str">
            <v>CAM</v>
          </cell>
          <cell r="D6176">
            <v>1553</v>
          </cell>
          <cell r="N6176" t="str">
            <v>1469-02</v>
          </cell>
          <cell r="O6176" t="str">
            <v>CAM</v>
          </cell>
          <cell r="P6176">
            <v>3106</v>
          </cell>
        </row>
        <row r="6177">
          <cell r="B6177" t="str">
            <v>1510-00</v>
          </cell>
          <cell r="C6177" t="str">
            <v>PULLEY LARGE</v>
          </cell>
          <cell r="D6177">
            <v>1555</v>
          </cell>
          <cell r="N6177" t="str">
            <v>1510-00</v>
          </cell>
          <cell r="O6177" t="str">
            <v>PULLEY LARGE</v>
          </cell>
          <cell r="P6177">
            <v>3110</v>
          </cell>
        </row>
        <row r="6178">
          <cell r="B6178" t="str">
            <v>1510-00</v>
          </cell>
          <cell r="C6178" t="str">
            <v>PULLEY LARGE</v>
          </cell>
          <cell r="D6178">
            <v>1555</v>
          </cell>
          <cell r="N6178" t="str">
            <v>1510-00</v>
          </cell>
          <cell r="O6178" t="str">
            <v>PULLEY LARGE</v>
          </cell>
          <cell r="P6178">
            <v>3110</v>
          </cell>
        </row>
        <row r="6179">
          <cell r="B6179" t="str">
            <v>5009-00</v>
          </cell>
          <cell r="C6179" t="str">
            <v>PLATE LOW &amp; REV CLU BKG</v>
          </cell>
          <cell r="D6179">
            <v>1286</v>
          </cell>
          <cell r="N6179" t="str">
            <v>5009-00</v>
          </cell>
          <cell r="O6179" t="str">
            <v>PLATE LOW &amp; REV CLU BKG</v>
          </cell>
          <cell r="P6179">
            <v>2572</v>
          </cell>
        </row>
        <row r="6180">
          <cell r="B6180" t="str">
            <v>1522-00</v>
          </cell>
          <cell r="C6180" t="str">
            <v>ROD</v>
          </cell>
          <cell r="D6180">
            <v>1568.5</v>
          </cell>
          <cell r="N6180" t="str">
            <v>1522-00</v>
          </cell>
          <cell r="O6180" t="str">
            <v>ROD</v>
          </cell>
          <cell r="P6180">
            <v>3137</v>
          </cell>
        </row>
        <row r="6181">
          <cell r="B6181" t="str">
            <v>1522-00</v>
          </cell>
          <cell r="C6181" t="str">
            <v>ROD</v>
          </cell>
          <cell r="D6181">
            <v>1568.5</v>
          </cell>
          <cell r="N6181" t="str">
            <v>1522-00</v>
          </cell>
          <cell r="O6181" t="str">
            <v>ROD</v>
          </cell>
          <cell r="P6181">
            <v>3137</v>
          </cell>
        </row>
        <row r="6182">
          <cell r="B6182" t="str">
            <v>1361-01</v>
          </cell>
          <cell r="C6182" t="str">
            <v>BALL NUT PULLEY</v>
          </cell>
          <cell r="D6182">
            <v>1580.5</v>
          </cell>
          <cell r="N6182" t="str">
            <v>1361-01</v>
          </cell>
          <cell r="O6182" t="str">
            <v>BALL NUT PULLEY</v>
          </cell>
          <cell r="P6182">
            <v>3161</v>
          </cell>
        </row>
        <row r="6183">
          <cell r="B6183" t="str">
            <v>5004-00</v>
          </cell>
          <cell r="C6183" t="str">
            <v>PLATE LOW &amp; REV CLU BKG</v>
          </cell>
          <cell r="D6183">
            <v>1423</v>
          </cell>
          <cell r="N6183" t="str">
            <v>5004-00</v>
          </cell>
          <cell r="O6183" t="str">
            <v>PLATE LOW &amp; REV CLU BKG</v>
          </cell>
          <cell r="P6183">
            <v>2846</v>
          </cell>
        </row>
        <row r="6184">
          <cell r="B6184" t="str">
            <v>5009-00</v>
          </cell>
          <cell r="C6184" t="str">
            <v>PLATE LOW &amp; REV CLU BKG</v>
          </cell>
          <cell r="D6184">
            <v>1286</v>
          </cell>
          <cell r="N6184" t="str">
            <v>5009-00</v>
          </cell>
          <cell r="O6184" t="str">
            <v>PLATE LOW &amp; REV CLU BKG</v>
          </cell>
          <cell r="P6184">
            <v>2572</v>
          </cell>
        </row>
        <row r="6185">
          <cell r="B6185" t="str">
            <v>1361-01</v>
          </cell>
          <cell r="C6185" t="str">
            <v>BALL NUT PULLEY</v>
          </cell>
          <cell r="D6185">
            <v>1580.5</v>
          </cell>
          <cell r="N6185" t="str">
            <v>1361-01</v>
          </cell>
          <cell r="O6185" t="str">
            <v>BALL NUT PULLEY</v>
          </cell>
          <cell r="P6185">
            <v>3161</v>
          </cell>
        </row>
        <row r="6186">
          <cell r="B6186" t="str">
            <v>1138-05</v>
          </cell>
          <cell r="C6186" t="str">
            <v>REACTION BLOCK</v>
          </cell>
          <cell r="D6186">
            <v>1951.1999999999998</v>
          </cell>
          <cell r="N6186" t="str">
            <v>1138-05</v>
          </cell>
          <cell r="O6186" t="str">
            <v>REACTION BLOCK</v>
          </cell>
          <cell r="P6186">
            <v>3252</v>
          </cell>
        </row>
        <row r="6187">
          <cell r="B6187" t="str">
            <v>1138-06</v>
          </cell>
          <cell r="C6187" t="str">
            <v>REACTION BLOCK</v>
          </cell>
          <cell r="D6187">
            <v>1951.1999999999998</v>
          </cell>
          <cell r="N6187" t="str">
            <v>1138-06</v>
          </cell>
          <cell r="O6187" t="str">
            <v>REACTION BLOCK</v>
          </cell>
          <cell r="P6187">
            <v>3252</v>
          </cell>
        </row>
        <row r="6188">
          <cell r="B6188" t="str">
            <v>1599-05</v>
          </cell>
          <cell r="C6188" t="str">
            <v>REACTION BLOCK</v>
          </cell>
          <cell r="D6188">
            <v>1951.1999999999998</v>
          </cell>
          <cell r="N6188" t="str">
            <v>1599-05</v>
          </cell>
          <cell r="O6188" t="str">
            <v>REACTION BLOCK</v>
          </cell>
          <cell r="P6188">
            <v>3252</v>
          </cell>
        </row>
        <row r="6189">
          <cell r="B6189" t="str">
            <v>1599-06</v>
          </cell>
          <cell r="C6189" t="str">
            <v>REACTION BLOCK</v>
          </cell>
          <cell r="D6189">
            <v>1951.1999999999998</v>
          </cell>
          <cell r="N6189" t="str">
            <v>1599-06</v>
          </cell>
          <cell r="O6189" t="str">
            <v>REACTION BLOCK</v>
          </cell>
          <cell r="P6189">
            <v>3252</v>
          </cell>
        </row>
        <row r="6190">
          <cell r="B6190" t="str">
            <v>1138-07</v>
          </cell>
          <cell r="C6190" t="str">
            <v>REACTION BLOCK</v>
          </cell>
          <cell r="D6190">
            <v>1957.1999999999998</v>
          </cell>
          <cell r="N6190" t="str">
            <v>1138-07</v>
          </cell>
          <cell r="O6190" t="str">
            <v>REACTION BLOCK</v>
          </cell>
          <cell r="P6190">
            <v>3262</v>
          </cell>
        </row>
        <row r="6191">
          <cell r="B6191" t="str">
            <v>1599-07</v>
          </cell>
          <cell r="C6191" t="str">
            <v>REACTION BLOCK</v>
          </cell>
          <cell r="D6191">
            <v>1957.1999999999998</v>
          </cell>
          <cell r="N6191" t="str">
            <v>1599-07</v>
          </cell>
          <cell r="O6191" t="str">
            <v>REACTION BLOCK</v>
          </cell>
          <cell r="P6191">
            <v>3262</v>
          </cell>
        </row>
        <row r="6192">
          <cell r="B6192" t="str">
            <v>1361-01</v>
          </cell>
          <cell r="C6192" t="str">
            <v>BALL NUT PULLEY</v>
          </cell>
          <cell r="D6192">
            <v>1580.5</v>
          </cell>
          <cell r="N6192" t="str">
            <v>1361-01</v>
          </cell>
          <cell r="O6192" t="str">
            <v>BALL NUT PULLEY</v>
          </cell>
          <cell r="P6192">
            <v>3161</v>
          </cell>
        </row>
        <row r="6193">
          <cell r="B6193" t="str">
            <v>1138-01</v>
          </cell>
          <cell r="C6193" t="str">
            <v>REACTION BLOCK</v>
          </cell>
          <cell r="D6193">
            <v>1975.1999999999998</v>
          </cell>
          <cell r="N6193" t="str">
            <v>1138-01</v>
          </cell>
          <cell r="O6193" t="str">
            <v>REACTION BLOCK</v>
          </cell>
          <cell r="P6193">
            <v>3292</v>
          </cell>
        </row>
        <row r="6194">
          <cell r="B6194" t="str">
            <v>1138-02</v>
          </cell>
          <cell r="C6194" t="str">
            <v>REACTION BLOCK</v>
          </cell>
          <cell r="D6194">
            <v>1975.1999999999998</v>
          </cell>
          <cell r="N6194" t="str">
            <v>1138-02</v>
          </cell>
          <cell r="O6194" t="str">
            <v>REACTION BLOCK</v>
          </cell>
          <cell r="P6194">
            <v>3292</v>
          </cell>
        </row>
        <row r="6195">
          <cell r="B6195" t="str">
            <v>1599-01</v>
          </cell>
          <cell r="C6195" t="str">
            <v>REACTION BLOCK</v>
          </cell>
          <cell r="D6195">
            <v>1975.1999999999998</v>
          </cell>
          <cell r="N6195" t="str">
            <v>1599-01</v>
          </cell>
          <cell r="O6195" t="str">
            <v>REACTION BLOCK</v>
          </cell>
          <cell r="P6195">
            <v>3292</v>
          </cell>
        </row>
        <row r="6196">
          <cell r="B6196" t="str">
            <v>1599-01</v>
          </cell>
          <cell r="C6196" t="str">
            <v>REACTION BLOCK</v>
          </cell>
          <cell r="D6196">
            <v>1975.1999999999998</v>
          </cell>
          <cell r="N6196" t="str">
            <v>1599-01</v>
          </cell>
          <cell r="O6196" t="str">
            <v>REACTION BLOCK</v>
          </cell>
          <cell r="P6196">
            <v>3292</v>
          </cell>
        </row>
        <row r="6197">
          <cell r="B6197" t="str">
            <v>1599-02</v>
          </cell>
          <cell r="C6197" t="str">
            <v>REACTION BLOCK</v>
          </cell>
          <cell r="D6197">
            <v>1975.1999999999998</v>
          </cell>
          <cell r="N6197" t="str">
            <v>1599-02</v>
          </cell>
          <cell r="O6197" t="str">
            <v>REACTION BLOCK</v>
          </cell>
          <cell r="P6197">
            <v>3292</v>
          </cell>
        </row>
        <row r="6198">
          <cell r="B6198" t="str">
            <v>1599-02</v>
          </cell>
          <cell r="C6198" t="str">
            <v>REACTION BLOCK</v>
          </cell>
          <cell r="D6198">
            <v>1975.1999999999998</v>
          </cell>
          <cell r="N6198" t="str">
            <v>1599-02</v>
          </cell>
          <cell r="O6198" t="str">
            <v>REACTION BLOCK</v>
          </cell>
          <cell r="P6198">
            <v>3292</v>
          </cell>
        </row>
        <row r="6199">
          <cell r="B6199" t="str">
            <v>1138-04</v>
          </cell>
          <cell r="C6199" t="str">
            <v>REACTION BLOCK</v>
          </cell>
          <cell r="D6199">
            <v>1981.1999999999998</v>
          </cell>
          <cell r="N6199" t="str">
            <v>1138-04</v>
          </cell>
          <cell r="O6199" t="str">
            <v>REACTION BLOCK</v>
          </cell>
          <cell r="P6199">
            <v>3302</v>
          </cell>
        </row>
        <row r="6200">
          <cell r="B6200" t="str">
            <v>1599-04</v>
          </cell>
          <cell r="C6200" t="str">
            <v>REACTION BLOCK</v>
          </cell>
          <cell r="D6200">
            <v>1981.1999999999998</v>
          </cell>
          <cell r="N6200" t="str">
            <v>1599-04</v>
          </cell>
          <cell r="O6200" t="str">
            <v>REACTION BLOCK</v>
          </cell>
          <cell r="P6200">
            <v>3302</v>
          </cell>
        </row>
        <row r="6201">
          <cell r="B6201" t="str">
            <v>1599-04</v>
          </cell>
          <cell r="C6201" t="str">
            <v>REACTION BLOCK</v>
          </cell>
          <cell r="D6201">
            <v>1981.1999999999998</v>
          </cell>
          <cell r="N6201" t="str">
            <v>1599-04</v>
          </cell>
          <cell r="O6201" t="str">
            <v>REACTION BLOCK</v>
          </cell>
          <cell r="P6201">
            <v>3302</v>
          </cell>
        </row>
        <row r="6202">
          <cell r="B6202" t="str">
            <v>1361-01</v>
          </cell>
          <cell r="C6202" t="str">
            <v>BALL NUT PULLEY</v>
          </cell>
          <cell r="D6202">
            <v>1580.5</v>
          </cell>
          <cell r="N6202" t="str">
            <v>1361-01</v>
          </cell>
          <cell r="O6202" t="str">
            <v>BALL NUT PULLEY</v>
          </cell>
          <cell r="P6202">
            <v>3161</v>
          </cell>
        </row>
        <row r="6203">
          <cell r="B6203" t="str">
            <v>1138-03</v>
          </cell>
          <cell r="C6203" t="str">
            <v>REACTION BLOCK</v>
          </cell>
          <cell r="D6203">
            <v>2005.1999999999998</v>
          </cell>
          <cell r="N6203" t="str">
            <v>1138-03</v>
          </cell>
          <cell r="O6203" t="str">
            <v>REACTION BLOCK</v>
          </cell>
          <cell r="P6203">
            <v>3342</v>
          </cell>
        </row>
        <row r="6204">
          <cell r="B6204" t="str">
            <v>1599-03</v>
          </cell>
          <cell r="C6204" t="str">
            <v>REACTION BLOCK</v>
          </cell>
          <cell r="D6204">
            <v>2005.1999999999998</v>
          </cell>
          <cell r="N6204" t="str">
            <v>1599-03</v>
          </cell>
          <cell r="O6204" t="str">
            <v>REACTION BLOCK</v>
          </cell>
          <cell r="P6204">
            <v>3342</v>
          </cell>
        </row>
        <row r="6205">
          <cell r="B6205" t="str">
            <v>1599-03</v>
          </cell>
          <cell r="C6205" t="str">
            <v>REACTION BLOCK</v>
          </cell>
          <cell r="D6205">
            <v>2005.1999999999998</v>
          </cell>
          <cell r="N6205" t="str">
            <v>1599-03</v>
          </cell>
          <cell r="O6205" t="str">
            <v>REACTION BLOCK</v>
          </cell>
          <cell r="P6205">
            <v>3342</v>
          </cell>
        </row>
        <row r="6206">
          <cell r="B6206" t="str">
            <v>1676-00</v>
          </cell>
          <cell r="C6206" t="str">
            <v>CAM APPLY</v>
          </cell>
          <cell r="D6206">
            <v>2029.1999999999998</v>
          </cell>
          <cell r="N6206" t="str">
            <v>1676-00</v>
          </cell>
          <cell r="O6206" t="str">
            <v>CAM APPLY</v>
          </cell>
          <cell r="P6206">
            <v>3382</v>
          </cell>
        </row>
        <row r="6207">
          <cell r="B6207" t="str">
            <v>1510-00</v>
          </cell>
          <cell r="C6207" t="str">
            <v>PULLEY LARGE</v>
          </cell>
          <cell r="D6207">
            <v>1555</v>
          </cell>
          <cell r="N6207" t="str">
            <v>1510-00</v>
          </cell>
          <cell r="O6207" t="str">
            <v>PULLEY LARGE</v>
          </cell>
          <cell r="P6207">
            <v>3110</v>
          </cell>
        </row>
        <row r="6208">
          <cell r="B6208" t="str">
            <v>1599-05</v>
          </cell>
          <cell r="C6208" t="str">
            <v>REACTION BLOCK</v>
          </cell>
          <cell r="D6208">
            <v>1951.1999999999998</v>
          </cell>
          <cell r="N6208" t="str">
            <v>1599-05</v>
          </cell>
          <cell r="O6208" t="str">
            <v>REACTION BLOCK</v>
          </cell>
          <cell r="P6208">
            <v>3252</v>
          </cell>
        </row>
        <row r="6209">
          <cell r="B6209" t="str">
            <v>1599-06</v>
          </cell>
          <cell r="C6209" t="str">
            <v>REACTION BLOCK</v>
          </cell>
          <cell r="D6209">
            <v>1951.1999999999998</v>
          </cell>
          <cell r="N6209" t="str">
            <v>1599-06</v>
          </cell>
          <cell r="O6209" t="str">
            <v>REACTION BLOCK</v>
          </cell>
          <cell r="P6209">
            <v>3252</v>
          </cell>
        </row>
        <row r="6210">
          <cell r="B6210" t="str">
            <v>1510-02</v>
          </cell>
          <cell r="C6210" t="str">
            <v>PULLEY LARGE</v>
          </cell>
          <cell r="D6210">
            <v>1741.5</v>
          </cell>
          <cell r="N6210" t="str">
            <v>1510-02</v>
          </cell>
          <cell r="O6210" t="str">
            <v>PULLEY LARGE</v>
          </cell>
          <cell r="P6210">
            <v>3483</v>
          </cell>
        </row>
        <row r="6211">
          <cell r="B6211" t="str">
            <v>1599-07</v>
          </cell>
          <cell r="C6211" t="str">
            <v>REACTION BLOCK</v>
          </cell>
          <cell r="D6211">
            <v>1957.1999999999998</v>
          </cell>
          <cell r="N6211" t="str">
            <v>1599-07</v>
          </cell>
          <cell r="O6211" t="str">
            <v>REACTION BLOCK</v>
          </cell>
          <cell r="P6211">
            <v>3262</v>
          </cell>
        </row>
        <row r="6212">
          <cell r="B6212" t="str">
            <v>5006-00</v>
          </cell>
          <cell r="C6212" t="str">
            <v>PLATE 1-2-3-4 CLU BKG</v>
          </cell>
          <cell r="D6212">
            <v>1755.5</v>
          </cell>
          <cell r="N6212" t="str">
            <v>5006-00</v>
          </cell>
          <cell r="O6212" t="str">
            <v>PLATE 1-2-3-4 CLU BKG</v>
          </cell>
          <cell r="P6212">
            <v>3511</v>
          </cell>
        </row>
        <row r="6213">
          <cell r="B6213" t="str">
            <v>5006-00</v>
          </cell>
          <cell r="C6213" t="str">
            <v>PLATE 1-2-3-4 CLU BKG</v>
          </cell>
          <cell r="D6213">
            <v>1755.5</v>
          </cell>
          <cell r="N6213" t="str">
            <v>5006-00</v>
          </cell>
          <cell r="O6213" t="str">
            <v>PLATE 1-2-3-4 CLU BKG</v>
          </cell>
          <cell r="P6213">
            <v>3511</v>
          </cell>
        </row>
        <row r="6214">
          <cell r="B6214" t="str">
            <v>1599-01</v>
          </cell>
          <cell r="C6214" t="str">
            <v>REACTION BLOCK</v>
          </cell>
          <cell r="D6214">
            <v>1975.1999999999998</v>
          </cell>
          <cell r="N6214" t="str">
            <v>1599-01</v>
          </cell>
          <cell r="O6214" t="str">
            <v>REACTION BLOCK</v>
          </cell>
          <cell r="P6214">
            <v>3292</v>
          </cell>
        </row>
        <row r="6215">
          <cell r="B6215" t="str">
            <v>1599-01</v>
          </cell>
          <cell r="C6215" t="str">
            <v>REACTION BLOCK</v>
          </cell>
          <cell r="D6215">
            <v>1975.1999999999998</v>
          </cell>
          <cell r="N6215" t="str">
            <v>1599-01</v>
          </cell>
          <cell r="O6215" t="str">
            <v>REACTION BLOCK</v>
          </cell>
          <cell r="P6215">
            <v>3292</v>
          </cell>
        </row>
        <row r="6216">
          <cell r="B6216" t="str">
            <v>1599-02</v>
          </cell>
          <cell r="C6216" t="str">
            <v>REACTION BLOCK</v>
          </cell>
          <cell r="D6216">
            <v>1975.1999999999998</v>
          </cell>
          <cell r="N6216" t="str">
            <v>1599-02</v>
          </cell>
          <cell r="O6216" t="str">
            <v>REACTION BLOCK</v>
          </cell>
          <cell r="P6216">
            <v>3292</v>
          </cell>
        </row>
        <row r="6217">
          <cell r="B6217" t="str">
            <v>1599-02</v>
          </cell>
          <cell r="C6217" t="str">
            <v>REACTION BLOCK</v>
          </cell>
          <cell r="D6217">
            <v>1975.1999999999998</v>
          </cell>
          <cell r="N6217" t="str">
            <v>1599-02</v>
          </cell>
          <cell r="O6217" t="str">
            <v>REACTION BLOCK</v>
          </cell>
          <cell r="P6217">
            <v>3292</v>
          </cell>
        </row>
        <row r="6218">
          <cell r="B6218" t="str">
            <v>1599-02</v>
          </cell>
          <cell r="C6218" t="str">
            <v>REACTION BLOCK</v>
          </cell>
          <cell r="D6218">
            <v>1975.1999999999998</v>
          </cell>
          <cell r="N6218" t="str">
            <v>1599-02</v>
          </cell>
          <cell r="O6218" t="str">
            <v>REACTION BLOCK</v>
          </cell>
          <cell r="P6218">
            <v>3292</v>
          </cell>
        </row>
        <row r="6219">
          <cell r="B6219" t="str">
            <v>1599-04</v>
          </cell>
          <cell r="C6219" t="str">
            <v>REACTION BLOCK</v>
          </cell>
          <cell r="D6219">
            <v>1981.1999999999998</v>
          </cell>
          <cell r="N6219" t="str">
            <v>1599-04</v>
          </cell>
          <cell r="O6219" t="str">
            <v>REACTION BLOCK</v>
          </cell>
          <cell r="P6219">
            <v>3302</v>
          </cell>
        </row>
        <row r="6220">
          <cell r="B6220" t="str">
            <v>1599-04</v>
          </cell>
          <cell r="C6220" t="str">
            <v>REACTION BLOCK</v>
          </cell>
          <cell r="D6220">
            <v>1981.1999999999998</v>
          </cell>
          <cell r="N6220" t="str">
            <v>1599-04</v>
          </cell>
          <cell r="O6220" t="str">
            <v>REACTION BLOCK</v>
          </cell>
          <cell r="P6220">
            <v>3302</v>
          </cell>
        </row>
        <row r="6221">
          <cell r="B6221" t="str">
            <v>1599-04</v>
          </cell>
          <cell r="C6221" t="str">
            <v>REACTION BLOCK</v>
          </cell>
          <cell r="D6221">
            <v>1981.1999999999998</v>
          </cell>
          <cell r="N6221" t="str">
            <v>1599-04</v>
          </cell>
          <cell r="O6221" t="str">
            <v>REACTION BLOCK</v>
          </cell>
          <cell r="P6221">
            <v>3302</v>
          </cell>
        </row>
        <row r="6222">
          <cell r="B6222" t="str">
            <v>1599-04</v>
          </cell>
          <cell r="C6222" t="str">
            <v>REACTION BLOCK</v>
          </cell>
          <cell r="D6222">
            <v>1981.1999999999998</v>
          </cell>
          <cell r="N6222" t="str">
            <v>1599-04</v>
          </cell>
          <cell r="O6222" t="str">
            <v>REACTION BLOCK</v>
          </cell>
          <cell r="P6222">
            <v>3302</v>
          </cell>
        </row>
        <row r="6223">
          <cell r="B6223" t="str">
            <v>2141-00</v>
          </cell>
          <cell r="C6223" t="str">
            <v>CAM PLATE</v>
          </cell>
          <cell r="D6223">
            <v>2141.4</v>
          </cell>
          <cell r="N6223" t="str">
            <v>2141-00</v>
          </cell>
          <cell r="O6223" t="str">
            <v>CAM PLATE</v>
          </cell>
          <cell r="P6223">
            <v>3569</v>
          </cell>
        </row>
        <row r="6224">
          <cell r="B6224" t="str">
            <v>1599-03</v>
          </cell>
          <cell r="C6224" t="str">
            <v>REACTION BLOCK</v>
          </cell>
          <cell r="D6224">
            <v>2005.1999999999998</v>
          </cell>
          <cell r="N6224" t="str">
            <v>1599-03</v>
          </cell>
          <cell r="O6224" t="str">
            <v>REACTION BLOCK</v>
          </cell>
          <cell r="P6224">
            <v>3342</v>
          </cell>
        </row>
        <row r="6225">
          <cell r="B6225" t="str">
            <v>1599-03</v>
          </cell>
          <cell r="C6225" t="str">
            <v>REACTION BLOCK</v>
          </cell>
          <cell r="D6225">
            <v>2005.1999999999998</v>
          </cell>
          <cell r="N6225" t="str">
            <v>1599-03</v>
          </cell>
          <cell r="O6225" t="str">
            <v>REACTION BLOCK</v>
          </cell>
          <cell r="P6225">
            <v>3342</v>
          </cell>
        </row>
        <row r="6226">
          <cell r="B6226" t="str">
            <v>1599-03</v>
          </cell>
          <cell r="C6226" t="str">
            <v>REACTION BLOCK</v>
          </cell>
          <cell r="D6226">
            <v>2005.1999999999998</v>
          </cell>
          <cell r="N6226" t="str">
            <v>1599-03</v>
          </cell>
          <cell r="O6226" t="str">
            <v>REACTION BLOCK</v>
          </cell>
          <cell r="P6226">
            <v>3342</v>
          </cell>
        </row>
        <row r="6227">
          <cell r="B6227" t="str">
            <v>1599-03</v>
          </cell>
          <cell r="C6227" t="str">
            <v>REACTION BLOCK</v>
          </cell>
          <cell r="D6227">
            <v>2005.1999999999998</v>
          </cell>
          <cell r="N6227" t="str">
            <v>1599-03</v>
          </cell>
          <cell r="O6227" t="str">
            <v>REACTION BLOCK</v>
          </cell>
          <cell r="P6227">
            <v>3342</v>
          </cell>
        </row>
        <row r="6228">
          <cell r="B6228" t="str">
            <v>1510-01</v>
          </cell>
          <cell r="C6228" t="str">
            <v>PULLEY LARGE</v>
          </cell>
          <cell r="D6228">
            <v>1433.5</v>
          </cell>
          <cell r="N6228" t="str">
            <v>1510-01</v>
          </cell>
          <cell r="O6228" t="str">
            <v>PULLEY LARGE</v>
          </cell>
          <cell r="P6228">
            <v>2867</v>
          </cell>
        </row>
        <row r="6229">
          <cell r="B6229" t="str">
            <v>1361-01</v>
          </cell>
          <cell r="C6229" t="str">
            <v>BALL NUT PULLEY</v>
          </cell>
          <cell r="D6229">
            <v>1580.5</v>
          </cell>
          <cell r="N6229" t="str">
            <v>1361-01</v>
          </cell>
          <cell r="O6229" t="str">
            <v>BALL NUT PULLEY</v>
          </cell>
          <cell r="P6229">
            <v>3161</v>
          </cell>
        </row>
        <row r="6230">
          <cell r="B6230" t="str">
            <v>5001-00</v>
          </cell>
          <cell r="C6230" t="str">
            <v>PLATE 1-2-3-4 CLU BKG</v>
          </cell>
          <cell r="D6230">
            <v>1798</v>
          </cell>
          <cell r="N6230" t="str">
            <v>5001-00</v>
          </cell>
          <cell r="O6230" t="str">
            <v>PLATE 1-2-3-4 CLU BKG</v>
          </cell>
          <cell r="P6230">
            <v>3596</v>
          </cell>
        </row>
        <row r="6231">
          <cell r="B6231" t="str">
            <v>5001-00</v>
          </cell>
          <cell r="C6231" t="str">
            <v>PLATE 1-2-3-4 CLU BKG</v>
          </cell>
          <cell r="D6231">
            <v>1798</v>
          </cell>
          <cell r="N6231" t="str">
            <v>5001-00</v>
          </cell>
          <cell r="O6231" t="str">
            <v>PLATE 1-2-3-4 CLU BKG</v>
          </cell>
          <cell r="P6231">
            <v>3596</v>
          </cell>
        </row>
        <row r="6232">
          <cell r="B6232" t="str">
            <v>1510-01</v>
          </cell>
          <cell r="C6232" t="str">
            <v>PULLEY LARGE</v>
          </cell>
          <cell r="D6232">
            <v>1433.5</v>
          </cell>
          <cell r="N6232" t="str">
            <v>1510-01</v>
          </cell>
          <cell r="O6232" t="str">
            <v>PULLEY LARGE</v>
          </cell>
          <cell r="P6232">
            <v>2867</v>
          </cell>
        </row>
        <row r="6233">
          <cell r="B6233" t="str">
            <v>5004-00</v>
          </cell>
          <cell r="C6233" t="str">
            <v>PLATE LOW &amp; REV CLU BKG</v>
          </cell>
          <cell r="D6233">
            <v>1423</v>
          </cell>
          <cell r="N6233" t="str">
            <v>5004-00</v>
          </cell>
          <cell r="O6233" t="str">
            <v>PLATE LOW &amp; REV CLU BKG</v>
          </cell>
          <cell r="P6233">
            <v>2846</v>
          </cell>
        </row>
        <row r="6234">
          <cell r="B6234" t="str">
            <v>5004-00</v>
          </cell>
          <cell r="C6234" t="str">
            <v>PLATE LOW &amp; REV CLU BKG</v>
          </cell>
          <cell r="D6234">
            <v>1423</v>
          </cell>
          <cell r="N6234" t="str">
            <v>5004-00</v>
          </cell>
          <cell r="O6234" t="str">
            <v>PLATE LOW &amp; REV CLU BKG</v>
          </cell>
          <cell r="P6234">
            <v>2846</v>
          </cell>
        </row>
        <row r="6235">
          <cell r="B6235" t="str">
            <v>5006-00</v>
          </cell>
          <cell r="C6235" t="str">
            <v>PLATE 1-2-3-4 CLU BKG</v>
          </cell>
          <cell r="D6235">
            <v>1755.5</v>
          </cell>
          <cell r="N6235" t="str">
            <v>5006-00</v>
          </cell>
          <cell r="O6235" t="str">
            <v>PLATE 1-2-3-4 CLU BKG</v>
          </cell>
          <cell r="P6235">
            <v>3511</v>
          </cell>
        </row>
        <row r="6236">
          <cell r="B6236" t="str">
            <v>5006-00</v>
          </cell>
          <cell r="C6236" t="str">
            <v>PLATE 1-2-3-4 CLU BKG</v>
          </cell>
          <cell r="D6236">
            <v>1755.5</v>
          </cell>
          <cell r="N6236" t="str">
            <v>5006-00</v>
          </cell>
          <cell r="O6236" t="str">
            <v>PLATE 1-2-3-4 CLU BKG</v>
          </cell>
          <cell r="P6236">
            <v>3511</v>
          </cell>
        </row>
        <row r="6237">
          <cell r="B6237" t="str">
            <v>5006-00</v>
          </cell>
          <cell r="C6237" t="str">
            <v>PLATE 1-2-3-4 CLU BKG</v>
          </cell>
          <cell r="D6237">
            <v>1755.5</v>
          </cell>
          <cell r="N6237" t="str">
            <v>5006-00</v>
          </cell>
          <cell r="O6237" t="str">
            <v>PLATE 1-2-3-4 CLU BKG</v>
          </cell>
          <cell r="P6237">
            <v>3511</v>
          </cell>
        </row>
        <row r="6238">
          <cell r="B6238" t="str">
            <v>5004-00</v>
          </cell>
          <cell r="C6238" t="str">
            <v>PLATE LOW &amp; REV CLU BKG</v>
          </cell>
          <cell r="D6238">
            <v>1423</v>
          </cell>
          <cell r="N6238" t="str">
            <v>5004-00</v>
          </cell>
          <cell r="O6238" t="str">
            <v>PLATE LOW &amp; REV CLU BKG</v>
          </cell>
          <cell r="P6238">
            <v>2846</v>
          </cell>
        </row>
        <row r="6239">
          <cell r="B6239" t="str">
            <v>1361-02</v>
          </cell>
          <cell r="C6239" t="str">
            <v>BALL NUT PULLEY</v>
          </cell>
          <cell r="D6239">
            <v>2000.5</v>
          </cell>
          <cell r="N6239" t="str">
            <v>1361-02</v>
          </cell>
          <cell r="O6239" t="str">
            <v>BALL NUT PULLEY</v>
          </cell>
          <cell r="P6239">
            <v>4001</v>
          </cell>
        </row>
        <row r="6240">
          <cell r="B6240" t="str">
            <v>1361-03</v>
          </cell>
          <cell r="C6240" t="str">
            <v>BALL NUT PULLEY</v>
          </cell>
          <cell r="D6240">
            <v>2474.4</v>
          </cell>
          <cell r="N6240" t="str">
            <v>1361-03</v>
          </cell>
          <cell r="O6240" t="str">
            <v>BALL NUT PULLEY</v>
          </cell>
          <cell r="P6240">
            <v>4124</v>
          </cell>
        </row>
        <row r="6241">
          <cell r="B6241" t="str">
            <v>1935-00</v>
          </cell>
          <cell r="C6241" t="str">
            <v>Driven Pulley</v>
          </cell>
          <cell r="D6241">
            <v>2110.5</v>
          </cell>
          <cell r="N6241" t="str">
            <v>1935-00</v>
          </cell>
          <cell r="O6241" t="str">
            <v>Driven Pulley</v>
          </cell>
          <cell r="P6241">
            <v>4221</v>
          </cell>
        </row>
        <row r="6242">
          <cell r="B6242" t="str">
            <v>5016-00</v>
          </cell>
          <cell r="C6242" t="str">
            <v>CARRIER - INPUT</v>
          </cell>
          <cell r="D6242">
            <v>2548.1999999999998</v>
          </cell>
          <cell r="N6242" t="str">
            <v>5016-00</v>
          </cell>
          <cell r="O6242" t="str">
            <v>CARRIER - INPUT</v>
          </cell>
          <cell r="P6242">
            <v>4247</v>
          </cell>
        </row>
        <row r="6243">
          <cell r="B6243" t="str">
            <v>1361-01</v>
          </cell>
          <cell r="C6243" t="str">
            <v>BALL NUT PULLEY</v>
          </cell>
          <cell r="D6243">
            <v>1580.5</v>
          </cell>
          <cell r="N6243" t="str">
            <v>1361-01</v>
          </cell>
          <cell r="O6243" t="str">
            <v>BALL NUT PULLEY</v>
          </cell>
          <cell r="P6243">
            <v>3161</v>
          </cell>
        </row>
        <row r="6244">
          <cell r="B6244" t="str">
            <v>5001-00</v>
          </cell>
          <cell r="C6244" t="str">
            <v>PLATE 1-2-3-4 CLU BKG</v>
          </cell>
          <cell r="D6244">
            <v>1798</v>
          </cell>
          <cell r="N6244" t="str">
            <v>5001-00</v>
          </cell>
          <cell r="O6244" t="str">
            <v>PLATE 1-2-3-4 CLU BKG</v>
          </cell>
          <cell r="P6244">
            <v>3596</v>
          </cell>
        </row>
        <row r="6245">
          <cell r="B6245" t="str">
            <v>5001-00</v>
          </cell>
          <cell r="C6245" t="str">
            <v>PLATE 1-2-3-4 CLU BKG</v>
          </cell>
          <cell r="D6245">
            <v>1798</v>
          </cell>
          <cell r="N6245" t="str">
            <v>5001-00</v>
          </cell>
          <cell r="O6245" t="str">
            <v>PLATE 1-2-3-4 CLU BKG</v>
          </cell>
          <cell r="P6245">
            <v>3596</v>
          </cell>
        </row>
        <row r="6246">
          <cell r="B6246" t="str">
            <v>5001-00</v>
          </cell>
          <cell r="C6246" t="str">
            <v>PLATE 1-2-3-4 CLU BKG</v>
          </cell>
          <cell r="D6246">
            <v>1798</v>
          </cell>
          <cell r="N6246" t="str">
            <v>5001-00</v>
          </cell>
          <cell r="O6246" t="str">
            <v>PLATE 1-2-3-4 CLU BKG</v>
          </cell>
          <cell r="P6246">
            <v>3596</v>
          </cell>
        </row>
        <row r="6247">
          <cell r="B6247" t="str">
            <v>5005-00</v>
          </cell>
          <cell r="C6247" t="str">
            <v>WHEEL-A/TRANS INPUT SHF SPD SEN RELUCTOR</v>
          </cell>
          <cell r="D6247">
            <v>2185.5</v>
          </cell>
          <cell r="N6247" t="str">
            <v>5005-00</v>
          </cell>
          <cell r="O6247" t="str">
            <v>WHEEL-A/TRANS INPUT SHF SPD SEN RELUCTOR</v>
          </cell>
          <cell r="P6247">
            <v>4371</v>
          </cell>
        </row>
        <row r="6248">
          <cell r="B6248" t="str">
            <v>5005-00</v>
          </cell>
          <cell r="C6248" t="str">
            <v>WHEEL-A/TRANS INPUT SHF SPD SEN RELUCTOR</v>
          </cell>
          <cell r="D6248">
            <v>2185.5</v>
          </cell>
          <cell r="N6248" t="str">
            <v>5005-00</v>
          </cell>
          <cell r="O6248" t="str">
            <v>WHEEL-A/TRANS INPUT SHF SPD SEN RELUCTOR</v>
          </cell>
          <cell r="P6248">
            <v>4371</v>
          </cell>
        </row>
        <row r="6249">
          <cell r="B6249" t="str">
            <v>1986-00</v>
          </cell>
          <cell r="C6249" t="str">
            <v>BELT PULLEY</v>
          </cell>
          <cell r="D6249">
            <v>2248.5</v>
          </cell>
          <cell r="N6249" t="str">
            <v>1986-00</v>
          </cell>
          <cell r="O6249" t="str">
            <v>BELT PULLEY</v>
          </cell>
          <cell r="P6249">
            <v>4497</v>
          </cell>
        </row>
        <row r="6250">
          <cell r="B6250" t="str">
            <v>1986-00</v>
          </cell>
          <cell r="C6250" t="str">
            <v>BELT PULLEY</v>
          </cell>
          <cell r="D6250">
            <v>2248.5</v>
          </cell>
          <cell r="N6250" t="str">
            <v>1986-00</v>
          </cell>
          <cell r="O6250" t="str">
            <v>BELT PULLEY</v>
          </cell>
          <cell r="P6250">
            <v>4497</v>
          </cell>
        </row>
        <row r="6251">
          <cell r="B6251" t="str">
            <v>1986-00</v>
          </cell>
          <cell r="C6251" t="str">
            <v>BELT PULLEY</v>
          </cell>
          <cell r="D6251">
            <v>2248.5</v>
          </cell>
          <cell r="N6251" t="str">
            <v>1986-00</v>
          </cell>
          <cell r="O6251" t="str">
            <v>BELT PULLEY</v>
          </cell>
          <cell r="P6251">
            <v>4497</v>
          </cell>
        </row>
        <row r="6252">
          <cell r="B6252" t="str">
            <v>1986-00</v>
          </cell>
          <cell r="C6252" t="str">
            <v>BELT PULLEY</v>
          </cell>
          <cell r="D6252">
            <v>2248.5</v>
          </cell>
          <cell r="N6252" t="str">
            <v>1986-00</v>
          </cell>
          <cell r="O6252" t="str">
            <v>BELT PULLEY</v>
          </cell>
          <cell r="P6252">
            <v>4497</v>
          </cell>
        </row>
        <row r="6253">
          <cell r="B6253" t="str">
            <v>5010-00</v>
          </cell>
          <cell r="C6253" t="str">
            <v>WHEEL-A/TRANS INPUT SHF SPD</v>
          </cell>
          <cell r="D6253">
            <v>2262.5</v>
          </cell>
          <cell r="N6253" t="str">
            <v>5010-00</v>
          </cell>
          <cell r="O6253" t="str">
            <v>WHEEL-A/TRANS INPUT SHF SPD</v>
          </cell>
          <cell r="P6253">
            <v>4525</v>
          </cell>
        </row>
        <row r="6254">
          <cell r="B6254" t="str">
            <v>5010-00</v>
          </cell>
          <cell r="C6254" t="str">
            <v>WHEEL-A/TRANS INPUT SHF SPD</v>
          </cell>
          <cell r="D6254">
            <v>2262.5</v>
          </cell>
          <cell r="N6254" t="str">
            <v>5010-00</v>
          </cell>
          <cell r="O6254" t="str">
            <v>WHEEL-A/TRANS INPUT SHF SPD</v>
          </cell>
          <cell r="P6254">
            <v>4525</v>
          </cell>
        </row>
        <row r="6255">
          <cell r="B6255" t="str">
            <v>6009-01</v>
          </cell>
          <cell r="C6255" t="str">
            <v>PRESSURE PLATE</v>
          </cell>
          <cell r="D6255">
            <v>2772</v>
          </cell>
          <cell r="N6255" t="str">
            <v>6009-01</v>
          </cell>
          <cell r="O6255" t="str">
            <v>PRESSURE PLATE</v>
          </cell>
          <cell r="P6255">
            <v>4620</v>
          </cell>
        </row>
        <row r="6256">
          <cell r="B6256" t="str">
            <v>6009-02</v>
          </cell>
          <cell r="C6256" t="str">
            <v>PRESSURE PLATE</v>
          </cell>
          <cell r="D6256">
            <v>2772</v>
          </cell>
          <cell r="N6256" t="str">
            <v>6009-02</v>
          </cell>
          <cell r="O6256" t="str">
            <v>PRESSURE PLATE</v>
          </cell>
          <cell r="P6256">
            <v>4620</v>
          </cell>
        </row>
        <row r="6257">
          <cell r="B6257" t="str">
            <v>6009-03</v>
          </cell>
          <cell r="C6257" t="str">
            <v>PRESSURE PLATE</v>
          </cell>
          <cell r="D6257">
            <v>2772</v>
          </cell>
          <cell r="N6257" t="str">
            <v>6009-03</v>
          </cell>
          <cell r="O6257" t="str">
            <v>PRESSURE PLATE</v>
          </cell>
          <cell r="P6257">
            <v>4620</v>
          </cell>
        </row>
        <row r="6258">
          <cell r="B6258" t="str">
            <v>6009-04</v>
          </cell>
          <cell r="C6258" t="str">
            <v>PRESSURE PLATE</v>
          </cell>
          <cell r="D6258">
            <v>2772</v>
          </cell>
          <cell r="N6258" t="str">
            <v>6009-04</v>
          </cell>
          <cell r="O6258" t="str">
            <v>PRESSURE PLATE</v>
          </cell>
          <cell r="P6258">
            <v>4620</v>
          </cell>
        </row>
        <row r="6259">
          <cell r="B6259" t="str">
            <v>6009-05</v>
          </cell>
          <cell r="C6259" t="str">
            <v>PRESSURE PLATE</v>
          </cell>
          <cell r="D6259">
            <v>2772</v>
          </cell>
          <cell r="N6259" t="str">
            <v>6009-05</v>
          </cell>
          <cell r="O6259" t="str">
            <v>PRESSURE PLATE</v>
          </cell>
          <cell r="P6259">
            <v>4620</v>
          </cell>
        </row>
        <row r="6260">
          <cell r="B6260" t="str">
            <v>6009-06</v>
          </cell>
          <cell r="C6260" t="str">
            <v>PRESSURE PLATE</v>
          </cell>
          <cell r="D6260">
            <v>2772</v>
          </cell>
          <cell r="N6260" t="str">
            <v>6009-06</v>
          </cell>
          <cell r="O6260" t="str">
            <v>PRESSURE PLATE</v>
          </cell>
          <cell r="P6260">
            <v>4620</v>
          </cell>
        </row>
        <row r="6261">
          <cell r="B6261" t="str">
            <v>6009-07</v>
          </cell>
          <cell r="C6261" t="str">
            <v>PRESSURE PLATE</v>
          </cell>
          <cell r="D6261">
            <v>2772</v>
          </cell>
          <cell r="N6261" t="str">
            <v>6009-07</v>
          </cell>
          <cell r="O6261" t="str">
            <v>PRESSURE PLATE</v>
          </cell>
          <cell r="P6261">
            <v>4620</v>
          </cell>
        </row>
        <row r="6262">
          <cell r="B6262" t="str">
            <v>6009-08</v>
          </cell>
          <cell r="C6262" t="str">
            <v>PRESSURE PLATE</v>
          </cell>
          <cell r="D6262">
            <v>2772</v>
          </cell>
          <cell r="N6262" t="str">
            <v>6009-08</v>
          </cell>
          <cell r="O6262" t="str">
            <v>PRESSURE PLATE</v>
          </cell>
          <cell r="P6262">
            <v>4620</v>
          </cell>
        </row>
        <row r="6263">
          <cell r="B6263" t="str">
            <v>6009-09</v>
          </cell>
          <cell r="C6263" t="str">
            <v>PRESSURE PLATE</v>
          </cell>
          <cell r="D6263">
            <v>2772</v>
          </cell>
          <cell r="N6263" t="str">
            <v>6009-09</v>
          </cell>
          <cell r="O6263" t="str">
            <v>PRESSURE PLATE</v>
          </cell>
          <cell r="P6263">
            <v>4620</v>
          </cell>
        </row>
        <row r="6264">
          <cell r="B6264" t="str">
            <v>5006-00</v>
          </cell>
          <cell r="C6264" t="str">
            <v>PLATE 1-2-3-4 CLU BKG</v>
          </cell>
          <cell r="D6264">
            <v>1755.5</v>
          </cell>
          <cell r="N6264" t="str">
            <v>5006-00</v>
          </cell>
          <cell r="O6264" t="str">
            <v>PLATE 1-2-3-4 CLU BKG</v>
          </cell>
          <cell r="P6264">
            <v>3511</v>
          </cell>
        </row>
        <row r="6265">
          <cell r="B6265" t="str">
            <v>1987-00</v>
          </cell>
          <cell r="C6265" t="str">
            <v>BELT PULLEY</v>
          </cell>
          <cell r="D6265">
            <v>2459</v>
          </cell>
          <cell r="N6265" t="str">
            <v>1987-00</v>
          </cell>
          <cell r="O6265" t="str">
            <v>BELT PULLEY</v>
          </cell>
          <cell r="P6265">
            <v>4918</v>
          </cell>
        </row>
        <row r="6266">
          <cell r="B6266" t="str">
            <v>1987-00</v>
          </cell>
          <cell r="C6266" t="str">
            <v>BELT PULLEY</v>
          </cell>
          <cell r="D6266">
            <v>2459</v>
          </cell>
          <cell r="N6266" t="str">
            <v>1987-00</v>
          </cell>
          <cell r="O6266" t="str">
            <v>BELT PULLEY</v>
          </cell>
          <cell r="P6266">
            <v>4918</v>
          </cell>
        </row>
        <row r="6267">
          <cell r="B6267" t="str">
            <v>1987-00</v>
          </cell>
          <cell r="C6267" t="str">
            <v>BELT PULLEY</v>
          </cell>
          <cell r="D6267">
            <v>2459</v>
          </cell>
          <cell r="N6267" t="str">
            <v>1987-00</v>
          </cell>
          <cell r="O6267" t="str">
            <v>BELT PULLEY</v>
          </cell>
          <cell r="P6267">
            <v>4918</v>
          </cell>
        </row>
        <row r="6268">
          <cell r="B6268" t="str">
            <v>1987-00</v>
          </cell>
          <cell r="C6268" t="str">
            <v>BELT PULLEY</v>
          </cell>
          <cell r="D6268">
            <v>2459</v>
          </cell>
          <cell r="N6268" t="str">
            <v>1987-00</v>
          </cell>
          <cell r="O6268" t="str">
            <v>BELT PULLEY</v>
          </cell>
          <cell r="P6268">
            <v>4918</v>
          </cell>
        </row>
        <row r="6269">
          <cell r="B6269" t="str">
            <v>1951-00</v>
          </cell>
          <cell r="C6269" t="str">
            <v>Hub Reduction</v>
          </cell>
          <cell r="D6269">
            <v>2979.6</v>
          </cell>
          <cell r="N6269" t="str">
            <v>1951-00</v>
          </cell>
          <cell r="O6269" t="str">
            <v>Hub Reduction</v>
          </cell>
          <cell r="P6269">
            <v>4966</v>
          </cell>
        </row>
        <row r="6270">
          <cell r="B6270" t="str">
            <v>5005-00</v>
          </cell>
          <cell r="C6270" t="str">
            <v>WHEEL-A/TRANS INPUT SHF SPD SEN RELUCTOR</v>
          </cell>
          <cell r="D6270">
            <v>2185.5</v>
          </cell>
          <cell r="N6270" t="str">
            <v>5005-00</v>
          </cell>
          <cell r="O6270" t="str">
            <v>WHEEL-A/TRANS INPUT SHF SPD SEN RELUCTOR</v>
          </cell>
          <cell r="P6270">
            <v>4371</v>
          </cell>
        </row>
        <row r="6271">
          <cell r="B6271" t="str">
            <v>5005-00</v>
          </cell>
          <cell r="C6271" t="str">
            <v>WHEEL-A/TRANS INPUT SHF SPD SEN RELUCTOR</v>
          </cell>
          <cell r="D6271">
            <v>2185.5</v>
          </cell>
          <cell r="N6271" t="str">
            <v>5005-00</v>
          </cell>
          <cell r="O6271" t="str">
            <v>WHEEL-A/TRANS INPUT SHF SPD SEN RELUCTOR</v>
          </cell>
          <cell r="P6271">
            <v>4371</v>
          </cell>
        </row>
        <row r="6272">
          <cell r="B6272" t="str">
            <v>5005-00</v>
          </cell>
          <cell r="C6272" t="str">
            <v>WHEEL-A/TRANS INPUT SHF SPD SEN RELUCTOR</v>
          </cell>
          <cell r="D6272">
            <v>2185.5</v>
          </cell>
          <cell r="N6272" t="str">
            <v>5005-00</v>
          </cell>
          <cell r="O6272" t="str">
            <v>WHEEL-A/TRANS INPUT SHF SPD SEN RELUCTOR</v>
          </cell>
          <cell r="P6272">
            <v>4371</v>
          </cell>
        </row>
        <row r="6273">
          <cell r="B6273" t="str">
            <v>5010-00</v>
          </cell>
          <cell r="C6273" t="str">
            <v>WHEEL-A/TRANS INPUT SHF SPD</v>
          </cell>
          <cell r="D6273">
            <v>2262.5</v>
          </cell>
          <cell r="N6273" t="str">
            <v>5010-00</v>
          </cell>
          <cell r="O6273" t="str">
            <v>WHEEL-A/TRANS INPUT SHF SPD</v>
          </cell>
          <cell r="P6273">
            <v>4525</v>
          </cell>
        </row>
        <row r="6274">
          <cell r="B6274" t="str">
            <v>5010-00</v>
          </cell>
          <cell r="C6274" t="str">
            <v>WHEEL-A/TRANS INPUT SHF SPD</v>
          </cell>
          <cell r="D6274">
            <v>2262.5</v>
          </cell>
          <cell r="N6274" t="str">
            <v>5010-00</v>
          </cell>
          <cell r="O6274" t="str">
            <v>WHEEL-A/TRANS INPUT SHF SPD</v>
          </cell>
          <cell r="P6274">
            <v>4525</v>
          </cell>
        </row>
        <row r="6275">
          <cell r="B6275" t="str">
            <v>5010-00</v>
          </cell>
          <cell r="C6275" t="str">
            <v>WHEEL-A/TRANS INPUT SHF SPD</v>
          </cell>
          <cell r="D6275">
            <v>2262.5</v>
          </cell>
          <cell r="N6275" t="str">
            <v>5010-00</v>
          </cell>
          <cell r="O6275" t="str">
            <v>WHEEL-A/TRANS INPUT SHF SPD</v>
          </cell>
          <cell r="P6275">
            <v>4525</v>
          </cell>
        </row>
        <row r="6276">
          <cell r="B6276" t="str">
            <v>5001-00</v>
          </cell>
          <cell r="C6276" t="str">
            <v>PLATE 1-2-3-4 CLU BKG</v>
          </cell>
          <cell r="D6276">
            <v>1798</v>
          </cell>
          <cell r="N6276" t="str">
            <v>5001-00</v>
          </cell>
          <cell r="O6276" t="str">
            <v>PLATE 1-2-3-4 CLU BKG</v>
          </cell>
          <cell r="P6276">
            <v>3596</v>
          </cell>
        </row>
        <row r="6277">
          <cell r="B6277" t="str">
            <v>5001-00</v>
          </cell>
          <cell r="C6277" t="str">
            <v>PLATE 1-2-3-4 CLU BKG</v>
          </cell>
          <cell r="D6277">
            <v>1798</v>
          </cell>
          <cell r="N6277" t="str">
            <v>5001-00</v>
          </cell>
          <cell r="O6277" t="str">
            <v>PLATE 1-2-3-4 CLU BKG</v>
          </cell>
          <cell r="P6277">
            <v>3596</v>
          </cell>
        </row>
        <row r="6278">
          <cell r="B6278" t="str">
            <v>5001-00</v>
          </cell>
          <cell r="C6278" t="str">
            <v>PLATE 1-2-3-4 CLU BKG</v>
          </cell>
          <cell r="D6278">
            <v>1798</v>
          </cell>
          <cell r="N6278" t="str">
            <v>5001-00</v>
          </cell>
          <cell r="O6278" t="str">
            <v>PLATE 1-2-3-4 CLU BKG</v>
          </cell>
          <cell r="P6278">
            <v>3596</v>
          </cell>
        </row>
        <row r="6279">
          <cell r="B6279" t="str">
            <v>1987-01</v>
          </cell>
          <cell r="C6279" t="str">
            <v>BELT PULLEY</v>
          </cell>
          <cell r="D6279">
            <v>3129.6</v>
          </cell>
          <cell r="N6279" t="str">
            <v>1987-01</v>
          </cell>
          <cell r="O6279" t="str">
            <v>BELT PULLEY</v>
          </cell>
          <cell r="P6279">
            <v>5216</v>
          </cell>
        </row>
        <row r="6280">
          <cell r="B6280" t="str">
            <v>1987-01</v>
          </cell>
          <cell r="C6280" t="str">
            <v>BELT PULLEY</v>
          </cell>
          <cell r="D6280">
            <v>3129.6</v>
          </cell>
          <cell r="N6280" t="str">
            <v>1987-01</v>
          </cell>
          <cell r="O6280" t="str">
            <v>BELT PULLEY</v>
          </cell>
          <cell r="P6280">
            <v>5216</v>
          </cell>
        </row>
        <row r="6281">
          <cell r="B6281" t="str">
            <v>1786-00</v>
          </cell>
          <cell r="C6281" t="str">
            <v>BALL NUT PULLEY</v>
          </cell>
          <cell r="D6281">
            <v>2659</v>
          </cell>
          <cell r="N6281" t="str">
            <v>1786-00</v>
          </cell>
          <cell r="O6281" t="str">
            <v>BALL NUT PULLEY</v>
          </cell>
          <cell r="P6281">
            <v>5318</v>
          </cell>
        </row>
        <row r="6282">
          <cell r="B6282" t="str">
            <v>1786-00</v>
          </cell>
          <cell r="C6282" t="str">
            <v>BALL NUT PULLEY</v>
          </cell>
          <cell r="D6282">
            <v>2659</v>
          </cell>
          <cell r="N6282" t="str">
            <v>1786-00</v>
          </cell>
          <cell r="O6282" t="str">
            <v>BALL NUT PULLEY</v>
          </cell>
          <cell r="P6282">
            <v>5318</v>
          </cell>
        </row>
        <row r="6283">
          <cell r="B6283" t="str">
            <v>5010-00</v>
          </cell>
          <cell r="C6283" t="str">
            <v>WHEEL-A/TRANS INPUT SHF SPD</v>
          </cell>
          <cell r="D6283">
            <v>2262.5</v>
          </cell>
          <cell r="N6283" t="str">
            <v>5010-00</v>
          </cell>
          <cell r="O6283" t="str">
            <v>WHEEL-A/TRANS INPUT SHF SPD</v>
          </cell>
          <cell r="P6283">
            <v>4525</v>
          </cell>
        </row>
        <row r="6284">
          <cell r="B6284" t="str">
            <v>1786-00</v>
          </cell>
          <cell r="C6284" t="str">
            <v>BALL NUT PULLEY</v>
          </cell>
          <cell r="D6284">
            <v>2659</v>
          </cell>
          <cell r="N6284" t="str">
            <v>1786-00</v>
          </cell>
          <cell r="O6284" t="str">
            <v>BALL NUT PULLEY</v>
          </cell>
          <cell r="P6284">
            <v>5318</v>
          </cell>
        </row>
        <row r="6285">
          <cell r="B6285" t="str">
            <v>6009-01</v>
          </cell>
          <cell r="C6285" t="str">
            <v>PRESSURE PLATE</v>
          </cell>
          <cell r="D6285">
            <v>2772</v>
          </cell>
          <cell r="N6285" t="str">
            <v>6009-01</v>
          </cell>
          <cell r="O6285" t="str">
            <v>PRESSURE PLATE</v>
          </cell>
          <cell r="P6285">
            <v>4620</v>
          </cell>
        </row>
        <row r="6286">
          <cell r="B6286" t="str">
            <v>6009-02</v>
          </cell>
          <cell r="C6286" t="str">
            <v>PRESSURE PLATE</v>
          </cell>
          <cell r="D6286">
            <v>2772</v>
          </cell>
          <cell r="N6286" t="str">
            <v>6009-02</v>
          </cell>
          <cell r="O6286" t="str">
            <v>PRESSURE PLATE</v>
          </cell>
          <cell r="P6286">
            <v>4620</v>
          </cell>
        </row>
        <row r="6287">
          <cell r="B6287" t="str">
            <v>6009-03</v>
          </cell>
          <cell r="C6287" t="str">
            <v>PRESSURE PLATE</v>
          </cell>
          <cell r="D6287">
            <v>2772</v>
          </cell>
          <cell r="N6287" t="str">
            <v>6009-03</v>
          </cell>
          <cell r="O6287" t="str">
            <v>PRESSURE PLATE</v>
          </cell>
          <cell r="P6287">
            <v>4620</v>
          </cell>
        </row>
        <row r="6288">
          <cell r="B6288" t="str">
            <v>6009-04</v>
          </cell>
          <cell r="C6288" t="str">
            <v>PRESSURE PLATE</v>
          </cell>
          <cell r="D6288">
            <v>2772</v>
          </cell>
          <cell r="N6288" t="str">
            <v>6009-04</v>
          </cell>
          <cell r="O6288" t="str">
            <v>PRESSURE PLATE</v>
          </cell>
          <cell r="P6288">
            <v>4620</v>
          </cell>
        </row>
        <row r="6289">
          <cell r="B6289" t="str">
            <v>6009-05</v>
          </cell>
          <cell r="C6289" t="str">
            <v>PRESSURE PLATE</v>
          </cell>
          <cell r="D6289">
            <v>2772</v>
          </cell>
          <cell r="N6289" t="str">
            <v>6009-05</v>
          </cell>
          <cell r="O6289" t="str">
            <v>PRESSURE PLATE</v>
          </cell>
          <cell r="P6289">
            <v>4620</v>
          </cell>
        </row>
        <row r="6290">
          <cell r="B6290" t="str">
            <v>6009-08</v>
          </cell>
          <cell r="C6290" t="str">
            <v>PRESSURE PLATE</v>
          </cell>
          <cell r="D6290">
            <v>2772</v>
          </cell>
          <cell r="N6290" t="str">
            <v>6009-08</v>
          </cell>
          <cell r="O6290" t="str">
            <v>PRESSURE PLATE</v>
          </cell>
          <cell r="P6290">
            <v>4620</v>
          </cell>
        </row>
        <row r="6291">
          <cell r="B6291" t="str">
            <v>6009-09</v>
          </cell>
          <cell r="C6291" t="str">
            <v>PRESSURE PLATE</v>
          </cell>
          <cell r="D6291">
            <v>2772</v>
          </cell>
          <cell r="N6291" t="str">
            <v>6009-09</v>
          </cell>
          <cell r="O6291" t="str">
            <v>PRESSURE PLATE</v>
          </cell>
          <cell r="P6291">
            <v>4620</v>
          </cell>
        </row>
        <row r="6292">
          <cell r="B6292" t="str">
            <v>6009-10</v>
          </cell>
          <cell r="C6292" t="str">
            <v>PRESSURE PLATE</v>
          </cell>
          <cell r="D6292">
            <v>3343.7999999999997</v>
          </cell>
          <cell r="N6292" t="str">
            <v>6009-10</v>
          </cell>
          <cell r="O6292" t="str">
            <v>PRESSURE PLATE</v>
          </cell>
          <cell r="P6292">
            <v>5573</v>
          </cell>
        </row>
        <row r="6293">
          <cell r="B6293" t="str">
            <v>6009-11</v>
          </cell>
          <cell r="C6293" t="str">
            <v>PRESSURE PLATE</v>
          </cell>
          <cell r="D6293">
            <v>3343.7999999999997</v>
          </cell>
          <cell r="N6293" t="str">
            <v>6009-11</v>
          </cell>
          <cell r="O6293" t="str">
            <v>PRESSURE PLATE</v>
          </cell>
          <cell r="P6293">
            <v>5573</v>
          </cell>
        </row>
        <row r="6294">
          <cell r="B6294" t="str">
            <v>5016-00</v>
          </cell>
          <cell r="C6294" t="str">
            <v>CARRIER - INPUT</v>
          </cell>
          <cell r="D6294">
            <v>2548.1999999999998</v>
          </cell>
          <cell r="N6294" t="str">
            <v>5016-00</v>
          </cell>
          <cell r="O6294" t="str">
            <v>CARRIER - INPUT</v>
          </cell>
          <cell r="P6294">
            <v>4247</v>
          </cell>
        </row>
        <row r="6295">
          <cell r="B6295" t="str">
            <v>5016-00</v>
          </cell>
          <cell r="C6295" t="str">
            <v>CARRIER - INPUT</v>
          </cell>
          <cell r="D6295">
            <v>2548.1999999999998</v>
          </cell>
          <cell r="N6295" t="str">
            <v>5016-00</v>
          </cell>
          <cell r="O6295" t="str">
            <v>CARRIER - INPUT</v>
          </cell>
          <cell r="P6295">
            <v>4247</v>
          </cell>
        </row>
        <row r="6296">
          <cell r="B6296" t="str">
            <v>5010-00</v>
          </cell>
          <cell r="C6296" t="str">
            <v>WHEEL-A/TRANS INPUT SHF SPD</v>
          </cell>
          <cell r="D6296">
            <v>2262.5</v>
          </cell>
          <cell r="N6296" t="str">
            <v>5010-00</v>
          </cell>
          <cell r="O6296" t="str">
            <v>WHEEL-A/TRANS INPUT SHF SPD</v>
          </cell>
          <cell r="P6296">
            <v>4525</v>
          </cell>
        </row>
        <row r="6297">
          <cell r="B6297" t="str">
            <v>5005-00</v>
          </cell>
          <cell r="C6297" t="str">
            <v>WHEEL-A/TRANS INPUT SHF SPD SEN RELUCTOR</v>
          </cell>
          <cell r="D6297">
            <v>2185.5</v>
          </cell>
          <cell r="N6297" t="str">
            <v>5005-00</v>
          </cell>
          <cell r="O6297" t="str">
            <v>WHEEL-A/TRANS INPUT SHF SPD SEN RELUCTOR</v>
          </cell>
          <cell r="P6297">
            <v>4371</v>
          </cell>
        </row>
        <row r="6298">
          <cell r="B6298" t="str">
            <v>5005-00</v>
          </cell>
          <cell r="C6298" t="str">
            <v>WHEEL-A/TRANS INPUT SHF SPD SEN RELUCTOR</v>
          </cell>
          <cell r="D6298">
            <v>2185.5</v>
          </cell>
          <cell r="N6298" t="str">
            <v>5005-00</v>
          </cell>
          <cell r="O6298" t="str">
            <v>WHEEL-A/TRANS INPUT SHF SPD SEN RELUCTOR</v>
          </cell>
          <cell r="P6298">
            <v>4371</v>
          </cell>
        </row>
        <row r="6299">
          <cell r="B6299" t="str">
            <v>5016-00</v>
          </cell>
          <cell r="C6299" t="str">
            <v>CARRIER - INPUT</v>
          </cell>
          <cell r="D6299">
            <v>2548.1999999999998</v>
          </cell>
          <cell r="N6299" t="str">
            <v>5016-00</v>
          </cell>
          <cell r="O6299" t="str">
            <v>CARRIER - INPUT</v>
          </cell>
          <cell r="P6299">
            <v>4247</v>
          </cell>
        </row>
        <row r="6300">
          <cell r="B6300" t="str">
            <v>1786-00</v>
          </cell>
          <cell r="C6300" t="str">
            <v>BALL NUT PULLEY</v>
          </cell>
          <cell r="D6300">
            <v>2659</v>
          </cell>
          <cell r="N6300" t="str">
            <v>1786-00</v>
          </cell>
          <cell r="O6300" t="str">
            <v>BALL NUT PULLEY</v>
          </cell>
          <cell r="P6300">
            <v>5318</v>
          </cell>
        </row>
        <row r="6301">
          <cell r="B6301" t="str">
            <v>6009-01</v>
          </cell>
          <cell r="C6301" t="str">
            <v>PRESSURE PLATE</v>
          </cell>
          <cell r="D6301">
            <v>2772</v>
          </cell>
          <cell r="N6301" t="str">
            <v>6009-01</v>
          </cell>
          <cell r="O6301" t="str">
            <v>PRESSURE PLATE</v>
          </cell>
          <cell r="P6301">
            <v>4620</v>
          </cell>
        </row>
        <row r="6302">
          <cell r="B6302" t="str">
            <v>6009-02</v>
          </cell>
          <cell r="C6302" t="str">
            <v>PRESSURE PLATE</v>
          </cell>
          <cell r="D6302">
            <v>2772</v>
          </cell>
          <cell r="N6302" t="str">
            <v>6009-02</v>
          </cell>
          <cell r="O6302" t="str">
            <v>PRESSURE PLATE</v>
          </cell>
          <cell r="P6302">
            <v>4620</v>
          </cell>
        </row>
        <row r="6303">
          <cell r="B6303" t="str">
            <v>6009-03</v>
          </cell>
          <cell r="C6303" t="str">
            <v>PRESSURE PLATE</v>
          </cell>
          <cell r="D6303">
            <v>2772</v>
          </cell>
          <cell r="N6303" t="str">
            <v>6009-03</v>
          </cell>
          <cell r="O6303" t="str">
            <v>PRESSURE PLATE</v>
          </cell>
          <cell r="P6303">
            <v>4620</v>
          </cell>
        </row>
        <row r="6304">
          <cell r="B6304" t="str">
            <v>6009-04</v>
          </cell>
          <cell r="C6304" t="str">
            <v>PRESSURE PLATE</v>
          </cell>
          <cell r="D6304">
            <v>2772</v>
          </cell>
          <cell r="N6304" t="str">
            <v>6009-04</v>
          </cell>
          <cell r="O6304" t="str">
            <v>PRESSURE PLATE</v>
          </cell>
          <cell r="P6304">
            <v>4620</v>
          </cell>
        </row>
        <row r="6305">
          <cell r="B6305" t="str">
            <v>6009-05</v>
          </cell>
          <cell r="C6305" t="str">
            <v>PRESSURE PLATE</v>
          </cell>
          <cell r="D6305">
            <v>2772</v>
          </cell>
          <cell r="N6305" t="str">
            <v>6009-05</v>
          </cell>
          <cell r="O6305" t="str">
            <v>PRESSURE PLATE</v>
          </cell>
          <cell r="P6305">
            <v>4620</v>
          </cell>
        </row>
        <row r="6306">
          <cell r="B6306" t="str">
            <v>6009-06</v>
          </cell>
          <cell r="C6306" t="str">
            <v>PRESSURE PLATE</v>
          </cell>
          <cell r="D6306">
            <v>2772</v>
          </cell>
          <cell r="N6306" t="str">
            <v>6009-06</v>
          </cell>
          <cell r="O6306" t="str">
            <v>PRESSURE PLATE</v>
          </cell>
          <cell r="P6306">
            <v>4620</v>
          </cell>
        </row>
        <row r="6307">
          <cell r="B6307" t="str">
            <v>6009-07</v>
          </cell>
          <cell r="C6307" t="str">
            <v>PRESSURE PLATE</v>
          </cell>
          <cell r="D6307">
            <v>2772</v>
          </cell>
          <cell r="N6307" t="str">
            <v>6009-07</v>
          </cell>
          <cell r="O6307" t="str">
            <v>PRESSURE PLATE</v>
          </cell>
          <cell r="P6307">
            <v>4620</v>
          </cell>
        </row>
        <row r="6308">
          <cell r="B6308" t="str">
            <v>6009-08</v>
          </cell>
          <cell r="C6308" t="str">
            <v>PRESSURE PLATE</v>
          </cell>
          <cell r="D6308">
            <v>2772</v>
          </cell>
          <cell r="N6308" t="str">
            <v>6009-08</v>
          </cell>
          <cell r="O6308" t="str">
            <v>PRESSURE PLATE</v>
          </cell>
          <cell r="P6308">
            <v>4620</v>
          </cell>
        </row>
        <row r="6309">
          <cell r="B6309" t="str">
            <v>6009-09</v>
          </cell>
          <cell r="C6309" t="str">
            <v>PRESSURE PLATE</v>
          </cell>
          <cell r="D6309">
            <v>2772</v>
          </cell>
          <cell r="N6309" t="str">
            <v>6009-09</v>
          </cell>
          <cell r="O6309" t="str">
            <v>PRESSURE PLATE</v>
          </cell>
          <cell r="P6309">
            <v>4620</v>
          </cell>
        </row>
        <row r="6310">
          <cell r="B6310" t="str">
            <v>5016-00</v>
          </cell>
          <cell r="C6310" t="str">
            <v>CARRIER - INPUT</v>
          </cell>
          <cell r="D6310">
            <v>2548.1999999999998</v>
          </cell>
          <cell r="N6310" t="str">
            <v>5016-00</v>
          </cell>
          <cell r="O6310" t="str">
            <v>CARRIER - INPUT</v>
          </cell>
          <cell r="P6310">
            <v>4247</v>
          </cell>
        </row>
        <row r="6311">
          <cell r="B6311" t="str">
            <v>5016-00</v>
          </cell>
          <cell r="C6311" t="str">
            <v>CARRIER - INPUT</v>
          </cell>
          <cell r="D6311">
            <v>2548.1999999999998</v>
          </cell>
          <cell r="N6311" t="str">
            <v>5016-00</v>
          </cell>
          <cell r="O6311" t="str">
            <v>CARRIER - INPUT</v>
          </cell>
          <cell r="P6311">
            <v>4247</v>
          </cell>
        </row>
        <row r="6312">
          <cell r="B6312" t="str">
            <v>5016-00</v>
          </cell>
          <cell r="C6312" t="str">
            <v>CARRIER - INPUT</v>
          </cell>
          <cell r="D6312">
            <v>2548.1999999999998</v>
          </cell>
          <cell r="N6312" t="str">
            <v>5016-00</v>
          </cell>
          <cell r="O6312" t="str">
            <v>CARRIER - INPUT</v>
          </cell>
          <cell r="P6312">
            <v>4247</v>
          </cell>
        </row>
        <row r="6313">
          <cell r="B6313" t="str">
            <v>5016-00</v>
          </cell>
          <cell r="C6313" t="str">
            <v>CARRIER - INPUT</v>
          </cell>
          <cell r="D6313">
            <v>2548.1999999999998</v>
          </cell>
          <cell r="N6313" t="str">
            <v>5016-00</v>
          </cell>
          <cell r="O6313" t="str">
            <v>CARRIER - INPUT</v>
          </cell>
          <cell r="P6313">
            <v>4247</v>
          </cell>
        </row>
        <row r="6314">
          <cell r="B6314" t="str">
            <v>5015-00</v>
          </cell>
          <cell r="C6314" t="str">
            <v>CARRIER - REACTION</v>
          </cell>
          <cell r="D6314">
            <v>3667.2</v>
          </cell>
          <cell r="N6314" t="str">
            <v>5015-00</v>
          </cell>
          <cell r="O6314" t="str">
            <v>CARRIER - REACTION</v>
          </cell>
          <cell r="P6314">
            <v>6112</v>
          </cell>
        </row>
        <row r="6315">
          <cell r="B6315" t="str">
            <v>5014-00</v>
          </cell>
          <cell r="C6315" t="str">
            <v>CARRIER-INPUT</v>
          </cell>
          <cell r="D6315">
            <v>3717</v>
          </cell>
          <cell r="N6315" t="str">
            <v>5014-00</v>
          </cell>
          <cell r="O6315" t="str">
            <v>CARRIER-INPUT</v>
          </cell>
          <cell r="P6315">
            <v>6195</v>
          </cell>
        </row>
        <row r="6316">
          <cell r="B6316" t="str">
            <v>5014-00</v>
          </cell>
          <cell r="C6316" t="str">
            <v>CARRIER-INPUT</v>
          </cell>
          <cell r="D6316">
            <v>3717</v>
          </cell>
          <cell r="N6316" t="str">
            <v>5014-00</v>
          </cell>
          <cell r="O6316" t="str">
            <v>CARRIER-INPUT</v>
          </cell>
          <cell r="P6316">
            <v>6195</v>
          </cell>
        </row>
        <row r="6317">
          <cell r="B6317" t="str">
            <v>5014-00</v>
          </cell>
          <cell r="C6317" t="str">
            <v>CARRIER-INPUT</v>
          </cell>
          <cell r="D6317">
            <v>3717</v>
          </cell>
          <cell r="N6317" t="str">
            <v>5014-00</v>
          </cell>
          <cell r="O6317" t="str">
            <v>CARRIER-INPUT</v>
          </cell>
          <cell r="P6317">
            <v>6195</v>
          </cell>
        </row>
        <row r="6318">
          <cell r="B6318" t="str">
            <v>1108-00</v>
          </cell>
          <cell r="C6318" t="str">
            <v>PLATE SENSOR</v>
          </cell>
          <cell r="D6318">
            <v>3783</v>
          </cell>
          <cell r="N6318" t="str">
            <v>1108-00</v>
          </cell>
          <cell r="O6318" t="str">
            <v>PLATE SENSOR</v>
          </cell>
          <cell r="P6318">
            <v>6305</v>
          </cell>
        </row>
        <row r="6319">
          <cell r="B6319" t="str">
            <v>5016-00</v>
          </cell>
          <cell r="C6319" t="str">
            <v>CARRIER - INPUT</v>
          </cell>
          <cell r="D6319">
            <v>2548.1999999999998</v>
          </cell>
          <cell r="N6319" t="str">
            <v>5016-00</v>
          </cell>
          <cell r="O6319" t="str">
            <v>CARRIER - INPUT</v>
          </cell>
          <cell r="P6319">
            <v>4247</v>
          </cell>
        </row>
        <row r="6320">
          <cell r="B6320" t="str">
            <v>5016-00</v>
          </cell>
          <cell r="C6320" t="str">
            <v>CARRIER - INPUT</v>
          </cell>
          <cell r="D6320">
            <v>2548.1999999999998</v>
          </cell>
          <cell r="N6320" t="str">
            <v>5016-00</v>
          </cell>
          <cell r="O6320" t="str">
            <v>CARRIER - INPUT</v>
          </cell>
          <cell r="P6320">
            <v>4247</v>
          </cell>
        </row>
        <row r="6321">
          <cell r="B6321" t="str">
            <v>5016-00</v>
          </cell>
          <cell r="C6321" t="str">
            <v>CARRIER - INPUT</v>
          </cell>
          <cell r="D6321">
            <v>2548.1999999999998</v>
          </cell>
          <cell r="N6321" t="str">
            <v>5016-00</v>
          </cell>
          <cell r="O6321" t="str">
            <v>CARRIER - INPUT</v>
          </cell>
          <cell r="P6321">
            <v>4247</v>
          </cell>
        </row>
        <row r="6322">
          <cell r="B6322" t="str">
            <v>5016-00</v>
          </cell>
          <cell r="C6322" t="str">
            <v>CARRIER - INPUT</v>
          </cell>
          <cell r="D6322">
            <v>2548.1999999999998</v>
          </cell>
          <cell r="N6322" t="str">
            <v>5016-00</v>
          </cell>
          <cell r="O6322" t="str">
            <v>CARRIER - INPUT</v>
          </cell>
          <cell r="P6322">
            <v>4247</v>
          </cell>
        </row>
        <row r="6323">
          <cell r="B6323" t="str">
            <v>5016-00</v>
          </cell>
          <cell r="C6323" t="str">
            <v>CARRIER - INPUT</v>
          </cell>
          <cell r="D6323">
            <v>2548.1999999999998</v>
          </cell>
          <cell r="N6323" t="str">
            <v>5016-00</v>
          </cell>
          <cell r="O6323" t="str">
            <v>CARRIER - INPUT</v>
          </cell>
          <cell r="P6323">
            <v>4247</v>
          </cell>
        </row>
        <row r="6324">
          <cell r="B6324" t="str">
            <v>5016-00</v>
          </cell>
          <cell r="C6324" t="str">
            <v>CARRIER - INPUT</v>
          </cell>
          <cell r="D6324">
            <v>2548.1999999999998</v>
          </cell>
          <cell r="N6324" t="str">
            <v>5016-00</v>
          </cell>
          <cell r="O6324" t="str">
            <v>CARRIER - INPUT</v>
          </cell>
          <cell r="P6324">
            <v>4247</v>
          </cell>
        </row>
        <row r="6325">
          <cell r="B6325" t="str">
            <v>5012-00</v>
          </cell>
          <cell r="C6325" t="str">
            <v>CARRIER-INPUT</v>
          </cell>
          <cell r="D6325">
            <v>3846</v>
          </cell>
          <cell r="N6325" t="str">
            <v>5012-00</v>
          </cell>
          <cell r="O6325" t="str">
            <v>CARRIER-INPUT</v>
          </cell>
          <cell r="P6325">
            <v>6410</v>
          </cell>
        </row>
        <row r="6326">
          <cell r="B6326" t="str">
            <v>5015-00</v>
          </cell>
          <cell r="C6326" t="str">
            <v>CARRIER - REACTION</v>
          </cell>
          <cell r="D6326">
            <v>3667.2</v>
          </cell>
          <cell r="N6326" t="str">
            <v>5015-00</v>
          </cell>
          <cell r="O6326" t="str">
            <v>CARRIER - REACTION</v>
          </cell>
          <cell r="P6326">
            <v>6112</v>
          </cell>
        </row>
        <row r="6327">
          <cell r="B6327" t="str">
            <v>5015-00</v>
          </cell>
          <cell r="C6327" t="str">
            <v>CARRIER - REACTION</v>
          </cell>
          <cell r="D6327">
            <v>3667.2</v>
          </cell>
          <cell r="N6327" t="str">
            <v>5015-00</v>
          </cell>
          <cell r="O6327" t="str">
            <v>CARRIER - REACTION</v>
          </cell>
          <cell r="P6327">
            <v>6112</v>
          </cell>
        </row>
        <row r="6328">
          <cell r="B6328" t="str">
            <v>5014-00</v>
          </cell>
          <cell r="C6328" t="str">
            <v>CARRIER-INPUT</v>
          </cell>
          <cell r="D6328">
            <v>3717</v>
          </cell>
          <cell r="N6328" t="str">
            <v>5014-00</v>
          </cell>
          <cell r="O6328" t="str">
            <v>CARRIER-INPUT</v>
          </cell>
          <cell r="P6328">
            <v>6195</v>
          </cell>
        </row>
        <row r="6329">
          <cell r="B6329" t="str">
            <v>5014-00</v>
          </cell>
          <cell r="C6329" t="str">
            <v>CARRIER-INPUT</v>
          </cell>
          <cell r="D6329">
            <v>3717</v>
          </cell>
          <cell r="N6329" t="str">
            <v>5014-00</v>
          </cell>
          <cell r="O6329" t="str">
            <v>CARRIER-INPUT</v>
          </cell>
          <cell r="P6329">
            <v>6195</v>
          </cell>
        </row>
        <row r="6330">
          <cell r="B6330" t="str">
            <v>5014-00</v>
          </cell>
          <cell r="C6330" t="str">
            <v>CARRIER-INPUT</v>
          </cell>
          <cell r="D6330">
            <v>3717</v>
          </cell>
          <cell r="N6330" t="str">
            <v>5014-00</v>
          </cell>
          <cell r="O6330" t="str">
            <v>CARRIER-INPUT</v>
          </cell>
          <cell r="P6330">
            <v>6195</v>
          </cell>
        </row>
        <row r="6331">
          <cell r="B6331" t="str">
            <v>5014-00</v>
          </cell>
          <cell r="C6331" t="str">
            <v>CARRIER-INPUT</v>
          </cell>
          <cell r="D6331">
            <v>3717</v>
          </cell>
          <cell r="N6331" t="str">
            <v>5014-00</v>
          </cell>
          <cell r="O6331" t="str">
            <v>CARRIER-INPUT</v>
          </cell>
          <cell r="P6331">
            <v>6195</v>
          </cell>
        </row>
        <row r="6332">
          <cell r="B6332" t="str">
            <v>5014-00</v>
          </cell>
          <cell r="C6332" t="str">
            <v>CARRIER-INPUT</v>
          </cell>
          <cell r="D6332">
            <v>3717</v>
          </cell>
          <cell r="N6332" t="str">
            <v>5014-00</v>
          </cell>
          <cell r="O6332" t="str">
            <v>CARRIER-INPUT</v>
          </cell>
          <cell r="P6332">
            <v>6195</v>
          </cell>
        </row>
        <row r="6333">
          <cell r="B6333" t="str">
            <v>5014-00</v>
          </cell>
          <cell r="C6333" t="str">
            <v>CARRIER-INPUT</v>
          </cell>
          <cell r="D6333">
            <v>3717</v>
          </cell>
          <cell r="N6333" t="str">
            <v>5014-00</v>
          </cell>
          <cell r="O6333" t="str">
            <v>CARRIER-INPUT</v>
          </cell>
          <cell r="P6333">
            <v>6195</v>
          </cell>
        </row>
        <row r="6334">
          <cell r="B6334" t="str">
            <v>5015-00</v>
          </cell>
          <cell r="C6334" t="str">
            <v>CARRIER - REACTION</v>
          </cell>
          <cell r="D6334">
            <v>3667.2</v>
          </cell>
          <cell r="N6334" t="str">
            <v>5015-00</v>
          </cell>
          <cell r="O6334" t="str">
            <v>CARRIER - REACTION</v>
          </cell>
          <cell r="P6334">
            <v>6112</v>
          </cell>
        </row>
        <row r="6335">
          <cell r="B6335" t="str">
            <v>5012-00</v>
          </cell>
          <cell r="C6335" t="str">
            <v>CARRIER-INPUT</v>
          </cell>
          <cell r="D6335">
            <v>3846</v>
          </cell>
          <cell r="N6335" t="str">
            <v>5012-00</v>
          </cell>
          <cell r="O6335" t="str">
            <v>CARRIER-INPUT</v>
          </cell>
          <cell r="P6335">
            <v>6410</v>
          </cell>
        </row>
        <row r="6336">
          <cell r="B6336" t="str">
            <v>5012-00</v>
          </cell>
          <cell r="C6336" t="str">
            <v>CARRIER-INPUT</v>
          </cell>
          <cell r="D6336">
            <v>3846</v>
          </cell>
          <cell r="N6336" t="str">
            <v>5012-00</v>
          </cell>
          <cell r="O6336" t="str">
            <v>CARRIER-INPUT</v>
          </cell>
          <cell r="P6336">
            <v>6410</v>
          </cell>
        </row>
        <row r="6337">
          <cell r="B6337" t="str">
            <v>5012-00</v>
          </cell>
          <cell r="C6337" t="str">
            <v>CARRIER-INPUT</v>
          </cell>
          <cell r="D6337">
            <v>3846</v>
          </cell>
          <cell r="N6337" t="str">
            <v>5012-00</v>
          </cell>
          <cell r="O6337" t="str">
            <v>CARRIER-INPUT</v>
          </cell>
          <cell r="P6337">
            <v>6410</v>
          </cell>
        </row>
        <row r="6338">
          <cell r="B6338" t="str">
            <v>5017-00</v>
          </cell>
          <cell r="C6338" t="str">
            <v>CARRIER-INPUT</v>
          </cell>
          <cell r="D6338">
            <v>4343.3999999999996</v>
          </cell>
          <cell r="N6338" t="str">
            <v>5017-00</v>
          </cell>
          <cell r="O6338" t="str">
            <v>CARRIER-INPUT</v>
          </cell>
          <cell r="P6338">
            <v>7239</v>
          </cell>
        </row>
        <row r="6339">
          <cell r="B6339" t="str">
            <v>2059-00</v>
          </cell>
          <cell r="C6339" t="str">
            <v>BELT PULLEY</v>
          </cell>
          <cell r="D6339">
            <v>3649</v>
          </cell>
          <cell r="N6339" t="str">
            <v>2059-00</v>
          </cell>
          <cell r="O6339" t="str">
            <v>BELT PULLEY</v>
          </cell>
          <cell r="P6339">
            <v>7298</v>
          </cell>
        </row>
        <row r="6340">
          <cell r="B6340" t="str">
            <v>2059-00</v>
          </cell>
          <cell r="C6340" t="str">
            <v>BELT PULLEY</v>
          </cell>
          <cell r="D6340">
            <v>3649</v>
          </cell>
          <cell r="N6340" t="str">
            <v>2059-00</v>
          </cell>
          <cell r="O6340" t="str">
            <v>BELT PULLEY</v>
          </cell>
          <cell r="P6340">
            <v>7298</v>
          </cell>
        </row>
        <row r="6341">
          <cell r="B6341" t="str">
            <v>5013-00</v>
          </cell>
          <cell r="C6341" t="str">
            <v>CARRIER-REACTION</v>
          </cell>
          <cell r="D6341">
            <v>4402.8</v>
          </cell>
          <cell r="N6341" t="str">
            <v>5013-00</v>
          </cell>
          <cell r="O6341" t="str">
            <v>CARRIER-REACTION</v>
          </cell>
          <cell r="P6341">
            <v>7338</v>
          </cell>
        </row>
        <row r="6342">
          <cell r="B6342" t="str">
            <v>5013-00</v>
          </cell>
          <cell r="C6342" t="str">
            <v>CARRIER-REACTION</v>
          </cell>
          <cell r="D6342">
            <v>4402.8</v>
          </cell>
          <cell r="N6342" t="str">
            <v>5013-00</v>
          </cell>
          <cell r="O6342" t="str">
            <v>CARRIER-REACTION</v>
          </cell>
          <cell r="P6342">
            <v>7338</v>
          </cell>
        </row>
        <row r="6343">
          <cell r="B6343" t="str">
            <v>5013-00</v>
          </cell>
          <cell r="C6343" t="str">
            <v>CARRIER-REACTION</v>
          </cell>
          <cell r="D6343">
            <v>4402.8</v>
          </cell>
          <cell r="N6343" t="str">
            <v>5013-00</v>
          </cell>
          <cell r="O6343" t="str">
            <v>CARRIER-REACTION</v>
          </cell>
          <cell r="P6343">
            <v>7338</v>
          </cell>
        </row>
        <row r="6344">
          <cell r="B6344" t="str">
            <v>5015-00</v>
          </cell>
          <cell r="C6344" t="str">
            <v>CARRIER - REACTION</v>
          </cell>
          <cell r="D6344">
            <v>3667.2</v>
          </cell>
          <cell r="N6344" t="str">
            <v>5015-00</v>
          </cell>
          <cell r="O6344" t="str">
            <v>CARRIER - REACTION</v>
          </cell>
          <cell r="P6344">
            <v>6112</v>
          </cell>
        </row>
        <row r="6345">
          <cell r="B6345" t="str">
            <v>5015-00</v>
          </cell>
          <cell r="C6345" t="str">
            <v>CARRIER - REACTION</v>
          </cell>
          <cell r="D6345">
            <v>3667.2</v>
          </cell>
          <cell r="N6345" t="str">
            <v>5015-00</v>
          </cell>
          <cell r="O6345" t="str">
            <v>CARRIER - REACTION</v>
          </cell>
          <cell r="P6345">
            <v>6112</v>
          </cell>
        </row>
        <row r="6346">
          <cell r="B6346" t="str">
            <v>5018-00</v>
          </cell>
          <cell r="C6346" t="str">
            <v>CARRIER-INPUT</v>
          </cell>
          <cell r="D6346">
            <v>4525.2</v>
          </cell>
          <cell r="N6346" t="str">
            <v>5018-00</v>
          </cell>
          <cell r="O6346" t="str">
            <v>CARRIER-INPUT</v>
          </cell>
          <cell r="P6346">
            <v>7542</v>
          </cell>
        </row>
        <row r="6347">
          <cell r="B6347" t="str">
            <v>5015-00</v>
          </cell>
          <cell r="C6347" t="str">
            <v>CARRIER - REACTION</v>
          </cell>
          <cell r="D6347">
            <v>3667.2</v>
          </cell>
          <cell r="N6347" t="str">
            <v>5015-00</v>
          </cell>
          <cell r="O6347" t="str">
            <v>CARRIER - REACTION</v>
          </cell>
          <cell r="P6347">
            <v>6112</v>
          </cell>
        </row>
        <row r="6348">
          <cell r="B6348" t="str">
            <v>5015-00</v>
          </cell>
          <cell r="C6348" t="str">
            <v>CARRIER - REACTION</v>
          </cell>
          <cell r="D6348">
            <v>3667.2</v>
          </cell>
          <cell r="N6348" t="str">
            <v>5015-00</v>
          </cell>
          <cell r="O6348" t="str">
            <v>CARRIER - REACTION</v>
          </cell>
          <cell r="P6348">
            <v>6112</v>
          </cell>
        </row>
        <row r="6349">
          <cell r="B6349" t="str">
            <v>5015-00</v>
          </cell>
          <cell r="C6349" t="str">
            <v>CARRIER - REACTION</v>
          </cell>
          <cell r="D6349">
            <v>3667.2</v>
          </cell>
          <cell r="N6349" t="str">
            <v>5015-00</v>
          </cell>
          <cell r="O6349" t="str">
            <v>CARRIER - REACTION</v>
          </cell>
          <cell r="P6349">
            <v>6112</v>
          </cell>
        </row>
        <row r="6350">
          <cell r="B6350" t="str">
            <v>5015-00</v>
          </cell>
          <cell r="C6350" t="str">
            <v>CARRIER - REACTION</v>
          </cell>
          <cell r="D6350">
            <v>3667.2</v>
          </cell>
          <cell r="N6350" t="str">
            <v>5015-00</v>
          </cell>
          <cell r="O6350" t="str">
            <v>CARRIER - REACTION</v>
          </cell>
          <cell r="P6350">
            <v>6112</v>
          </cell>
        </row>
        <row r="6351">
          <cell r="B6351" t="str">
            <v>5015-00</v>
          </cell>
          <cell r="C6351" t="str">
            <v>CARRIER - REACTION</v>
          </cell>
          <cell r="D6351">
            <v>3667.2</v>
          </cell>
          <cell r="N6351" t="str">
            <v>5015-00</v>
          </cell>
          <cell r="O6351" t="str">
            <v>CARRIER - REACTION</v>
          </cell>
          <cell r="P6351">
            <v>6112</v>
          </cell>
        </row>
        <row r="6352">
          <cell r="B6352" t="str">
            <v>5015-00</v>
          </cell>
          <cell r="C6352" t="str">
            <v>CARRIER - REACTION</v>
          </cell>
          <cell r="D6352">
            <v>3667.2</v>
          </cell>
          <cell r="N6352" t="str">
            <v>5015-00</v>
          </cell>
          <cell r="O6352" t="str">
            <v>CARRIER - REACTION</v>
          </cell>
          <cell r="P6352">
            <v>6112</v>
          </cell>
        </row>
        <row r="6353">
          <cell r="B6353" t="str">
            <v>5011-00</v>
          </cell>
          <cell r="C6353" t="str">
            <v>CARRIER-REACTION</v>
          </cell>
          <cell r="D6353">
            <v>4911.5999999999995</v>
          </cell>
          <cell r="N6353" t="str">
            <v>5011-00</v>
          </cell>
          <cell r="O6353" t="str">
            <v>CARRIER-REACTION</v>
          </cell>
          <cell r="P6353">
            <v>8186</v>
          </cell>
        </row>
        <row r="6354">
          <cell r="B6354" t="str">
            <v>5011-00</v>
          </cell>
          <cell r="C6354" t="str">
            <v>CARRIER-REACTION</v>
          </cell>
          <cell r="D6354">
            <v>4911.5999999999995</v>
          </cell>
          <cell r="N6354" t="str">
            <v>5011-00</v>
          </cell>
          <cell r="O6354" t="str">
            <v>CARRIER-REACTION</v>
          </cell>
          <cell r="P6354">
            <v>8186</v>
          </cell>
        </row>
        <row r="6355">
          <cell r="B6355" t="str">
            <v>5011-00</v>
          </cell>
          <cell r="C6355" t="str">
            <v>CARRIER-REACTION</v>
          </cell>
          <cell r="D6355">
            <v>4911.5999999999995</v>
          </cell>
          <cell r="N6355" t="str">
            <v>5011-00</v>
          </cell>
          <cell r="O6355" t="str">
            <v>CARRIER-REACTION</v>
          </cell>
          <cell r="P6355">
            <v>8186</v>
          </cell>
        </row>
        <row r="6356">
          <cell r="B6356" t="str">
            <v>5017-00</v>
          </cell>
          <cell r="C6356" t="str">
            <v>CARRIER-INPUT</v>
          </cell>
          <cell r="D6356">
            <v>4343.3999999999996</v>
          </cell>
          <cell r="N6356" t="str">
            <v>5017-00</v>
          </cell>
          <cell r="O6356" t="str">
            <v>CARRIER-INPUT</v>
          </cell>
          <cell r="P6356">
            <v>7239</v>
          </cell>
        </row>
        <row r="6357">
          <cell r="B6357" t="str">
            <v>5013-00</v>
          </cell>
          <cell r="C6357" t="str">
            <v>CARRIER-REACTION</v>
          </cell>
          <cell r="D6357">
            <v>4402.8</v>
          </cell>
          <cell r="N6357" t="str">
            <v>5013-00</v>
          </cell>
          <cell r="O6357" t="str">
            <v>CARRIER-REACTION</v>
          </cell>
          <cell r="P6357">
            <v>7338</v>
          </cell>
        </row>
        <row r="6358">
          <cell r="B6358" t="str">
            <v>5013-00</v>
          </cell>
          <cell r="C6358" t="str">
            <v>CARRIER-REACTION</v>
          </cell>
          <cell r="D6358">
            <v>4402.8</v>
          </cell>
          <cell r="N6358" t="str">
            <v>5013-00</v>
          </cell>
          <cell r="O6358" t="str">
            <v>CARRIER-REACTION</v>
          </cell>
          <cell r="P6358">
            <v>7338</v>
          </cell>
        </row>
        <row r="6359">
          <cell r="B6359" t="str">
            <v>5013-00</v>
          </cell>
          <cell r="C6359" t="str">
            <v>CARRIER-REACTION</v>
          </cell>
          <cell r="D6359">
            <v>4402.8</v>
          </cell>
          <cell r="N6359" t="str">
            <v>5013-00</v>
          </cell>
          <cell r="O6359" t="str">
            <v>CARRIER-REACTION</v>
          </cell>
          <cell r="P6359">
            <v>7338</v>
          </cell>
        </row>
        <row r="6360">
          <cell r="B6360" t="str">
            <v>5013-00</v>
          </cell>
          <cell r="C6360" t="str">
            <v>CARRIER-REACTION</v>
          </cell>
          <cell r="D6360">
            <v>4402.8</v>
          </cell>
          <cell r="N6360" t="str">
            <v>5013-00</v>
          </cell>
          <cell r="O6360" t="str">
            <v>CARRIER-REACTION</v>
          </cell>
          <cell r="P6360">
            <v>7338</v>
          </cell>
        </row>
        <row r="6361">
          <cell r="B6361" t="str">
            <v>5013-00</v>
          </cell>
          <cell r="C6361" t="str">
            <v>CARRIER-REACTION</v>
          </cell>
          <cell r="D6361">
            <v>4402.8</v>
          </cell>
          <cell r="N6361" t="str">
            <v>5013-00</v>
          </cell>
          <cell r="O6361" t="str">
            <v>CARRIER-REACTION</v>
          </cell>
          <cell r="P6361">
            <v>7338</v>
          </cell>
        </row>
        <row r="6362">
          <cell r="B6362" t="str">
            <v>5013-00</v>
          </cell>
          <cell r="C6362" t="str">
            <v>CARRIER-REACTION</v>
          </cell>
          <cell r="D6362">
            <v>4402.8</v>
          </cell>
          <cell r="N6362" t="str">
            <v>5013-00</v>
          </cell>
          <cell r="O6362" t="str">
            <v>CARRIER-REACTION</v>
          </cell>
          <cell r="P6362">
            <v>7338</v>
          </cell>
        </row>
        <row r="6363">
          <cell r="B6363" t="str">
            <v>5015-00</v>
          </cell>
          <cell r="C6363" t="str">
            <v>CARRIER - REACTION</v>
          </cell>
          <cell r="D6363">
            <v>3667.2</v>
          </cell>
          <cell r="N6363" t="str">
            <v>5015-00</v>
          </cell>
          <cell r="O6363" t="str">
            <v>CARRIER - REACTION</v>
          </cell>
          <cell r="P6363">
            <v>6112</v>
          </cell>
        </row>
        <row r="6364">
          <cell r="B6364" t="str">
            <v>6019-00</v>
          </cell>
          <cell r="C6364" t="str">
            <v>HOUSING GUIDE RING</v>
          </cell>
          <cell r="D6364">
            <v>4442</v>
          </cell>
          <cell r="N6364" t="str">
            <v>6019-00</v>
          </cell>
          <cell r="O6364" t="str">
            <v>HOUSING GUIDE RING</v>
          </cell>
          <cell r="P6364">
            <v>8884</v>
          </cell>
        </row>
        <row r="6365">
          <cell r="B6365" t="str">
            <v>6019-00</v>
          </cell>
          <cell r="C6365" t="str">
            <v>HOUSING GUIDE RING</v>
          </cell>
          <cell r="D6365">
            <v>4442</v>
          </cell>
          <cell r="N6365" t="str">
            <v>6019-00</v>
          </cell>
          <cell r="O6365" t="str">
            <v>HOUSING GUIDE RING</v>
          </cell>
          <cell r="P6365">
            <v>8884</v>
          </cell>
        </row>
        <row r="6366">
          <cell r="B6366" t="str">
            <v>6019-00</v>
          </cell>
          <cell r="C6366" t="str">
            <v>HOUSING GUIDE RING</v>
          </cell>
          <cell r="D6366">
            <v>4442</v>
          </cell>
          <cell r="N6366" t="str">
            <v>6019-00</v>
          </cell>
          <cell r="O6366" t="str">
            <v>HOUSING GUIDE RING</v>
          </cell>
          <cell r="P6366">
            <v>8884</v>
          </cell>
        </row>
        <row r="6367">
          <cell r="B6367" t="str">
            <v>6019-00</v>
          </cell>
          <cell r="C6367" t="str">
            <v>HOUSING GUIDE RING</v>
          </cell>
          <cell r="D6367">
            <v>4442</v>
          </cell>
          <cell r="N6367" t="str">
            <v>6019-00</v>
          </cell>
          <cell r="O6367" t="str">
            <v>HOUSING GUIDE RING</v>
          </cell>
          <cell r="P6367">
            <v>8884</v>
          </cell>
        </row>
        <row r="6368">
          <cell r="B6368" t="str">
            <v>6019-00</v>
          </cell>
          <cell r="C6368" t="str">
            <v>HOUSING GUIDE RING</v>
          </cell>
          <cell r="D6368">
            <v>4442</v>
          </cell>
          <cell r="N6368" t="str">
            <v>6019-00</v>
          </cell>
          <cell r="O6368" t="str">
            <v>HOUSING GUIDE RING</v>
          </cell>
          <cell r="P6368">
            <v>8884</v>
          </cell>
        </row>
        <row r="6369">
          <cell r="B6369" t="str">
            <v>6019-00</v>
          </cell>
          <cell r="C6369" t="str">
            <v>HOUSING GUIDE RING</v>
          </cell>
          <cell r="D6369">
            <v>4442</v>
          </cell>
          <cell r="N6369" t="str">
            <v>6019-00</v>
          </cell>
          <cell r="O6369" t="str">
            <v>HOUSING GUIDE RING</v>
          </cell>
          <cell r="P6369">
            <v>8884</v>
          </cell>
        </row>
        <row r="6370">
          <cell r="B6370" t="str">
            <v>6019-00</v>
          </cell>
          <cell r="C6370" t="str">
            <v>HOUSING GUIDE RING</v>
          </cell>
          <cell r="D6370">
            <v>4442</v>
          </cell>
          <cell r="N6370" t="str">
            <v>6019-00</v>
          </cell>
          <cell r="O6370" t="str">
            <v>HOUSING GUIDE RING</v>
          </cell>
          <cell r="P6370">
            <v>8884</v>
          </cell>
        </row>
        <row r="6371">
          <cell r="B6371" t="str">
            <v>6019-00</v>
          </cell>
          <cell r="C6371" t="str">
            <v>HOUSING GUIDE RING</v>
          </cell>
          <cell r="D6371">
            <v>4442</v>
          </cell>
          <cell r="N6371" t="str">
            <v>6019-00</v>
          </cell>
          <cell r="O6371" t="str">
            <v>HOUSING GUIDE RING</v>
          </cell>
          <cell r="P6371">
            <v>8884</v>
          </cell>
        </row>
        <row r="6372">
          <cell r="B6372" t="str">
            <v>6019-00</v>
          </cell>
          <cell r="C6372" t="str">
            <v>HOUSING GUIDE RING</v>
          </cell>
          <cell r="D6372">
            <v>4442</v>
          </cell>
          <cell r="N6372" t="str">
            <v>6019-00</v>
          </cell>
          <cell r="O6372" t="str">
            <v>HOUSING GUIDE RING</v>
          </cell>
          <cell r="P6372">
            <v>8884</v>
          </cell>
        </row>
        <row r="6373">
          <cell r="B6373" t="str">
            <v>6019-00</v>
          </cell>
          <cell r="C6373" t="str">
            <v>HOUSING GUIDE RING</v>
          </cell>
          <cell r="D6373">
            <v>4442</v>
          </cell>
          <cell r="N6373" t="str">
            <v>6019-00</v>
          </cell>
          <cell r="O6373" t="str">
            <v>HOUSING GUIDE RING</v>
          </cell>
          <cell r="P6373">
            <v>8884</v>
          </cell>
        </row>
        <row r="6374">
          <cell r="B6374" t="str">
            <v>5018-00</v>
          </cell>
          <cell r="C6374" t="str">
            <v>CARRIER-INPUT</v>
          </cell>
          <cell r="D6374">
            <v>4525.2</v>
          </cell>
          <cell r="N6374" t="str">
            <v>5018-00</v>
          </cell>
          <cell r="O6374" t="str">
            <v>CARRIER-INPUT</v>
          </cell>
          <cell r="P6374">
            <v>7542</v>
          </cell>
        </row>
        <row r="6375">
          <cell r="B6375" t="str">
            <v>6020-00</v>
          </cell>
          <cell r="C6375" t="str">
            <v>CARRIER PALNET</v>
          </cell>
          <cell r="D6375">
            <v>5428.8</v>
          </cell>
          <cell r="N6375" t="str">
            <v>6020-00</v>
          </cell>
          <cell r="O6375" t="str">
            <v>CARRIER PALNET</v>
          </cell>
          <cell r="P6375">
            <v>9048</v>
          </cell>
        </row>
        <row r="6376">
          <cell r="B6376" t="str">
            <v>6020-00</v>
          </cell>
          <cell r="C6376" t="str">
            <v>CARRIER PALNET</v>
          </cell>
          <cell r="D6376">
            <v>5428.8</v>
          </cell>
          <cell r="N6376" t="str">
            <v>6020-00</v>
          </cell>
          <cell r="O6376" t="str">
            <v>CARRIER PALNET</v>
          </cell>
          <cell r="P6376">
            <v>9048</v>
          </cell>
        </row>
        <row r="6377">
          <cell r="B6377" t="str">
            <v>6020-00</v>
          </cell>
          <cell r="C6377" t="str">
            <v>CARRIER PALNET</v>
          </cell>
          <cell r="D6377">
            <v>5428.8</v>
          </cell>
          <cell r="N6377" t="str">
            <v>6020-00</v>
          </cell>
          <cell r="O6377" t="str">
            <v>CARRIER PALNET</v>
          </cell>
          <cell r="P6377">
            <v>9048</v>
          </cell>
        </row>
        <row r="6378">
          <cell r="B6378" t="str">
            <v>6019-00</v>
          </cell>
          <cell r="C6378" t="str">
            <v>HOUSING GUIDE RING</v>
          </cell>
          <cell r="D6378">
            <v>4442</v>
          </cell>
          <cell r="N6378" t="str">
            <v>6019-00</v>
          </cell>
          <cell r="O6378" t="str">
            <v>HOUSING GUIDE RING</v>
          </cell>
          <cell r="P6378">
            <v>8884</v>
          </cell>
        </row>
        <row r="6379">
          <cell r="B6379" t="str">
            <v>6019-00</v>
          </cell>
          <cell r="C6379" t="str">
            <v>HOUSING GUIDE RING</v>
          </cell>
          <cell r="D6379">
            <v>4442</v>
          </cell>
          <cell r="N6379" t="str">
            <v>6019-00</v>
          </cell>
          <cell r="O6379" t="str">
            <v>HOUSING GUIDE RING</v>
          </cell>
          <cell r="P6379">
            <v>8884</v>
          </cell>
        </row>
        <row r="6380">
          <cell r="B6380" t="str">
            <v>6019-00</v>
          </cell>
          <cell r="C6380" t="str">
            <v>HOUSING GUIDE RING</v>
          </cell>
          <cell r="D6380">
            <v>4442</v>
          </cell>
          <cell r="N6380" t="str">
            <v>6019-00</v>
          </cell>
          <cell r="O6380" t="str">
            <v>HOUSING GUIDE RING</v>
          </cell>
          <cell r="P6380">
            <v>8884</v>
          </cell>
        </row>
        <row r="6381">
          <cell r="B6381" t="str">
            <v>6019-00</v>
          </cell>
          <cell r="C6381" t="str">
            <v>HOUSING GUIDE RING</v>
          </cell>
          <cell r="D6381">
            <v>4442</v>
          </cell>
          <cell r="N6381" t="str">
            <v>6019-00</v>
          </cell>
          <cell r="O6381" t="str">
            <v>HOUSING GUIDE RING</v>
          </cell>
          <cell r="P6381">
            <v>8884</v>
          </cell>
        </row>
        <row r="6382">
          <cell r="B6382" t="str">
            <v>6019-00</v>
          </cell>
          <cell r="C6382" t="str">
            <v>HOUSING GUIDE RING</v>
          </cell>
          <cell r="D6382">
            <v>4442</v>
          </cell>
          <cell r="N6382" t="str">
            <v>6019-00</v>
          </cell>
          <cell r="O6382" t="str">
            <v>HOUSING GUIDE RING</v>
          </cell>
          <cell r="P6382">
            <v>8884</v>
          </cell>
        </row>
        <row r="6383">
          <cell r="B6383" t="str">
            <v>6001-00</v>
          </cell>
          <cell r="C6383" t="str">
            <v>CARRIER PLANET</v>
          </cell>
          <cell r="D6383">
            <v>5590.8</v>
          </cell>
          <cell r="N6383" t="str">
            <v>6001-00</v>
          </cell>
          <cell r="O6383" t="str">
            <v>CARRIER PLANET</v>
          </cell>
          <cell r="P6383">
            <v>9318</v>
          </cell>
        </row>
        <row r="6384">
          <cell r="B6384" t="str">
            <v>6001-00</v>
          </cell>
          <cell r="C6384" t="str">
            <v>CARRIER PLANET</v>
          </cell>
          <cell r="D6384">
            <v>5590.8</v>
          </cell>
          <cell r="N6384" t="str">
            <v>6001-00</v>
          </cell>
          <cell r="O6384" t="str">
            <v>CARRIER PLANET</v>
          </cell>
          <cell r="P6384">
            <v>9318</v>
          </cell>
        </row>
        <row r="6385">
          <cell r="B6385" t="str">
            <v>6002-00</v>
          </cell>
          <cell r="C6385" t="str">
            <v>CARRIER PLANET</v>
          </cell>
          <cell r="D6385">
            <v>5640.5999999999995</v>
          </cell>
          <cell r="N6385" t="str">
            <v>6002-00</v>
          </cell>
          <cell r="O6385" t="str">
            <v>CARRIER PLANET</v>
          </cell>
          <cell r="P6385">
            <v>9401</v>
          </cell>
        </row>
        <row r="6386">
          <cell r="B6386" t="str">
            <v>6002-00</v>
          </cell>
          <cell r="C6386" t="str">
            <v>CARRIER PLANET</v>
          </cell>
          <cell r="D6386">
            <v>5640.5999999999995</v>
          </cell>
          <cell r="N6386" t="str">
            <v>6002-00</v>
          </cell>
          <cell r="O6386" t="str">
            <v>CARRIER PLANET</v>
          </cell>
          <cell r="P6386">
            <v>9401</v>
          </cell>
        </row>
        <row r="6387">
          <cell r="B6387" t="str">
            <v>6001-00</v>
          </cell>
          <cell r="C6387" t="str">
            <v>CARRIER PLANET</v>
          </cell>
          <cell r="D6387">
            <v>5590.8</v>
          </cell>
          <cell r="N6387" t="str">
            <v>6001-00</v>
          </cell>
          <cell r="O6387" t="str">
            <v>CARRIER PLANET</v>
          </cell>
          <cell r="P6387">
            <v>9318</v>
          </cell>
        </row>
        <row r="6388">
          <cell r="B6388" t="str">
            <v>6011-00</v>
          </cell>
          <cell r="C6388" t="str">
            <v>CARRIER PALNET</v>
          </cell>
          <cell r="D6388">
            <v>5828.4</v>
          </cell>
          <cell r="N6388" t="str">
            <v>6011-00</v>
          </cell>
          <cell r="O6388" t="str">
            <v>CARRIER PALNET</v>
          </cell>
          <cell r="P6388">
            <v>9714</v>
          </cell>
        </row>
        <row r="6389">
          <cell r="B6389" t="str">
            <v>6011-00</v>
          </cell>
          <cell r="C6389" t="str">
            <v>CARRIER PALNET</v>
          </cell>
          <cell r="D6389">
            <v>5828.4</v>
          </cell>
          <cell r="N6389" t="str">
            <v>6011-00</v>
          </cell>
          <cell r="O6389" t="str">
            <v>CARRIER PALNET</v>
          </cell>
          <cell r="P6389">
            <v>9714</v>
          </cell>
        </row>
        <row r="6390">
          <cell r="B6390" t="str">
            <v>6011-00</v>
          </cell>
          <cell r="C6390" t="str">
            <v>CARRIER PALNET</v>
          </cell>
          <cell r="D6390">
            <v>5828.4</v>
          </cell>
          <cell r="N6390" t="str">
            <v>6011-00</v>
          </cell>
          <cell r="O6390" t="str">
            <v>CARRIER PALNET</v>
          </cell>
          <cell r="P6390">
            <v>9714</v>
          </cell>
        </row>
        <row r="6391">
          <cell r="B6391" t="str">
            <v>6020-00</v>
          </cell>
          <cell r="C6391" t="str">
            <v>CARRIER PALNET</v>
          </cell>
          <cell r="D6391">
            <v>5428.8</v>
          </cell>
          <cell r="N6391" t="str">
            <v>6020-00</v>
          </cell>
          <cell r="O6391" t="str">
            <v>CARRIER PALNET</v>
          </cell>
          <cell r="P6391">
            <v>9048</v>
          </cell>
        </row>
        <row r="6392">
          <cell r="B6392" t="str">
            <v>6020-00</v>
          </cell>
          <cell r="C6392" t="str">
            <v>CARRIER PALNET</v>
          </cell>
          <cell r="D6392">
            <v>5428.8</v>
          </cell>
          <cell r="N6392" t="str">
            <v>6020-00</v>
          </cell>
          <cell r="O6392" t="str">
            <v>CARRIER PALNET</v>
          </cell>
          <cell r="P6392">
            <v>9048</v>
          </cell>
        </row>
        <row r="6393">
          <cell r="B6393" t="str">
            <v>6017-00</v>
          </cell>
          <cell r="C6393" t="str">
            <v>CARRIER PLANET MID</v>
          </cell>
          <cell r="D6393">
            <v>7983</v>
          </cell>
          <cell r="N6393" t="str">
            <v>6017-00</v>
          </cell>
          <cell r="O6393" t="str">
            <v>CARRIER PLANET MID</v>
          </cell>
          <cell r="P6393">
            <v>13305</v>
          </cell>
        </row>
        <row r="6394">
          <cell r="B6394" t="str">
            <v>6017-00</v>
          </cell>
          <cell r="C6394" t="str">
            <v>CARRIER PLANET MID</v>
          </cell>
          <cell r="D6394">
            <v>7983</v>
          </cell>
          <cell r="N6394" t="str">
            <v>6017-00</v>
          </cell>
          <cell r="O6394" t="str">
            <v>CARRIER PLANET MID</v>
          </cell>
          <cell r="P6394">
            <v>13305</v>
          </cell>
        </row>
        <row r="6395">
          <cell r="B6395" t="str">
            <v>6017-00</v>
          </cell>
          <cell r="C6395" t="str">
            <v>CARRIER PLANET MID</v>
          </cell>
          <cell r="D6395">
            <v>7983</v>
          </cell>
          <cell r="N6395" t="str">
            <v>6017-00</v>
          </cell>
          <cell r="O6395" t="str">
            <v>CARRIER PLANET MID</v>
          </cell>
          <cell r="P6395">
            <v>13305</v>
          </cell>
        </row>
        <row r="6396">
          <cell r="B6396" t="str">
            <v>6017-00</v>
          </cell>
          <cell r="C6396" t="str">
            <v>CARRIER PLANET MID</v>
          </cell>
          <cell r="D6396">
            <v>7983</v>
          </cell>
          <cell r="N6396" t="str">
            <v>6017-00</v>
          </cell>
          <cell r="O6396" t="str">
            <v>CARRIER PLANET MID</v>
          </cell>
          <cell r="P6396">
            <v>13305</v>
          </cell>
        </row>
        <row r="6397">
          <cell r="B6397" t="str">
            <v>6017-00</v>
          </cell>
          <cell r="C6397" t="str">
            <v>CARRIER PLANET MID</v>
          </cell>
          <cell r="D6397">
            <v>7983</v>
          </cell>
          <cell r="N6397" t="str">
            <v>6017-00</v>
          </cell>
          <cell r="O6397" t="str">
            <v>CARRIER PLANET MID</v>
          </cell>
          <cell r="P6397">
            <v>13305</v>
          </cell>
        </row>
        <row r="6398">
          <cell r="B6398" t="str">
            <v>6017-00</v>
          </cell>
          <cell r="C6398" t="str">
            <v>CARRIER PLANET MID</v>
          </cell>
          <cell r="D6398">
            <v>7983</v>
          </cell>
          <cell r="N6398" t="str">
            <v>6017-00</v>
          </cell>
          <cell r="O6398" t="str">
            <v>CARRIER PLANET MID</v>
          </cell>
          <cell r="P6398">
            <v>13305</v>
          </cell>
        </row>
        <row r="6399">
          <cell r="B6399" t="str">
            <v>6017-00</v>
          </cell>
          <cell r="C6399" t="str">
            <v>CARRIER PLANET MID</v>
          </cell>
          <cell r="D6399">
            <v>7983</v>
          </cell>
          <cell r="N6399" t="str">
            <v>6017-00</v>
          </cell>
          <cell r="O6399" t="str">
            <v>CARRIER PLANET MID</v>
          </cell>
          <cell r="P6399">
            <v>13305</v>
          </cell>
        </row>
        <row r="6400">
          <cell r="B6400" t="str">
            <v>6023-00</v>
          </cell>
          <cell r="C6400" t="str">
            <v>CARRIER PLANET MID</v>
          </cell>
          <cell r="D6400">
            <v>8831.4</v>
          </cell>
          <cell r="N6400" t="str">
            <v>6023-00</v>
          </cell>
          <cell r="O6400" t="str">
            <v>CARRIER PLANET MID</v>
          </cell>
          <cell r="P6400">
            <v>14719</v>
          </cell>
        </row>
        <row r="6401">
          <cell r="B6401" t="str">
            <v>6023-00</v>
          </cell>
          <cell r="C6401" t="str">
            <v>CARRIER PLANET MID</v>
          </cell>
          <cell r="D6401">
            <v>8831.4</v>
          </cell>
          <cell r="N6401" t="str">
            <v>6023-00</v>
          </cell>
          <cell r="O6401" t="str">
            <v>CARRIER PLANET MID</v>
          </cell>
          <cell r="P6401">
            <v>14719</v>
          </cell>
        </row>
        <row r="6402">
          <cell r="B6402" t="str">
            <v>6023-00</v>
          </cell>
          <cell r="C6402" t="str">
            <v>CARRIER PLANET MID</v>
          </cell>
          <cell r="D6402">
            <v>8831.4</v>
          </cell>
          <cell r="N6402" t="str">
            <v>6023-00</v>
          </cell>
          <cell r="O6402" t="str">
            <v>CARRIER PLANET MID</v>
          </cell>
          <cell r="P6402">
            <v>14719</v>
          </cell>
        </row>
        <row r="6403">
          <cell r="B6403" t="str">
            <v>6004-00</v>
          </cell>
          <cell r="C6403" t="str">
            <v>CARRIER PLANET MID</v>
          </cell>
          <cell r="D6403">
            <v>8887.7999999999993</v>
          </cell>
          <cell r="N6403" t="str">
            <v>6004-00</v>
          </cell>
          <cell r="O6403" t="str">
            <v>CARRIER PLANET MID</v>
          </cell>
          <cell r="P6403">
            <v>14813</v>
          </cell>
        </row>
        <row r="6404">
          <cell r="B6404" t="str">
            <v>6004-00</v>
          </cell>
          <cell r="C6404" t="str">
            <v>CARRIER PLANET MID</v>
          </cell>
          <cell r="D6404">
            <v>8887.7999999999993</v>
          </cell>
          <cell r="N6404" t="str">
            <v>6004-00</v>
          </cell>
          <cell r="O6404" t="str">
            <v>CARRIER PLANET MID</v>
          </cell>
          <cell r="P6404">
            <v>14813</v>
          </cell>
        </row>
        <row r="6405">
          <cell r="B6405" t="str">
            <v>6017-01</v>
          </cell>
          <cell r="C6405" t="str">
            <v>CARRIER PLANET MID</v>
          </cell>
          <cell r="D6405">
            <v>8920.7999999999993</v>
          </cell>
          <cell r="N6405" t="str">
            <v>6017-01</v>
          </cell>
          <cell r="O6405" t="str">
            <v>CARRIER PLANET MID</v>
          </cell>
          <cell r="P6405">
            <v>14868</v>
          </cell>
        </row>
        <row r="6406">
          <cell r="B6406" t="str">
            <v>6017-01</v>
          </cell>
          <cell r="C6406" t="str">
            <v>CARRIER PLANET MID</v>
          </cell>
          <cell r="D6406">
            <v>8920.7999999999993</v>
          </cell>
          <cell r="N6406" t="str">
            <v>6017-01</v>
          </cell>
          <cell r="O6406" t="str">
            <v>CARRIER PLANET MID</v>
          </cell>
          <cell r="P6406">
            <v>14868</v>
          </cell>
        </row>
        <row r="6407">
          <cell r="B6407" t="str">
            <v>6017-01</v>
          </cell>
          <cell r="C6407" t="str">
            <v>CARRIER PLANET MID</v>
          </cell>
          <cell r="D6407">
            <v>8920.7999999999993</v>
          </cell>
          <cell r="N6407" t="str">
            <v>6017-01</v>
          </cell>
          <cell r="O6407" t="str">
            <v>CARRIER PLANET MID</v>
          </cell>
          <cell r="P6407">
            <v>14868</v>
          </cell>
        </row>
        <row r="6408">
          <cell r="B6408" t="str">
            <v>6017-01</v>
          </cell>
          <cell r="C6408" t="str">
            <v>CARRIER PLANET MID</v>
          </cell>
          <cell r="D6408">
            <v>8920.7999999999993</v>
          </cell>
          <cell r="N6408" t="str">
            <v>6017-01</v>
          </cell>
          <cell r="O6408" t="str">
            <v>CARRIER PLANET MID</v>
          </cell>
          <cell r="P6408">
            <v>14868</v>
          </cell>
        </row>
        <row r="6409">
          <cell r="B6409" t="str">
            <v>6017-01</v>
          </cell>
          <cell r="C6409" t="str">
            <v>CARRIER PLANET MID</v>
          </cell>
          <cell r="D6409">
            <v>8920.7999999999993</v>
          </cell>
          <cell r="N6409" t="str">
            <v>6017-01</v>
          </cell>
          <cell r="O6409" t="str">
            <v>CARRIER PLANET MID</v>
          </cell>
          <cell r="P6409">
            <v>14868</v>
          </cell>
        </row>
        <row r="6410">
          <cell r="B6410" t="str">
            <v>6017-01</v>
          </cell>
          <cell r="C6410" t="str">
            <v>CARRIER PLANET MID</v>
          </cell>
          <cell r="D6410">
            <v>8920.7999999999993</v>
          </cell>
          <cell r="N6410" t="str">
            <v>6017-01</v>
          </cell>
          <cell r="O6410" t="str">
            <v>CARRIER PLANET MID</v>
          </cell>
          <cell r="P6410">
            <v>14868</v>
          </cell>
        </row>
        <row r="6411">
          <cell r="B6411" t="str">
            <v>6004-00</v>
          </cell>
          <cell r="C6411" t="str">
            <v>CARRIER PLANET MID</v>
          </cell>
          <cell r="D6411">
            <v>8887.7999999999993</v>
          </cell>
          <cell r="N6411" t="str">
            <v>6004-00</v>
          </cell>
          <cell r="O6411" t="str">
            <v>CARRIER PLANET MID</v>
          </cell>
          <cell r="P6411">
            <v>14813</v>
          </cell>
        </row>
        <row r="6412">
          <cell r="B6412" t="str">
            <v>6004-00</v>
          </cell>
          <cell r="C6412" t="str">
            <v>CARRIER PLANET MID</v>
          </cell>
          <cell r="D6412">
            <v>8887.7999999999993</v>
          </cell>
          <cell r="N6412" t="str">
            <v>6004-00</v>
          </cell>
          <cell r="O6412" t="str">
            <v>CARRIER PLANET MID</v>
          </cell>
          <cell r="P6412">
            <v>14813</v>
          </cell>
        </row>
        <row r="6413">
          <cell r="B6413" t="str">
            <v>6004-00</v>
          </cell>
          <cell r="C6413" t="str">
            <v>CARRIER PLANET MID</v>
          </cell>
          <cell r="D6413">
            <v>8887.7999999999993</v>
          </cell>
          <cell r="N6413" t="str">
            <v>6004-00</v>
          </cell>
          <cell r="O6413" t="str">
            <v>CARRIER PLANET MID</v>
          </cell>
          <cell r="P6413">
            <v>14813</v>
          </cell>
        </row>
        <row r="6414">
          <cell r="B6414" t="str">
            <v>6004-00</v>
          </cell>
          <cell r="C6414" t="str">
            <v>CARRIER PLANET MID</v>
          </cell>
          <cell r="D6414">
            <v>8887.7999999999993</v>
          </cell>
          <cell r="N6414" t="str">
            <v>6004-00</v>
          </cell>
          <cell r="O6414" t="str">
            <v>CARRIER PLANET MID</v>
          </cell>
          <cell r="P6414">
            <v>14813</v>
          </cell>
        </row>
        <row r="6415">
          <cell r="B6415" t="str">
            <v>6004-00</v>
          </cell>
          <cell r="C6415" t="str">
            <v>CARRIER PLANET MID</v>
          </cell>
          <cell r="D6415">
            <v>8887.7999999999993</v>
          </cell>
          <cell r="N6415" t="str">
            <v>6004-00</v>
          </cell>
          <cell r="O6415" t="str">
            <v>CARRIER PLANET MID</v>
          </cell>
          <cell r="P6415">
            <v>14813</v>
          </cell>
        </row>
        <row r="6416">
          <cell r="B6416" t="str">
            <v>6004-00</v>
          </cell>
          <cell r="C6416" t="str">
            <v>CARRIER PLANET MID</v>
          </cell>
          <cell r="D6416">
            <v>8887.7999999999993</v>
          </cell>
          <cell r="N6416" t="str">
            <v>6004-00</v>
          </cell>
          <cell r="O6416" t="str">
            <v>CARRIER PLANET MID</v>
          </cell>
          <cell r="P6416">
            <v>14813</v>
          </cell>
        </row>
        <row r="6417">
          <cell r="B6417" t="str">
            <v>6004-00</v>
          </cell>
          <cell r="C6417" t="str">
            <v>CARRIER PLANET MID</v>
          </cell>
          <cell r="D6417">
            <v>8887.7999999999993</v>
          </cell>
          <cell r="N6417" t="str">
            <v>6004-00</v>
          </cell>
          <cell r="O6417" t="str">
            <v>CARRIER PLANET MID</v>
          </cell>
          <cell r="P6417">
            <v>14813</v>
          </cell>
        </row>
        <row r="6418">
          <cell r="B6418" t="str">
            <v>6004-00</v>
          </cell>
          <cell r="C6418" t="str">
            <v>CARRIER PLANET MID</v>
          </cell>
          <cell r="D6418">
            <v>8887.7999999999993</v>
          </cell>
          <cell r="N6418" t="str">
            <v>6004-00</v>
          </cell>
          <cell r="O6418" t="str">
            <v>CARRIER PLANET MID</v>
          </cell>
          <cell r="P6418">
            <v>14813</v>
          </cell>
        </row>
        <row r="6419">
          <cell r="B6419" t="str">
            <v>6004-00</v>
          </cell>
          <cell r="C6419" t="str">
            <v>CARRIER PLANET MID</v>
          </cell>
          <cell r="D6419">
            <v>8887.7999999999993</v>
          </cell>
          <cell r="N6419" t="str">
            <v>6004-00</v>
          </cell>
          <cell r="O6419" t="str">
            <v>CARRIER PLANET MID</v>
          </cell>
          <cell r="P6419">
            <v>14813</v>
          </cell>
        </row>
        <row r="6420">
          <cell r="B6420" t="str">
            <v>6004-00</v>
          </cell>
          <cell r="C6420" t="str">
            <v>CARRIER PLANET MID</v>
          </cell>
          <cell r="D6420">
            <v>8887.7999999999993</v>
          </cell>
          <cell r="N6420" t="str">
            <v>6004-00</v>
          </cell>
          <cell r="O6420" t="str">
            <v>CARRIER PLANET MID</v>
          </cell>
          <cell r="P6420">
            <v>14813</v>
          </cell>
        </row>
        <row r="6421">
          <cell r="B6421" t="str">
            <v>6017-01</v>
          </cell>
          <cell r="C6421" t="str">
            <v>CARRIER PLANET MID</v>
          </cell>
          <cell r="D6421">
            <v>8920.7999999999993</v>
          </cell>
          <cell r="N6421" t="str">
            <v>6017-01</v>
          </cell>
          <cell r="O6421" t="str">
            <v>CARRIER PLANET MID</v>
          </cell>
          <cell r="P6421">
            <v>14868</v>
          </cell>
        </row>
        <row r="6422">
          <cell r="B6422" t="str">
            <v>6017-01</v>
          </cell>
          <cell r="C6422" t="str">
            <v>CARRIER PLANET MID</v>
          </cell>
          <cell r="D6422">
            <v>8920.7999999999993</v>
          </cell>
          <cell r="N6422" t="str">
            <v>6017-01</v>
          </cell>
          <cell r="O6422" t="str">
            <v>CARRIER PLANET MID</v>
          </cell>
          <cell r="P6422">
            <v>14868</v>
          </cell>
        </row>
        <row r="6423">
          <cell r="B6423" t="str">
            <v>6017-01</v>
          </cell>
          <cell r="C6423" t="str">
            <v>CARRIER PLANET MID</v>
          </cell>
          <cell r="D6423">
            <v>8920.7999999999993</v>
          </cell>
          <cell r="N6423" t="str">
            <v>6017-01</v>
          </cell>
          <cell r="O6423" t="str">
            <v>CARRIER PLANET MID</v>
          </cell>
          <cell r="P6423">
            <v>14868</v>
          </cell>
        </row>
        <row r="6424">
          <cell r="B6424" t="str">
            <v>6017-01</v>
          </cell>
          <cell r="C6424" t="str">
            <v>CARRIER PLANET MID</v>
          </cell>
          <cell r="D6424">
            <v>8920.7999999999993</v>
          </cell>
          <cell r="N6424" t="str">
            <v>6017-01</v>
          </cell>
          <cell r="O6424" t="str">
            <v>CARRIER PLANET MID</v>
          </cell>
          <cell r="P6424">
            <v>14868</v>
          </cell>
        </row>
        <row r="6425">
          <cell r="B6425" t="str">
            <v>6017-01</v>
          </cell>
          <cell r="C6425" t="str">
            <v>CARRIER PLANET MID</v>
          </cell>
          <cell r="D6425">
            <v>8920.7999999999993</v>
          </cell>
          <cell r="N6425" t="str">
            <v>6017-01</v>
          </cell>
          <cell r="O6425" t="str">
            <v>CARRIER PLANET MID</v>
          </cell>
          <cell r="P6425">
            <v>14868</v>
          </cell>
        </row>
        <row r="6426">
          <cell r="B6426" t="str">
            <v>6004-00</v>
          </cell>
          <cell r="C6426" t="str">
            <v>CARRIER PLANET MID</v>
          </cell>
          <cell r="D6426">
            <v>8887.7999999999993</v>
          </cell>
          <cell r="N6426" t="str">
            <v>6004-00</v>
          </cell>
          <cell r="O6426" t="str">
            <v>CARRIER PLANET MID</v>
          </cell>
          <cell r="P6426">
            <v>14813</v>
          </cell>
        </row>
        <row r="6427">
          <cell r="B6427" t="str">
            <v>6004-00</v>
          </cell>
          <cell r="C6427" t="str">
            <v>CARRIER PLANET MID</v>
          </cell>
          <cell r="D6427">
            <v>8887.7999999999993</v>
          </cell>
          <cell r="N6427" t="str">
            <v>6004-00</v>
          </cell>
          <cell r="O6427" t="str">
            <v>CARRIER PLANET MID</v>
          </cell>
          <cell r="P6427">
            <v>14813</v>
          </cell>
        </row>
        <row r="6428">
          <cell r="B6428" t="str">
            <v>6007-00</v>
          </cell>
          <cell r="C6428" t="str">
            <v>CARRIER PLANET MID</v>
          </cell>
          <cell r="D6428">
            <v>9128.4</v>
          </cell>
          <cell r="N6428" t="str">
            <v>6007-00</v>
          </cell>
          <cell r="O6428" t="str">
            <v>CARRIER PLANET MID</v>
          </cell>
          <cell r="P6428">
            <v>15214</v>
          </cell>
        </row>
        <row r="6429">
          <cell r="B6429" t="str">
            <v>6007-00</v>
          </cell>
          <cell r="C6429" t="str">
            <v>CARRIER PLANET MID</v>
          </cell>
          <cell r="D6429">
            <v>9128.4</v>
          </cell>
          <cell r="N6429" t="str">
            <v>6007-00</v>
          </cell>
          <cell r="O6429" t="str">
            <v>CARRIER PLANET MID</v>
          </cell>
          <cell r="P6429">
            <v>15214</v>
          </cell>
        </row>
        <row r="6430">
          <cell r="B6430" t="str">
            <v>6007-00</v>
          </cell>
          <cell r="C6430" t="str">
            <v>CARRIER PLANET MID</v>
          </cell>
          <cell r="D6430">
            <v>9128.4</v>
          </cell>
          <cell r="N6430" t="str">
            <v>6007-00</v>
          </cell>
          <cell r="O6430" t="str">
            <v>CARRIER PLANET MID</v>
          </cell>
          <cell r="P6430">
            <v>15214</v>
          </cell>
        </row>
        <row r="6431">
          <cell r="B6431" t="str">
            <v>6007-00</v>
          </cell>
          <cell r="C6431" t="str">
            <v>CARRIER PLANET MID</v>
          </cell>
          <cell r="D6431">
            <v>9128.4</v>
          </cell>
          <cell r="N6431" t="str">
            <v>6007-00</v>
          </cell>
          <cell r="O6431" t="str">
            <v>CARRIER PLANET MID</v>
          </cell>
          <cell r="P6431">
            <v>15214</v>
          </cell>
        </row>
        <row r="6432">
          <cell r="B6432" t="str">
            <v>6007-00</v>
          </cell>
          <cell r="C6432" t="str">
            <v>CARRIER PLANET MID</v>
          </cell>
          <cell r="D6432">
            <v>9128.4</v>
          </cell>
          <cell r="N6432" t="str">
            <v>6007-00</v>
          </cell>
          <cell r="O6432" t="str">
            <v>CARRIER PLANET MID</v>
          </cell>
          <cell r="P6432">
            <v>15214</v>
          </cell>
        </row>
        <row r="6433">
          <cell r="B6433" t="str">
            <v>6007-00</v>
          </cell>
          <cell r="C6433" t="str">
            <v>CARRIER PLANET MID</v>
          </cell>
          <cell r="D6433">
            <v>9128.4</v>
          </cell>
          <cell r="N6433" t="str">
            <v>6007-00</v>
          </cell>
          <cell r="O6433" t="str">
            <v>CARRIER PLANET MID</v>
          </cell>
          <cell r="P6433">
            <v>15214</v>
          </cell>
        </row>
        <row r="6434">
          <cell r="B6434" t="str">
            <v>6007-00</v>
          </cell>
          <cell r="C6434" t="str">
            <v>CARRIER PLANET MID</v>
          </cell>
          <cell r="D6434">
            <v>9128.4</v>
          </cell>
          <cell r="N6434" t="str">
            <v>6007-00</v>
          </cell>
          <cell r="O6434" t="str">
            <v>CARRIER PLANET MID</v>
          </cell>
          <cell r="P6434">
            <v>15214</v>
          </cell>
        </row>
        <row r="6435">
          <cell r="B6435" t="str">
            <v>6007-00</v>
          </cell>
          <cell r="C6435" t="str">
            <v>CARRIER PLANET MID</v>
          </cell>
          <cell r="D6435">
            <v>9128.4</v>
          </cell>
          <cell r="N6435" t="str">
            <v>6007-00</v>
          </cell>
          <cell r="O6435" t="str">
            <v>CARRIER PLANET MID</v>
          </cell>
          <cell r="P6435">
            <v>15214</v>
          </cell>
        </row>
        <row r="6436">
          <cell r="B6436" t="str">
            <v>6007-00</v>
          </cell>
          <cell r="C6436" t="str">
            <v>CARRIER PLANET MID</v>
          </cell>
          <cell r="D6436">
            <v>9128.4</v>
          </cell>
          <cell r="N6436" t="str">
            <v>6007-00</v>
          </cell>
          <cell r="O6436" t="str">
            <v>CARRIER PLANET MID</v>
          </cell>
          <cell r="P6436">
            <v>15214</v>
          </cell>
        </row>
        <row r="6437">
          <cell r="B6437" t="str">
            <v>6007-00</v>
          </cell>
          <cell r="C6437" t="str">
            <v>CARRIER PLANET MID</v>
          </cell>
          <cell r="D6437">
            <v>9128.4</v>
          </cell>
          <cell r="N6437" t="str">
            <v>6007-00</v>
          </cell>
          <cell r="O6437" t="str">
            <v>CARRIER PLANET MID</v>
          </cell>
          <cell r="P6437">
            <v>15214</v>
          </cell>
        </row>
        <row r="6438">
          <cell r="B6438" t="str">
            <v>6007-00</v>
          </cell>
          <cell r="C6438" t="str">
            <v>CARRIER PLANET MID</v>
          </cell>
          <cell r="D6438">
            <v>9128.4</v>
          </cell>
          <cell r="N6438" t="str">
            <v>6007-00</v>
          </cell>
          <cell r="O6438" t="str">
            <v>CARRIER PLANET MID</v>
          </cell>
          <cell r="P6438">
            <v>15214</v>
          </cell>
        </row>
        <row r="6439">
          <cell r="B6439" t="str">
            <v>6007-00</v>
          </cell>
          <cell r="C6439" t="str">
            <v>CARRIER PLANET MID</v>
          </cell>
          <cell r="D6439">
            <v>9128.4</v>
          </cell>
          <cell r="N6439" t="str">
            <v>6007-00</v>
          </cell>
          <cell r="O6439" t="str">
            <v>CARRIER PLANET MID</v>
          </cell>
          <cell r="P6439">
            <v>15214</v>
          </cell>
        </row>
        <row r="6440">
          <cell r="B6440" t="str">
            <v>6004-00</v>
          </cell>
          <cell r="C6440" t="str">
            <v>CARRIER PLANET MID</v>
          </cell>
          <cell r="D6440">
            <v>8887.7999999999993</v>
          </cell>
          <cell r="N6440" t="str">
            <v>6004-00</v>
          </cell>
          <cell r="O6440" t="str">
            <v>CARRIER PLANET MID</v>
          </cell>
          <cell r="P6440">
            <v>14813</v>
          </cell>
        </row>
        <row r="6441">
          <cell r="B6441" t="str">
            <v>6004-00</v>
          </cell>
          <cell r="C6441" t="str">
            <v>CARRIER PLANET MID</v>
          </cell>
          <cell r="D6441">
            <v>8887.7999999999993</v>
          </cell>
          <cell r="N6441" t="str">
            <v>6004-00</v>
          </cell>
          <cell r="O6441" t="str">
            <v>CARRIER PLANET MID</v>
          </cell>
          <cell r="P6441">
            <v>14813</v>
          </cell>
        </row>
        <row r="6442">
          <cell r="B6442" t="str">
            <v>6004-00</v>
          </cell>
          <cell r="C6442" t="str">
            <v>CARRIER PLANET MID</v>
          </cell>
          <cell r="D6442">
            <v>8887.7999999999993</v>
          </cell>
          <cell r="N6442" t="str">
            <v>6004-00</v>
          </cell>
          <cell r="O6442" t="str">
            <v>CARRIER PLANET MID</v>
          </cell>
          <cell r="P6442">
            <v>14813</v>
          </cell>
        </row>
        <row r="6443">
          <cell r="B6443" t="str">
            <v>6004-00</v>
          </cell>
          <cell r="C6443" t="str">
            <v>CARRIER PLANET MID</v>
          </cell>
          <cell r="D6443">
            <v>8887.7999999999993</v>
          </cell>
          <cell r="N6443" t="str">
            <v>6004-00</v>
          </cell>
          <cell r="O6443" t="str">
            <v>CARRIER PLANET MID</v>
          </cell>
          <cell r="P6443">
            <v>14813</v>
          </cell>
        </row>
        <row r="6444">
          <cell r="B6444" t="str">
            <v>6004-00</v>
          </cell>
          <cell r="C6444" t="str">
            <v>CARRIER PLANET MID</v>
          </cell>
          <cell r="D6444">
            <v>8887.7999999999993</v>
          </cell>
          <cell r="N6444" t="str">
            <v>6004-00</v>
          </cell>
          <cell r="O6444" t="str">
            <v>CARRIER PLANET MID</v>
          </cell>
          <cell r="P6444">
            <v>14813</v>
          </cell>
        </row>
        <row r="6445">
          <cell r="B6445" t="str">
            <v>6004-00</v>
          </cell>
          <cell r="C6445" t="str">
            <v>CARRIER PLANET MID</v>
          </cell>
          <cell r="D6445">
            <v>8887.7999999999993</v>
          </cell>
          <cell r="N6445" t="str">
            <v>6004-00</v>
          </cell>
          <cell r="O6445" t="str">
            <v>CARRIER PLANET MID</v>
          </cell>
          <cell r="P6445">
            <v>14813</v>
          </cell>
        </row>
        <row r="6446">
          <cell r="B6446" t="str">
            <v>6007-00</v>
          </cell>
          <cell r="C6446" t="str">
            <v>CARRIER PLANET MID</v>
          </cell>
          <cell r="D6446">
            <v>9128.4</v>
          </cell>
          <cell r="N6446" t="str">
            <v>6007-00</v>
          </cell>
          <cell r="O6446" t="str">
            <v>CARRIER PLANET MID</v>
          </cell>
          <cell r="P6446">
            <v>15214</v>
          </cell>
        </row>
        <row r="6447">
          <cell r="B6447" t="str">
            <v>6007-00</v>
          </cell>
          <cell r="C6447" t="str">
            <v>CARRIER PLANET MID</v>
          </cell>
          <cell r="D6447">
            <v>9128.4</v>
          </cell>
          <cell r="N6447" t="str">
            <v>6007-00</v>
          </cell>
          <cell r="O6447" t="str">
            <v>CARRIER PLANET MID</v>
          </cell>
          <cell r="P6447">
            <v>15214</v>
          </cell>
        </row>
        <row r="6448">
          <cell r="B6448" t="str">
            <v>6007-00</v>
          </cell>
          <cell r="C6448" t="str">
            <v>CARRIER PLANET MID</v>
          </cell>
          <cell r="D6448">
            <v>9128.4</v>
          </cell>
          <cell r="N6448" t="str">
            <v>6007-00</v>
          </cell>
          <cell r="O6448" t="str">
            <v>CARRIER PLANET MID</v>
          </cell>
          <cell r="P6448">
            <v>15214</v>
          </cell>
        </row>
        <row r="6449">
          <cell r="B6449" t="str">
            <v>6007-00</v>
          </cell>
          <cell r="C6449" t="str">
            <v>CARRIER PLANET MID</v>
          </cell>
          <cell r="D6449">
            <v>9128.4</v>
          </cell>
          <cell r="N6449" t="str">
            <v>6007-00</v>
          </cell>
          <cell r="O6449" t="str">
            <v>CARRIER PLANET MID</v>
          </cell>
          <cell r="P6449">
            <v>15214</v>
          </cell>
        </row>
        <row r="6450">
          <cell r="B6450" t="str">
            <v>6007-00</v>
          </cell>
          <cell r="C6450" t="str">
            <v>CARRIER PLANET MID</v>
          </cell>
          <cell r="D6450">
            <v>9128.4</v>
          </cell>
          <cell r="N6450" t="str">
            <v>6007-00</v>
          </cell>
          <cell r="O6450" t="str">
            <v>CARRIER PLANET MID</v>
          </cell>
          <cell r="P6450">
            <v>15214</v>
          </cell>
        </row>
        <row r="6451">
          <cell r="B6451" t="str">
            <v>6007-00</v>
          </cell>
          <cell r="C6451" t="str">
            <v>CARRIER PLANET MID</v>
          </cell>
          <cell r="D6451">
            <v>9128.4</v>
          </cell>
          <cell r="N6451" t="str">
            <v>6007-00</v>
          </cell>
          <cell r="O6451" t="str">
            <v>CARRIER PLANET MID</v>
          </cell>
          <cell r="P6451">
            <v>15214</v>
          </cell>
        </row>
        <row r="6452">
          <cell r="B6452" t="str">
            <v>6004-01</v>
          </cell>
          <cell r="C6452" t="str">
            <v>CARRIER PLANET MID</v>
          </cell>
          <cell r="D6452">
            <v>9943.1999999999989</v>
          </cell>
          <cell r="N6452" t="str">
            <v>6004-01</v>
          </cell>
          <cell r="O6452" t="str">
            <v>CARRIER PLANET MID</v>
          </cell>
          <cell r="P6452">
            <v>16572</v>
          </cell>
        </row>
        <row r="6453">
          <cell r="B6453" t="str">
            <v>6004-01</v>
          </cell>
          <cell r="C6453" t="str">
            <v>CARRIER PLANET MID</v>
          </cell>
          <cell r="D6453">
            <v>9943.1999999999989</v>
          </cell>
          <cell r="N6453" t="str">
            <v>6004-01</v>
          </cell>
          <cell r="O6453" t="str">
            <v>CARRIER PLANET MID</v>
          </cell>
          <cell r="P6453">
            <v>16572</v>
          </cell>
        </row>
        <row r="6454">
          <cell r="B6454" t="str">
            <v>6004-01</v>
          </cell>
          <cell r="C6454" t="str">
            <v>CARRIER PLANET MID</v>
          </cell>
          <cell r="D6454">
            <v>9943.1999999999989</v>
          </cell>
          <cell r="N6454" t="str">
            <v>6004-01</v>
          </cell>
          <cell r="O6454" t="str">
            <v>CARRIER PLANET MID</v>
          </cell>
          <cell r="P6454">
            <v>16572</v>
          </cell>
        </row>
        <row r="6455">
          <cell r="B6455" t="str">
            <v>6004-01</v>
          </cell>
          <cell r="C6455" t="str">
            <v>CARRIER PLANET MID</v>
          </cell>
          <cell r="D6455">
            <v>9943.1999999999989</v>
          </cell>
          <cell r="N6455" t="str">
            <v>6004-01</v>
          </cell>
          <cell r="O6455" t="str">
            <v>CARRIER PLANET MID</v>
          </cell>
          <cell r="P6455">
            <v>16572</v>
          </cell>
        </row>
        <row r="6456">
          <cell r="B6456" t="str">
            <v>6004-01</v>
          </cell>
          <cell r="C6456" t="str">
            <v>CARRIER PLANET MID</v>
          </cell>
          <cell r="D6456">
            <v>9943.1999999999989</v>
          </cell>
          <cell r="N6456" t="str">
            <v>6004-01</v>
          </cell>
          <cell r="O6456" t="str">
            <v>CARRIER PLANET MID</v>
          </cell>
          <cell r="P6456">
            <v>16572</v>
          </cell>
        </row>
        <row r="6457">
          <cell r="B6457" t="str">
            <v>6004-01</v>
          </cell>
          <cell r="C6457" t="str">
            <v>CARRIER PLANET MID</v>
          </cell>
          <cell r="D6457">
            <v>9943.1999999999989</v>
          </cell>
          <cell r="N6457" t="str">
            <v>6004-01</v>
          </cell>
          <cell r="O6457" t="str">
            <v>CARRIER PLANET MID</v>
          </cell>
          <cell r="P6457">
            <v>16572</v>
          </cell>
        </row>
        <row r="6458">
          <cell r="B6458" t="str">
            <v>6007-01</v>
          </cell>
          <cell r="C6458" t="str">
            <v>CARRIER PLANET MID</v>
          </cell>
          <cell r="D6458">
            <v>10185.6</v>
          </cell>
          <cell r="N6458" t="str">
            <v>6007-01</v>
          </cell>
          <cell r="O6458" t="str">
            <v>CARRIER PLANET MID</v>
          </cell>
          <cell r="P6458">
            <v>16976</v>
          </cell>
        </row>
        <row r="6459">
          <cell r="B6459" t="str">
            <v>6007-01</v>
          </cell>
          <cell r="C6459" t="str">
            <v>CARRIER PLANET MID</v>
          </cell>
          <cell r="D6459">
            <v>10185.6</v>
          </cell>
          <cell r="N6459" t="str">
            <v>6007-01</v>
          </cell>
          <cell r="O6459" t="str">
            <v>CARRIER PLANET MID</v>
          </cell>
          <cell r="P6459">
            <v>16976</v>
          </cell>
        </row>
        <row r="6460">
          <cell r="B6460" t="str">
            <v>5011-10</v>
          </cell>
          <cell r="C6460" t="str">
            <v>CARRIER-REACTION</v>
          </cell>
          <cell r="D6460">
            <v>2455.7999999999997</v>
          </cell>
          <cell r="N6460" t="str">
            <v>5011-10</v>
          </cell>
          <cell r="O6460" t="str">
            <v>CARRIER-REACTION</v>
          </cell>
          <cell r="P6460">
            <v>4093</v>
          </cell>
        </row>
        <row r="6461">
          <cell r="B6461" t="str">
            <v>5012-10</v>
          </cell>
          <cell r="C6461" t="str">
            <v>CARRIER-INPUT</v>
          </cell>
          <cell r="D6461">
            <v>1923</v>
          </cell>
          <cell r="N6461" t="str">
            <v>5012-10</v>
          </cell>
          <cell r="O6461" t="str">
            <v>CARRIER-INPUT</v>
          </cell>
          <cell r="P6461">
            <v>3205</v>
          </cell>
        </row>
        <row r="6462">
          <cell r="B6462" t="str">
            <v>5013-10</v>
          </cell>
          <cell r="C6462" t="str">
            <v>CARRIER-REACTION</v>
          </cell>
          <cell r="D6462">
            <v>2201.4</v>
          </cell>
          <cell r="N6462" t="str">
            <v>5013-10</v>
          </cell>
          <cell r="O6462" t="str">
            <v>CARRIER-REACTION</v>
          </cell>
          <cell r="P6462">
            <v>3669</v>
          </cell>
        </row>
        <row r="6463">
          <cell r="B6463" t="str">
            <v>5014-10</v>
          </cell>
          <cell r="C6463" t="str">
            <v>CARRIER-INPUT</v>
          </cell>
          <cell r="D6463">
            <v>1858.5</v>
          </cell>
          <cell r="N6463" t="str">
            <v>5014-10</v>
          </cell>
          <cell r="O6463" t="str">
            <v>CARRIER-INPUT</v>
          </cell>
          <cell r="P6463">
            <v>3097.5</v>
          </cell>
        </row>
        <row r="6464">
          <cell r="B6464" t="str">
            <v>5015-10</v>
          </cell>
          <cell r="C6464" t="str">
            <v>CARRIER - REACTION</v>
          </cell>
          <cell r="D6464">
            <v>1833.6</v>
          </cell>
          <cell r="N6464" t="str">
            <v>5015-10</v>
          </cell>
          <cell r="O6464" t="str">
            <v>CARRIER - REACTION</v>
          </cell>
          <cell r="P6464">
            <v>3056</v>
          </cell>
        </row>
        <row r="6465">
          <cell r="B6465" t="str">
            <v>5016-10</v>
          </cell>
          <cell r="C6465" t="str">
            <v>CARRIER - INPUT</v>
          </cell>
          <cell r="D6465">
            <v>1274.0999999999999</v>
          </cell>
          <cell r="N6465" t="str">
            <v>5016-10</v>
          </cell>
          <cell r="O6465" t="str">
            <v>CARRIER - INPUT</v>
          </cell>
          <cell r="P6465">
            <v>2123.5</v>
          </cell>
        </row>
        <row r="6466">
          <cell r="B6466" t="str">
            <v>5017-10</v>
          </cell>
          <cell r="C6466" t="str">
            <v>CARRIER-INPUT</v>
          </cell>
          <cell r="D6466">
            <v>2171.6999999999998</v>
          </cell>
          <cell r="N6466" t="str">
            <v>5017-10</v>
          </cell>
          <cell r="O6466" t="str">
            <v>CARRIER-INPUT</v>
          </cell>
          <cell r="P6466">
            <v>3619.5</v>
          </cell>
        </row>
        <row r="6467">
          <cell r="B6467" t="str">
            <v>5018-10</v>
          </cell>
          <cell r="C6467" t="str">
            <v>CARRIER-INPUT</v>
          </cell>
          <cell r="D6467">
            <v>2262.6</v>
          </cell>
          <cell r="N6467" t="str">
            <v>5018-10</v>
          </cell>
          <cell r="O6467" t="str">
            <v>CARRIER-INPUT</v>
          </cell>
          <cell r="P6467">
            <v>3771</v>
          </cell>
        </row>
        <row r="6468">
          <cell r="B6468" t="str">
            <v>6001-10</v>
          </cell>
          <cell r="C6468" t="str">
            <v>CARRIER PLANET</v>
          </cell>
          <cell r="D6468">
            <v>2795.4</v>
          </cell>
          <cell r="N6468" t="str">
            <v>6001-10</v>
          </cell>
          <cell r="O6468" t="str">
            <v>CARRIER PLANET</v>
          </cell>
          <cell r="P6468">
            <v>4659</v>
          </cell>
        </row>
        <row r="6469">
          <cell r="B6469" t="str">
            <v>6002-10</v>
          </cell>
          <cell r="C6469" t="str">
            <v>CARRIER PLANET</v>
          </cell>
          <cell r="D6469">
            <v>2820.2999999999997</v>
          </cell>
          <cell r="N6469" t="str">
            <v>6002-10</v>
          </cell>
          <cell r="O6469" t="str">
            <v>CARRIER PLANET</v>
          </cell>
          <cell r="P6469">
            <v>4700.5</v>
          </cell>
        </row>
        <row r="6470">
          <cell r="B6470" t="str">
            <v>6004-10</v>
          </cell>
          <cell r="C6470" t="str">
            <v>CARRIER PLANET MID</v>
          </cell>
          <cell r="D6470">
            <v>4443.8999999999996</v>
          </cell>
          <cell r="N6470" t="str">
            <v>6004-10</v>
          </cell>
          <cell r="O6470" t="str">
            <v>CARRIER PLANET MID</v>
          </cell>
          <cell r="P6470">
            <v>7406.5</v>
          </cell>
        </row>
        <row r="6471">
          <cell r="B6471" t="str">
            <v>6004-10</v>
          </cell>
          <cell r="C6471" t="str">
            <v>CARRIER PLANET MID</v>
          </cell>
          <cell r="D6471">
            <v>4443.8999999999996</v>
          </cell>
          <cell r="N6471" t="str">
            <v>6004-10</v>
          </cell>
          <cell r="O6471" t="str">
            <v>CARRIER PLANET MID</v>
          </cell>
          <cell r="P6471">
            <v>7406.5</v>
          </cell>
        </row>
        <row r="6472">
          <cell r="B6472" t="str">
            <v>6007-10</v>
          </cell>
          <cell r="C6472" t="str">
            <v>CARRIER PLANET MID</v>
          </cell>
          <cell r="D6472">
            <v>4564.2</v>
          </cell>
          <cell r="N6472" t="str">
            <v>6007-10</v>
          </cell>
          <cell r="O6472" t="str">
            <v>CARRIER PLANET MID</v>
          </cell>
          <cell r="P6472">
            <v>7607</v>
          </cell>
        </row>
        <row r="6473">
          <cell r="B6473" t="str">
            <v>6007-10</v>
          </cell>
          <cell r="C6473" t="str">
            <v>CARRIER PLANET MID</v>
          </cell>
          <cell r="D6473">
            <v>4564.2</v>
          </cell>
          <cell r="N6473" t="str">
            <v>6007-10</v>
          </cell>
          <cell r="O6473" t="str">
            <v>CARRIER PLANET MID</v>
          </cell>
          <cell r="P6473">
            <v>7607</v>
          </cell>
        </row>
        <row r="6474">
          <cell r="B6474" t="str">
            <v>6011-10</v>
          </cell>
          <cell r="C6474" t="str">
            <v>CARRIER PALNET</v>
          </cell>
          <cell r="D6474">
            <v>2914.2</v>
          </cell>
          <cell r="N6474" t="str">
            <v>6011-10</v>
          </cell>
          <cell r="O6474" t="str">
            <v>CARRIER PALNET</v>
          </cell>
          <cell r="P6474">
            <v>4857</v>
          </cell>
        </row>
        <row r="6475">
          <cell r="B6475" t="str">
            <v>6017-10</v>
          </cell>
          <cell r="C6475" t="str">
            <v>CARRIER PLANET MID</v>
          </cell>
          <cell r="D6475">
            <v>3991.5</v>
          </cell>
          <cell r="N6475" t="str">
            <v>6017-10</v>
          </cell>
          <cell r="O6475" t="str">
            <v>CARRIER PLANET MID</v>
          </cell>
          <cell r="P6475">
            <v>6652.5</v>
          </cell>
        </row>
        <row r="6476">
          <cell r="B6476" t="str">
            <v>6017-10</v>
          </cell>
          <cell r="C6476" t="str">
            <v>CARRIER PLANET MID</v>
          </cell>
          <cell r="D6476">
            <v>3991.5</v>
          </cell>
          <cell r="N6476" t="str">
            <v>6017-10</v>
          </cell>
          <cell r="O6476" t="str">
            <v>CARRIER PLANET MID</v>
          </cell>
          <cell r="P6476">
            <v>6652.5</v>
          </cell>
        </row>
        <row r="6477">
          <cell r="B6477" t="str">
            <v>6020-10</v>
          </cell>
          <cell r="C6477" t="str">
            <v>CARRIER PALNET</v>
          </cell>
          <cell r="D6477">
            <v>2714.4</v>
          </cell>
          <cell r="N6477" t="str">
            <v>6020-10</v>
          </cell>
          <cell r="O6477" t="str">
            <v>CARRIER PALNET</v>
          </cell>
          <cell r="P6477">
            <v>4524</v>
          </cell>
        </row>
        <row r="6478">
          <cell r="B6478" t="str">
            <v>6023-10</v>
          </cell>
          <cell r="C6478" t="str">
            <v>CARRIER PLANET MID</v>
          </cell>
          <cell r="D6478">
            <v>4415.7</v>
          </cell>
          <cell r="N6478" t="str">
            <v>6023-10</v>
          </cell>
          <cell r="O6478" t="str">
            <v>CARRIER PLANET MID</v>
          </cell>
          <cell r="P6478">
            <v>7359.5</v>
          </cell>
        </row>
        <row r="6479">
          <cell r="B6479" t="str">
            <v>5011-20</v>
          </cell>
          <cell r="C6479" t="str">
            <v>CARRIER-REACTION</v>
          </cell>
          <cell r="D6479">
            <v>2455.7999999999997</v>
          </cell>
          <cell r="N6479" t="str">
            <v>5011-20</v>
          </cell>
          <cell r="O6479" t="str">
            <v>CARRIER-REACTION</v>
          </cell>
          <cell r="P6479">
            <v>4093</v>
          </cell>
        </row>
        <row r="6480">
          <cell r="B6480" t="str">
            <v>5012-20</v>
          </cell>
          <cell r="C6480" t="str">
            <v>CARRIER-INPUT</v>
          </cell>
          <cell r="D6480">
            <v>1923</v>
          </cell>
          <cell r="N6480" t="str">
            <v>5012-20</v>
          </cell>
          <cell r="O6480" t="str">
            <v>CARRIER-INPUT</v>
          </cell>
          <cell r="P6480">
            <v>3205</v>
          </cell>
        </row>
        <row r="6481">
          <cell r="B6481" t="str">
            <v>5013-20</v>
          </cell>
          <cell r="C6481" t="str">
            <v>CARRIER-REACTION</v>
          </cell>
          <cell r="D6481">
            <v>2201.4</v>
          </cell>
          <cell r="N6481" t="str">
            <v>5013-20</v>
          </cell>
          <cell r="O6481" t="str">
            <v>CARRIER-REACTION</v>
          </cell>
          <cell r="P6481">
            <v>3669</v>
          </cell>
        </row>
        <row r="6482">
          <cell r="B6482" t="str">
            <v>5014-20</v>
          </cell>
          <cell r="C6482" t="str">
            <v>CARRIER-INPUT</v>
          </cell>
          <cell r="D6482">
            <v>1858.5</v>
          </cell>
          <cell r="N6482" t="str">
            <v>5014-20</v>
          </cell>
          <cell r="O6482" t="str">
            <v>CARRIER-INPUT</v>
          </cell>
          <cell r="P6482">
            <v>3097.5</v>
          </cell>
        </row>
        <row r="6483">
          <cell r="B6483" t="str">
            <v>5015-20</v>
          </cell>
          <cell r="C6483" t="str">
            <v>CARRIER - REACTION</v>
          </cell>
          <cell r="D6483">
            <v>1833.6</v>
          </cell>
          <cell r="N6483" t="str">
            <v>5015-20</v>
          </cell>
          <cell r="O6483" t="str">
            <v>CARRIER - REACTION</v>
          </cell>
          <cell r="P6483">
            <v>3056</v>
          </cell>
        </row>
        <row r="6484">
          <cell r="B6484" t="str">
            <v>5016-20</v>
          </cell>
          <cell r="C6484" t="str">
            <v>CARRIER - INPUT</v>
          </cell>
          <cell r="D6484">
            <v>1274.0999999999999</v>
          </cell>
          <cell r="N6484" t="str">
            <v>5016-20</v>
          </cell>
          <cell r="O6484" t="str">
            <v>CARRIER - INPUT</v>
          </cell>
          <cell r="P6484">
            <v>2123.5</v>
          </cell>
        </row>
        <row r="6485">
          <cell r="B6485" t="str">
            <v>5017-20</v>
          </cell>
          <cell r="C6485" t="str">
            <v>CARRIER-INPUT</v>
          </cell>
          <cell r="D6485">
            <v>2171.6999999999998</v>
          </cell>
          <cell r="N6485" t="str">
            <v>5017-20</v>
          </cell>
          <cell r="O6485" t="str">
            <v>CARRIER-INPUT</v>
          </cell>
          <cell r="P6485">
            <v>3619.5</v>
          </cell>
        </row>
        <row r="6486">
          <cell r="B6486" t="str">
            <v>5018-20</v>
          </cell>
          <cell r="C6486" t="str">
            <v>CARRIER-INPUT</v>
          </cell>
          <cell r="D6486">
            <v>2262.6</v>
          </cell>
          <cell r="N6486" t="str">
            <v>5018-20</v>
          </cell>
          <cell r="O6486" t="str">
            <v>CARRIER-INPUT</v>
          </cell>
          <cell r="P6486">
            <v>3771</v>
          </cell>
        </row>
        <row r="6487">
          <cell r="B6487" t="str">
            <v>6001-20</v>
          </cell>
          <cell r="C6487" t="str">
            <v>CARRIER PLANET</v>
          </cell>
          <cell r="D6487">
            <v>2795.4</v>
          </cell>
          <cell r="N6487" t="str">
            <v>6001-20</v>
          </cell>
          <cell r="O6487" t="str">
            <v>CARRIER PLANET</v>
          </cell>
          <cell r="P6487">
            <v>4659</v>
          </cell>
        </row>
        <row r="6488">
          <cell r="B6488" t="str">
            <v>6002-20</v>
          </cell>
          <cell r="C6488" t="str">
            <v>CARRIER PLANET</v>
          </cell>
          <cell r="D6488">
            <v>2820.2999999999997</v>
          </cell>
          <cell r="N6488" t="str">
            <v>6002-20</v>
          </cell>
          <cell r="O6488" t="str">
            <v>CARRIER PLANET</v>
          </cell>
          <cell r="P6488">
            <v>4700.5</v>
          </cell>
        </row>
        <row r="6489">
          <cell r="B6489" t="str">
            <v>6004-20</v>
          </cell>
          <cell r="C6489" t="str">
            <v>CARRIER PLANET MID</v>
          </cell>
          <cell r="D6489">
            <v>4443.8999999999996</v>
          </cell>
          <cell r="N6489" t="str">
            <v>6004-20</v>
          </cell>
          <cell r="O6489" t="str">
            <v>CARRIER PLANET MID</v>
          </cell>
          <cell r="P6489">
            <v>7406.5</v>
          </cell>
        </row>
        <row r="6490">
          <cell r="B6490" t="str">
            <v>6004-20</v>
          </cell>
          <cell r="C6490" t="str">
            <v>CARRIER PLANET MID</v>
          </cell>
          <cell r="D6490">
            <v>4443.8999999999996</v>
          </cell>
          <cell r="N6490" t="str">
            <v>6004-20</v>
          </cell>
          <cell r="O6490" t="str">
            <v>CARRIER PLANET MID</v>
          </cell>
          <cell r="P6490">
            <v>7406.5</v>
          </cell>
        </row>
        <row r="6491">
          <cell r="B6491" t="str">
            <v>6007-20</v>
          </cell>
          <cell r="C6491" t="str">
            <v>CARRIER PLANET MID</v>
          </cell>
          <cell r="D6491">
            <v>4564.2</v>
          </cell>
          <cell r="N6491" t="str">
            <v>6007-20</v>
          </cell>
          <cell r="O6491" t="str">
            <v>CARRIER PLANET MID</v>
          </cell>
          <cell r="P6491">
            <v>7607</v>
          </cell>
        </row>
        <row r="6492">
          <cell r="B6492" t="str">
            <v>6007-20</v>
          </cell>
          <cell r="C6492" t="str">
            <v>CARRIER PLANET MID</v>
          </cell>
          <cell r="D6492">
            <v>4564.2</v>
          </cell>
          <cell r="N6492" t="str">
            <v>6007-20</v>
          </cell>
          <cell r="O6492" t="str">
            <v>CARRIER PLANET MID</v>
          </cell>
          <cell r="P6492">
            <v>7607</v>
          </cell>
        </row>
        <row r="6493">
          <cell r="B6493" t="str">
            <v>6011-20</v>
          </cell>
          <cell r="C6493" t="str">
            <v>CARRIER PALNET</v>
          </cell>
          <cell r="D6493">
            <v>2914.2</v>
          </cell>
          <cell r="N6493" t="str">
            <v>6011-20</v>
          </cell>
          <cell r="O6493" t="str">
            <v>CARRIER PALNET</v>
          </cell>
          <cell r="P6493">
            <v>4857</v>
          </cell>
        </row>
        <row r="6494">
          <cell r="B6494" t="str">
            <v>6017-20</v>
          </cell>
          <cell r="C6494" t="str">
            <v>CARRIER PLANET MID</v>
          </cell>
          <cell r="D6494">
            <v>3991.5</v>
          </cell>
          <cell r="N6494" t="str">
            <v>6017-20</v>
          </cell>
          <cell r="O6494" t="str">
            <v>CARRIER PLANET MID</v>
          </cell>
          <cell r="P6494">
            <v>6652.5</v>
          </cell>
        </row>
        <row r="6495">
          <cell r="B6495" t="str">
            <v>6017-20</v>
          </cell>
          <cell r="C6495" t="str">
            <v>CARRIER PLANET MID</v>
          </cell>
          <cell r="D6495">
            <v>3991.5</v>
          </cell>
          <cell r="N6495" t="str">
            <v>6017-20</v>
          </cell>
          <cell r="O6495" t="str">
            <v>CARRIER PLANET MID</v>
          </cell>
          <cell r="P6495">
            <v>6652.5</v>
          </cell>
        </row>
        <row r="6496">
          <cell r="B6496" t="str">
            <v>6020-20</v>
          </cell>
          <cell r="C6496" t="str">
            <v>CARRIER PALNET</v>
          </cell>
          <cell r="D6496">
            <v>2714.4</v>
          </cell>
          <cell r="N6496" t="str">
            <v>6020-20</v>
          </cell>
          <cell r="O6496" t="str">
            <v>CARRIER PALNET</v>
          </cell>
          <cell r="P6496">
            <v>4524</v>
          </cell>
        </row>
        <row r="6497">
          <cell r="B6497" t="str">
            <v>6023-20</v>
          </cell>
          <cell r="C6497" t="str">
            <v>CARRIER PLANET MID</v>
          </cell>
          <cell r="D6497">
            <v>4415.7</v>
          </cell>
          <cell r="N6497" t="str">
            <v>6023-20</v>
          </cell>
          <cell r="O6497" t="str">
            <v>CARRIER PLANET MID</v>
          </cell>
          <cell r="P6497">
            <v>7359.5</v>
          </cell>
        </row>
        <row r="6498">
          <cell r="B6498" t="str">
            <v>1274-00</v>
          </cell>
          <cell r="C6498" t="str">
            <v>성형-PISTON</v>
          </cell>
          <cell r="D6498">
            <v>181.5</v>
          </cell>
          <cell r="N6498" t="str">
            <v>1274-00</v>
          </cell>
          <cell r="O6498" t="str">
            <v>성형-PISTON</v>
          </cell>
          <cell r="P6498">
            <v>181.5</v>
          </cell>
        </row>
        <row r="6499">
          <cell r="B6499" t="str">
            <v>1275-00</v>
          </cell>
          <cell r="C6499" t="str">
            <v>성형-BODY</v>
          </cell>
          <cell r="D6499">
            <v>140.5</v>
          </cell>
          <cell r="N6499" t="str">
            <v>1275-00</v>
          </cell>
          <cell r="O6499" t="str">
            <v>성형-BODY</v>
          </cell>
          <cell r="P6499">
            <v>140.5</v>
          </cell>
        </row>
        <row r="6500">
          <cell r="B6500" t="str">
            <v>1289-00</v>
          </cell>
          <cell r="C6500" t="str">
            <v>성형-PISTON</v>
          </cell>
          <cell r="D6500">
            <v>384</v>
          </cell>
          <cell r="N6500" t="str">
            <v>1289-00</v>
          </cell>
          <cell r="O6500" t="str">
            <v>성형-PISTON</v>
          </cell>
          <cell r="P6500">
            <v>384</v>
          </cell>
        </row>
        <row r="6501">
          <cell r="B6501" t="str">
            <v>1383-00</v>
          </cell>
          <cell r="C6501" t="str">
            <v>성형-PISTON</v>
          </cell>
          <cell r="D6501">
            <v>139.5</v>
          </cell>
          <cell r="N6501" t="str">
            <v>1383-00</v>
          </cell>
          <cell r="O6501" t="str">
            <v>성형-PISTON</v>
          </cell>
          <cell r="P6501">
            <v>139.5</v>
          </cell>
        </row>
        <row r="6502">
          <cell r="B6502" t="str">
            <v>1409-00</v>
          </cell>
          <cell r="C6502" t="str">
            <v>성형-PISTON</v>
          </cell>
          <cell r="D6502">
            <v>397.5</v>
          </cell>
          <cell r="N6502" t="str">
            <v>1409-00</v>
          </cell>
          <cell r="O6502" t="str">
            <v>성형-PISTON</v>
          </cell>
          <cell r="P6502">
            <v>397.5</v>
          </cell>
        </row>
        <row r="6503">
          <cell r="B6503" t="str">
            <v>1417-00</v>
          </cell>
          <cell r="C6503" t="str">
            <v>성형-HUB</v>
          </cell>
          <cell r="D6503">
            <v>222</v>
          </cell>
          <cell r="N6503" t="str">
            <v>1417-00</v>
          </cell>
          <cell r="O6503" t="str">
            <v>성형-HUB</v>
          </cell>
          <cell r="P6503">
            <v>222</v>
          </cell>
        </row>
        <row r="6504">
          <cell r="B6504" t="str">
            <v>1525-00</v>
          </cell>
          <cell r="C6504" t="str">
            <v>성형-BODY</v>
          </cell>
          <cell r="D6504">
            <v>215</v>
          </cell>
          <cell r="N6504" t="str">
            <v>1525-00</v>
          </cell>
          <cell r="O6504" t="str">
            <v>성형-BODY</v>
          </cell>
          <cell r="P6504">
            <v>215</v>
          </cell>
        </row>
        <row r="6505">
          <cell r="B6505" t="str">
            <v>1530-50</v>
          </cell>
          <cell r="C6505" t="str">
            <v>성형-PISTON</v>
          </cell>
          <cell r="D6505">
            <v>249</v>
          </cell>
          <cell r="N6505" t="str">
            <v>1530-50</v>
          </cell>
          <cell r="O6505" t="str">
            <v>성형-PISTON</v>
          </cell>
          <cell r="P6505">
            <v>249</v>
          </cell>
        </row>
        <row r="6506">
          <cell r="B6506" t="str">
            <v>1554-00</v>
          </cell>
          <cell r="C6506" t="str">
            <v>성형-RS RETAINER</v>
          </cell>
          <cell r="D6506">
            <v>148</v>
          </cell>
          <cell r="N6506" t="str">
            <v>1554-00</v>
          </cell>
          <cell r="O6506" t="str">
            <v>성형-RS RETAINER</v>
          </cell>
          <cell r="P6506">
            <v>148</v>
          </cell>
        </row>
        <row r="6507">
          <cell r="B6507" t="str">
            <v>1565-00</v>
          </cell>
          <cell r="C6507" t="str">
            <v>성형-PISTON</v>
          </cell>
          <cell r="D6507">
            <v>387</v>
          </cell>
          <cell r="N6507" t="str">
            <v>1565-00</v>
          </cell>
          <cell r="O6507" t="str">
            <v>성형-PISTON</v>
          </cell>
          <cell r="P6507">
            <v>387</v>
          </cell>
        </row>
        <row r="6508">
          <cell r="B6508" t="str">
            <v>1581-00</v>
          </cell>
          <cell r="C6508" t="str">
            <v>성형-BODY</v>
          </cell>
          <cell r="D6508">
            <v>135</v>
          </cell>
          <cell r="N6508" t="str">
            <v>1581-00</v>
          </cell>
          <cell r="O6508" t="str">
            <v>성형-BODY</v>
          </cell>
          <cell r="P6508">
            <v>135</v>
          </cell>
        </row>
        <row r="6509">
          <cell r="B6509" t="str">
            <v>1634-00</v>
          </cell>
          <cell r="C6509" t="str">
            <v>성형-RS RETAINER</v>
          </cell>
          <cell r="D6509">
            <v>92</v>
          </cell>
          <cell r="N6509" t="str">
            <v>1634-00</v>
          </cell>
          <cell r="O6509" t="str">
            <v>성형-RS RETAINER</v>
          </cell>
          <cell r="P6509">
            <v>92</v>
          </cell>
        </row>
        <row r="6510">
          <cell r="B6510" t="str">
            <v>1779-00</v>
          </cell>
          <cell r="C6510" t="str">
            <v>성형-RS RETAINER</v>
          </cell>
          <cell r="D6510">
            <v>196</v>
          </cell>
          <cell r="N6510" t="str">
            <v>1779-00</v>
          </cell>
          <cell r="O6510" t="str">
            <v>성형-RS RETAINER</v>
          </cell>
          <cell r="P6510">
            <v>196</v>
          </cell>
        </row>
        <row r="6511">
          <cell r="B6511" t="str">
            <v>1790-00</v>
          </cell>
          <cell r="C6511" t="str">
            <v>성형-BODY</v>
          </cell>
          <cell r="D6511">
            <v>184.5</v>
          </cell>
          <cell r="N6511" t="str">
            <v>1790-00</v>
          </cell>
          <cell r="O6511" t="str">
            <v>성형-BODY</v>
          </cell>
          <cell r="P6511">
            <v>184.5</v>
          </cell>
        </row>
        <row r="6512">
          <cell r="B6512" t="str">
            <v>1791-00</v>
          </cell>
          <cell r="C6512" t="str">
            <v>성형-BODY</v>
          </cell>
          <cell r="D6512">
            <v>109.5</v>
          </cell>
          <cell r="N6512" t="str">
            <v>1791-00</v>
          </cell>
          <cell r="O6512" t="str">
            <v>성형-BODY</v>
          </cell>
          <cell r="P6512">
            <v>109.5</v>
          </cell>
        </row>
        <row r="6513">
          <cell r="B6513" t="str">
            <v>1792-00</v>
          </cell>
          <cell r="C6513" t="str">
            <v>성형-REB,RETAINER</v>
          </cell>
          <cell r="D6513">
            <v>86.5</v>
          </cell>
          <cell r="N6513" t="str">
            <v>1792-00</v>
          </cell>
          <cell r="O6513" t="str">
            <v>성형-REB,RETAINER</v>
          </cell>
          <cell r="P6513">
            <v>86.5</v>
          </cell>
        </row>
        <row r="6514">
          <cell r="B6514" t="str">
            <v>1816-00</v>
          </cell>
          <cell r="C6514" t="str">
            <v>성형-PISTON</v>
          </cell>
          <cell r="D6514">
            <v>378</v>
          </cell>
          <cell r="N6514" t="str">
            <v>1816-00</v>
          </cell>
          <cell r="O6514" t="str">
            <v>성형-PISTON</v>
          </cell>
          <cell r="P6514">
            <v>378</v>
          </cell>
        </row>
        <row r="6515">
          <cell r="B6515" t="str">
            <v>1887-00</v>
          </cell>
          <cell r="C6515" t="str">
            <v>성형-PISTON</v>
          </cell>
          <cell r="D6515">
            <v>218.5</v>
          </cell>
          <cell r="N6515" t="str">
            <v>1887-00</v>
          </cell>
          <cell r="O6515" t="str">
            <v>성형-PISTON</v>
          </cell>
          <cell r="P6515">
            <v>218.5</v>
          </cell>
        </row>
        <row r="6516">
          <cell r="B6516" t="str">
            <v>1613-00</v>
          </cell>
          <cell r="C6516" t="str">
            <v>성형-BODY</v>
          </cell>
          <cell r="D6516">
            <v>235.5</v>
          </cell>
          <cell r="N6516" t="str">
            <v>1613-00</v>
          </cell>
          <cell r="O6516" t="str">
            <v>성형-BODY</v>
          </cell>
          <cell r="P6516">
            <v>235.5</v>
          </cell>
        </row>
        <row r="6517">
          <cell r="B6517" t="str">
            <v>1891-00</v>
          </cell>
          <cell r="C6517" t="str">
            <v>성형-BODY</v>
          </cell>
          <cell r="D6517">
            <v>212</v>
          </cell>
          <cell r="N6517" t="str">
            <v>1891-00</v>
          </cell>
          <cell r="O6517" t="str">
            <v>성형-BODY</v>
          </cell>
          <cell r="P6517">
            <v>212</v>
          </cell>
        </row>
        <row r="6518">
          <cell r="B6518" t="str">
            <v>2856-00</v>
          </cell>
          <cell r="C6518" t="str">
            <v>성형-PISTON</v>
          </cell>
          <cell r="D6518">
            <v>222</v>
          </cell>
          <cell r="N6518" t="str">
            <v>2856-00</v>
          </cell>
          <cell r="O6518" t="str">
            <v>성형-PISTON</v>
          </cell>
          <cell r="P6518">
            <v>222</v>
          </cell>
        </row>
        <row r="6519">
          <cell r="B6519" t="str">
            <v>1991-00</v>
          </cell>
          <cell r="C6519" t="str">
            <v>성형-BODY</v>
          </cell>
          <cell r="D6519">
            <v>251</v>
          </cell>
          <cell r="N6519" t="str">
            <v>1991-00</v>
          </cell>
          <cell r="O6519" t="str">
            <v>성형-BODY</v>
          </cell>
          <cell r="P6519">
            <v>251</v>
          </cell>
        </row>
        <row r="6520">
          <cell r="B6520" t="str">
            <v>2011-00</v>
          </cell>
          <cell r="C6520" t="str">
            <v>성형-BODY</v>
          </cell>
          <cell r="D6520">
            <v>221</v>
          </cell>
          <cell r="N6520" t="str">
            <v>2011-00</v>
          </cell>
          <cell r="O6520" t="str">
            <v>성형-BODY</v>
          </cell>
          <cell r="P6520">
            <v>221</v>
          </cell>
        </row>
        <row r="6521">
          <cell r="B6521" t="str">
            <v>2055-00</v>
          </cell>
          <cell r="C6521" t="str">
            <v>성형-BODY</v>
          </cell>
          <cell r="D6521">
            <v>241</v>
          </cell>
          <cell r="N6521" t="str">
            <v>2055-00</v>
          </cell>
          <cell r="O6521" t="str">
            <v>성형-BODY</v>
          </cell>
          <cell r="P6521">
            <v>241</v>
          </cell>
        </row>
        <row r="6522">
          <cell r="B6522" t="str">
            <v>2076-00</v>
          </cell>
          <cell r="C6522" t="str">
            <v>성형-BODY RETAINER</v>
          </cell>
          <cell r="D6522">
            <v>82</v>
          </cell>
          <cell r="N6522" t="str">
            <v>2076-00</v>
          </cell>
          <cell r="O6522" t="str">
            <v>성형-BODY RETAINER</v>
          </cell>
          <cell r="P6522">
            <v>82</v>
          </cell>
        </row>
        <row r="6523">
          <cell r="B6523" t="str">
            <v>2412-00</v>
          </cell>
          <cell r="C6523" t="str">
            <v>성형-BODY</v>
          </cell>
          <cell r="D6523">
            <v>203.5</v>
          </cell>
          <cell r="N6523" t="str">
            <v>2412-00</v>
          </cell>
          <cell r="O6523" t="str">
            <v>성형-BODY</v>
          </cell>
          <cell r="P6523">
            <v>203.5</v>
          </cell>
        </row>
        <row r="6524">
          <cell r="B6524" t="str">
            <v>321-00</v>
          </cell>
          <cell r="C6524" t="str">
            <v>성형-GEAR &amp; HOLDER ASS'Y</v>
          </cell>
          <cell r="D6524">
            <v>754</v>
          </cell>
          <cell r="N6524" t="str">
            <v>321-00</v>
          </cell>
          <cell r="O6524" t="str">
            <v>성형-GEAR &amp; HOLDER ASS'Y</v>
          </cell>
          <cell r="P6524">
            <v>754</v>
          </cell>
        </row>
        <row r="6525">
          <cell r="B6525" t="str">
            <v>588-51</v>
          </cell>
          <cell r="C6525" t="str">
            <v>성형-PISTON</v>
          </cell>
          <cell r="D6525">
            <v>111</v>
          </cell>
          <cell r="N6525" t="str">
            <v>588-51</v>
          </cell>
          <cell r="O6525" t="str">
            <v>성형-PISTON</v>
          </cell>
          <cell r="P6525">
            <v>111</v>
          </cell>
        </row>
        <row r="6526">
          <cell r="B6526" t="str">
            <v>712-00</v>
          </cell>
          <cell r="C6526" t="str">
            <v>성형-PISTON</v>
          </cell>
          <cell r="D6526">
            <v>256.5</v>
          </cell>
          <cell r="N6526" t="str">
            <v>712-00</v>
          </cell>
          <cell r="O6526" t="str">
            <v>성형-PISTON</v>
          </cell>
          <cell r="P6526">
            <v>256.5</v>
          </cell>
        </row>
        <row r="6527">
          <cell r="B6527" t="str">
            <v>861-00</v>
          </cell>
          <cell r="C6527" t="str">
            <v>정형-BODY</v>
          </cell>
          <cell r="D6527">
            <v>128.80000000000001</v>
          </cell>
          <cell r="N6527" t="str">
            <v>861-00</v>
          </cell>
          <cell r="O6527" t="str">
            <v>정형-BODY</v>
          </cell>
          <cell r="P6527">
            <v>128.80000000000001</v>
          </cell>
        </row>
        <row r="6528">
          <cell r="B6528" t="str">
            <v>1613-01</v>
          </cell>
          <cell r="C6528" t="str">
            <v>정형-BODY</v>
          </cell>
          <cell r="D6528">
            <v>147</v>
          </cell>
          <cell r="N6528" t="str">
            <v>1613-01</v>
          </cell>
          <cell r="O6528" t="str">
            <v>정형-BODY</v>
          </cell>
          <cell r="P6528">
            <v>294</v>
          </cell>
        </row>
        <row r="6529">
          <cell r="B6529" t="str">
            <v>1666-00</v>
          </cell>
          <cell r="C6529" t="str">
            <v>정형-BODY</v>
          </cell>
          <cell r="D6529">
            <v>139.5</v>
          </cell>
          <cell r="N6529" t="str">
            <v>1666-00</v>
          </cell>
          <cell r="O6529" t="str">
            <v>BODY</v>
          </cell>
          <cell r="P6529">
            <v>279</v>
          </cell>
        </row>
        <row r="6530">
          <cell r="B6530" t="str">
            <v>1673-00</v>
          </cell>
          <cell r="C6530" t="str">
            <v>정형-BODY</v>
          </cell>
          <cell r="D6530">
            <v>85</v>
          </cell>
          <cell r="N6530" t="str">
            <v>1673-00</v>
          </cell>
          <cell r="O6530" t="str">
            <v>RS RETAINER</v>
          </cell>
          <cell r="P6530">
            <v>170</v>
          </cell>
        </row>
        <row r="6531">
          <cell r="B6531" t="str">
            <v>322-00</v>
          </cell>
          <cell r="C6531" t="str">
            <v>정형-BODY</v>
          </cell>
          <cell r="D6531">
            <v>350</v>
          </cell>
          <cell r="N6531" t="str">
            <v>322-00</v>
          </cell>
          <cell r="O6531" t="str">
            <v>HOLDER</v>
          </cell>
          <cell r="P6531">
            <v>700</v>
          </cell>
        </row>
        <row r="6532">
          <cell r="B6532" t="str">
            <v>1836-00</v>
          </cell>
          <cell r="C6532" t="str">
            <v>정형-BODY</v>
          </cell>
          <cell r="D6532">
            <v>102.5</v>
          </cell>
          <cell r="N6532" t="str">
            <v>1836-00</v>
          </cell>
          <cell r="O6532" t="str">
            <v>RS RETAINER</v>
          </cell>
          <cell r="P6532">
            <v>205</v>
          </cell>
        </row>
        <row r="6533">
          <cell r="B6533" t="str">
            <v>670-02</v>
          </cell>
          <cell r="C6533" t="str">
            <v>정형-BODY</v>
          </cell>
          <cell r="D6533">
            <v>225.5</v>
          </cell>
          <cell r="N6533" t="str">
            <v>670-02</v>
          </cell>
          <cell r="O6533" t="str">
            <v>ROD GUIDE ASS'Y</v>
          </cell>
          <cell r="P6533">
            <v>451</v>
          </cell>
        </row>
        <row r="6534">
          <cell r="B6534" t="str">
            <v>1079-00</v>
          </cell>
          <cell r="C6534" t="str">
            <v>BODY</v>
          </cell>
          <cell r="D6534">
            <v>99.5</v>
          </cell>
          <cell r="N6534" t="str">
            <v>1079-00</v>
          </cell>
          <cell r="O6534" t="str">
            <v>BODY</v>
          </cell>
          <cell r="P6534">
            <v>199</v>
          </cell>
        </row>
        <row r="6535">
          <cell r="B6535" t="str">
            <v>1430-07</v>
          </cell>
          <cell r="C6535" t="str">
            <v>BODY</v>
          </cell>
          <cell r="D6535">
            <v>109.5</v>
          </cell>
          <cell r="N6535" t="str">
            <v>1430-07</v>
          </cell>
          <cell r="O6535" t="str">
            <v>BODY</v>
          </cell>
          <cell r="P6535">
            <v>219</v>
          </cell>
        </row>
        <row r="6536">
          <cell r="B6536" t="str">
            <v>1634-01</v>
          </cell>
          <cell r="C6536" t="str">
            <v>RS RETAINER</v>
          </cell>
          <cell r="D6536">
            <v>89.5</v>
          </cell>
          <cell r="N6536" t="str">
            <v>1634-01</v>
          </cell>
          <cell r="O6536" t="str">
            <v>RS RETAINER</v>
          </cell>
          <cell r="P6536">
            <v>179</v>
          </cell>
        </row>
        <row r="6537">
          <cell r="B6537" t="str">
            <v>6026-10</v>
          </cell>
          <cell r="C6537" t="str">
            <v>TMEDII CARRIER</v>
          </cell>
          <cell r="D6537">
            <v>4918.729166666667</v>
          </cell>
          <cell r="N6537" t="str">
            <v>6026-00</v>
          </cell>
          <cell r="O6537" t="str">
            <v>TMEDII CARRIER</v>
          </cell>
          <cell r="P6537">
            <v>29512.375</v>
          </cell>
        </row>
        <row r="6538">
          <cell r="B6538" t="str">
            <v>6026-20</v>
          </cell>
          <cell r="C6538" t="str">
            <v>TMEDII CARRIER</v>
          </cell>
          <cell r="D6538">
            <v>4918.729166666667</v>
          </cell>
          <cell r="N6538" t="str">
            <v>6027-00</v>
          </cell>
          <cell r="O6538" t="str">
            <v>TMEDII CARRIER</v>
          </cell>
          <cell r="P6538">
            <v>27584</v>
          </cell>
        </row>
        <row r="6539">
          <cell r="B6539" t="str">
            <v>6026-30</v>
          </cell>
          <cell r="C6539" t="str">
            <v>TMEDII CARRIER</v>
          </cell>
          <cell r="D6539">
            <v>4918.729166666667</v>
          </cell>
        </row>
        <row r="6540">
          <cell r="B6540" t="str">
            <v>6027-10</v>
          </cell>
          <cell r="C6540" t="str">
            <v>TMEDII CARRIER</v>
          </cell>
          <cell r="D6540">
            <v>4597.333333333333</v>
          </cell>
        </row>
        <row r="6541">
          <cell r="B6541" t="str">
            <v>6027-20</v>
          </cell>
          <cell r="C6541" t="str">
            <v>TMEDII CARRIER</v>
          </cell>
          <cell r="D6541">
            <v>4597.333333333333</v>
          </cell>
        </row>
        <row r="6542">
          <cell r="B6542" t="str">
            <v>6027-30</v>
          </cell>
          <cell r="C6542" t="str">
            <v>TMEDII CARRIER</v>
          </cell>
          <cell r="D6542">
            <v>4597.333333333333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  <pageSetUpPr fitToPage="1"/>
  </sheetPr>
  <dimension ref="B2:P20"/>
  <sheetViews>
    <sheetView showGridLines="0" tabSelected="1" zoomScale="85" zoomScaleNormal="85" workbookViewId="0">
      <selection activeCell="B2" sqref="B2"/>
    </sheetView>
  </sheetViews>
  <sheetFormatPr defaultRowHeight="15"/>
  <cols>
    <col min="1" max="1" width="2.7109375" customWidth="1"/>
    <col min="3" max="4" width="14" bestFit="1" customWidth="1"/>
    <col min="5" max="5" width="14" customWidth="1"/>
    <col min="6" max="6" width="14" bestFit="1" customWidth="1"/>
    <col min="7" max="7" width="12.28515625" customWidth="1"/>
    <col min="8" max="8" width="12.140625" bestFit="1" customWidth="1"/>
    <col min="9" max="9" width="14" bestFit="1" customWidth="1"/>
    <col min="10" max="10" width="12.140625" hidden="1" customWidth="1"/>
    <col min="11" max="12" width="14" bestFit="1" customWidth="1"/>
    <col min="13" max="13" width="14.7109375" customWidth="1"/>
    <col min="14" max="14" width="14.5703125" bestFit="1" customWidth="1"/>
    <col min="15" max="15" width="14" bestFit="1" customWidth="1"/>
    <col min="16" max="18" width="9" customWidth="1"/>
  </cols>
  <sheetData>
    <row r="2" spans="2:16">
      <c r="B2" s="9" t="s">
        <v>41</v>
      </c>
    </row>
    <row r="3" spans="2:16" ht="15.75" thickBot="1">
      <c r="B3" s="9"/>
    </row>
    <row r="4" spans="2:16" ht="15.75" thickBot="1">
      <c r="B4" s="13" t="s">
        <v>156</v>
      </c>
      <c r="O4" s="14"/>
    </row>
    <row r="5" spans="2:16">
      <c r="B5" s="74" t="s">
        <v>33</v>
      </c>
      <c r="C5" s="79" t="s">
        <v>34</v>
      </c>
      <c r="D5" s="80"/>
      <c r="E5" s="81"/>
      <c r="F5" s="75" t="s">
        <v>35</v>
      </c>
      <c r="G5" s="77" t="s">
        <v>36</v>
      </c>
      <c r="H5" s="77"/>
      <c r="I5" s="78" t="s">
        <v>37</v>
      </c>
      <c r="J5" s="72" t="s">
        <v>43</v>
      </c>
      <c r="K5" s="72" t="s">
        <v>57</v>
      </c>
      <c r="L5" s="72" t="s">
        <v>58</v>
      </c>
      <c r="M5" s="12" t="s">
        <v>50</v>
      </c>
      <c r="N5" s="72" t="s">
        <v>38</v>
      </c>
      <c r="O5" s="74" t="s">
        <v>4</v>
      </c>
    </row>
    <row r="6" spans="2:16">
      <c r="B6" s="74"/>
      <c r="C6" s="67" t="s">
        <v>29</v>
      </c>
      <c r="D6" s="67" t="s">
        <v>33</v>
      </c>
      <c r="E6" s="67" t="s">
        <v>147</v>
      </c>
      <c r="F6" s="76"/>
      <c r="G6" s="11" t="s">
        <v>29</v>
      </c>
      <c r="H6" s="11" t="s">
        <v>33</v>
      </c>
      <c r="I6" s="78"/>
      <c r="J6" s="73"/>
      <c r="K6" s="73"/>
      <c r="L6" s="73"/>
      <c r="M6" s="12" t="s">
        <v>39</v>
      </c>
      <c r="N6" s="73"/>
      <c r="O6" s="74"/>
    </row>
    <row r="7" spans="2:16" ht="30.75" customHeight="1">
      <c r="B7" s="10" t="s">
        <v>40</v>
      </c>
      <c r="C7" s="25">
        <f>+성형셋팅!D3</f>
        <v>1015</v>
      </c>
      <c r="D7" s="25">
        <f>+성형공정!D3</f>
        <v>304</v>
      </c>
      <c r="E7" s="71">
        <f>'성형공정 (외주소재불량)'!D3</f>
        <v>223</v>
      </c>
      <c r="F7" s="71">
        <f>+소결공정!D3</f>
        <v>1367</v>
      </c>
      <c r="G7" s="25">
        <f>+정형셋팅!D3</f>
        <v>0</v>
      </c>
      <c r="H7" s="71">
        <f>+정형공정!D3</f>
        <v>738</v>
      </c>
      <c r="I7" s="71">
        <f>+후처리공정!D3</f>
        <v>270</v>
      </c>
      <c r="J7" s="25">
        <f>+가공불량!D3</f>
        <v>0</v>
      </c>
      <c r="K7" s="71">
        <f>+'A8LF 가공셋팅'!D3</f>
        <v>38</v>
      </c>
      <c r="L7" s="71">
        <f>+'A8LF 가공공정'!D3</f>
        <v>41</v>
      </c>
      <c r="M7" s="71">
        <f>+'외주 소재불량 (공정불분명)'!D3</f>
        <v>190</v>
      </c>
      <c r="N7" s="25">
        <f>+'Pending품 폐기'!D3</f>
        <v>0</v>
      </c>
      <c r="O7" s="26">
        <f>+SUM(E7:N7)</f>
        <v>2867</v>
      </c>
      <c r="P7" s="27"/>
    </row>
    <row r="8" spans="2:16" ht="15.75" thickBot="1">
      <c r="B8" s="9"/>
    </row>
    <row r="9" spans="2:16" ht="15.75" thickBot="1">
      <c r="B9" s="13" t="str">
        <f>+B4</f>
        <v>6월</v>
      </c>
      <c r="O9" s="14"/>
    </row>
    <row r="10" spans="2:16">
      <c r="B10" s="74" t="s">
        <v>33</v>
      </c>
      <c r="C10" s="79" t="s">
        <v>34</v>
      </c>
      <c r="D10" s="80"/>
      <c r="E10" s="81"/>
      <c r="F10" s="75" t="s">
        <v>35</v>
      </c>
      <c r="G10" s="77" t="s">
        <v>36</v>
      </c>
      <c r="H10" s="77"/>
      <c r="I10" s="78" t="s">
        <v>37</v>
      </c>
      <c r="J10" s="72" t="s">
        <v>43</v>
      </c>
      <c r="K10" s="72" t="s">
        <v>57</v>
      </c>
      <c r="L10" s="72" t="s">
        <v>58</v>
      </c>
      <c r="M10" s="12" t="s">
        <v>50</v>
      </c>
      <c r="N10" s="72" t="s">
        <v>38</v>
      </c>
      <c r="O10" s="74" t="s">
        <v>4</v>
      </c>
    </row>
    <row r="11" spans="2:16">
      <c r="B11" s="74"/>
      <c r="C11" s="67" t="s">
        <v>29</v>
      </c>
      <c r="D11" s="67" t="s">
        <v>33</v>
      </c>
      <c r="E11" s="67" t="s">
        <v>147</v>
      </c>
      <c r="F11" s="76"/>
      <c r="G11" s="11" t="s">
        <v>29</v>
      </c>
      <c r="H11" s="11" t="s">
        <v>33</v>
      </c>
      <c r="I11" s="78"/>
      <c r="J11" s="73"/>
      <c r="K11" s="73"/>
      <c r="L11" s="73"/>
      <c r="M11" s="12" t="s">
        <v>39</v>
      </c>
      <c r="N11" s="73"/>
      <c r="O11" s="74"/>
    </row>
    <row r="12" spans="2:16" ht="30.75" customHeight="1">
      <c r="B12" s="10" t="s">
        <v>40</v>
      </c>
      <c r="C12" s="17">
        <f>+성형셋팅!F3</f>
        <v>2435258.4000000004</v>
      </c>
      <c r="D12" s="17">
        <f>+성형공정!F3</f>
        <v>575675.17500000005</v>
      </c>
      <c r="E12" s="17">
        <f>'성형공정 (외주소재불량)'!F3</f>
        <v>2710890.125</v>
      </c>
      <c r="F12" s="17">
        <f>+소결공정!F3</f>
        <v>19509992</v>
      </c>
      <c r="G12" s="17">
        <f>+정형셋팅!F3</f>
        <v>0</v>
      </c>
      <c r="H12" s="17">
        <f>+정형공정!F3</f>
        <v>1053468</v>
      </c>
      <c r="I12" s="17">
        <f>+후처리공정!F3</f>
        <v>1512456</v>
      </c>
      <c r="J12" s="17">
        <f>+가공불량!F3</f>
        <v>0</v>
      </c>
      <c r="K12" s="17">
        <f>+'A8LF 가공셋팅'!F3</f>
        <v>337736.39999999997</v>
      </c>
      <c r="L12" s="17">
        <f>+'A8LF 가공공정'!F3</f>
        <v>364399.8</v>
      </c>
      <c r="M12" s="17">
        <f>+'외주 소재불량 (공정불분명)'!F3</f>
        <v>2592390</v>
      </c>
      <c r="N12" s="17">
        <f>+'Pending품 폐기'!F3</f>
        <v>0</v>
      </c>
      <c r="O12" s="18">
        <f>+SUM(E12:N12)</f>
        <v>28081332.324999999</v>
      </c>
    </row>
    <row r="13" spans="2:16"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2:16">
      <c r="C14" s="27"/>
      <c r="M14" s="20"/>
      <c r="N14" s="20" t="s">
        <v>51</v>
      </c>
      <c r="O14" s="20" t="s">
        <v>52</v>
      </c>
    </row>
    <row r="15" spans="2:16">
      <c r="M15" s="21" t="s">
        <v>44</v>
      </c>
      <c r="N15" s="22">
        <f>G7+K7</f>
        <v>38</v>
      </c>
      <c r="O15" s="23">
        <f>G12+K12</f>
        <v>337736.39999999997</v>
      </c>
      <c r="P15" s="27"/>
    </row>
    <row r="16" spans="2:16">
      <c r="M16" s="21" t="s">
        <v>45</v>
      </c>
      <c r="N16" s="22">
        <f>E7+F7+H7+I7+L7+M7+N7</f>
        <v>2829</v>
      </c>
      <c r="O16" s="23">
        <f>E12+F12+H12+I12+L12+M12+N12</f>
        <v>27743595.925000001</v>
      </c>
    </row>
    <row r="17" spans="3:15"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20" spans="3:15"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9"/>
    </row>
  </sheetData>
  <mergeCells count="20">
    <mergeCell ref="I10:I11"/>
    <mergeCell ref="O10:O11"/>
    <mergeCell ref="B10:B11"/>
    <mergeCell ref="G10:H10"/>
    <mergeCell ref="F10:F11"/>
    <mergeCell ref="N10:N11"/>
    <mergeCell ref="J10:J11"/>
    <mergeCell ref="L10:L11"/>
    <mergeCell ref="K10:K11"/>
    <mergeCell ref="C10:E10"/>
    <mergeCell ref="J5:J6"/>
    <mergeCell ref="N5:N6"/>
    <mergeCell ref="O5:O6"/>
    <mergeCell ref="B5:B6"/>
    <mergeCell ref="F5:F6"/>
    <mergeCell ref="G5:H5"/>
    <mergeCell ref="I5:I6"/>
    <mergeCell ref="L5:L6"/>
    <mergeCell ref="K5:K6"/>
    <mergeCell ref="C5:E5"/>
  </mergeCells>
  <phoneticPr fontId="3" type="noConversion"/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/>
  </sheetPr>
  <dimension ref="A1:I358"/>
  <sheetViews>
    <sheetView showGridLines="0" topLeftCell="B1" workbookViewId="0">
      <pane ySplit="3" topLeftCell="A4" activePane="bottomLeft" state="frozen"/>
      <selection activeCell="S28" sqref="S28"/>
      <selection pane="bottomLeft" sqref="A1:F1"/>
    </sheetView>
  </sheetViews>
  <sheetFormatPr defaultRowHeight="15"/>
  <cols>
    <col min="1" max="1" width="20" hidden="1" customWidth="1"/>
    <col min="2" max="2" width="45.5703125" bestFit="1" customWidth="1"/>
    <col min="3" max="3" width="9" style="20"/>
    <col min="4" max="4" width="5.5703125" bestFit="1" customWidth="1"/>
    <col min="6" max="6" width="12.5703125" bestFit="1" customWidth="1"/>
  </cols>
  <sheetData>
    <row r="1" spans="1:9" ht="18.75" customHeight="1">
      <c r="A1" s="82" t="s">
        <v>42</v>
      </c>
      <c r="B1" s="83"/>
      <c r="C1" s="83"/>
      <c r="D1" s="83"/>
      <c r="E1" s="83"/>
      <c r="F1" s="83"/>
    </row>
    <row r="2" spans="1:9">
      <c r="A2" s="2" t="s">
        <v>1</v>
      </c>
      <c r="B2" s="1" t="s">
        <v>2</v>
      </c>
      <c r="C2" s="1" t="s">
        <v>3</v>
      </c>
      <c r="D2" s="1" t="s">
        <v>4</v>
      </c>
      <c r="E2" s="1" t="s">
        <v>46</v>
      </c>
      <c r="F2" s="1" t="s">
        <v>47</v>
      </c>
    </row>
    <row r="3" spans="1:9">
      <c r="A3" s="3" t="s">
        <v>5</v>
      </c>
      <c r="B3" s="4" t="s">
        <v>32</v>
      </c>
      <c r="C3" s="58"/>
      <c r="D3" s="8">
        <f>SUM(D4:D500)</f>
        <v>1015</v>
      </c>
      <c r="E3" s="8"/>
      <c r="F3" s="16">
        <f>SUM(F4:F500)</f>
        <v>2435258.4000000004</v>
      </c>
    </row>
    <row r="4" spans="1:9" ht="16.5" customHeight="1">
      <c r="A4" s="3" t="s">
        <v>7</v>
      </c>
      <c r="B4" s="44" t="s">
        <v>63</v>
      </c>
      <c r="C4" s="57" t="s">
        <v>157</v>
      </c>
      <c r="D4" s="44">
        <v>8</v>
      </c>
      <c r="E4" s="7">
        <v>734</v>
      </c>
      <c r="F4" s="7">
        <f>+D4*E4</f>
        <v>5872</v>
      </c>
      <c r="I4" t="s">
        <v>101</v>
      </c>
    </row>
    <row r="5" spans="1:9" ht="16.5" customHeight="1">
      <c r="A5" s="3" t="s">
        <v>8</v>
      </c>
      <c r="B5" s="44" t="s">
        <v>64</v>
      </c>
      <c r="C5" s="57" t="s">
        <v>101</v>
      </c>
      <c r="D5" s="44">
        <v>5</v>
      </c>
      <c r="E5" s="7">
        <v>1580.5</v>
      </c>
      <c r="F5" s="7">
        <f t="shared" ref="F5:F46" si="0">+D5*E5</f>
        <v>7902.5</v>
      </c>
      <c r="I5" t="s">
        <v>65</v>
      </c>
    </row>
    <row r="6" spans="1:9" ht="16.5" customHeight="1">
      <c r="A6" s="3" t="s">
        <v>9</v>
      </c>
      <c r="B6" s="44" t="s">
        <v>63</v>
      </c>
      <c r="C6" s="57" t="s">
        <v>66</v>
      </c>
      <c r="D6" s="44">
        <v>24</v>
      </c>
      <c r="E6" s="7">
        <v>928</v>
      </c>
      <c r="F6" s="7">
        <f t="shared" si="0"/>
        <v>22272</v>
      </c>
      <c r="I6" t="s">
        <v>66</v>
      </c>
    </row>
    <row r="7" spans="1:9" ht="16.5" customHeight="1">
      <c r="A7" s="3" t="s">
        <v>10</v>
      </c>
      <c r="B7" s="44" t="s">
        <v>149</v>
      </c>
      <c r="C7" s="57" t="s">
        <v>158</v>
      </c>
      <c r="D7" s="44">
        <v>16</v>
      </c>
      <c r="E7" s="7">
        <v>1292</v>
      </c>
      <c r="F7" s="7">
        <f t="shared" si="0"/>
        <v>20672</v>
      </c>
      <c r="I7" t="s">
        <v>67</v>
      </c>
    </row>
    <row r="8" spans="1:9" ht="16.5" customHeight="1">
      <c r="A8" s="3" t="s">
        <v>11</v>
      </c>
      <c r="B8" s="44" t="s">
        <v>63</v>
      </c>
      <c r="C8" s="57" t="s">
        <v>67</v>
      </c>
      <c r="D8" s="44">
        <v>205</v>
      </c>
      <c r="E8" s="7">
        <v>1175.5</v>
      </c>
      <c r="F8" s="7">
        <f t="shared" si="0"/>
        <v>240977.5</v>
      </c>
      <c r="I8" t="s">
        <v>129</v>
      </c>
    </row>
    <row r="9" spans="1:9" ht="16.5" customHeight="1">
      <c r="A9" s="3" t="s">
        <v>12</v>
      </c>
      <c r="B9" s="44" t="s">
        <v>63</v>
      </c>
      <c r="C9" s="57" t="s">
        <v>129</v>
      </c>
      <c r="D9" s="44">
        <v>27</v>
      </c>
      <c r="E9" s="7">
        <v>807.5</v>
      </c>
      <c r="F9" s="7">
        <f t="shared" si="0"/>
        <v>21802.5</v>
      </c>
      <c r="I9" t="s">
        <v>69</v>
      </c>
    </row>
    <row r="10" spans="1:9" ht="16.5" customHeight="1">
      <c r="A10" s="3" t="s">
        <v>13</v>
      </c>
      <c r="B10" s="44" t="s">
        <v>68</v>
      </c>
      <c r="C10" s="57" t="s">
        <v>69</v>
      </c>
      <c r="D10" s="44">
        <v>14</v>
      </c>
      <c r="E10" s="7">
        <v>2248.5</v>
      </c>
      <c r="F10" s="7">
        <f t="shared" si="0"/>
        <v>31479</v>
      </c>
      <c r="I10" t="s">
        <v>70</v>
      </c>
    </row>
    <row r="11" spans="1:9" ht="16.5" customHeight="1">
      <c r="A11" s="3" t="s">
        <v>30</v>
      </c>
      <c r="B11" s="44" t="s">
        <v>68</v>
      </c>
      <c r="C11" s="57" t="s">
        <v>70</v>
      </c>
      <c r="D11" s="44">
        <v>24</v>
      </c>
      <c r="E11" s="7">
        <v>2459</v>
      </c>
      <c r="F11" s="7">
        <f t="shared" si="0"/>
        <v>59016</v>
      </c>
      <c r="I11" t="s">
        <v>71</v>
      </c>
    </row>
    <row r="12" spans="1:9" ht="16.5" customHeight="1">
      <c r="A12" s="3" t="s">
        <v>14</v>
      </c>
      <c r="B12" s="44" t="s">
        <v>150</v>
      </c>
      <c r="C12" s="57" t="s">
        <v>151</v>
      </c>
      <c r="D12" s="44">
        <v>3</v>
      </c>
      <c r="E12" s="7">
        <v>1763.3999999999999</v>
      </c>
      <c r="F12" s="7">
        <f t="shared" si="0"/>
        <v>5290.2</v>
      </c>
      <c r="I12" t="s">
        <v>72</v>
      </c>
    </row>
    <row r="13" spans="1:9" ht="16.5" customHeight="1">
      <c r="A13" s="3" t="s">
        <v>15</v>
      </c>
      <c r="B13" s="44" t="s">
        <v>149</v>
      </c>
      <c r="C13" s="57" t="s">
        <v>159</v>
      </c>
      <c r="D13" s="44">
        <v>9</v>
      </c>
      <c r="E13" s="7">
        <v>853.19999999999993</v>
      </c>
      <c r="F13" s="7">
        <f t="shared" si="0"/>
        <v>7678.7999999999993</v>
      </c>
      <c r="I13" t="s">
        <v>74</v>
      </c>
    </row>
    <row r="14" spans="1:9" ht="16.5" customHeight="1">
      <c r="A14" s="3" t="s">
        <v>16</v>
      </c>
      <c r="B14" s="44" t="s">
        <v>152</v>
      </c>
      <c r="C14" s="57" t="s">
        <v>72</v>
      </c>
      <c r="D14" s="44">
        <v>27</v>
      </c>
      <c r="E14" s="7">
        <v>853</v>
      </c>
      <c r="F14" s="7">
        <f t="shared" si="0"/>
        <v>23031</v>
      </c>
      <c r="I14" t="s">
        <v>75</v>
      </c>
    </row>
    <row r="15" spans="1:9" ht="16.5" customHeight="1">
      <c r="A15" s="3" t="s">
        <v>17</v>
      </c>
      <c r="B15" s="44" t="s">
        <v>73</v>
      </c>
      <c r="C15" s="56" t="s">
        <v>74</v>
      </c>
      <c r="D15" s="44">
        <v>41</v>
      </c>
      <c r="E15" s="7">
        <v>1798</v>
      </c>
      <c r="F15" s="7">
        <f t="shared" si="0"/>
        <v>73718</v>
      </c>
      <c r="I15" t="s">
        <v>77</v>
      </c>
    </row>
    <row r="16" spans="1:9" ht="16.5" customHeight="1">
      <c r="A16" s="3" t="s">
        <v>18</v>
      </c>
      <c r="B16" s="44" t="s">
        <v>132</v>
      </c>
      <c r="C16" s="56" t="s">
        <v>75</v>
      </c>
      <c r="D16" s="44">
        <v>9</v>
      </c>
      <c r="E16" s="7">
        <v>1423</v>
      </c>
      <c r="F16" s="7">
        <f t="shared" si="0"/>
        <v>12807</v>
      </c>
      <c r="I16" t="s">
        <v>78</v>
      </c>
    </row>
    <row r="17" spans="1:9" ht="16.5" customHeight="1">
      <c r="A17" s="3" t="s">
        <v>19</v>
      </c>
      <c r="B17" s="44" t="s">
        <v>76</v>
      </c>
      <c r="C17" s="56" t="s">
        <v>77</v>
      </c>
      <c r="D17" s="44">
        <v>20</v>
      </c>
      <c r="E17" s="7">
        <v>2185.5</v>
      </c>
      <c r="F17" s="7">
        <f t="shared" si="0"/>
        <v>43710</v>
      </c>
      <c r="I17" t="s">
        <v>79</v>
      </c>
    </row>
    <row r="18" spans="1:9" ht="16.5" customHeight="1">
      <c r="A18" s="3" t="s">
        <v>31</v>
      </c>
      <c r="B18" s="44" t="s">
        <v>73</v>
      </c>
      <c r="C18" s="56" t="s">
        <v>78</v>
      </c>
      <c r="D18" s="44">
        <v>7</v>
      </c>
      <c r="E18" s="7">
        <v>1755.5</v>
      </c>
      <c r="F18" s="7">
        <f t="shared" si="0"/>
        <v>12288.5</v>
      </c>
      <c r="I18" t="s">
        <v>81</v>
      </c>
    </row>
    <row r="19" spans="1:9" ht="16.5" customHeight="1">
      <c r="A19" s="3" t="s">
        <v>20</v>
      </c>
      <c r="B19" s="44" t="s">
        <v>132</v>
      </c>
      <c r="C19" s="56" t="s">
        <v>79</v>
      </c>
      <c r="D19" s="44">
        <v>6</v>
      </c>
      <c r="E19" s="7">
        <v>1286</v>
      </c>
      <c r="F19" s="7">
        <f t="shared" si="0"/>
        <v>7716</v>
      </c>
      <c r="I19" t="s">
        <v>95</v>
      </c>
    </row>
    <row r="20" spans="1:9" ht="16.5" customHeight="1">
      <c r="A20" s="3" t="s">
        <v>21</v>
      </c>
      <c r="B20" s="44" t="s">
        <v>80</v>
      </c>
      <c r="C20" s="56" t="s">
        <v>81</v>
      </c>
      <c r="D20" s="44">
        <v>20</v>
      </c>
      <c r="E20" s="7">
        <v>2262.5</v>
      </c>
      <c r="F20" s="7">
        <f t="shared" si="0"/>
        <v>45250</v>
      </c>
      <c r="I20" t="s">
        <v>83</v>
      </c>
    </row>
    <row r="21" spans="1:9" ht="16.5" customHeight="1">
      <c r="A21" s="3" t="s">
        <v>22</v>
      </c>
      <c r="B21" s="44" t="s">
        <v>82</v>
      </c>
      <c r="C21" s="56" t="s">
        <v>95</v>
      </c>
      <c r="D21" s="44">
        <v>17</v>
      </c>
      <c r="E21" s="7">
        <v>2201.4</v>
      </c>
      <c r="F21" s="7">
        <f t="shared" si="0"/>
        <v>37423.800000000003</v>
      </c>
      <c r="I21" t="s">
        <v>102</v>
      </c>
    </row>
    <row r="22" spans="1:9" ht="16.5" customHeight="1">
      <c r="A22" s="3" t="s">
        <v>23</v>
      </c>
      <c r="B22" s="44" t="s">
        <v>82</v>
      </c>
      <c r="C22" s="56" t="s">
        <v>83</v>
      </c>
      <c r="D22" s="44">
        <v>32</v>
      </c>
      <c r="E22" s="7">
        <v>2201.4</v>
      </c>
      <c r="F22" s="7">
        <f t="shared" si="0"/>
        <v>70444.800000000003</v>
      </c>
      <c r="I22" t="s">
        <v>85</v>
      </c>
    </row>
    <row r="23" spans="1:9" ht="16.5" customHeight="1">
      <c r="A23" s="3" t="s">
        <v>24</v>
      </c>
      <c r="B23" s="44" t="s">
        <v>84</v>
      </c>
      <c r="C23" s="56" t="s">
        <v>102</v>
      </c>
      <c r="D23" s="44">
        <v>61</v>
      </c>
      <c r="E23" s="7">
        <v>1858.5</v>
      </c>
      <c r="F23" s="7">
        <f t="shared" si="0"/>
        <v>113368.5</v>
      </c>
      <c r="I23" t="s">
        <v>96</v>
      </c>
    </row>
    <row r="24" spans="1:9" ht="16.5" customHeight="1">
      <c r="B24" s="44" t="s">
        <v>84</v>
      </c>
      <c r="C24" s="56" t="s">
        <v>85</v>
      </c>
      <c r="D24" s="44">
        <v>12</v>
      </c>
      <c r="E24" s="7">
        <v>1858.5</v>
      </c>
      <c r="F24" s="7">
        <f t="shared" si="0"/>
        <v>22302</v>
      </c>
      <c r="I24" t="s">
        <v>86</v>
      </c>
    </row>
    <row r="25" spans="1:9" ht="16.5" customHeight="1">
      <c r="B25" s="44" t="s">
        <v>160</v>
      </c>
      <c r="C25" s="56" t="s">
        <v>96</v>
      </c>
      <c r="D25" s="44">
        <v>6</v>
      </c>
      <c r="E25" s="7">
        <v>1833.6</v>
      </c>
      <c r="F25" s="7">
        <f t="shared" si="0"/>
        <v>11001.599999999999</v>
      </c>
      <c r="I25" t="s">
        <v>119</v>
      </c>
    </row>
    <row r="26" spans="1:9" ht="16.5" customHeight="1">
      <c r="B26" s="44" t="s">
        <v>160</v>
      </c>
      <c r="C26" s="56" t="s">
        <v>86</v>
      </c>
      <c r="D26" s="44">
        <v>37</v>
      </c>
      <c r="E26" s="7">
        <v>1833.6</v>
      </c>
      <c r="F26" s="7">
        <f t="shared" si="0"/>
        <v>67843.199999999997</v>
      </c>
      <c r="I26" t="s">
        <v>87</v>
      </c>
    </row>
    <row r="27" spans="1:9" ht="16.5" customHeight="1">
      <c r="B27" s="44" t="s">
        <v>161</v>
      </c>
      <c r="C27" s="56" t="s">
        <v>87</v>
      </c>
      <c r="D27" s="44">
        <v>22</v>
      </c>
      <c r="E27" s="7">
        <v>1274.0999999999999</v>
      </c>
      <c r="F27" s="7">
        <f t="shared" si="0"/>
        <v>28030.199999999997</v>
      </c>
      <c r="I27" t="s">
        <v>97</v>
      </c>
    </row>
    <row r="28" spans="1:9" ht="16.5" customHeight="1">
      <c r="B28" s="44" t="s">
        <v>84</v>
      </c>
      <c r="C28" s="56" t="s">
        <v>155</v>
      </c>
      <c r="D28" s="44">
        <v>50</v>
      </c>
      <c r="E28" s="7">
        <v>2171.6999999999998</v>
      </c>
      <c r="F28" s="7">
        <f t="shared" si="0"/>
        <v>108584.99999999999</v>
      </c>
      <c r="I28" t="s">
        <v>120</v>
      </c>
    </row>
    <row r="29" spans="1:9" ht="16.5" customHeight="1">
      <c r="B29" s="44" t="s">
        <v>88</v>
      </c>
      <c r="C29" s="56" t="s">
        <v>97</v>
      </c>
      <c r="D29" s="44">
        <v>29</v>
      </c>
      <c r="E29" s="7">
        <v>4443.8999999999996</v>
      </c>
      <c r="F29" s="7">
        <f t="shared" si="0"/>
        <v>128873.09999999999</v>
      </c>
      <c r="I29" t="s">
        <v>98</v>
      </c>
    </row>
    <row r="30" spans="1:9" ht="16.5" customHeight="1">
      <c r="B30" s="44" t="s">
        <v>88</v>
      </c>
      <c r="C30" s="56" t="s">
        <v>120</v>
      </c>
      <c r="D30" s="44">
        <v>12</v>
      </c>
      <c r="E30" s="7">
        <v>4443.8999999999996</v>
      </c>
      <c r="F30" s="7">
        <f t="shared" si="0"/>
        <v>53326.799999999996</v>
      </c>
      <c r="I30" t="s">
        <v>130</v>
      </c>
    </row>
    <row r="31" spans="1:9" ht="16.5" customHeight="1">
      <c r="B31" s="44" t="s">
        <v>88</v>
      </c>
      <c r="C31" s="56" t="s">
        <v>98</v>
      </c>
      <c r="D31" s="44">
        <v>9</v>
      </c>
      <c r="E31" s="7">
        <v>4564.2</v>
      </c>
      <c r="F31" s="7">
        <f t="shared" si="0"/>
        <v>41077.799999999996</v>
      </c>
      <c r="I31" t="s">
        <v>99</v>
      </c>
    </row>
    <row r="32" spans="1:9" ht="16.5" customHeight="1">
      <c r="B32" s="44" t="s">
        <v>88</v>
      </c>
      <c r="C32" s="56" t="s">
        <v>130</v>
      </c>
      <c r="D32" s="44">
        <v>7</v>
      </c>
      <c r="E32" s="7">
        <v>4564.2</v>
      </c>
      <c r="F32" s="7">
        <f t="shared" si="0"/>
        <v>31949.399999999998</v>
      </c>
      <c r="I32" t="s">
        <v>90</v>
      </c>
    </row>
    <row r="33" spans="2:9" ht="16.5" customHeight="1">
      <c r="B33" s="44" t="s">
        <v>89</v>
      </c>
      <c r="C33" s="56" t="s">
        <v>99</v>
      </c>
      <c r="D33" s="44">
        <v>9</v>
      </c>
      <c r="E33" s="7">
        <v>2914.2</v>
      </c>
      <c r="F33" s="7">
        <f t="shared" si="0"/>
        <v>26227.8</v>
      </c>
      <c r="I33" t="s">
        <v>100</v>
      </c>
    </row>
    <row r="34" spans="2:9" ht="16.5" customHeight="1">
      <c r="B34" s="6" t="s">
        <v>89</v>
      </c>
      <c r="C34" s="48" t="s">
        <v>90</v>
      </c>
      <c r="D34" s="7">
        <v>14</v>
      </c>
      <c r="E34" s="7">
        <v>2914.2</v>
      </c>
      <c r="F34" s="7">
        <f t="shared" si="0"/>
        <v>40798.799999999996</v>
      </c>
      <c r="I34" t="s">
        <v>91</v>
      </c>
    </row>
    <row r="35" spans="2:9" ht="16.5" customHeight="1">
      <c r="B35" s="6" t="s">
        <v>88</v>
      </c>
      <c r="C35" s="48" t="s">
        <v>100</v>
      </c>
      <c r="D35" s="7">
        <v>9</v>
      </c>
      <c r="E35" s="7">
        <v>3991.5</v>
      </c>
      <c r="F35" s="7">
        <f t="shared" si="0"/>
        <v>35923.5</v>
      </c>
      <c r="I35" t="s">
        <v>93</v>
      </c>
    </row>
    <row r="36" spans="2:9" ht="16.5" customHeight="1">
      <c r="B36" s="6" t="s">
        <v>88</v>
      </c>
      <c r="C36" s="48" t="s">
        <v>91</v>
      </c>
      <c r="D36" s="7">
        <v>18</v>
      </c>
      <c r="E36" s="7">
        <v>3991.5</v>
      </c>
      <c r="F36" s="7">
        <f t="shared" si="0"/>
        <v>71847</v>
      </c>
      <c r="I36" t="s">
        <v>94</v>
      </c>
    </row>
    <row r="37" spans="2:9" ht="16.5" customHeight="1">
      <c r="B37" s="6" t="s">
        <v>92</v>
      </c>
      <c r="C37" s="48" t="s">
        <v>93</v>
      </c>
      <c r="D37" s="7">
        <v>121</v>
      </c>
      <c r="E37" s="7">
        <v>4442</v>
      </c>
      <c r="F37" s="7">
        <f t="shared" si="0"/>
        <v>537482</v>
      </c>
      <c r="I37" t="s">
        <v>136</v>
      </c>
    </row>
    <row r="38" spans="2:9" ht="16.5" customHeight="1">
      <c r="B38" s="6" t="s">
        <v>89</v>
      </c>
      <c r="C38" s="48" t="s">
        <v>94</v>
      </c>
      <c r="D38" s="7">
        <v>10</v>
      </c>
      <c r="E38" s="7">
        <v>2714.4</v>
      </c>
      <c r="F38" s="7">
        <f t="shared" si="0"/>
        <v>27144</v>
      </c>
      <c r="I38" t="s">
        <v>137</v>
      </c>
    </row>
    <row r="39" spans="2:9" ht="16.5" customHeight="1">
      <c r="B39" s="6" t="s">
        <v>89</v>
      </c>
      <c r="C39" s="48" t="s">
        <v>153</v>
      </c>
      <c r="D39" s="7">
        <v>6</v>
      </c>
      <c r="E39" s="7">
        <v>2714.4</v>
      </c>
      <c r="F39" s="7">
        <f t="shared" si="0"/>
        <v>16286.400000000001</v>
      </c>
      <c r="I39" t="s">
        <v>138</v>
      </c>
    </row>
    <row r="40" spans="2:9" ht="16.5" customHeight="1">
      <c r="B40" s="6" t="s">
        <v>88</v>
      </c>
      <c r="C40" s="48" t="s">
        <v>136</v>
      </c>
      <c r="D40" s="7">
        <v>6</v>
      </c>
      <c r="E40" s="7">
        <v>4415.7</v>
      </c>
      <c r="F40" s="7">
        <f t="shared" si="0"/>
        <v>26494.199999999997</v>
      </c>
      <c r="I40" t="s">
        <v>122</v>
      </c>
    </row>
    <row r="41" spans="2:9" ht="16.5" customHeight="1">
      <c r="B41" s="6" t="s">
        <v>121</v>
      </c>
      <c r="C41" s="48" t="s">
        <v>137</v>
      </c>
      <c r="D41" s="7">
        <v>10</v>
      </c>
      <c r="E41" s="7">
        <v>4918.729166666667</v>
      </c>
      <c r="F41" s="7">
        <f t="shared" si="0"/>
        <v>49187.291666666672</v>
      </c>
      <c r="I41" t="s">
        <v>123</v>
      </c>
    </row>
    <row r="42" spans="2:9" ht="16.5" customHeight="1">
      <c r="B42" s="6" t="s">
        <v>121</v>
      </c>
      <c r="C42" s="48" t="s">
        <v>154</v>
      </c>
      <c r="D42" s="7">
        <v>9</v>
      </c>
      <c r="E42" s="7">
        <v>4918.729166666667</v>
      </c>
      <c r="F42" s="7">
        <f t="shared" si="0"/>
        <v>44268.5625</v>
      </c>
      <c r="I42" t="s">
        <v>133</v>
      </c>
    </row>
    <row r="43" spans="2:9" ht="16.5" customHeight="1">
      <c r="B43" s="6" t="s">
        <v>121</v>
      </c>
      <c r="C43" s="48" t="s">
        <v>138</v>
      </c>
      <c r="D43" s="7">
        <v>5</v>
      </c>
      <c r="E43" s="7">
        <v>4918.729166666667</v>
      </c>
      <c r="F43" s="7">
        <f t="shared" si="0"/>
        <v>24593.645833333336</v>
      </c>
    </row>
    <row r="44" spans="2:9" ht="16.5" customHeight="1">
      <c r="B44" s="6" t="s">
        <v>121</v>
      </c>
      <c r="C44" s="48" t="s">
        <v>122</v>
      </c>
      <c r="D44" s="7">
        <v>19</v>
      </c>
      <c r="E44" s="7">
        <v>4597.333333333333</v>
      </c>
      <c r="F44" s="7">
        <f t="shared" si="0"/>
        <v>87349.333333333328</v>
      </c>
    </row>
    <row r="45" spans="2:9" ht="16.5" customHeight="1">
      <c r="B45" s="6" t="s">
        <v>121</v>
      </c>
      <c r="C45" s="48" t="s">
        <v>123</v>
      </c>
      <c r="D45" s="7">
        <v>8</v>
      </c>
      <c r="E45" s="7">
        <v>4597.333333333333</v>
      </c>
      <c r="F45" s="7">
        <f t="shared" si="0"/>
        <v>36778.666666666664</v>
      </c>
    </row>
    <row r="46" spans="2:9" ht="16.5" customHeight="1">
      <c r="B46" s="6" t="s">
        <v>121</v>
      </c>
      <c r="C46" s="48" t="s">
        <v>133</v>
      </c>
      <c r="D46" s="7">
        <v>12</v>
      </c>
      <c r="E46" s="7">
        <v>4597.333333333333</v>
      </c>
      <c r="F46" s="7">
        <f t="shared" si="0"/>
        <v>55168</v>
      </c>
    </row>
    <row r="47" spans="2:9" ht="16.5" customHeight="1">
      <c r="B47" s="6"/>
      <c r="C47" s="48"/>
      <c r="D47" s="7"/>
      <c r="E47" s="7"/>
      <c r="F47" s="7"/>
    </row>
    <row r="48" spans="2:9" ht="16.5" customHeight="1">
      <c r="B48" s="49"/>
      <c r="C48" s="59"/>
      <c r="D48" s="50"/>
      <c r="E48" s="50"/>
      <c r="F48" s="50"/>
    </row>
    <row r="49" spans="2:6" s="52" customFormat="1" ht="16.5" customHeight="1">
      <c r="B49" s="42"/>
      <c r="C49" s="60"/>
      <c r="D49" s="43"/>
      <c r="E49" s="43"/>
      <c r="F49" s="43"/>
    </row>
    <row r="50" spans="2:6" s="52" customFormat="1" ht="16.5" customHeight="1">
      <c r="B50" s="42"/>
      <c r="C50" s="60"/>
      <c r="D50" s="43"/>
      <c r="E50" s="43"/>
      <c r="F50" s="43"/>
    </row>
    <row r="51" spans="2:6" s="52" customFormat="1" ht="16.5" customHeight="1">
      <c r="B51" s="42"/>
      <c r="C51" s="60"/>
      <c r="D51" s="43"/>
      <c r="E51" s="43"/>
      <c r="F51" s="43"/>
    </row>
    <row r="52" spans="2:6" s="52" customFormat="1" ht="16.5" customHeight="1">
      <c r="B52" s="42"/>
      <c r="C52" s="60"/>
      <c r="D52" s="43"/>
      <c r="E52" s="43"/>
      <c r="F52" s="43"/>
    </row>
    <row r="53" spans="2:6" s="52" customFormat="1" ht="16.5" customHeight="1">
      <c r="B53" s="42"/>
      <c r="C53" s="60"/>
      <c r="D53" s="43"/>
      <c r="E53" s="43"/>
      <c r="F53" s="43"/>
    </row>
    <row r="54" spans="2:6" s="52" customFormat="1" ht="16.5" customHeight="1">
      <c r="B54" s="42"/>
      <c r="C54" s="60"/>
      <c r="D54" s="43"/>
      <c r="E54" s="43"/>
      <c r="F54" s="43"/>
    </row>
    <row r="55" spans="2:6" s="52" customFormat="1" ht="16.5" customHeight="1">
      <c r="B55" s="42"/>
      <c r="C55" s="60"/>
      <c r="D55" s="43"/>
      <c r="E55" s="43"/>
      <c r="F55" s="43"/>
    </row>
    <row r="56" spans="2:6" s="52" customFormat="1" ht="16.5" customHeight="1">
      <c r="B56" s="42"/>
      <c r="C56" s="60"/>
      <c r="D56" s="43"/>
      <c r="E56" s="43"/>
      <c r="F56" s="43"/>
    </row>
    <row r="57" spans="2:6" s="52" customFormat="1" ht="16.5" customHeight="1">
      <c r="B57" s="42"/>
      <c r="C57" s="60"/>
      <c r="D57" s="43"/>
      <c r="E57" s="43"/>
      <c r="F57" s="43"/>
    </row>
    <row r="58" spans="2:6" s="52" customFormat="1" ht="16.5" customHeight="1">
      <c r="B58" s="42"/>
      <c r="C58" s="60"/>
      <c r="D58" s="43"/>
      <c r="E58" s="43"/>
      <c r="F58" s="43"/>
    </row>
    <row r="59" spans="2:6" s="52" customFormat="1" ht="16.5" customHeight="1">
      <c r="B59" s="42"/>
      <c r="C59" s="60"/>
      <c r="D59" s="43"/>
      <c r="E59" s="43"/>
      <c r="F59" s="43"/>
    </row>
    <row r="60" spans="2:6" s="52" customFormat="1" ht="16.5" customHeight="1">
      <c r="B60" s="42"/>
      <c r="C60" s="60"/>
      <c r="D60" s="43"/>
      <c r="E60" s="43"/>
      <c r="F60" s="43"/>
    </row>
    <row r="61" spans="2:6" s="52" customFormat="1" ht="16.5" customHeight="1">
      <c r="B61" s="42"/>
      <c r="C61" s="60"/>
      <c r="D61" s="43"/>
      <c r="E61" s="43"/>
      <c r="F61" s="43"/>
    </row>
    <row r="62" spans="2:6" s="52" customFormat="1" ht="16.5" customHeight="1">
      <c r="B62" s="42"/>
      <c r="C62" s="60"/>
      <c r="D62" s="43"/>
      <c r="E62" s="43"/>
      <c r="F62" s="43"/>
    </row>
    <row r="63" spans="2:6" s="52" customFormat="1" ht="16.5" customHeight="1">
      <c r="B63" s="42"/>
      <c r="C63" s="60"/>
      <c r="D63" s="43"/>
      <c r="E63" s="43"/>
      <c r="F63" s="43"/>
    </row>
    <row r="64" spans="2:6" s="52" customFormat="1" ht="16.5" customHeight="1">
      <c r="B64" s="42"/>
      <c r="C64" s="60"/>
      <c r="D64" s="43"/>
      <c r="E64" s="43"/>
      <c r="F64" s="43"/>
    </row>
    <row r="65" spans="2:6" s="52" customFormat="1" ht="16.5" customHeight="1">
      <c r="B65" s="42"/>
      <c r="C65" s="60"/>
      <c r="D65" s="43"/>
      <c r="E65" s="43"/>
      <c r="F65" s="43"/>
    </row>
    <row r="66" spans="2:6" s="52" customFormat="1" ht="16.5" customHeight="1">
      <c r="B66" s="42"/>
      <c r="C66" s="60"/>
      <c r="D66" s="43"/>
      <c r="E66" s="43"/>
      <c r="F66" s="43"/>
    </row>
    <row r="67" spans="2:6" s="52" customFormat="1" ht="16.5" customHeight="1">
      <c r="B67" s="42"/>
      <c r="C67" s="60"/>
      <c r="D67" s="43"/>
      <c r="E67" s="43"/>
      <c r="F67" s="43"/>
    </row>
    <row r="68" spans="2:6" s="52" customFormat="1" ht="16.5" customHeight="1">
      <c r="B68" s="42"/>
      <c r="C68" s="60"/>
      <c r="D68" s="43"/>
      <c r="E68" s="43"/>
      <c r="F68" s="43"/>
    </row>
    <row r="69" spans="2:6" s="52" customFormat="1" ht="16.5" customHeight="1">
      <c r="B69" s="42"/>
      <c r="C69" s="60"/>
      <c r="D69" s="43"/>
      <c r="E69" s="43"/>
      <c r="F69" s="43"/>
    </row>
    <row r="70" spans="2:6" s="52" customFormat="1" ht="16.5" customHeight="1">
      <c r="B70" s="42"/>
      <c r="C70" s="60"/>
      <c r="D70" s="43"/>
      <c r="E70" s="43"/>
      <c r="F70" s="43"/>
    </row>
    <row r="71" spans="2:6" s="52" customFormat="1" ht="16.5" customHeight="1">
      <c r="B71" s="42"/>
      <c r="C71" s="60"/>
      <c r="D71" s="43"/>
      <c r="E71" s="43"/>
      <c r="F71" s="43"/>
    </row>
    <row r="72" spans="2:6" s="52" customFormat="1" ht="16.5" customHeight="1">
      <c r="B72" s="42"/>
      <c r="C72" s="60"/>
      <c r="D72" s="43"/>
      <c r="E72" s="43"/>
      <c r="F72" s="43"/>
    </row>
    <row r="73" spans="2:6" s="52" customFormat="1" ht="16.5" customHeight="1">
      <c r="B73" s="42"/>
      <c r="C73" s="60"/>
      <c r="D73" s="43"/>
      <c r="E73" s="43"/>
      <c r="F73" s="43"/>
    </row>
    <row r="74" spans="2:6" s="52" customFormat="1" ht="16.5" customHeight="1">
      <c r="B74" s="42"/>
      <c r="C74" s="60"/>
      <c r="D74" s="43"/>
      <c r="E74" s="43"/>
      <c r="F74" s="43"/>
    </row>
    <row r="75" spans="2:6" s="52" customFormat="1" ht="16.5" customHeight="1">
      <c r="B75" s="42"/>
      <c r="C75" s="60"/>
      <c r="D75" s="43"/>
      <c r="E75" s="43"/>
      <c r="F75" s="43"/>
    </row>
    <row r="76" spans="2:6" s="52" customFormat="1" ht="16.5" customHeight="1">
      <c r="B76" s="42"/>
      <c r="C76" s="60"/>
      <c r="D76" s="43"/>
      <c r="E76" s="43"/>
      <c r="F76" s="43"/>
    </row>
    <row r="77" spans="2:6" s="52" customFormat="1" ht="16.5" customHeight="1">
      <c r="B77" s="42"/>
      <c r="C77" s="60"/>
      <c r="D77" s="43"/>
      <c r="E77" s="43"/>
      <c r="F77" s="43"/>
    </row>
    <row r="78" spans="2:6" s="52" customFormat="1" ht="16.5" customHeight="1">
      <c r="B78" s="42"/>
      <c r="C78" s="60"/>
      <c r="D78" s="43"/>
      <c r="E78" s="43"/>
      <c r="F78" s="43"/>
    </row>
    <row r="79" spans="2:6" s="52" customFormat="1" ht="16.5" customHeight="1">
      <c r="B79" s="42"/>
      <c r="C79" s="60"/>
      <c r="D79" s="43"/>
      <c r="E79" s="43"/>
      <c r="F79" s="43"/>
    </row>
    <row r="80" spans="2:6" s="52" customFormat="1" ht="16.5" customHeight="1">
      <c r="B80" s="42"/>
      <c r="C80" s="60"/>
      <c r="D80" s="43"/>
      <c r="E80" s="43"/>
      <c r="F80" s="43"/>
    </row>
    <row r="81" spans="2:6" s="52" customFormat="1" ht="16.5" customHeight="1">
      <c r="B81" s="42"/>
      <c r="C81" s="60"/>
      <c r="D81" s="43"/>
      <c r="E81" s="43"/>
      <c r="F81" s="43"/>
    </row>
    <row r="82" spans="2:6" s="52" customFormat="1" ht="16.5" customHeight="1">
      <c r="B82" s="42"/>
      <c r="C82" s="60"/>
      <c r="D82" s="43"/>
      <c r="E82" s="43"/>
      <c r="F82" s="43"/>
    </row>
    <row r="83" spans="2:6" s="52" customFormat="1" ht="16.5" customHeight="1">
      <c r="B83" s="42"/>
      <c r="C83" s="60"/>
      <c r="D83" s="43"/>
      <c r="E83" s="43"/>
      <c r="F83" s="43"/>
    </row>
    <row r="84" spans="2:6" s="52" customFormat="1" ht="16.5" customHeight="1">
      <c r="B84" s="42"/>
      <c r="C84" s="60"/>
      <c r="D84" s="43"/>
      <c r="E84" s="43"/>
      <c r="F84" s="43"/>
    </row>
    <row r="85" spans="2:6" s="52" customFormat="1" ht="16.5" customHeight="1">
      <c r="B85" s="42"/>
      <c r="C85" s="60"/>
      <c r="D85" s="43"/>
      <c r="E85" s="43"/>
      <c r="F85" s="43"/>
    </row>
    <row r="86" spans="2:6" s="52" customFormat="1" ht="16.5" customHeight="1">
      <c r="B86" s="42"/>
      <c r="C86" s="60"/>
      <c r="D86" s="43"/>
      <c r="E86" s="43"/>
      <c r="F86" s="43"/>
    </row>
    <row r="87" spans="2:6" s="52" customFormat="1" ht="16.5" customHeight="1">
      <c r="B87" s="42"/>
      <c r="C87" s="60"/>
      <c r="D87" s="43"/>
      <c r="E87" s="43"/>
      <c r="F87" s="43"/>
    </row>
    <row r="88" spans="2:6" s="52" customFormat="1" ht="16.5" customHeight="1">
      <c r="B88" s="42"/>
      <c r="C88" s="60"/>
      <c r="D88" s="43"/>
      <c r="E88" s="43"/>
      <c r="F88" s="43"/>
    </row>
    <row r="89" spans="2:6" s="52" customFormat="1" ht="16.5" customHeight="1">
      <c r="B89" s="42"/>
      <c r="C89" s="60"/>
      <c r="D89" s="43"/>
      <c r="E89" s="43"/>
      <c r="F89" s="43"/>
    </row>
    <row r="90" spans="2:6" s="52" customFormat="1" ht="16.5" customHeight="1">
      <c r="B90" s="42"/>
      <c r="C90" s="60"/>
      <c r="D90" s="43"/>
      <c r="E90" s="43"/>
      <c r="F90" s="43"/>
    </row>
    <row r="91" spans="2:6" s="52" customFormat="1" ht="16.5" customHeight="1">
      <c r="B91" s="42"/>
      <c r="C91" s="60"/>
      <c r="D91" s="43"/>
      <c r="E91" s="43"/>
      <c r="F91" s="43"/>
    </row>
    <row r="92" spans="2:6" s="52" customFormat="1" ht="16.5" customHeight="1">
      <c r="B92" s="42"/>
      <c r="C92" s="60"/>
      <c r="D92" s="43"/>
      <c r="E92" s="43"/>
      <c r="F92" s="43"/>
    </row>
    <row r="93" spans="2:6" s="52" customFormat="1" ht="16.5" customHeight="1">
      <c r="B93" s="42"/>
      <c r="C93" s="60"/>
      <c r="D93" s="43"/>
      <c r="E93" s="43"/>
      <c r="F93" s="43"/>
    </row>
    <row r="94" spans="2:6" s="52" customFormat="1" ht="16.5" customHeight="1">
      <c r="B94" s="42"/>
      <c r="C94" s="60"/>
      <c r="D94" s="43"/>
      <c r="E94" s="43"/>
      <c r="F94" s="43"/>
    </row>
    <row r="95" spans="2:6" s="52" customFormat="1" ht="16.5" customHeight="1">
      <c r="B95" s="42"/>
      <c r="C95" s="60"/>
      <c r="D95" s="43"/>
      <c r="E95" s="43"/>
      <c r="F95" s="43"/>
    </row>
    <row r="96" spans="2:6" s="52" customFormat="1" ht="16.5" customHeight="1">
      <c r="B96" s="42"/>
      <c r="C96" s="60"/>
      <c r="D96" s="43"/>
      <c r="E96" s="43"/>
      <c r="F96" s="43"/>
    </row>
    <row r="97" spans="2:6" s="52" customFormat="1" ht="16.5" customHeight="1">
      <c r="B97" s="42"/>
      <c r="C97" s="60"/>
      <c r="D97" s="43"/>
      <c r="E97" s="43"/>
      <c r="F97" s="43"/>
    </row>
    <row r="98" spans="2:6" s="52" customFormat="1" ht="16.5" customHeight="1">
      <c r="B98" s="42"/>
      <c r="C98" s="60"/>
      <c r="D98" s="43"/>
      <c r="E98" s="43"/>
      <c r="F98" s="43"/>
    </row>
    <row r="99" spans="2:6" s="52" customFormat="1" ht="16.5" customHeight="1">
      <c r="B99" s="42"/>
      <c r="C99" s="60"/>
      <c r="D99" s="43"/>
      <c r="E99" s="43"/>
      <c r="F99" s="43"/>
    </row>
    <row r="100" spans="2:6" s="52" customFormat="1" ht="16.5" customHeight="1">
      <c r="B100" s="42"/>
      <c r="C100" s="60"/>
      <c r="D100" s="43"/>
      <c r="E100" s="43"/>
      <c r="F100" s="43"/>
    </row>
    <row r="101" spans="2:6" s="52" customFormat="1" ht="16.5" customHeight="1">
      <c r="B101" s="42"/>
      <c r="C101" s="60"/>
      <c r="D101" s="43"/>
      <c r="E101" s="43"/>
      <c r="F101" s="43"/>
    </row>
    <row r="102" spans="2:6" s="52" customFormat="1" ht="16.5" customHeight="1">
      <c r="B102" s="42"/>
      <c r="C102" s="60"/>
      <c r="D102" s="43"/>
      <c r="E102" s="43"/>
      <c r="F102" s="43"/>
    </row>
    <row r="103" spans="2:6" s="52" customFormat="1" ht="16.5" customHeight="1">
      <c r="B103" s="42"/>
      <c r="C103" s="60"/>
      <c r="D103" s="43"/>
      <c r="E103" s="43"/>
      <c r="F103" s="43"/>
    </row>
    <row r="104" spans="2:6" s="52" customFormat="1" ht="16.5" customHeight="1">
      <c r="B104" s="42"/>
      <c r="C104" s="60"/>
      <c r="D104" s="43"/>
      <c r="E104" s="43"/>
      <c r="F104" s="43"/>
    </row>
    <row r="105" spans="2:6" s="52" customFormat="1" ht="16.5" customHeight="1">
      <c r="B105" s="42"/>
      <c r="C105" s="60"/>
      <c r="D105" s="43"/>
      <c r="E105" s="43"/>
      <c r="F105" s="43"/>
    </row>
    <row r="106" spans="2:6" s="52" customFormat="1" ht="16.5" customHeight="1">
      <c r="B106" s="42"/>
      <c r="C106" s="60"/>
      <c r="D106" s="43"/>
      <c r="E106" s="43"/>
      <c r="F106" s="43"/>
    </row>
    <row r="107" spans="2:6" s="52" customFormat="1" ht="16.5" customHeight="1">
      <c r="B107" s="42"/>
      <c r="C107" s="60"/>
      <c r="D107" s="43"/>
      <c r="E107" s="43"/>
      <c r="F107" s="43"/>
    </row>
    <row r="108" spans="2:6" s="52" customFormat="1" ht="16.5" customHeight="1">
      <c r="B108" s="42"/>
      <c r="C108" s="60"/>
      <c r="D108" s="43"/>
      <c r="E108" s="43"/>
      <c r="F108" s="43"/>
    </row>
    <row r="109" spans="2:6" s="52" customFormat="1" ht="16.5" customHeight="1">
      <c r="B109" s="42"/>
      <c r="C109" s="60"/>
      <c r="D109" s="43"/>
      <c r="E109" s="43"/>
      <c r="F109" s="43"/>
    </row>
    <row r="110" spans="2:6" s="52" customFormat="1" ht="16.5" customHeight="1">
      <c r="B110" s="42"/>
      <c r="C110" s="60"/>
      <c r="D110" s="43"/>
      <c r="E110" s="43"/>
      <c r="F110" s="43"/>
    </row>
    <row r="111" spans="2:6" s="52" customFormat="1" ht="16.5" customHeight="1">
      <c r="B111" s="42"/>
      <c r="C111" s="60"/>
      <c r="D111" s="43"/>
      <c r="E111" s="43"/>
      <c r="F111" s="43"/>
    </row>
    <row r="112" spans="2:6" s="52" customFormat="1" ht="16.5" customHeight="1">
      <c r="B112" s="42"/>
      <c r="C112" s="60"/>
      <c r="D112" s="43"/>
      <c r="E112" s="43"/>
      <c r="F112" s="43"/>
    </row>
    <row r="113" spans="2:6" s="52" customFormat="1" ht="16.5" customHeight="1">
      <c r="B113" s="42"/>
      <c r="C113" s="60"/>
      <c r="D113" s="43"/>
      <c r="E113" s="43"/>
      <c r="F113" s="43"/>
    </row>
    <row r="114" spans="2:6" s="52" customFormat="1" ht="16.5" customHeight="1">
      <c r="B114" s="42"/>
      <c r="C114" s="60"/>
      <c r="D114" s="43"/>
      <c r="E114" s="43"/>
      <c r="F114" s="43"/>
    </row>
    <row r="115" spans="2:6" s="52" customFormat="1" ht="16.5" customHeight="1">
      <c r="B115" s="42"/>
      <c r="C115" s="60"/>
      <c r="D115" s="43"/>
      <c r="E115" s="43"/>
      <c r="F115" s="43"/>
    </row>
    <row r="116" spans="2:6" s="52" customFormat="1" ht="16.5" customHeight="1">
      <c r="B116" s="42"/>
      <c r="C116" s="60"/>
      <c r="D116" s="43"/>
      <c r="E116" s="43"/>
      <c r="F116" s="43"/>
    </row>
    <row r="117" spans="2:6" s="52" customFormat="1" ht="16.5" customHeight="1">
      <c r="B117" s="42"/>
      <c r="C117" s="60"/>
      <c r="D117" s="43"/>
      <c r="E117" s="43"/>
      <c r="F117" s="43"/>
    </row>
    <row r="118" spans="2:6" s="52" customFormat="1" ht="16.5" customHeight="1">
      <c r="B118" s="42"/>
      <c r="C118" s="60"/>
      <c r="D118" s="43"/>
      <c r="E118" s="43"/>
      <c r="F118" s="43"/>
    </row>
    <row r="119" spans="2:6" s="52" customFormat="1" ht="16.5" customHeight="1">
      <c r="B119" s="42"/>
      <c r="C119" s="60"/>
      <c r="D119" s="43"/>
      <c r="E119" s="43"/>
      <c r="F119" s="43"/>
    </row>
    <row r="120" spans="2:6" s="52" customFormat="1" ht="16.5" customHeight="1">
      <c r="B120" s="42"/>
      <c r="C120" s="60"/>
      <c r="D120" s="43"/>
      <c r="E120" s="43"/>
      <c r="F120" s="43"/>
    </row>
    <row r="121" spans="2:6" s="52" customFormat="1" ht="16.5" customHeight="1">
      <c r="B121" s="42"/>
      <c r="C121" s="60"/>
      <c r="D121" s="43"/>
      <c r="E121" s="43"/>
      <c r="F121" s="43"/>
    </row>
    <row r="122" spans="2:6" s="52" customFormat="1" ht="16.5" customHeight="1">
      <c r="B122" s="42"/>
      <c r="C122" s="60"/>
      <c r="D122" s="43"/>
      <c r="E122" s="43"/>
      <c r="F122" s="43"/>
    </row>
    <row r="123" spans="2:6" s="52" customFormat="1" ht="16.5" customHeight="1">
      <c r="B123" s="42"/>
      <c r="C123" s="60"/>
      <c r="D123" s="43"/>
      <c r="E123" s="43"/>
      <c r="F123" s="43"/>
    </row>
    <row r="124" spans="2:6" s="52" customFormat="1" ht="16.5" customHeight="1">
      <c r="B124" s="42"/>
      <c r="C124" s="60"/>
      <c r="D124" s="43"/>
      <c r="E124" s="43"/>
      <c r="F124" s="43"/>
    </row>
    <row r="125" spans="2:6" s="52" customFormat="1" ht="16.5" customHeight="1">
      <c r="B125" s="42"/>
      <c r="C125" s="60"/>
      <c r="D125" s="43"/>
      <c r="E125" s="43"/>
      <c r="F125" s="43"/>
    </row>
    <row r="126" spans="2:6" s="52" customFormat="1" ht="16.5" customHeight="1">
      <c r="B126" s="42"/>
      <c r="C126" s="60"/>
      <c r="D126" s="43"/>
      <c r="E126" s="43"/>
      <c r="F126" s="43"/>
    </row>
    <row r="127" spans="2:6" s="52" customFormat="1" ht="16.5" customHeight="1">
      <c r="B127" s="42"/>
      <c r="C127" s="60"/>
      <c r="D127" s="43"/>
      <c r="E127" s="43"/>
      <c r="F127" s="43"/>
    </row>
    <row r="128" spans="2:6" s="52" customFormat="1" ht="16.5" customHeight="1">
      <c r="B128" s="42"/>
      <c r="C128" s="60"/>
      <c r="D128" s="43"/>
      <c r="E128" s="43"/>
      <c r="F128" s="43"/>
    </row>
    <row r="129" spans="2:6" s="52" customFormat="1" ht="16.5" customHeight="1">
      <c r="B129" s="42"/>
      <c r="C129" s="60"/>
      <c r="D129" s="43"/>
      <c r="E129" s="43"/>
      <c r="F129" s="43"/>
    </row>
    <row r="130" spans="2:6" s="52" customFormat="1" ht="16.5" customHeight="1">
      <c r="B130" s="42"/>
      <c r="C130" s="60"/>
      <c r="D130" s="43"/>
      <c r="E130" s="43"/>
      <c r="F130" s="43"/>
    </row>
    <row r="131" spans="2:6" s="52" customFormat="1" ht="16.5" customHeight="1">
      <c r="B131" s="42"/>
      <c r="C131" s="60"/>
      <c r="D131" s="43"/>
      <c r="E131" s="43"/>
      <c r="F131" s="43"/>
    </row>
    <row r="132" spans="2:6" s="52" customFormat="1" ht="16.5" customHeight="1">
      <c r="B132" s="42"/>
      <c r="C132" s="60"/>
      <c r="D132" s="43"/>
      <c r="E132" s="43"/>
      <c r="F132" s="43"/>
    </row>
    <row r="133" spans="2:6" s="52" customFormat="1" ht="16.5" customHeight="1">
      <c r="B133" s="42"/>
      <c r="C133" s="60"/>
      <c r="D133" s="43"/>
      <c r="E133" s="43"/>
      <c r="F133" s="43"/>
    </row>
    <row r="134" spans="2:6" s="52" customFormat="1" ht="16.5" customHeight="1">
      <c r="B134" s="42"/>
      <c r="C134" s="60"/>
      <c r="D134" s="43"/>
      <c r="E134" s="43"/>
      <c r="F134" s="43"/>
    </row>
    <row r="135" spans="2:6" s="52" customFormat="1" ht="16.5" customHeight="1">
      <c r="B135" s="42"/>
      <c r="C135" s="60"/>
      <c r="D135" s="43"/>
      <c r="E135" s="43"/>
      <c r="F135" s="43"/>
    </row>
    <row r="136" spans="2:6" s="52" customFormat="1" ht="16.5" customHeight="1">
      <c r="B136" s="42"/>
      <c r="C136" s="60"/>
      <c r="D136" s="43"/>
      <c r="E136" s="43"/>
      <c r="F136" s="43"/>
    </row>
    <row r="137" spans="2:6" s="52" customFormat="1" ht="16.5" customHeight="1">
      <c r="B137" s="42"/>
      <c r="C137" s="60"/>
      <c r="D137" s="43"/>
      <c r="E137" s="43"/>
      <c r="F137" s="43"/>
    </row>
    <row r="138" spans="2:6" s="52" customFormat="1" ht="16.5" customHeight="1">
      <c r="B138" s="42"/>
      <c r="C138" s="60"/>
      <c r="D138" s="43"/>
      <c r="E138" s="43"/>
      <c r="F138" s="43"/>
    </row>
    <row r="139" spans="2:6" s="52" customFormat="1" ht="16.5" customHeight="1">
      <c r="B139" s="44"/>
      <c r="C139" s="57"/>
      <c r="D139" s="44"/>
      <c r="E139" s="44"/>
      <c r="F139" s="44"/>
    </row>
    <row r="140" spans="2:6" s="52" customFormat="1" ht="16.5" customHeight="1">
      <c r="B140" s="44"/>
      <c r="C140" s="57"/>
      <c r="D140" s="44"/>
      <c r="E140" s="44"/>
      <c r="F140" s="44"/>
    </row>
    <row r="141" spans="2:6" s="52" customFormat="1" ht="16.5" customHeight="1">
      <c r="B141" s="44"/>
      <c r="C141" s="57"/>
      <c r="D141" s="44"/>
      <c r="E141" s="44"/>
      <c r="F141" s="44"/>
    </row>
    <row r="142" spans="2:6" s="52" customFormat="1" ht="16.5" customHeight="1">
      <c r="B142" s="44"/>
      <c r="C142" s="57"/>
      <c r="D142" s="44"/>
      <c r="E142" s="44"/>
      <c r="F142" s="44"/>
    </row>
    <row r="143" spans="2:6" s="52" customFormat="1" ht="16.5" customHeight="1">
      <c r="B143" s="44"/>
      <c r="C143" s="57"/>
      <c r="D143" s="44"/>
      <c r="E143" s="44"/>
      <c r="F143" s="44"/>
    </row>
    <row r="144" spans="2:6" s="52" customFormat="1" ht="16.5" customHeight="1">
      <c r="B144" s="44"/>
      <c r="C144" s="57"/>
      <c r="D144" s="44"/>
      <c r="E144" s="44"/>
      <c r="F144" s="44"/>
    </row>
    <row r="145" spans="2:6" s="52" customFormat="1" ht="16.5" customHeight="1">
      <c r="B145" s="44"/>
      <c r="C145" s="57"/>
      <c r="D145" s="44"/>
      <c r="E145" s="44"/>
      <c r="F145" s="44"/>
    </row>
    <row r="146" spans="2:6" s="52" customFormat="1" ht="16.5" customHeight="1">
      <c r="B146" s="44"/>
      <c r="C146" s="57"/>
      <c r="D146" s="44"/>
      <c r="E146" s="44"/>
      <c r="F146" s="44"/>
    </row>
    <row r="147" spans="2:6" s="52" customFormat="1" ht="16.5" customHeight="1">
      <c r="B147" s="44"/>
      <c r="C147" s="57"/>
      <c r="D147" s="44"/>
      <c r="E147" s="44"/>
      <c r="F147" s="44"/>
    </row>
    <row r="148" spans="2:6" s="52" customFormat="1" ht="16.5" customHeight="1">
      <c r="B148" s="44"/>
      <c r="C148" s="57"/>
      <c r="D148" s="44"/>
      <c r="E148" s="44"/>
      <c r="F148" s="44"/>
    </row>
    <row r="149" spans="2:6" s="52" customFormat="1" ht="16.5" customHeight="1">
      <c r="B149" s="44"/>
      <c r="C149" s="57"/>
      <c r="D149" s="44"/>
      <c r="E149" s="44"/>
      <c r="F149" s="44"/>
    </row>
    <row r="150" spans="2:6" s="52" customFormat="1" ht="16.5" customHeight="1">
      <c r="B150" s="44"/>
      <c r="C150" s="57"/>
      <c r="D150" s="44"/>
      <c r="E150" s="44"/>
      <c r="F150" s="44"/>
    </row>
    <row r="151" spans="2:6" s="52" customFormat="1" ht="16.5" customHeight="1">
      <c r="B151" s="44"/>
      <c r="C151" s="57"/>
      <c r="D151" s="44"/>
      <c r="E151" s="44"/>
      <c r="F151" s="44"/>
    </row>
    <row r="152" spans="2:6" s="52" customFormat="1" ht="16.5" customHeight="1">
      <c r="B152" s="44"/>
      <c r="C152" s="57"/>
      <c r="D152" s="44"/>
      <c r="E152" s="44"/>
      <c r="F152" s="44"/>
    </row>
    <row r="153" spans="2:6" s="52" customFormat="1" ht="16.5" customHeight="1">
      <c r="B153" s="44"/>
      <c r="C153" s="57"/>
      <c r="D153" s="44"/>
      <c r="E153" s="44"/>
      <c r="F153" s="44"/>
    </row>
    <row r="154" spans="2:6" s="52" customFormat="1" ht="16.5" customHeight="1">
      <c r="B154" s="44"/>
      <c r="C154" s="57"/>
      <c r="D154" s="44"/>
      <c r="E154" s="44"/>
      <c r="F154" s="44"/>
    </row>
    <row r="155" spans="2:6" s="52" customFormat="1" ht="16.5" customHeight="1">
      <c r="B155" s="44"/>
      <c r="C155" s="57"/>
      <c r="D155" s="44"/>
      <c r="E155" s="44"/>
      <c r="F155" s="44"/>
    </row>
    <row r="156" spans="2:6" s="52" customFormat="1" ht="16.5" customHeight="1">
      <c r="B156" s="44"/>
      <c r="C156" s="57"/>
      <c r="D156" s="44"/>
      <c r="E156" s="44"/>
      <c r="F156" s="44"/>
    </row>
    <row r="157" spans="2:6" s="52" customFormat="1" ht="16.5" customHeight="1">
      <c r="B157" s="44"/>
      <c r="C157" s="57"/>
      <c r="D157" s="44"/>
      <c r="E157" s="44"/>
      <c r="F157" s="44"/>
    </row>
    <row r="158" spans="2:6" s="52" customFormat="1" ht="16.5" customHeight="1">
      <c r="B158" s="44"/>
      <c r="C158" s="57"/>
      <c r="D158" s="44"/>
      <c r="E158" s="44"/>
      <c r="F158" s="44"/>
    </row>
    <row r="159" spans="2:6" s="52" customFormat="1" ht="16.5" customHeight="1">
      <c r="B159" s="44"/>
      <c r="C159" s="57"/>
      <c r="D159" s="44"/>
      <c r="E159" s="44"/>
      <c r="F159" s="44"/>
    </row>
    <row r="160" spans="2:6" s="52" customFormat="1" ht="16.5" customHeight="1">
      <c r="B160" s="44"/>
      <c r="C160" s="57"/>
      <c r="D160" s="44"/>
      <c r="E160" s="44"/>
      <c r="F160" s="44"/>
    </row>
    <row r="161" spans="2:6" s="52" customFormat="1" ht="16.5" customHeight="1">
      <c r="B161" s="44"/>
      <c r="C161" s="57"/>
      <c r="D161" s="44"/>
      <c r="E161" s="44"/>
      <c r="F161" s="44"/>
    </row>
    <row r="162" spans="2:6" s="52" customFormat="1" ht="16.5" customHeight="1">
      <c r="B162" s="44"/>
      <c r="C162" s="57"/>
      <c r="D162" s="44"/>
      <c r="E162" s="44"/>
      <c r="F162" s="44"/>
    </row>
    <row r="163" spans="2:6" s="52" customFormat="1" ht="16.5" customHeight="1">
      <c r="B163" s="44"/>
      <c r="C163" s="57"/>
      <c r="D163" s="44"/>
      <c r="E163" s="44"/>
      <c r="F163" s="44"/>
    </row>
    <row r="164" spans="2:6" s="52" customFormat="1" ht="16.5" customHeight="1">
      <c r="B164" s="44"/>
      <c r="C164" s="57"/>
      <c r="D164" s="44"/>
      <c r="E164" s="44"/>
      <c r="F164" s="44"/>
    </row>
    <row r="165" spans="2:6" s="52" customFormat="1" ht="16.5" customHeight="1">
      <c r="B165" s="44"/>
      <c r="C165" s="57"/>
      <c r="D165" s="44"/>
      <c r="E165" s="44"/>
      <c r="F165" s="44"/>
    </row>
    <row r="166" spans="2:6" s="52" customFormat="1" ht="16.5" customHeight="1">
      <c r="B166" s="44"/>
      <c r="C166" s="57"/>
      <c r="D166" s="44"/>
      <c r="E166" s="44"/>
      <c r="F166" s="44"/>
    </row>
    <row r="167" spans="2:6" s="52" customFormat="1" ht="16.5" customHeight="1">
      <c r="B167" s="44"/>
      <c r="C167" s="57"/>
      <c r="D167" s="44"/>
      <c r="E167" s="44"/>
      <c r="F167" s="44"/>
    </row>
    <row r="168" spans="2:6" s="52" customFormat="1" ht="16.5" customHeight="1">
      <c r="B168" s="44"/>
      <c r="C168" s="57"/>
      <c r="D168" s="44"/>
      <c r="E168" s="44"/>
      <c r="F168" s="44"/>
    </row>
    <row r="169" spans="2:6" s="52" customFormat="1" ht="16.5" customHeight="1">
      <c r="B169" s="44"/>
      <c r="C169" s="57"/>
      <c r="D169" s="44"/>
      <c r="E169" s="44"/>
      <c r="F169" s="44"/>
    </row>
    <row r="170" spans="2:6" s="52" customFormat="1" ht="16.5" customHeight="1">
      <c r="B170" s="44"/>
      <c r="C170" s="57"/>
      <c r="D170" s="44"/>
      <c r="E170" s="44"/>
      <c r="F170" s="44"/>
    </row>
    <row r="171" spans="2:6" s="52" customFormat="1" ht="16.5" customHeight="1">
      <c r="B171" s="44"/>
      <c r="C171" s="57"/>
      <c r="D171" s="44"/>
      <c r="E171" s="44"/>
      <c r="F171" s="44"/>
    </row>
    <row r="172" spans="2:6" s="52" customFormat="1" ht="16.5" customHeight="1">
      <c r="B172" s="44"/>
      <c r="C172" s="57"/>
      <c r="D172" s="44"/>
      <c r="E172" s="44"/>
      <c r="F172" s="44"/>
    </row>
    <row r="173" spans="2:6" s="52" customFormat="1" ht="16.5" customHeight="1">
      <c r="B173" s="44"/>
      <c r="C173" s="57"/>
      <c r="D173" s="44"/>
      <c r="E173" s="44"/>
      <c r="F173" s="44"/>
    </row>
    <row r="174" spans="2:6" s="52" customFormat="1" ht="16.5" customHeight="1">
      <c r="B174" s="44"/>
      <c r="C174" s="57"/>
      <c r="D174" s="44"/>
      <c r="E174" s="44"/>
      <c r="F174" s="44"/>
    </row>
    <row r="175" spans="2:6" s="52" customFormat="1" ht="16.5" customHeight="1">
      <c r="B175" s="44"/>
      <c r="C175" s="57"/>
      <c r="D175" s="44"/>
      <c r="E175" s="44"/>
      <c r="F175" s="44"/>
    </row>
    <row r="176" spans="2:6" s="52" customFormat="1" ht="16.5" customHeight="1">
      <c r="B176" s="44"/>
      <c r="C176" s="57"/>
      <c r="D176" s="44"/>
      <c r="E176" s="44"/>
      <c r="F176" s="44"/>
    </row>
    <row r="177" spans="2:6" s="52" customFormat="1" ht="16.5" customHeight="1">
      <c r="B177" s="44"/>
      <c r="C177" s="57"/>
      <c r="D177" s="44"/>
      <c r="E177" s="44"/>
      <c r="F177" s="44"/>
    </row>
    <row r="178" spans="2:6" s="52" customFormat="1" ht="16.5" customHeight="1">
      <c r="B178" s="44"/>
      <c r="C178" s="57"/>
      <c r="D178" s="44"/>
      <c r="E178" s="44"/>
      <c r="F178" s="44"/>
    </row>
    <row r="179" spans="2:6" s="52" customFormat="1" ht="16.5" customHeight="1">
      <c r="B179" s="44"/>
      <c r="C179" s="57"/>
      <c r="D179" s="44"/>
      <c r="E179" s="44"/>
      <c r="F179" s="44"/>
    </row>
    <row r="180" spans="2:6" s="52" customFormat="1" ht="16.5" customHeight="1">
      <c r="B180" s="44"/>
      <c r="C180" s="57"/>
      <c r="D180" s="44"/>
      <c r="E180" s="44"/>
      <c r="F180" s="44"/>
    </row>
    <row r="181" spans="2:6" s="52" customFormat="1" ht="16.5" customHeight="1">
      <c r="B181" s="44"/>
      <c r="C181" s="57"/>
      <c r="D181" s="44"/>
      <c r="E181" s="44"/>
      <c r="F181" s="44"/>
    </row>
    <row r="182" spans="2:6" s="52" customFormat="1" ht="16.5" customHeight="1">
      <c r="B182" s="44"/>
      <c r="C182" s="57"/>
      <c r="D182" s="44"/>
      <c r="E182" s="44"/>
      <c r="F182" s="44"/>
    </row>
    <row r="183" spans="2:6" s="52" customFormat="1" ht="16.5" customHeight="1">
      <c r="B183" s="44"/>
      <c r="C183" s="57"/>
      <c r="D183" s="44"/>
      <c r="E183" s="44"/>
      <c r="F183" s="44"/>
    </row>
    <row r="184" spans="2:6" s="52" customFormat="1" ht="16.5" customHeight="1">
      <c r="B184" s="44"/>
      <c r="C184" s="57"/>
      <c r="D184" s="44"/>
      <c r="E184" s="44"/>
      <c r="F184" s="44"/>
    </row>
    <row r="185" spans="2:6" s="52" customFormat="1" ht="16.5" customHeight="1">
      <c r="B185" s="44"/>
      <c r="C185" s="57"/>
      <c r="D185" s="44"/>
      <c r="E185" s="44"/>
      <c r="F185" s="44"/>
    </row>
    <row r="186" spans="2:6" s="52" customFormat="1" ht="16.5" customHeight="1">
      <c r="B186" s="44"/>
      <c r="C186" s="57"/>
      <c r="D186" s="44"/>
      <c r="E186" s="44"/>
      <c r="F186" s="44"/>
    </row>
    <row r="187" spans="2:6" s="52" customFormat="1" ht="16.5" customHeight="1">
      <c r="B187" s="44"/>
      <c r="C187" s="57"/>
      <c r="D187" s="44"/>
      <c r="E187" s="44"/>
      <c r="F187" s="44"/>
    </row>
    <row r="188" spans="2:6" s="52" customFormat="1" ht="16.5" customHeight="1">
      <c r="B188" s="44"/>
      <c r="C188" s="57"/>
      <c r="D188" s="44"/>
      <c r="E188" s="44"/>
      <c r="F188" s="44"/>
    </row>
    <row r="189" spans="2:6" s="52" customFormat="1" ht="16.5" customHeight="1">
      <c r="B189" s="44"/>
      <c r="C189" s="57"/>
      <c r="D189" s="44"/>
      <c r="E189" s="44"/>
      <c r="F189" s="44"/>
    </row>
    <row r="190" spans="2:6" s="52" customFormat="1" ht="16.5" customHeight="1">
      <c r="B190" s="44"/>
      <c r="C190" s="57"/>
      <c r="D190" s="44"/>
      <c r="E190" s="44"/>
      <c r="F190" s="44"/>
    </row>
    <row r="191" spans="2:6" s="52" customFormat="1" ht="16.5" customHeight="1">
      <c r="B191" s="44"/>
      <c r="C191" s="57"/>
      <c r="D191" s="44"/>
      <c r="E191" s="44"/>
      <c r="F191" s="44"/>
    </row>
    <row r="192" spans="2:6" s="52" customFormat="1" ht="16.5" customHeight="1">
      <c r="B192" s="44"/>
      <c r="C192" s="57"/>
      <c r="D192" s="44"/>
      <c r="E192" s="44"/>
      <c r="F192" s="44"/>
    </row>
    <row r="193" spans="2:6" s="52" customFormat="1" ht="16.5" customHeight="1">
      <c r="B193" s="44"/>
      <c r="C193" s="57"/>
      <c r="D193" s="44"/>
      <c r="E193" s="44"/>
      <c r="F193" s="44"/>
    </row>
    <row r="194" spans="2:6" s="52" customFormat="1" ht="16.5" customHeight="1">
      <c r="B194" s="44"/>
      <c r="C194" s="57"/>
      <c r="D194" s="44"/>
      <c r="E194" s="44"/>
      <c r="F194" s="44"/>
    </row>
    <row r="195" spans="2:6" s="52" customFormat="1" ht="16.5" customHeight="1">
      <c r="B195" s="44"/>
      <c r="C195" s="57"/>
      <c r="D195" s="44"/>
      <c r="E195" s="44"/>
      <c r="F195" s="44"/>
    </row>
    <row r="196" spans="2:6" s="52" customFormat="1" ht="16.5" customHeight="1">
      <c r="B196" s="44"/>
      <c r="C196" s="57"/>
      <c r="D196" s="44"/>
      <c r="E196" s="44"/>
      <c r="F196" s="44"/>
    </row>
    <row r="197" spans="2:6" s="52" customFormat="1" ht="16.5" customHeight="1">
      <c r="B197" s="44"/>
      <c r="C197" s="57"/>
      <c r="D197" s="44"/>
      <c r="E197" s="44"/>
      <c r="F197" s="44"/>
    </row>
    <row r="198" spans="2:6" s="52" customFormat="1" ht="16.5" customHeight="1">
      <c r="B198" s="44"/>
      <c r="C198" s="57"/>
      <c r="D198" s="44"/>
      <c r="E198" s="44"/>
      <c r="F198" s="44"/>
    </row>
    <row r="199" spans="2:6" s="52" customFormat="1" ht="16.5" customHeight="1">
      <c r="B199" s="44"/>
      <c r="C199" s="57"/>
      <c r="D199" s="44"/>
      <c r="E199" s="44"/>
      <c r="F199" s="44"/>
    </row>
    <row r="200" spans="2:6" s="52" customFormat="1" ht="16.5" customHeight="1">
      <c r="B200" s="44"/>
      <c r="C200" s="57"/>
      <c r="D200" s="44"/>
      <c r="E200" s="44"/>
      <c r="F200" s="44"/>
    </row>
    <row r="201" spans="2:6" s="52" customFormat="1" ht="16.5" customHeight="1">
      <c r="B201" s="44"/>
      <c r="C201" s="57"/>
      <c r="D201" s="44"/>
      <c r="E201" s="44"/>
      <c r="F201" s="44"/>
    </row>
    <row r="202" spans="2:6" s="52" customFormat="1" ht="16.5" customHeight="1">
      <c r="B202" s="44"/>
      <c r="C202" s="57"/>
      <c r="D202" s="44"/>
      <c r="E202" s="44"/>
      <c r="F202" s="44"/>
    </row>
    <row r="203" spans="2:6" s="52" customFormat="1" ht="16.5" customHeight="1">
      <c r="B203" s="44"/>
      <c r="C203" s="57"/>
      <c r="D203" s="44"/>
      <c r="E203" s="44"/>
      <c r="F203" s="44"/>
    </row>
    <row r="204" spans="2:6" s="52" customFormat="1" ht="16.5" customHeight="1">
      <c r="B204" s="44"/>
      <c r="C204" s="61"/>
      <c r="D204" s="44"/>
      <c r="E204" s="44"/>
      <c r="F204" s="44"/>
    </row>
    <row r="205" spans="2:6" s="52" customFormat="1" ht="16.5" customHeight="1">
      <c r="B205" s="44"/>
      <c r="C205" s="61"/>
      <c r="D205" s="44"/>
      <c r="E205" s="44"/>
      <c r="F205" s="44"/>
    </row>
    <row r="206" spans="2:6" s="52" customFormat="1" ht="16.5" customHeight="1">
      <c r="B206" s="44"/>
      <c r="C206" s="57"/>
      <c r="D206" s="44"/>
      <c r="E206" s="44"/>
      <c r="F206" s="44"/>
    </row>
    <row r="207" spans="2:6" s="52" customFormat="1" ht="16.5" customHeight="1">
      <c r="B207" s="44"/>
      <c r="C207" s="61"/>
      <c r="D207" s="44"/>
      <c r="E207" s="44"/>
      <c r="F207" s="44"/>
    </row>
    <row r="208" spans="2:6" s="52" customFormat="1" ht="16.5" customHeight="1">
      <c r="B208" s="44"/>
      <c r="C208" s="57"/>
      <c r="D208" s="44"/>
      <c r="E208" s="44"/>
      <c r="F208" s="44"/>
    </row>
    <row r="209" spans="2:6" s="52" customFormat="1" ht="16.5" customHeight="1">
      <c r="B209" s="44"/>
      <c r="C209" s="57"/>
      <c r="D209" s="44"/>
      <c r="E209" s="44"/>
      <c r="F209" s="44"/>
    </row>
    <row r="210" spans="2:6" s="52" customFormat="1" ht="16.5" customHeight="1">
      <c r="B210" s="44"/>
      <c r="C210" s="57"/>
      <c r="D210" s="44"/>
      <c r="E210" s="44"/>
      <c r="F210" s="44"/>
    </row>
    <row r="211" spans="2:6" s="52" customFormat="1" ht="16.5" customHeight="1">
      <c r="B211" s="44"/>
      <c r="C211" s="57"/>
      <c r="D211" s="44"/>
      <c r="E211" s="44"/>
      <c r="F211" s="44"/>
    </row>
    <row r="212" spans="2:6" s="52" customFormat="1" ht="16.5" customHeight="1">
      <c r="B212" s="44"/>
      <c r="C212" s="61"/>
      <c r="D212" s="44"/>
      <c r="E212" s="44"/>
      <c r="F212" s="44"/>
    </row>
    <row r="213" spans="2:6" s="52" customFormat="1" ht="16.5" customHeight="1">
      <c r="B213" s="44"/>
      <c r="C213" s="61"/>
      <c r="D213" s="44"/>
      <c r="E213" s="44"/>
      <c r="F213" s="44"/>
    </row>
    <row r="214" spans="2:6" s="52" customFormat="1" ht="16.5" customHeight="1">
      <c r="B214" s="44"/>
      <c r="C214" s="61"/>
      <c r="D214" s="44"/>
      <c r="E214" s="44"/>
      <c r="F214" s="44"/>
    </row>
    <row r="215" spans="2:6" s="52" customFormat="1" ht="16.5" customHeight="1">
      <c r="B215" s="44"/>
      <c r="C215" s="61"/>
      <c r="D215" s="44"/>
      <c r="E215" s="44"/>
      <c r="F215" s="44"/>
    </row>
    <row r="216" spans="2:6" s="52" customFormat="1" ht="16.5" customHeight="1">
      <c r="B216" s="44"/>
      <c r="C216" s="57"/>
      <c r="D216" s="44"/>
      <c r="E216" s="44"/>
      <c r="F216" s="44"/>
    </row>
    <row r="217" spans="2:6" s="52" customFormat="1" ht="16.5" customHeight="1">
      <c r="B217" s="44"/>
      <c r="C217" s="57"/>
      <c r="D217" s="44"/>
      <c r="E217" s="44"/>
      <c r="F217" s="44"/>
    </row>
    <row r="218" spans="2:6" s="52" customFormat="1" ht="16.5" customHeight="1">
      <c r="B218" s="44"/>
      <c r="C218" s="57"/>
      <c r="D218" s="44"/>
      <c r="E218" s="44"/>
      <c r="F218" s="44"/>
    </row>
    <row r="219" spans="2:6" s="52" customFormat="1" ht="16.5" customHeight="1">
      <c r="B219" s="44"/>
      <c r="C219" s="57"/>
      <c r="D219" s="44"/>
      <c r="E219" s="44"/>
      <c r="F219" s="44"/>
    </row>
    <row r="220" spans="2:6" s="52" customFormat="1" ht="16.5" customHeight="1">
      <c r="B220" s="44"/>
      <c r="C220" s="57"/>
      <c r="D220" s="44"/>
      <c r="E220" s="44"/>
      <c r="F220" s="44"/>
    </row>
    <row r="221" spans="2:6" s="52" customFormat="1" ht="16.5" customHeight="1">
      <c r="B221" s="44"/>
      <c r="C221" s="61"/>
      <c r="D221" s="44"/>
      <c r="E221" s="44"/>
      <c r="F221" s="44"/>
    </row>
    <row r="222" spans="2:6" s="52" customFormat="1" ht="16.5" customHeight="1">
      <c r="B222" s="44"/>
      <c r="C222" s="57"/>
      <c r="D222" s="44"/>
      <c r="E222" s="44"/>
      <c r="F222" s="44"/>
    </row>
    <row r="223" spans="2:6" s="52" customFormat="1" ht="16.5" customHeight="1">
      <c r="B223" s="44"/>
      <c r="C223" s="57"/>
      <c r="D223" s="44"/>
      <c r="E223" s="44"/>
      <c r="F223" s="44"/>
    </row>
    <row r="224" spans="2:6" s="52" customFormat="1" ht="16.5" customHeight="1">
      <c r="B224" s="44"/>
      <c r="C224" s="57"/>
      <c r="D224" s="44"/>
      <c r="E224" s="44"/>
      <c r="F224" s="44"/>
    </row>
    <row r="225" spans="2:6" s="52" customFormat="1" ht="16.5" customHeight="1">
      <c r="B225" s="44"/>
      <c r="C225" s="57"/>
      <c r="D225" s="44"/>
      <c r="E225" s="44"/>
      <c r="F225" s="44"/>
    </row>
    <row r="226" spans="2:6" s="52" customFormat="1" ht="16.5" customHeight="1">
      <c r="B226" s="44"/>
      <c r="C226" s="57"/>
      <c r="D226" s="44"/>
      <c r="E226" s="44"/>
      <c r="F226" s="44"/>
    </row>
    <row r="227" spans="2:6" s="52" customFormat="1" ht="16.5" customHeight="1">
      <c r="B227" s="44"/>
      <c r="C227" s="57"/>
      <c r="D227" s="44"/>
      <c r="E227" s="44"/>
      <c r="F227" s="44"/>
    </row>
    <row r="228" spans="2:6" s="52" customFormat="1" ht="16.5" customHeight="1">
      <c r="B228" s="44"/>
      <c r="C228" s="57"/>
      <c r="D228" s="44"/>
      <c r="E228" s="44"/>
      <c r="F228" s="44"/>
    </row>
    <row r="229" spans="2:6" s="52" customFormat="1" ht="16.5" customHeight="1">
      <c r="B229" s="44"/>
      <c r="C229" s="57"/>
      <c r="D229" s="44"/>
      <c r="E229" s="44"/>
      <c r="F229" s="44"/>
    </row>
    <row r="230" spans="2:6" s="52" customFormat="1" ht="16.5" customHeight="1">
      <c r="B230" s="44"/>
      <c r="C230" s="57"/>
      <c r="D230" s="44"/>
      <c r="E230" s="44"/>
      <c r="F230" s="44"/>
    </row>
    <row r="231" spans="2:6" s="52" customFormat="1" ht="16.5" customHeight="1">
      <c r="B231" s="44"/>
      <c r="C231" s="61"/>
      <c r="D231" s="44"/>
      <c r="E231" s="44"/>
      <c r="F231" s="44"/>
    </row>
    <row r="232" spans="2:6" s="52" customFormat="1" ht="16.5" customHeight="1">
      <c r="B232" s="44"/>
      <c r="C232" s="57"/>
      <c r="D232" s="44"/>
      <c r="E232" s="44"/>
      <c r="F232" s="44"/>
    </row>
    <row r="233" spans="2:6" s="52" customFormat="1" ht="16.5" customHeight="1">
      <c r="B233" s="44"/>
      <c r="C233" s="57"/>
      <c r="D233" s="44"/>
      <c r="E233" s="44"/>
      <c r="F233" s="44"/>
    </row>
    <row r="234" spans="2:6" s="52" customFormat="1" ht="16.5" customHeight="1">
      <c r="B234" s="44"/>
      <c r="C234" s="61"/>
      <c r="D234" s="44"/>
      <c r="E234" s="44"/>
      <c r="F234" s="44"/>
    </row>
    <row r="235" spans="2:6" s="52" customFormat="1" ht="16.5" customHeight="1">
      <c r="B235" s="44"/>
      <c r="C235" s="57"/>
      <c r="D235" s="44"/>
      <c r="E235" s="44"/>
      <c r="F235" s="44"/>
    </row>
    <row r="236" spans="2:6" s="52" customFormat="1" ht="16.5" customHeight="1">
      <c r="B236" s="44"/>
      <c r="C236" s="61"/>
      <c r="D236" s="44"/>
      <c r="E236" s="44"/>
      <c r="F236" s="44"/>
    </row>
    <row r="237" spans="2:6" s="52" customFormat="1" ht="16.5" customHeight="1">
      <c r="B237" s="44"/>
      <c r="C237" s="57"/>
      <c r="D237" s="44"/>
      <c r="E237" s="44"/>
      <c r="F237" s="44"/>
    </row>
    <row r="238" spans="2:6" s="52" customFormat="1" ht="16.5" customHeight="1">
      <c r="B238" s="44"/>
      <c r="C238" s="57"/>
      <c r="D238" s="44"/>
      <c r="E238" s="44"/>
      <c r="F238" s="44"/>
    </row>
    <row r="239" spans="2:6" s="52" customFormat="1" ht="16.5" customHeight="1">
      <c r="B239" s="44"/>
      <c r="C239" s="57"/>
      <c r="D239" s="44"/>
      <c r="E239" s="44"/>
      <c r="F239" s="44"/>
    </row>
    <row r="240" spans="2:6" s="52" customFormat="1" ht="16.5" customHeight="1">
      <c r="B240" s="44"/>
      <c r="C240" s="57"/>
      <c r="D240" s="44"/>
      <c r="E240" s="44"/>
      <c r="F240" s="44"/>
    </row>
    <row r="241" spans="2:6" s="52" customFormat="1" ht="16.5" customHeight="1">
      <c r="B241" s="44"/>
      <c r="C241" s="57"/>
      <c r="D241" s="44"/>
      <c r="E241" s="44"/>
      <c r="F241" s="44"/>
    </row>
    <row r="242" spans="2:6" s="52" customFormat="1" ht="16.5" customHeight="1">
      <c r="B242" s="44"/>
      <c r="C242" s="57"/>
      <c r="D242" s="44"/>
      <c r="E242" s="44"/>
      <c r="F242" s="44"/>
    </row>
    <row r="243" spans="2:6" s="52" customFormat="1" ht="16.5" customHeight="1">
      <c r="B243" s="44"/>
      <c r="C243" s="61"/>
      <c r="D243" s="44"/>
      <c r="E243" s="44"/>
      <c r="F243" s="44"/>
    </row>
    <row r="244" spans="2:6" s="52" customFormat="1" ht="16.5" customHeight="1">
      <c r="B244" s="44"/>
      <c r="C244" s="61"/>
      <c r="D244" s="44"/>
      <c r="E244" s="44"/>
      <c r="F244" s="44"/>
    </row>
    <row r="245" spans="2:6" s="52" customFormat="1" ht="16.5" customHeight="1">
      <c r="B245" s="44"/>
      <c r="C245" s="61"/>
      <c r="D245" s="44"/>
      <c r="E245" s="44"/>
      <c r="F245" s="44"/>
    </row>
    <row r="246" spans="2:6" s="52" customFormat="1" ht="16.5" customHeight="1">
      <c r="B246" s="44"/>
      <c r="C246" s="61"/>
      <c r="D246" s="44"/>
      <c r="E246" s="44"/>
      <c r="F246" s="44"/>
    </row>
    <row r="247" spans="2:6" s="52" customFormat="1" ht="16.5" customHeight="1">
      <c r="B247" s="44"/>
      <c r="C247" s="61"/>
      <c r="D247" s="44"/>
      <c r="E247" s="44"/>
      <c r="F247" s="44"/>
    </row>
    <row r="248" spans="2:6" s="52" customFormat="1" ht="16.5" customHeight="1">
      <c r="B248" s="44"/>
      <c r="C248" s="57"/>
      <c r="D248" s="44"/>
      <c r="E248" s="44"/>
      <c r="F248" s="44"/>
    </row>
    <row r="249" spans="2:6" s="52" customFormat="1" ht="16.5" customHeight="1">
      <c r="B249" s="44"/>
      <c r="C249" s="57"/>
      <c r="D249" s="44"/>
      <c r="E249" s="44"/>
      <c r="F249" s="44"/>
    </row>
    <row r="250" spans="2:6" s="52" customFormat="1" ht="16.5" customHeight="1">
      <c r="B250" s="44"/>
      <c r="C250" s="61"/>
      <c r="D250" s="44"/>
      <c r="E250" s="44"/>
      <c r="F250" s="44"/>
    </row>
    <row r="251" spans="2:6" s="52" customFormat="1" ht="16.5" customHeight="1">
      <c r="B251" s="44"/>
      <c r="C251" s="61"/>
      <c r="D251" s="44"/>
      <c r="E251" s="44"/>
      <c r="F251" s="44"/>
    </row>
    <row r="252" spans="2:6" s="52" customFormat="1" ht="16.5" customHeight="1">
      <c r="B252" s="44"/>
      <c r="C252" s="61"/>
      <c r="D252" s="44"/>
      <c r="E252" s="44"/>
      <c r="F252" s="44"/>
    </row>
    <row r="253" spans="2:6" s="52" customFormat="1" ht="16.5" customHeight="1">
      <c r="B253" s="44"/>
      <c r="C253" s="61"/>
      <c r="D253" s="44"/>
      <c r="E253" s="44"/>
      <c r="F253" s="44"/>
    </row>
    <row r="254" spans="2:6" s="52" customFormat="1" ht="16.5" customHeight="1">
      <c r="B254" s="44"/>
      <c r="C254" s="61"/>
      <c r="D254" s="44"/>
      <c r="E254" s="44"/>
      <c r="F254" s="44"/>
    </row>
    <row r="255" spans="2:6" s="52" customFormat="1" ht="16.5" customHeight="1">
      <c r="B255" s="44"/>
      <c r="C255" s="61"/>
      <c r="D255" s="44"/>
      <c r="E255" s="44"/>
      <c r="F255" s="44"/>
    </row>
    <row r="256" spans="2:6" s="52" customFormat="1" ht="16.5" customHeight="1">
      <c r="B256" s="44"/>
      <c r="C256" s="57"/>
      <c r="D256" s="44"/>
      <c r="E256" s="44"/>
      <c r="F256" s="44"/>
    </row>
    <row r="257" spans="2:6" s="52" customFormat="1" ht="16.5" customHeight="1">
      <c r="B257" s="44"/>
      <c r="C257" s="57"/>
      <c r="D257" s="44"/>
      <c r="E257" s="44"/>
      <c r="F257" s="44"/>
    </row>
    <row r="258" spans="2:6" s="52" customFormat="1" ht="16.5" customHeight="1">
      <c r="B258" s="44"/>
      <c r="C258" s="57"/>
      <c r="D258" s="44"/>
      <c r="E258" s="44"/>
      <c r="F258" s="44"/>
    </row>
    <row r="259" spans="2:6" s="52" customFormat="1" ht="16.5" customHeight="1">
      <c r="B259" s="44"/>
      <c r="C259" s="57"/>
      <c r="D259" s="44"/>
      <c r="E259" s="44"/>
      <c r="F259" s="44"/>
    </row>
    <row r="260" spans="2:6" s="52" customFormat="1" ht="16.5" customHeight="1">
      <c r="B260" s="44"/>
      <c r="C260" s="61"/>
      <c r="D260" s="44"/>
      <c r="E260" s="44"/>
      <c r="F260" s="44"/>
    </row>
    <row r="261" spans="2:6" s="52" customFormat="1" ht="16.5" customHeight="1">
      <c r="B261" s="44"/>
      <c r="C261" s="61"/>
      <c r="D261" s="44"/>
      <c r="E261" s="44"/>
      <c r="F261" s="44"/>
    </row>
    <row r="262" spans="2:6" s="52" customFormat="1" ht="16.5" customHeight="1">
      <c r="B262" s="44"/>
      <c r="C262" s="57"/>
      <c r="D262" s="44"/>
      <c r="E262" s="44"/>
      <c r="F262" s="44"/>
    </row>
    <row r="263" spans="2:6" s="52" customFormat="1" ht="16.5" customHeight="1">
      <c r="B263" s="44"/>
      <c r="C263" s="61"/>
      <c r="D263" s="44"/>
      <c r="E263" s="44"/>
      <c r="F263" s="44"/>
    </row>
    <row r="264" spans="2:6" s="52" customFormat="1" ht="16.5" customHeight="1">
      <c r="B264" s="44"/>
      <c r="C264" s="61"/>
      <c r="D264" s="44"/>
      <c r="E264" s="44"/>
      <c r="F264" s="44"/>
    </row>
    <row r="265" spans="2:6" s="52" customFormat="1" ht="16.5" customHeight="1">
      <c r="B265" s="44"/>
      <c r="C265" s="61"/>
      <c r="D265" s="44"/>
      <c r="E265" s="44"/>
      <c r="F265" s="44"/>
    </row>
    <row r="266" spans="2:6" s="52" customFormat="1" ht="16.5" customHeight="1">
      <c r="B266" s="44"/>
      <c r="C266" s="61"/>
      <c r="D266" s="44"/>
      <c r="E266" s="44"/>
      <c r="F266" s="44"/>
    </row>
    <row r="267" spans="2:6" s="52" customFormat="1" ht="16.5" customHeight="1">
      <c r="B267" s="44"/>
      <c r="C267" s="61"/>
      <c r="D267" s="44"/>
      <c r="E267" s="44"/>
      <c r="F267" s="44"/>
    </row>
    <row r="268" spans="2:6" s="52" customFormat="1" ht="16.5" customHeight="1">
      <c r="B268" s="44"/>
      <c r="C268" s="61"/>
      <c r="D268" s="44"/>
      <c r="E268" s="44"/>
      <c r="F268" s="44"/>
    </row>
    <row r="269" spans="2:6" s="52" customFormat="1" ht="16.5" customHeight="1">
      <c r="B269" s="44"/>
      <c r="C269" s="61"/>
      <c r="D269" s="44"/>
      <c r="E269" s="44"/>
      <c r="F269" s="44"/>
    </row>
    <row r="270" spans="2:6" s="52" customFormat="1" ht="16.5" customHeight="1">
      <c r="B270" s="44"/>
      <c r="C270" s="61"/>
      <c r="D270" s="44"/>
      <c r="E270" s="44"/>
      <c r="F270" s="44"/>
    </row>
    <row r="271" spans="2:6" s="52" customFormat="1" ht="16.5" customHeight="1">
      <c r="B271" s="44"/>
      <c r="C271" s="57"/>
      <c r="D271" s="44"/>
      <c r="E271" s="44"/>
      <c r="F271" s="44"/>
    </row>
    <row r="272" spans="2:6" s="52" customFormat="1" ht="16.5" customHeight="1">
      <c r="B272" s="44"/>
      <c r="C272" s="57"/>
      <c r="D272" s="44"/>
      <c r="E272" s="44"/>
      <c r="F272" s="44"/>
    </row>
    <row r="273" spans="2:6" s="52" customFormat="1" ht="16.5" customHeight="1">
      <c r="B273" s="44"/>
      <c r="C273" s="57"/>
      <c r="D273" s="44"/>
      <c r="E273" s="44"/>
      <c r="F273" s="44"/>
    </row>
    <row r="274" spans="2:6" s="52" customFormat="1" ht="16.5" customHeight="1">
      <c r="B274" s="44"/>
      <c r="C274" s="57"/>
      <c r="D274" s="44"/>
      <c r="E274" s="44"/>
      <c r="F274" s="44"/>
    </row>
    <row r="275" spans="2:6" s="52" customFormat="1" ht="16.5" customHeight="1">
      <c r="B275" s="44"/>
      <c r="C275" s="57"/>
      <c r="D275" s="44"/>
      <c r="E275" s="44"/>
      <c r="F275" s="44"/>
    </row>
    <row r="276" spans="2:6" s="52" customFormat="1" ht="16.5" customHeight="1">
      <c r="B276" s="44"/>
      <c r="C276" s="57"/>
      <c r="D276" s="44"/>
      <c r="E276" s="44"/>
      <c r="F276" s="44"/>
    </row>
    <row r="277" spans="2:6" s="52" customFormat="1" ht="16.5" customHeight="1">
      <c r="B277" s="44"/>
      <c r="C277" s="57"/>
      <c r="D277" s="44"/>
      <c r="E277" s="44"/>
      <c r="F277" s="44"/>
    </row>
    <row r="278" spans="2:6" s="52" customFormat="1" ht="16.5" customHeight="1">
      <c r="B278" s="44"/>
      <c r="C278" s="57"/>
      <c r="D278" s="44"/>
      <c r="E278" s="44"/>
      <c r="F278" s="44"/>
    </row>
    <row r="279" spans="2:6" s="52" customFormat="1" ht="16.5" customHeight="1">
      <c r="B279" s="44"/>
      <c r="C279" s="57"/>
      <c r="D279" s="44"/>
      <c r="E279" s="44"/>
      <c r="F279" s="44"/>
    </row>
    <row r="280" spans="2:6" s="52" customFormat="1" ht="16.5" customHeight="1">
      <c r="B280" s="44"/>
      <c r="C280" s="57"/>
      <c r="D280" s="44"/>
      <c r="E280" s="44"/>
      <c r="F280" s="44"/>
    </row>
    <row r="281" spans="2:6" s="52" customFormat="1" ht="16.5" customHeight="1">
      <c r="B281" s="44"/>
      <c r="C281" s="57"/>
      <c r="D281" s="44"/>
      <c r="E281" s="44"/>
      <c r="F281" s="44"/>
    </row>
    <row r="282" spans="2:6" s="52" customFormat="1" ht="16.5" customHeight="1">
      <c r="B282" s="44"/>
      <c r="C282" s="57"/>
      <c r="D282" s="44"/>
      <c r="E282" s="44"/>
      <c r="F282" s="44"/>
    </row>
    <row r="283" spans="2:6" s="52" customFormat="1" ht="16.5" customHeight="1">
      <c r="B283" s="44"/>
      <c r="C283" s="57"/>
      <c r="D283" s="44"/>
      <c r="E283" s="44"/>
      <c r="F283" s="44"/>
    </row>
    <row r="284" spans="2:6" s="52" customFormat="1" ht="16.5" customHeight="1">
      <c r="B284" s="44"/>
      <c r="C284" s="57"/>
      <c r="D284" s="44"/>
      <c r="E284" s="44"/>
      <c r="F284" s="44"/>
    </row>
    <row r="285" spans="2:6" s="52" customFormat="1" ht="16.5" customHeight="1">
      <c r="B285" s="44"/>
      <c r="C285" s="57"/>
      <c r="D285" s="44"/>
      <c r="E285" s="44"/>
      <c r="F285" s="44"/>
    </row>
    <row r="286" spans="2:6" s="52" customFormat="1" ht="16.5" customHeight="1">
      <c r="B286" s="44"/>
      <c r="C286" s="57"/>
      <c r="D286" s="44"/>
      <c r="E286" s="44"/>
      <c r="F286" s="44"/>
    </row>
    <row r="287" spans="2:6" s="52" customFormat="1" ht="16.5" customHeight="1">
      <c r="B287" s="44"/>
      <c r="C287" s="57"/>
      <c r="D287" s="44"/>
      <c r="E287" s="44"/>
      <c r="F287" s="44"/>
    </row>
    <row r="288" spans="2:6" s="52" customFormat="1" ht="16.5" customHeight="1">
      <c r="B288" s="44"/>
      <c r="C288" s="57"/>
      <c r="D288" s="44"/>
      <c r="E288" s="44"/>
      <c r="F288" s="44"/>
    </row>
    <row r="289" spans="2:6" s="52" customFormat="1" ht="16.5" customHeight="1">
      <c r="B289" s="44"/>
      <c r="C289" s="57"/>
      <c r="D289" s="44"/>
      <c r="E289" s="44"/>
      <c r="F289" s="44"/>
    </row>
    <row r="290" spans="2:6" s="52" customFormat="1" ht="16.5" customHeight="1">
      <c r="B290" s="44"/>
      <c r="C290" s="57"/>
      <c r="D290" s="44"/>
      <c r="E290" s="44"/>
      <c r="F290" s="44"/>
    </row>
    <row r="291" spans="2:6" s="52" customFormat="1" ht="16.5" customHeight="1">
      <c r="B291" s="44"/>
      <c r="C291" s="57"/>
      <c r="D291" s="44"/>
      <c r="E291" s="44"/>
      <c r="F291" s="44"/>
    </row>
    <row r="292" spans="2:6" s="52" customFormat="1" ht="16.5" customHeight="1">
      <c r="B292" s="44"/>
      <c r="C292" s="57"/>
      <c r="D292" s="44"/>
      <c r="E292" s="44"/>
      <c r="F292" s="44"/>
    </row>
    <row r="293" spans="2:6" s="52" customFormat="1" ht="16.5" customHeight="1">
      <c r="B293" s="44"/>
      <c r="C293" s="57"/>
      <c r="D293" s="44"/>
      <c r="E293" s="44"/>
      <c r="F293" s="44"/>
    </row>
    <row r="294" spans="2:6" s="52" customFormat="1" ht="16.5" customHeight="1">
      <c r="B294" s="44"/>
      <c r="C294" s="57"/>
      <c r="D294" s="44"/>
      <c r="E294" s="44"/>
      <c r="F294" s="44"/>
    </row>
    <row r="295" spans="2:6" s="52" customFormat="1" ht="16.5" customHeight="1">
      <c r="B295" s="44"/>
      <c r="C295" s="57"/>
      <c r="D295" s="44"/>
      <c r="E295" s="44"/>
      <c r="F295" s="44"/>
    </row>
    <row r="296" spans="2:6" s="52" customFormat="1" ht="16.5" customHeight="1">
      <c r="B296" s="44"/>
      <c r="C296" s="57"/>
      <c r="D296" s="44"/>
      <c r="E296" s="44"/>
      <c r="F296" s="44"/>
    </row>
    <row r="297" spans="2:6" s="52" customFormat="1" ht="16.5" customHeight="1">
      <c r="B297" s="44"/>
      <c r="C297" s="57"/>
      <c r="D297" s="44"/>
      <c r="E297" s="44"/>
      <c r="F297" s="44"/>
    </row>
    <row r="298" spans="2:6" s="52" customFormat="1" ht="16.5" customHeight="1">
      <c r="B298" s="44"/>
      <c r="C298" s="57"/>
      <c r="D298" s="44"/>
      <c r="E298" s="44"/>
      <c r="F298" s="44"/>
    </row>
    <row r="299" spans="2:6" s="52" customFormat="1" ht="16.5" customHeight="1">
      <c r="B299" s="44"/>
      <c r="C299" s="57"/>
      <c r="D299" s="44"/>
      <c r="E299" s="44"/>
      <c r="F299" s="44"/>
    </row>
    <row r="300" spans="2:6" s="52" customFormat="1" ht="16.5" customHeight="1">
      <c r="B300" s="44"/>
      <c r="C300" s="57"/>
      <c r="D300" s="44"/>
      <c r="E300" s="44"/>
      <c r="F300" s="44"/>
    </row>
    <row r="301" spans="2:6" s="52" customFormat="1" ht="16.5" customHeight="1">
      <c r="B301" s="44"/>
      <c r="C301" s="57"/>
      <c r="D301" s="44"/>
      <c r="E301" s="44"/>
      <c r="F301" s="44"/>
    </row>
    <row r="302" spans="2:6" s="52" customFormat="1" ht="16.5" customHeight="1">
      <c r="B302" s="44"/>
      <c r="C302" s="57"/>
      <c r="D302" s="44"/>
      <c r="E302" s="44"/>
      <c r="F302" s="44"/>
    </row>
    <row r="303" spans="2:6" s="52" customFormat="1" ht="16.5" customHeight="1">
      <c r="B303" s="44"/>
      <c r="C303" s="57"/>
      <c r="D303" s="44"/>
      <c r="E303" s="44"/>
      <c r="F303" s="44"/>
    </row>
    <row r="304" spans="2:6" s="52" customFormat="1" ht="16.5" customHeight="1">
      <c r="B304" s="44"/>
      <c r="C304" s="57"/>
      <c r="D304" s="44"/>
      <c r="E304" s="44"/>
      <c r="F304" s="44"/>
    </row>
    <row r="305" spans="2:6" s="52" customFormat="1" ht="16.5" customHeight="1">
      <c r="B305" s="44"/>
      <c r="C305" s="57"/>
      <c r="D305" s="44"/>
      <c r="E305" s="44"/>
      <c r="F305" s="44"/>
    </row>
    <row r="306" spans="2:6" s="52" customFormat="1" ht="16.5" customHeight="1">
      <c r="B306" s="44"/>
      <c r="C306" s="57"/>
      <c r="D306" s="44"/>
      <c r="E306" s="44"/>
      <c r="F306" s="44"/>
    </row>
    <row r="307" spans="2:6" s="52" customFormat="1" ht="16.5" customHeight="1">
      <c r="B307" s="44"/>
      <c r="C307" s="57"/>
      <c r="D307" s="44"/>
      <c r="E307" s="44"/>
      <c r="F307" s="44"/>
    </row>
    <row r="308" spans="2:6" s="52" customFormat="1" ht="16.5" customHeight="1">
      <c r="B308" s="44"/>
      <c r="C308" s="57"/>
      <c r="D308" s="44"/>
      <c r="E308" s="44"/>
      <c r="F308" s="44"/>
    </row>
    <row r="309" spans="2:6" s="52" customFormat="1" ht="16.5" customHeight="1">
      <c r="B309" s="44"/>
      <c r="C309" s="57"/>
      <c r="D309" s="44"/>
      <c r="E309" s="44"/>
      <c r="F309" s="44"/>
    </row>
    <row r="310" spans="2:6" s="52" customFormat="1" ht="16.5" customHeight="1">
      <c r="B310" s="44"/>
      <c r="C310" s="57"/>
      <c r="D310" s="44"/>
      <c r="E310" s="44"/>
      <c r="F310" s="44"/>
    </row>
    <row r="311" spans="2:6" s="52" customFormat="1" ht="16.5" customHeight="1">
      <c r="B311" s="44"/>
      <c r="C311" s="57"/>
      <c r="D311" s="44"/>
      <c r="E311" s="44"/>
      <c r="F311" s="44"/>
    </row>
    <row r="312" spans="2:6" s="52" customFormat="1" ht="16.5" customHeight="1">
      <c r="B312" s="44"/>
      <c r="C312" s="57"/>
      <c r="D312" s="44"/>
      <c r="E312" s="44"/>
      <c r="F312" s="44"/>
    </row>
    <row r="313" spans="2:6" s="52" customFormat="1" ht="16.5" customHeight="1">
      <c r="B313" s="44"/>
      <c r="C313" s="57"/>
      <c r="D313" s="44"/>
      <c r="E313" s="44"/>
      <c r="F313" s="44"/>
    </row>
    <row r="314" spans="2:6" s="52" customFormat="1" ht="16.5" customHeight="1">
      <c r="B314" s="44"/>
      <c r="C314" s="57"/>
      <c r="D314" s="44"/>
      <c r="E314" s="44"/>
      <c r="F314" s="44"/>
    </row>
    <row r="315" spans="2:6" s="52" customFormat="1" ht="16.5" customHeight="1">
      <c r="B315" s="44"/>
      <c r="C315" s="57"/>
      <c r="D315" s="44"/>
      <c r="E315" s="44"/>
      <c r="F315" s="44"/>
    </row>
    <row r="316" spans="2:6" s="52" customFormat="1" ht="16.5" customHeight="1">
      <c r="B316" s="44"/>
      <c r="C316" s="57"/>
      <c r="D316" s="44"/>
      <c r="E316" s="44"/>
      <c r="F316" s="44"/>
    </row>
    <row r="317" spans="2:6" s="52" customFormat="1" ht="16.5" customHeight="1">
      <c r="B317" s="44"/>
      <c r="C317" s="57"/>
      <c r="D317" s="44"/>
      <c r="E317" s="44"/>
      <c r="F317" s="44"/>
    </row>
    <row r="318" spans="2:6" s="52" customFormat="1" ht="16.5" customHeight="1">
      <c r="B318" s="44"/>
      <c r="C318" s="57"/>
      <c r="D318" s="44"/>
      <c r="E318" s="44"/>
      <c r="F318" s="44"/>
    </row>
    <row r="319" spans="2:6" s="52" customFormat="1" ht="16.5" customHeight="1">
      <c r="B319" s="44"/>
      <c r="C319" s="57"/>
      <c r="D319" s="44"/>
      <c r="E319" s="44"/>
      <c r="F319" s="44"/>
    </row>
    <row r="320" spans="2:6" s="52" customFormat="1" ht="16.5" customHeight="1">
      <c r="B320" s="44"/>
      <c r="C320" s="57"/>
      <c r="D320" s="44"/>
      <c r="E320" s="44"/>
      <c r="F320" s="44"/>
    </row>
    <row r="321" spans="2:6" s="52" customFormat="1" ht="16.5" customHeight="1">
      <c r="B321" s="44"/>
      <c r="C321" s="57"/>
      <c r="D321" s="44"/>
      <c r="E321" s="44"/>
      <c r="F321" s="44"/>
    </row>
    <row r="322" spans="2:6" s="52" customFormat="1" ht="16.5" customHeight="1">
      <c r="B322" s="44"/>
      <c r="C322" s="57"/>
      <c r="D322" s="44"/>
      <c r="E322" s="44"/>
      <c r="F322" s="44"/>
    </row>
    <row r="323" spans="2:6" s="52" customFormat="1" ht="16.5" customHeight="1">
      <c r="B323" s="44"/>
      <c r="C323" s="57"/>
      <c r="D323" s="44"/>
      <c r="E323" s="44"/>
      <c r="F323" s="44"/>
    </row>
    <row r="324" spans="2:6" s="52" customFormat="1" ht="16.5" customHeight="1">
      <c r="B324" s="44"/>
      <c r="C324" s="57"/>
      <c r="D324" s="44"/>
      <c r="E324" s="44"/>
      <c r="F324" s="44"/>
    </row>
    <row r="325" spans="2:6" s="52" customFormat="1" ht="16.5" customHeight="1">
      <c r="B325" s="44"/>
      <c r="C325" s="57"/>
      <c r="D325" s="44"/>
      <c r="E325" s="44"/>
      <c r="F325" s="44"/>
    </row>
    <row r="326" spans="2:6" s="52" customFormat="1" ht="16.5" customHeight="1">
      <c r="B326" s="44"/>
      <c r="C326" s="57"/>
      <c r="D326" s="44"/>
      <c r="E326" s="44"/>
      <c r="F326" s="44"/>
    </row>
    <row r="327" spans="2:6" s="52" customFormat="1" ht="16.5" customHeight="1">
      <c r="B327" s="44"/>
      <c r="C327" s="57"/>
      <c r="D327" s="44"/>
      <c r="E327" s="44"/>
      <c r="F327" s="44"/>
    </row>
    <row r="328" spans="2:6" s="52" customFormat="1" ht="16.5" customHeight="1">
      <c r="B328" s="44"/>
      <c r="C328" s="57"/>
      <c r="D328" s="44"/>
      <c r="E328" s="44"/>
      <c r="F328" s="44"/>
    </row>
    <row r="329" spans="2:6" s="52" customFormat="1" ht="16.5" customHeight="1">
      <c r="B329" s="44"/>
      <c r="C329" s="57"/>
      <c r="D329" s="44"/>
      <c r="E329" s="44"/>
      <c r="F329" s="44"/>
    </row>
    <row r="330" spans="2:6" s="52" customFormat="1" ht="16.5" customHeight="1">
      <c r="B330" s="44"/>
      <c r="C330" s="57"/>
      <c r="D330" s="44"/>
      <c r="E330" s="44"/>
      <c r="F330" s="44"/>
    </row>
    <row r="331" spans="2:6" s="52" customFormat="1" ht="16.5" customHeight="1">
      <c r="B331" s="44"/>
      <c r="C331" s="57"/>
      <c r="D331" s="44"/>
      <c r="E331" s="44"/>
      <c r="F331" s="44"/>
    </row>
    <row r="332" spans="2:6" s="52" customFormat="1" ht="16.5" customHeight="1">
      <c r="B332" s="44"/>
      <c r="C332" s="57"/>
      <c r="D332" s="44"/>
      <c r="E332" s="44"/>
      <c r="F332" s="44"/>
    </row>
    <row r="333" spans="2:6" s="52" customFormat="1" ht="16.5" customHeight="1">
      <c r="B333" s="44"/>
      <c r="C333" s="57"/>
      <c r="D333" s="44"/>
      <c r="E333" s="44"/>
      <c r="F333" s="44"/>
    </row>
    <row r="334" spans="2:6" s="52" customFormat="1" ht="16.5" customHeight="1">
      <c r="B334" s="44"/>
      <c r="C334" s="57"/>
      <c r="D334" s="44"/>
      <c r="E334" s="44"/>
      <c r="F334" s="44"/>
    </row>
    <row r="335" spans="2:6" s="52" customFormat="1" ht="16.5" customHeight="1">
      <c r="B335" s="44"/>
      <c r="C335" s="57"/>
      <c r="D335" s="44"/>
      <c r="E335" s="44"/>
      <c r="F335" s="44"/>
    </row>
    <row r="336" spans="2:6" s="52" customFormat="1" ht="16.5" customHeight="1">
      <c r="B336" s="44"/>
      <c r="C336" s="57"/>
      <c r="D336" s="44"/>
      <c r="E336" s="44"/>
      <c r="F336" s="44"/>
    </row>
    <row r="337" spans="2:6" s="52" customFormat="1" ht="16.5" customHeight="1">
      <c r="B337" s="44"/>
      <c r="C337" s="57"/>
      <c r="D337" s="44"/>
      <c r="E337" s="44"/>
      <c r="F337" s="44"/>
    </row>
    <row r="338" spans="2:6" s="52" customFormat="1" ht="16.5" customHeight="1">
      <c r="B338" s="44"/>
      <c r="C338" s="57"/>
      <c r="D338" s="44"/>
      <c r="E338" s="44"/>
      <c r="F338" s="44"/>
    </row>
    <row r="339" spans="2:6" s="52" customFormat="1" ht="16.5" customHeight="1">
      <c r="B339" s="44"/>
      <c r="C339" s="57"/>
      <c r="D339" s="44"/>
      <c r="E339" s="44"/>
      <c r="F339" s="44"/>
    </row>
    <row r="340" spans="2:6" s="52" customFormat="1" ht="16.5" customHeight="1">
      <c r="B340" s="44"/>
      <c r="C340" s="57"/>
      <c r="D340" s="44"/>
      <c r="E340" s="44"/>
      <c r="F340" s="44"/>
    </row>
    <row r="341" spans="2:6" s="52" customFormat="1" ht="16.5" customHeight="1">
      <c r="B341" s="44"/>
      <c r="C341" s="57"/>
      <c r="D341" s="44"/>
      <c r="E341" s="44"/>
      <c r="F341" s="44"/>
    </row>
    <row r="342" spans="2:6" s="52" customFormat="1" ht="16.5" customHeight="1">
      <c r="B342" s="44"/>
      <c r="C342" s="57"/>
      <c r="D342" s="44"/>
      <c r="E342" s="44"/>
      <c r="F342" s="44"/>
    </row>
    <row r="343" spans="2:6" s="52" customFormat="1" ht="16.5" customHeight="1">
      <c r="B343" s="44"/>
      <c r="C343" s="57"/>
      <c r="D343" s="44"/>
      <c r="E343" s="44"/>
      <c r="F343" s="44"/>
    </row>
    <row r="344" spans="2:6" s="52" customFormat="1" ht="16.5" customHeight="1">
      <c r="B344" s="44"/>
      <c r="C344" s="57"/>
      <c r="D344" s="44"/>
      <c r="E344" s="44"/>
      <c r="F344" s="44"/>
    </row>
    <row r="345" spans="2:6" s="52" customFormat="1" ht="16.5" customHeight="1">
      <c r="B345" s="44"/>
      <c r="C345" s="57"/>
      <c r="D345" s="44"/>
      <c r="E345" s="44"/>
      <c r="F345" s="44"/>
    </row>
    <row r="346" spans="2:6" s="52" customFormat="1" ht="16.5" customHeight="1">
      <c r="B346" s="44"/>
      <c r="C346" s="57"/>
      <c r="D346" s="44"/>
      <c r="E346" s="44"/>
      <c r="F346" s="44"/>
    </row>
    <row r="347" spans="2:6" s="52" customFormat="1" ht="16.5" customHeight="1">
      <c r="B347" s="44"/>
      <c r="C347" s="57"/>
      <c r="D347" s="44"/>
      <c r="E347" s="44"/>
      <c r="F347" s="44"/>
    </row>
    <row r="348" spans="2:6" s="52" customFormat="1" ht="16.5" customHeight="1">
      <c r="B348" s="44"/>
      <c r="C348" s="57"/>
      <c r="D348" s="44"/>
      <c r="E348" s="44"/>
      <c r="F348" s="44"/>
    </row>
    <row r="349" spans="2:6" s="52" customFormat="1" ht="16.5" customHeight="1">
      <c r="B349" s="44"/>
      <c r="C349" s="57"/>
      <c r="D349" s="44"/>
      <c r="E349" s="44"/>
      <c r="F349" s="44"/>
    </row>
    <row r="350" spans="2:6" s="52" customFormat="1" ht="16.5" customHeight="1">
      <c r="B350" s="44"/>
      <c r="C350" s="57"/>
      <c r="D350" s="44"/>
      <c r="E350" s="44"/>
      <c r="F350" s="44"/>
    </row>
    <row r="351" spans="2:6" s="52" customFormat="1" ht="16.5" customHeight="1">
      <c r="B351" s="44"/>
      <c r="C351" s="57"/>
      <c r="D351" s="44"/>
      <c r="E351" s="44"/>
      <c r="F351" s="44"/>
    </row>
    <row r="352" spans="2:6" s="52" customFormat="1" ht="16.5" customHeight="1">
      <c r="B352" s="44"/>
      <c r="C352" s="57"/>
      <c r="D352" s="44"/>
      <c r="E352" s="44"/>
      <c r="F352" s="44"/>
    </row>
    <row r="353" spans="2:6" s="52" customFormat="1" ht="16.5" customHeight="1">
      <c r="B353" s="44"/>
      <c r="C353" s="57"/>
      <c r="D353" s="44"/>
      <c r="E353" s="44"/>
      <c r="F353" s="44"/>
    </row>
    <row r="354" spans="2:6" s="52" customFormat="1" ht="16.5" customHeight="1">
      <c r="B354" s="44"/>
      <c r="C354" s="57"/>
      <c r="D354" s="44"/>
      <c r="E354" s="44"/>
      <c r="F354" s="44"/>
    </row>
    <row r="355" spans="2:6" s="52" customFormat="1" ht="16.5" customHeight="1">
      <c r="B355" s="44"/>
      <c r="C355" s="57"/>
      <c r="D355" s="44"/>
      <c r="E355" s="44"/>
      <c r="F355" s="44"/>
    </row>
    <row r="356" spans="2:6" s="52" customFormat="1" ht="16.5" customHeight="1">
      <c r="B356" s="44"/>
      <c r="C356" s="57"/>
      <c r="D356" s="44"/>
      <c r="E356" s="44"/>
      <c r="F356" s="44"/>
    </row>
    <row r="357" spans="2:6" s="52" customFormat="1" ht="16.5" customHeight="1">
      <c r="B357" s="44"/>
      <c r="C357" s="57"/>
      <c r="D357" s="44"/>
      <c r="E357" s="44"/>
      <c r="F357" s="44"/>
    </row>
    <row r="358" spans="2:6" s="52" customFormat="1" ht="16.5" customHeight="1">
      <c r="B358" s="44"/>
      <c r="C358" s="57"/>
      <c r="D358" s="44"/>
      <c r="E358" s="44"/>
      <c r="F358" s="44"/>
    </row>
  </sheetData>
  <autoFilter ref="A2:F44" xr:uid="{00000000-0009-0000-0000-000001000000}"/>
  <mergeCells count="1"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0"/>
  </sheetPr>
  <dimension ref="A1:I329"/>
  <sheetViews>
    <sheetView showGridLines="0" topLeftCell="B1" workbookViewId="0">
      <pane ySplit="3" topLeftCell="A4" activePane="bottomLeft" state="frozen"/>
      <selection sqref="A1:F1"/>
      <selection pane="bottomLeft" sqref="A1:F1"/>
    </sheetView>
  </sheetViews>
  <sheetFormatPr defaultRowHeight="15"/>
  <cols>
    <col min="1" max="1" width="16.5703125" hidden="1" customWidth="1"/>
    <col min="2" max="2" width="45.5703125" bestFit="1" customWidth="1"/>
    <col min="3" max="3" width="9" style="20" bestFit="1" customWidth="1"/>
    <col min="4" max="4" width="5.5703125" bestFit="1" customWidth="1"/>
    <col min="6" max="6" width="12.85546875" customWidth="1"/>
  </cols>
  <sheetData>
    <row r="1" spans="1:9" ht="18.75" customHeight="1">
      <c r="A1" s="82" t="s">
        <v>0</v>
      </c>
      <c r="B1" s="83"/>
      <c r="C1" s="83"/>
      <c r="D1" s="83"/>
      <c r="E1" s="83"/>
      <c r="F1" s="83"/>
    </row>
    <row r="2" spans="1:9">
      <c r="A2" s="2" t="s">
        <v>1</v>
      </c>
      <c r="B2" s="1" t="s">
        <v>2</v>
      </c>
      <c r="C2" s="1" t="s">
        <v>3</v>
      </c>
      <c r="D2" s="1" t="s">
        <v>56</v>
      </c>
      <c r="E2" s="1" t="s">
        <v>46</v>
      </c>
      <c r="F2" s="1" t="s">
        <v>47</v>
      </c>
    </row>
    <row r="3" spans="1:9">
      <c r="A3" s="3" t="s">
        <v>5</v>
      </c>
      <c r="B3" s="5" t="s">
        <v>5</v>
      </c>
      <c r="C3" s="58"/>
      <c r="D3" s="8">
        <f>SUM(D4:D500)</f>
        <v>304</v>
      </c>
      <c r="E3" s="8"/>
      <c r="F3" s="16">
        <f>SUM(F4:F500)</f>
        <v>575675.17500000005</v>
      </c>
      <c r="H3" s="15"/>
    </row>
    <row r="4" spans="1:9">
      <c r="A4" s="3"/>
      <c r="B4" s="6" t="s">
        <v>63</v>
      </c>
      <c r="C4" s="48" t="s">
        <v>157</v>
      </c>
      <c r="D4" s="7">
        <v>16</v>
      </c>
      <c r="E4" s="7">
        <f>VLOOKUP(C4,[1]단가산출!$B:$D,3,FALSE)</f>
        <v>734</v>
      </c>
      <c r="F4" s="7">
        <f>+D4*E4</f>
        <v>11744</v>
      </c>
      <c r="H4" s="15"/>
      <c r="I4" t="s">
        <v>66</v>
      </c>
    </row>
    <row r="5" spans="1:9">
      <c r="A5" s="3"/>
      <c r="B5" s="6" t="s">
        <v>63</v>
      </c>
      <c r="C5" s="48" t="s">
        <v>66</v>
      </c>
      <c r="D5" s="7">
        <v>57</v>
      </c>
      <c r="E5" s="7">
        <f>VLOOKUP(C5,[1]단가산출!$B:$D,3,FALSE)</f>
        <v>928</v>
      </c>
      <c r="F5" s="7">
        <f t="shared" ref="F5:F17" si="0">+D5*E5</f>
        <v>52896</v>
      </c>
      <c r="H5" s="15"/>
      <c r="I5" t="s">
        <v>67</v>
      </c>
    </row>
    <row r="6" spans="1:9">
      <c r="A6" s="3"/>
      <c r="B6" s="6" t="s">
        <v>63</v>
      </c>
      <c r="C6" s="48" t="s">
        <v>129</v>
      </c>
      <c r="D6" s="7">
        <v>75</v>
      </c>
      <c r="E6" s="7">
        <f>VLOOKUP(C6,[1]단가산출!$B:$D,3,FALSE)</f>
        <v>807.5</v>
      </c>
      <c r="F6" s="7">
        <f t="shared" si="0"/>
        <v>60562.5</v>
      </c>
      <c r="H6" s="15"/>
      <c r="I6" t="s">
        <v>70</v>
      </c>
    </row>
    <row r="7" spans="1:9">
      <c r="A7" s="3"/>
      <c r="B7" s="6" t="s">
        <v>152</v>
      </c>
      <c r="C7" s="48" t="s">
        <v>72</v>
      </c>
      <c r="D7" s="7">
        <v>6</v>
      </c>
      <c r="E7" s="7">
        <v>853</v>
      </c>
      <c r="F7" s="7">
        <f t="shared" si="0"/>
        <v>5118</v>
      </c>
      <c r="H7" s="15"/>
      <c r="I7" t="s">
        <v>72</v>
      </c>
    </row>
    <row r="8" spans="1:9" ht="22.5">
      <c r="A8" s="3"/>
      <c r="B8" s="6" t="s">
        <v>76</v>
      </c>
      <c r="C8" s="48" t="s">
        <v>77</v>
      </c>
      <c r="D8" s="7">
        <v>12</v>
      </c>
      <c r="E8" s="7">
        <f>VLOOKUP(C8,[1]단가산출!$B:$D,3,FALSE)</f>
        <v>2185.5</v>
      </c>
      <c r="F8" s="7">
        <f t="shared" si="0"/>
        <v>26226</v>
      </c>
      <c r="H8" s="15"/>
      <c r="I8" t="s">
        <v>74</v>
      </c>
    </row>
    <row r="9" spans="1:9">
      <c r="A9" s="3"/>
      <c r="B9" s="6" t="s">
        <v>132</v>
      </c>
      <c r="C9" s="48" t="s">
        <v>79</v>
      </c>
      <c r="D9" s="7">
        <v>5</v>
      </c>
      <c r="E9" s="7">
        <f>VLOOKUP(C9,[1]단가산출!$B:$D,3,FALSE)</f>
        <v>1286</v>
      </c>
      <c r="F9" s="7">
        <f t="shared" si="0"/>
        <v>6430</v>
      </c>
      <c r="H9" s="15"/>
      <c r="I9" t="s">
        <v>75</v>
      </c>
    </row>
    <row r="10" spans="1:9">
      <c r="A10" s="3"/>
      <c r="B10" s="6" t="s">
        <v>80</v>
      </c>
      <c r="C10" s="48" t="s">
        <v>81</v>
      </c>
      <c r="D10" s="7">
        <v>28</v>
      </c>
      <c r="E10" s="7">
        <f>VLOOKUP(C10,[1]단가산출!$B:$D,3,FALSE)</f>
        <v>2262.5</v>
      </c>
      <c r="F10" s="7">
        <f t="shared" si="0"/>
        <v>63350</v>
      </c>
      <c r="H10" s="15"/>
      <c r="I10" t="s">
        <v>79</v>
      </c>
    </row>
    <row r="11" spans="1:9">
      <c r="A11" s="3"/>
      <c r="B11" s="6" t="s">
        <v>82</v>
      </c>
      <c r="C11" s="48" t="s">
        <v>83</v>
      </c>
      <c r="D11" s="7">
        <v>30</v>
      </c>
      <c r="E11" s="7">
        <f>VLOOKUP(C11,[1]단가산출!$B:$D,3,FALSE)</f>
        <v>2201.4</v>
      </c>
      <c r="F11" s="7">
        <f t="shared" si="0"/>
        <v>66042</v>
      </c>
      <c r="H11" s="15"/>
      <c r="I11" t="s">
        <v>95</v>
      </c>
    </row>
    <row r="12" spans="1:9">
      <c r="A12" s="3"/>
      <c r="B12" s="6" t="s">
        <v>160</v>
      </c>
      <c r="C12" s="48" t="s">
        <v>96</v>
      </c>
      <c r="D12" s="7">
        <v>3</v>
      </c>
      <c r="E12" s="7">
        <f>VLOOKUP(C12,[1]단가산출!$B:$D,3,FALSE)</f>
        <v>1833.6</v>
      </c>
      <c r="F12" s="7">
        <f t="shared" si="0"/>
        <v>5500.7999999999993</v>
      </c>
      <c r="H12" s="15"/>
      <c r="I12" t="s">
        <v>102</v>
      </c>
    </row>
    <row r="13" spans="1:9">
      <c r="A13" s="3"/>
      <c r="B13" s="6" t="s">
        <v>161</v>
      </c>
      <c r="C13" s="48" t="s">
        <v>119</v>
      </c>
      <c r="D13" s="7">
        <v>7</v>
      </c>
      <c r="E13" s="7">
        <f>VLOOKUP(C13,[1]단가산출!$B:$D,3,FALSE)</f>
        <v>1274.0999999999999</v>
      </c>
      <c r="F13" s="7">
        <f t="shared" si="0"/>
        <v>8918.6999999999989</v>
      </c>
      <c r="H13" s="15"/>
      <c r="I13" t="s">
        <v>85</v>
      </c>
    </row>
    <row r="14" spans="1:9">
      <c r="A14" s="3"/>
      <c r="B14" s="6" t="s">
        <v>88</v>
      </c>
      <c r="C14" s="48" t="s">
        <v>97</v>
      </c>
      <c r="D14" s="7">
        <v>30</v>
      </c>
      <c r="E14" s="7">
        <f>VLOOKUP(C14,[1]단가산출!$B:$D,3,FALSE)</f>
        <v>4443.8999999999996</v>
      </c>
      <c r="F14" s="7">
        <f t="shared" si="0"/>
        <v>133317</v>
      </c>
      <c r="H14" s="15"/>
      <c r="I14" t="s">
        <v>96</v>
      </c>
    </row>
    <row r="15" spans="1:9">
      <c r="A15" s="3"/>
      <c r="B15" s="6" t="s">
        <v>89</v>
      </c>
      <c r="C15" s="48" t="s">
        <v>90</v>
      </c>
      <c r="D15" s="7">
        <v>9</v>
      </c>
      <c r="E15" s="7">
        <f>VLOOKUP(C15,[1]단가산출!$B:$D,3,FALSE)</f>
        <v>2914.2</v>
      </c>
      <c r="F15" s="7">
        <f t="shared" si="0"/>
        <v>26227.8</v>
      </c>
      <c r="H15" s="15"/>
      <c r="I15" t="s">
        <v>86</v>
      </c>
    </row>
    <row r="16" spans="1:9">
      <c r="A16" s="3"/>
      <c r="B16" s="6" t="s">
        <v>88</v>
      </c>
      <c r="C16" s="48" t="s">
        <v>100</v>
      </c>
      <c r="D16" s="7">
        <v>20</v>
      </c>
      <c r="E16" s="7">
        <f>VLOOKUP(C16,[1]단가산출!$B:$D,3,FALSE)</f>
        <v>3991.5</v>
      </c>
      <c r="F16" s="7">
        <f t="shared" si="0"/>
        <v>79830</v>
      </c>
      <c r="H16" s="15"/>
      <c r="I16" t="s">
        <v>98</v>
      </c>
    </row>
    <row r="17" spans="1:9">
      <c r="A17" s="3"/>
      <c r="B17" s="6" t="s">
        <v>121</v>
      </c>
      <c r="C17" s="48" t="s">
        <v>154</v>
      </c>
      <c r="D17" s="7">
        <v>6</v>
      </c>
      <c r="E17" s="7">
        <f>VLOOKUP(C17,[1]단가산출!$B:$D,3,FALSE)</f>
        <v>4918.729166666667</v>
      </c>
      <c r="F17" s="7">
        <f t="shared" si="0"/>
        <v>29512.375</v>
      </c>
      <c r="H17" s="15"/>
      <c r="I17" t="s">
        <v>99</v>
      </c>
    </row>
    <row r="18" spans="1:9">
      <c r="A18" s="3"/>
      <c r="B18" s="6"/>
      <c r="C18" s="48"/>
      <c r="D18" s="7"/>
      <c r="E18" s="7"/>
      <c r="F18" s="7"/>
      <c r="H18" s="15"/>
      <c r="I18" t="s">
        <v>93</v>
      </c>
    </row>
    <row r="19" spans="1:9">
      <c r="A19" s="3"/>
      <c r="B19" s="6"/>
      <c r="C19" s="48"/>
      <c r="D19" s="7"/>
      <c r="E19" s="7"/>
      <c r="F19" s="7"/>
      <c r="H19" s="15"/>
      <c r="I19" t="s">
        <v>137</v>
      </c>
    </row>
    <row r="20" spans="1:9">
      <c r="A20" s="3"/>
      <c r="B20" s="6"/>
      <c r="C20" s="48"/>
      <c r="D20" s="7"/>
      <c r="E20" s="7"/>
      <c r="F20" s="7"/>
      <c r="H20" s="15"/>
      <c r="I20" t="s">
        <v>122</v>
      </c>
    </row>
    <row r="21" spans="1:9">
      <c r="A21" s="3"/>
      <c r="B21" s="6"/>
      <c r="C21" s="64"/>
      <c r="D21" s="7"/>
      <c r="E21" s="7"/>
      <c r="F21" s="7"/>
      <c r="H21" s="15"/>
      <c r="I21" t="s">
        <v>133</v>
      </c>
    </row>
    <row r="22" spans="1:9">
      <c r="B22" s="6"/>
      <c r="C22" s="48"/>
      <c r="D22" s="7"/>
      <c r="E22" s="7"/>
      <c r="F22" s="7"/>
      <c r="I22" s="52"/>
    </row>
    <row r="23" spans="1:9">
      <c r="B23" s="6"/>
      <c r="C23" s="48"/>
      <c r="D23" s="7"/>
      <c r="E23" s="7"/>
      <c r="F23" s="7"/>
      <c r="I23" s="52"/>
    </row>
    <row r="24" spans="1:9">
      <c r="B24" s="6"/>
      <c r="C24" s="48"/>
      <c r="D24" s="7"/>
      <c r="E24" s="7"/>
      <c r="F24" s="7"/>
      <c r="I24" s="52"/>
    </row>
    <row r="25" spans="1:9">
      <c r="B25" s="6"/>
      <c r="C25" s="48"/>
      <c r="D25" s="7"/>
      <c r="E25" s="7"/>
      <c r="F25" s="7"/>
      <c r="I25" s="52"/>
    </row>
    <row r="26" spans="1:9">
      <c r="B26" s="6"/>
      <c r="C26" s="48"/>
      <c r="D26" s="7"/>
      <c r="E26" s="7"/>
      <c r="F26" s="7"/>
      <c r="I26" s="52"/>
    </row>
    <row r="27" spans="1:9">
      <c r="B27" s="6"/>
      <c r="C27" s="48"/>
      <c r="D27" s="7"/>
      <c r="E27" s="7"/>
      <c r="F27" s="7"/>
      <c r="I27" s="52"/>
    </row>
    <row r="28" spans="1:9">
      <c r="B28" s="6"/>
      <c r="C28" s="48"/>
      <c r="D28" s="7"/>
      <c r="E28" s="7"/>
      <c r="F28" s="7"/>
      <c r="I28" s="52"/>
    </row>
    <row r="29" spans="1:9">
      <c r="B29" s="6"/>
      <c r="C29" s="48"/>
      <c r="D29" s="7"/>
      <c r="E29" s="7"/>
      <c r="F29" s="7"/>
      <c r="I29" s="52"/>
    </row>
    <row r="30" spans="1:9">
      <c r="B30" s="6"/>
      <c r="C30" s="48"/>
      <c r="D30" s="7"/>
      <c r="E30" s="7"/>
      <c r="F30" s="7"/>
      <c r="I30" s="52"/>
    </row>
    <row r="31" spans="1:9">
      <c r="B31" s="6"/>
      <c r="C31" s="48"/>
      <c r="D31" s="7"/>
      <c r="E31" s="7"/>
      <c r="F31" s="7"/>
      <c r="I31" s="52"/>
    </row>
    <row r="32" spans="1:9">
      <c r="B32" s="6"/>
      <c r="C32" s="48"/>
      <c r="D32" s="7"/>
      <c r="E32" s="7"/>
      <c r="F32" s="7"/>
      <c r="I32" s="52"/>
    </row>
    <row r="33" spans="2:9">
      <c r="B33" s="6"/>
      <c r="C33" s="48"/>
      <c r="D33" s="7"/>
      <c r="E33" s="7"/>
      <c r="F33" s="7"/>
      <c r="I33" s="52"/>
    </row>
    <row r="34" spans="2:9">
      <c r="B34" s="6"/>
      <c r="C34" s="48"/>
      <c r="D34" s="7"/>
      <c r="E34" s="7"/>
      <c r="F34" s="7"/>
      <c r="I34" s="52"/>
    </row>
    <row r="35" spans="2:9">
      <c r="B35" s="6"/>
      <c r="C35" s="48"/>
      <c r="D35" s="7"/>
      <c r="E35" s="7"/>
      <c r="F35" s="7"/>
      <c r="I35" s="52"/>
    </row>
    <row r="36" spans="2:9">
      <c r="B36" s="6"/>
      <c r="C36" s="48"/>
      <c r="D36" s="7"/>
      <c r="E36" s="7"/>
      <c r="F36" s="7"/>
      <c r="I36" s="52"/>
    </row>
    <row r="37" spans="2:9">
      <c r="B37" s="6"/>
      <c r="C37" s="48"/>
      <c r="D37" s="7"/>
      <c r="E37" s="7"/>
      <c r="F37" s="7"/>
      <c r="I37" s="52"/>
    </row>
    <row r="38" spans="2:9">
      <c r="B38" s="6"/>
      <c r="C38" s="48"/>
      <c r="D38" s="7"/>
      <c r="E38" s="7"/>
      <c r="F38" s="7"/>
      <c r="I38" s="52"/>
    </row>
    <row r="39" spans="2:9">
      <c r="B39" s="6"/>
      <c r="C39" s="48"/>
      <c r="D39" s="7"/>
      <c r="E39" s="7"/>
      <c r="F39" s="7"/>
      <c r="I39" s="52"/>
    </row>
    <row r="40" spans="2:9">
      <c r="B40" s="6"/>
      <c r="C40" s="48"/>
      <c r="D40" s="7"/>
      <c r="E40" s="7"/>
      <c r="F40" s="7"/>
      <c r="I40" s="52"/>
    </row>
    <row r="41" spans="2:9">
      <c r="B41" s="6"/>
      <c r="C41" s="48"/>
      <c r="D41" s="7"/>
      <c r="E41" s="7"/>
      <c r="F41" s="7"/>
      <c r="I41" s="52"/>
    </row>
    <row r="42" spans="2:9">
      <c r="B42" s="6"/>
      <c r="C42" s="48"/>
      <c r="D42" s="7"/>
      <c r="E42" s="7"/>
      <c r="F42" s="7"/>
      <c r="I42" s="52"/>
    </row>
    <row r="43" spans="2:9">
      <c r="B43" s="6"/>
      <c r="C43" s="48"/>
      <c r="D43" s="7"/>
      <c r="E43" s="7"/>
      <c r="F43" s="7"/>
      <c r="I43" s="52"/>
    </row>
    <row r="44" spans="2:9">
      <c r="B44" s="6"/>
      <c r="C44" s="48"/>
      <c r="D44" s="7"/>
      <c r="E44" s="7"/>
      <c r="F44" s="7"/>
      <c r="I44" s="52"/>
    </row>
    <row r="45" spans="2:9">
      <c r="B45" s="6"/>
      <c r="C45" s="48"/>
      <c r="D45" s="7"/>
      <c r="E45" s="7"/>
      <c r="F45" s="7"/>
      <c r="I45" s="52"/>
    </row>
    <row r="46" spans="2:9">
      <c r="B46" s="6"/>
      <c r="C46" s="48"/>
      <c r="D46" s="7"/>
      <c r="E46" s="7"/>
      <c r="F46" s="7"/>
      <c r="I46" s="52"/>
    </row>
    <row r="47" spans="2:9">
      <c r="B47" s="6"/>
      <c r="C47" s="48"/>
      <c r="D47" s="7"/>
      <c r="E47" s="7"/>
      <c r="F47" s="7"/>
      <c r="I47" s="52"/>
    </row>
    <row r="48" spans="2:9">
      <c r="B48" s="6"/>
      <c r="C48" s="48"/>
      <c r="D48" s="7"/>
      <c r="E48" s="7"/>
      <c r="F48" s="7"/>
      <c r="I48" s="52"/>
    </row>
    <row r="49" spans="2:9">
      <c r="B49" s="6"/>
      <c r="C49" s="48"/>
      <c r="D49" s="7"/>
      <c r="E49" s="7"/>
      <c r="F49" s="7"/>
      <c r="I49" s="52"/>
    </row>
    <row r="50" spans="2:9">
      <c r="B50" s="6"/>
      <c r="C50" s="48"/>
      <c r="D50" s="7"/>
      <c r="E50" s="7"/>
      <c r="F50" s="7"/>
      <c r="I50" s="52"/>
    </row>
    <row r="51" spans="2:9">
      <c r="B51" s="6"/>
      <c r="C51" s="48"/>
      <c r="D51" s="7"/>
      <c r="E51" s="7"/>
      <c r="F51" s="7"/>
      <c r="I51" s="52"/>
    </row>
    <row r="52" spans="2:9">
      <c r="B52" s="6"/>
      <c r="C52" s="48"/>
      <c r="D52" s="7"/>
      <c r="E52" s="7"/>
      <c r="F52" s="7"/>
      <c r="I52" s="52"/>
    </row>
    <row r="53" spans="2:9">
      <c r="B53" s="6"/>
      <c r="C53" s="48"/>
      <c r="D53" s="7"/>
      <c r="E53" s="7"/>
      <c r="F53" s="7"/>
      <c r="I53" s="52"/>
    </row>
    <row r="54" spans="2:9">
      <c r="B54" s="6"/>
      <c r="C54" s="48"/>
      <c r="D54" s="7"/>
      <c r="E54" s="7"/>
      <c r="F54" s="7"/>
      <c r="I54" s="52"/>
    </row>
    <row r="55" spans="2:9">
      <c r="B55" s="6"/>
      <c r="C55" s="48"/>
      <c r="D55" s="7"/>
      <c r="E55" s="7"/>
      <c r="F55" s="7"/>
      <c r="I55" s="52"/>
    </row>
    <row r="56" spans="2:9">
      <c r="B56" s="6"/>
      <c r="C56" s="48"/>
      <c r="D56" s="7"/>
      <c r="E56" s="7"/>
      <c r="F56" s="7"/>
      <c r="I56" s="52"/>
    </row>
    <row r="57" spans="2:9">
      <c r="B57" s="6"/>
      <c r="C57" s="48"/>
      <c r="D57" s="7"/>
      <c r="E57" s="7"/>
      <c r="F57" s="7"/>
      <c r="I57" s="52"/>
    </row>
    <row r="58" spans="2:9">
      <c r="B58" s="6"/>
      <c r="C58" s="48"/>
      <c r="D58" s="7"/>
      <c r="E58" s="7"/>
      <c r="F58" s="7"/>
      <c r="I58" s="52"/>
    </row>
    <row r="59" spans="2:9">
      <c r="B59" s="6"/>
      <c r="C59" s="48"/>
      <c r="D59" s="7"/>
      <c r="E59" s="7"/>
      <c r="F59" s="7"/>
      <c r="I59" s="52"/>
    </row>
    <row r="60" spans="2:9">
      <c r="B60" s="6"/>
      <c r="C60" s="48"/>
      <c r="D60" s="7"/>
      <c r="E60" s="7"/>
      <c r="F60" s="7"/>
      <c r="I60" s="52"/>
    </row>
    <row r="61" spans="2:9">
      <c r="B61" s="6"/>
      <c r="C61" s="48"/>
      <c r="D61" s="7"/>
      <c r="E61" s="7"/>
      <c r="F61" s="7"/>
      <c r="I61" s="52"/>
    </row>
    <row r="62" spans="2:9">
      <c r="B62" s="6"/>
      <c r="C62" s="48"/>
      <c r="D62" s="7"/>
      <c r="E62" s="7"/>
      <c r="F62" s="7"/>
      <c r="I62" s="52"/>
    </row>
    <row r="63" spans="2:9">
      <c r="B63" s="6"/>
      <c r="C63" s="48"/>
      <c r="D63" s="7"/>
      <c r="E63" s="7"/>
      <c r="F63" s="7"/>
      <c r="I63" s="52"/>
    </row>
    <row r="64" spans="2:9">
      <c r="B64" s="6"/>
      <c r="C64" s="48"/>
      <c r="D64" s="7"/>
      <c r="E64" s="7"/>
      <c r="F64" s="7"/>
      <c r="I64" s="52"/>
    </row>
    <row r="65" spans="2:9">
      <c r="B65" s="6"/>
      <c r="C65" s="48"/>
      <c r="D65" s="7"/>
      <c r="E65" s="7"/>
      <c r="F65" s="7"/>
      <c r="I65" s="52"/>
    </row>
    <row r="66" spans="2:9">
      <c r="B66" s="6"/>
      <c r="C66" s="48"/>
      <c r="D66" s="7"/>
      <c r="E66" s="7"/>
      <c r="F66" s="7"/>
      <c r="I66" s="52"/>
    </row>
    <row r="67" spans="2:9">
      <c r="B67" s="6"/>
      <c r="C67" s="48"/>
      <c r="D67" s="7"/>
      <c r="E67" s="7"/>
      <c r="F67" s="7"/>
      <c r="I67" s="52"/>
    </row>
    <row r="68" spans="2:9">
      <c r="B68" s="6"/>
      <c r="C68" s="48"/>
      <c r="D68" s="7"/>
      <c r="E68" s="7"/>
      <c r="F68" s="7"/>
      <c r="I68" s="52"/>
    </row>
    <row r="69" spans="2:9">
      <c r="B69" s="6"/>
      <c r="C69" s="48"/>
      <c r="D69" s="7"/>
      <c r="E69" s="7"/>
      <c r="F69" s="7"/>
      <c r="I69" s="52"/>
    </row>
    <row r="70" spans="2:9">
      <c r="B70" s="6"/>
      <c r="C70" s="48"/>
      <c r="D70" s="7"/>
      <c r="E70" s="7"/>
      <c r="F70" s="7"/>
      <c r="I70" s="52"/>
    </row>
    <row r="71" spans="2:9">
      <c r="B71" s="6"/>
      <c r="C71" s="48"/>
      <c r="D71" s="7"/>
      <c r="E71" s="7"/>
      <c r="F71" s="7"/>
      <c r="I71" s="52"/>
    </row>
    <row r="72" spans="2:9">
      <c r="B72" s="6"/>
      <c r="C72" s="48"/>
      <c r="D72" s="7"/>
      <c r="E72" s="7"/>
      <c r="F72" s="7"/>
      <c r="I72" s="52"/>
    </row>
    <row r="73" spans="2:9">
      <c r="B73" s="6"/>
      <c r="C73" s="48"/>
      <c r="D73" s="7"/>
      <c r="E73" s="7"/>
      <c r="F73" s="7"/>
      <c r="I73" s="52"/>
    </row>
    <row r="74" spans="2:9">
      <c r="B74" s="6"/>
      <c r="C74" s="48"/>
      <c r="D74" s="7"/>
      <c r="E74" s="7"/>
      <c r="F74" s="7"/>
      <c r="I74" s="52"/>
    </row>
    <row r="75" spans="2:9">
      <c r="B75" s="6"/>
      <c r="C75" s="48"/>
      <c r="D75" s="7"/>
      <c r="E75" s="7"/>
      <c r="F75" s="7"/>
      <c r="I75" s="52"/>
    </row>
    <row r="76" spans="2:9">
      <c r="B76" s="6"/>
      <c r="C76" s="48"/>
      <c r="D76" s="7"/>
      <c r="E76" s="7"/>
      <c r="F76" s="7"/>
      <c r="I76" s="52"/>
    </row>
    <row r="77" spans="2:9">
      <c r="B77" s="6"/>
      <c r="C77" s="48"/>
      <c r="D77" s="7"/>
      <c r="E77" s="7"/>
      <c r="F77" s="7"/>
      <c r="I77" s="52"/>
    </row>
    <row r="78" spans="2:9">
      <c r="B78" s="6"/>
      <c r="C78" s="48"/>
      <c r="D78" s="7"/>
      <c r="E78" s="7"/>
      <c r="F78" s="7"/>
      <c r="I78" s="52"/>
    </row>
    <row r="79" spans="2:9">
      <c r="B79" s="6"/>
      <c r="C79" s="48"/>
      <c r="D79" s="7"/>
      <c r="E79" s="7"/>
      <c r="F79" s="7"/>
      <c r="I79" s="52"/>
    </row>
    <row r="80" spans="2:9">
      <c r="B80" s="6"/>
      <c r="C80" s="48"/>
      <c r="D80" s="7"/>
      <c r="E80" s="7"/>
      <c r="F80" s="7"/>
      <c r="I80" s="52"/>
    </row>
    <row r="81" spans="2:9">
      <c r="B81" s="6"/>
      <c r="C81" s="48"/>
      <c r="D81" s="7"/>
      <c r="E81" s="7"/>
      <c r="F81" s="7"/>
      <c r="I81" s="52"/>
    </row>
    <row r="82" spans="2:9">
      <c r="B82" s="6"/>
      <c r="C82" s="48"/>
      <c r="D82" s="7"/>
      <c r="E82" s="7"/>
      <c r="F82" s="7"/>
      <c r="I82" s="52"/>
    </row>
    <row r="83" spans="2:9">
      <c r="B83" s="6"/>
      <c r="C83" s="48"/>
      <c r="D83" s="7"/>
      <c r="E83" s="7"/>
      <c r="F83" s="7"/>
      <c r="I83" s="52"/>
    </row>
    <row r="84" spans="2:9">
      <c r="B84" s="6"/>
      <c r="C84" s="48"/>
      <c r="D84" s="7"/>
      <c r="E84" s="7"/>
      <c r="F84" s="7"/>
      <c r="I84" s="52"/>
    </row>
    <row r="85" spans="2:9">
      <c r="B85" s="6"/>
      <c r="C85" s="48"/>
      <c r="D85" s="7"/>
      <c r="E85" s="7"/>
      <c r="F85" s="7"/>
      <c r="I85" s="52"/>
    </row>
    <row r="86" spans="2:9">
      <c r="B86" s="6"/>
      <c r="C86" s="48"/>
      <c r="D86" s="7"/>
      <c r="E86" s="7"/>
      <c r="F86" s="7"/>
      <c r="I86" s="52"/>
    </row>
    <row r="87" spans="2:9">
      <c r="B87" s="6"/>
      <c r="C87" s="48"/>
      <c r="D87" s="7"/>
      <c r="E87" s="7"/>
      <c r="F87" s="7"/>
      <c r="I87" s="52"/>
    </row>
    <row r="88" spans="2:9">
      <c r="B88" s="6"/>
      <c r="C88" s="48"/>
      <c r="D88" s="7"/>
      <c r="E88" s="7"/>
      <c r="F88" s="7"/>
      <c r="I88" s="52"/>
    </row>
    <row r="89" spans="2:9">
      <c r="B89" s="6"/>
      <c r="C89" s="48"/>
      <c r="D89" s="7"/>
      <c r="E89" s="7"/>
      <c r="F89" s="7"/>
      <c r="I89" s="52"/>
    </row>
    <row r="90" spans="2:9">
      <c r="B90" s="6"/>
      <c r="C90" s="48"/>
      <c r="D90" s="7"/>
      <c r="E90" s="7"/>
      <c r="F90" s="7"/>
      <c r="I90" s="52"/>
    </row>
    <row r="91" spans="2:9">
      <c r="B91" s="6"/>
      <c r="C91" s="48"/>
      <c r="D91" s="7"/>
      <c r="E91" s="7"/>
      <c r="F91" s="7"/>
      <c r="I91" s="52"/>
    </row>
    <row r="92" spans="2:9">
      <c r="B92" s="6"/>
      <c r="C92" s="48"/>
      <c r="D92" s="7"/>
      <c r="E92" s="7"/>
      <c r="F92" s="7"/>
      <c r="I92" s="52"/>
    </row>
    <row r="93" spans="2:9">
      <c r="B93" s="6"/>
      <c r="C93" s="48"/>
      <c r="D93" s="7"/>
      <c r="E93" s="7"/>
      <c r="F93" s="7"/>
      <c r="I93" s="52"/>
    </row>
    <row r="94" spans="2:9">
      <c r="B94" s="6"/>
      <c r="C94" s="48"/>
      <c r="D94" s="7"/>
      <c r="E94" s="7"/>
      <c r="F94" s="7"/>
      <c r="I94" s="52"/>
    </row>
    <row r="95" spans="2:9">
      <c r="B95" s="6"/>
      <c r="C95" s="48"/>
      <c r="D95" s="7"/>
      <c r="E95" s="7"/>
      <c r="F95" s="7"/>
      <c r="I95" s="52"/>
    </row>
    <row r="96" spans="2:9">
      <c r="B96" s="6"/>
      <c r="C96" s="48"/>
      <c r="D96" s="7"/>
      <c r="E96" s="7"/>
      <c r="F96" s="7"/>
      <c r="I96" s="52"/>
    </row>
    <row r="97" spans="2:9">
      <c r="B97" s="6"/>
      <c r="C97" s="48"/>
      <c r="D97" s="7"/>
      <c r="E97" s="7"/>
      <c r="F97" s="7"/>
      <c r="I97" s="52"/>
    </row>
    <row r="98" spans="2:9">
      <c r="B98" s="6"/>
      <c r="C98" s="48"/>
      <c r="D98" s="7"/>
      <c r="E98" s="7"/>
      <c r="F98" s="7"/>
      <c r="I98" s="52"/>
    </row>
    <row r="99" spans="2:9">
      <c r="B99" s="6"/>
      <c r="C99" s="48"/>
      <c r="D99" s="7"/>
      <c r="E99" s="7"/>
      <c r="F99" s="7"/>
      <c r="I99" s="52"/>
    </row>
    <row r="100" spans="2:9">
      <c r="B100" s="6"/>
      <c r="C100" s="48"/>
      <c r="D100" s="7"/>
      <c r="E100" s="7"/>
      <c r="F100" s="7"/>
      <c r="I100" s="52"/>
    </row>
    <row r="101" spans="2:9">
      <c r="B101" s="6"/>
      <c r="C101" s="48"/>
      <c r="D101" s="7"/>
      <c r="E101" s="7"/>
      <c r="F101" s="7"/>
      <c r="I101" s="52"/>
    </row>
    <row r="102" spans="2:9">
      <c r="B102" s="6"/>
      <c r="C102" s="48"/>
      <c r="D102" s="7"/>
      <c r="E102" s="7"/>
      <c r="F102" s="7"/>
      <c r="I102" s="52"/>
    </row>
    <row r="103" spans="2:9">
      <c r="B103" s="6"/>
      <c r="C103" s="48"/>
      <c r="D103" s="7"/>
      <c r="E103" s="7"/>
      <c r="F103" s="7"/>
      <c r="I103" s="52"/>
    </row>
    <row r="104" spans="2:9">
      <c r="B104" s="6"/>
      <c r="C104" s="48"/>
      <c r="D104" s="7"/>
      <c r="E104" s="7"/>
      <c r="F104" s="7"/>
      <c r="I104" s="52"/>
    </row>
    <row r="105" spans="2:9">
      <c r="B105" s="6"/>
      <c r="C105" s="48"/>
      <c r="D105" s="7"/>
      <c r="E105" s="7"/>
      <c r="F105" s="7"/>
      <c r="I105" s="52"/>
    </row>
    <row r="106" spans="2:9">
      <c r="B106" s="6"/>
      <c r="C106" s="48"/>
      <c r="D106" s="7"/>
      <c r="E106" s="7"/>
      <c r="F106" s="7"/>
      <c r="I106" s="52"/>
    </row>
    <row r="107" spans="2:9">
      <c r="B107" s="6"/>
      <c r="C107" s="48"/>
      <c r="D107" s="7"/>
      <c r="E107" s="7"/>
      <c r="F107" s="7"/>
      <c r="I107" s="52"/>
    </row>
    <row r="108" spans="2:9">
      <c r="B108" s="6"/>
      <c r="C108" s="48"/>
      <c r="D108" s="7"/>
      <c r="E108" s="7"/>
      <c r="F108" s="7"/>
      <c r="I108" s="52"/>
    </row>
    <row r="109" spans="2:9">
      <c r="B109" s="6"/>
      <c r="C109" s="48"/>
      <c r="D109" s="7"/>
      <c r="E109" s="7"/>
      <c r="F109" s="7"/>
      <c r="I109" s="52"/>
    </row>
    <row r="110" spans="2:9">
      <c r="B110" s="6"/>
      <c r="C110" s="48"/>
      <c r="D110" s="7"/>
      <c r="E110" s="7"/>
      <c r="F110" s="7"/>
      <c r="I110" s="52"/>
    </row>
    <row r="111" spans="2:9">
      <c r="B111" s="6"/>
      <c r="C111" s="48"/>
      <c r="D111" s="7"/>
      <c r="E111" s="7"/>
      <c r="F111" s="7"/>
      <c r="I111" s="52"/>
    </row>
    <row r="112" spans="2:9">
      <c r="B112" s="6"/>
      <c r="C112" s="48"/>
      <c r="D112" s="7"/>
      <c r="E112" s="7"/>
      <c r="F112" s="7"/>
      <c r="I112" s="52"/>
    </row>
    <row r="113" spans="2:9">
      <c r="B113" s="6"/>
      <c r="C113" s="48"/>
      <c r="D113" s="7"/>
      <c r="E113" s="7"/>
      <c r="F113" s="7"/>
      <c r="I113" s="52"/>
    </row>
    <row r="114" spans="2:9">
      <c r="B114" s="6"/>
      <c r="C114" s="48"/>
      <c r="D114" s="7"/>
      <c r="E114" s="7"/>
      <c r="F114" s="7"/>
      <c r="I114" s="52"/>
    </row>
    <row r="115" spans="2:9">
      <c r="B115" s="6"/>
      <c r="C115" s="48"/>
      <c r="D115" s="7"/>
      <c r="E115" s="7"/>
      <c r="F115" s="7"/>
      <c r="I115" s="52"/>
    </row>
    <row r="116" spans="2:9">
      <c r="B116" s="6"/>
      <c r="C116" s="48"/>
      <c r="D116" s="7"/>
      <c r="E116" s="7"/>
      <c r="F116" s="7"/>
      <c r="I116" s="52"/>
    </row>
    <row r="117" spans="2:9">
      <c r="B117" s="6"/>
      <c r="C117" s="48"/>
      <c r="D117" s="7"/>
      <c r="E117" s="7"/>
      <c r="F117" s="7"/>
      <c r="I117" s="52"/>
    </row>
    <row r="118" spans="2:9">
      <c r="B118" s="6"/>
      <c r="C118" s="48"/>
      <c r="D118" s="7"/>
      <c r="E118" s="7"/>
      <c r="F118" s="7"/>
      <c r="I118" s="52"/>
    </row>
    <row r="119" spans="2:9">
      <c r="B119" s="6"/>
      <c r="C119" s="48"/>
      <c r="D119" s="7"/>
      <c r="E119" s="7"/>
      <c r="F119" s="7"/>
      <c r="I119" s="52"/>
    </row>
    <row r="120" spans="2:9">
      <c r="B120" s="6"/>
      <c r="C120" s="48"/>
      <c r="D120" s="7"/>
      <c r="E120" s="7"/>
      <c r="F120" s="7"/>
      <c r="I120" s="52"/>
    </row>
    <row r="121" spans="2:9">
      <c r="B121" s="6"/>
      <c r="C121" s="48"/>
      <c r="D121" s="7"/>
      <c r="E121" s="7"/>
      <c r="F121" s="7"/>
      <c r="I121" s="52"/>
    </row>
    <row r="122" spans="2:9">
      <c r="B122" s="6"/>
      <c r="C122" s="48"/>
      <c r="D122" s="7"/>
      <c r="E122" s="7"/>
      <c r="F122" s="7"/>
      <c r="I122" s="52"/>
    </row>
    <row r="123" spans="2:9">
      <c r="B123" s="6"/>
      <c r="C123" s="48"/>
      <c r="D123" s="7"/>
      <c r="E123" s="7"/>
      <c r="F123" s="7"/>
      <c r="I123" s="52"/>
    </row>
    <row r="124" spans="2:9">
      <c r="B124" s="6"/>
      <c r="C124" s="48"/>
      <c r="D124" s="7"/>
      <c r="E124" s="7"/>
      <c r="F124" s="7"/>
      <c r="I124" s="52"/>
    </row>
    <row r="125" spans="2:9">
      <c r="B125" s="6"/>
      <c r="C125" s="48"/>
      <c r="D125" s="7"/>
      <c r="E125" s="7"/>
      <c r="F125" s="7"/>
      <c r="I125" s="52"/>
    </row>
    <row r="126" spans="2:9">
      <c r="B126" s="6"/>
      <c r="C126" s="48"/>
      <c r="D126" s="7"/>
      <c r="E126" s="7"/>
      <c r="F126" s="7"/>
      <c r="I126" s="52"/>
    </row>
    <row r="127" spans="2:9">
      <c r="B127" s="6"/>
      <c r="C127" s="48"/>
      <c r="D127" s="7"/>
      <c r="E127" s="7"/>
      <c r="F127" s="7"/>
      <c r="I127" s="52"/>
    </row>
    <row r="128" spans="2:9">
      <c r="B128" s="6"/>
      <c r="C128" s="48"/>
      <c r="D128" s="7"/>
      <c r="E128" s="7"/>
      <c r="F128" s="7"/>
      <c r="I128" s="52"/>
    </row>
    <row r="129" spans="9:9">
      <c r="I129" s="52"/>
    </row>
    <row r="130" spans="9:9">
      <c r="I130" s="52"/>
    </row>
    <row r="131" spans="9:9">
      <c r="I131" s="52"/>
    </row>
    <row r="132" spans="9:9">
      <c r="I132" s="52"/>
    </row>
    <row r="133" spans="9:9">
      <c r="I133" s="52"/>
    </row>
    <row r="134" spans="9:9">
      <c r="I134" s="52"/>
    </row>
    <row r="135" spans="9:9">
      <c r="I135" s="52"/>
    </row>
    <row r="136" spans="9:9">
      <c r="I136" s="52"/>
    </row>
    <row r="137" spans="9:9">
      <c r="I137" s="52"/>
    </row>
    <row r="138" spans="9:9">
      <c r="I138" s="52"/>
    </row>
    <row r="139" spans="9:9">
      <c r="I139" s="52"/>
    </row>
    <row r="140" spans="9:9">
      <c r="I140" s="52"/>
    </row>
    <row r="141" spans="9:9">
      <c r="I141" s="52"/>
    </row>
    <row r="142" spans="9:9">
      <c r="I142" s="52"/>
    </row>
    <row r="143" spans="9:9">
      <c r="I143" s="52"/>
    </row>
    <row r="144" spans="9:9">
      <c r="I144" s="52"/>
    </row>
    <row r="145" spans="9:9">
      <c r="I145" s="52"/>
    </row>
    <row r="146" spans="9:9">
      <c r="I146" s="52"/>
    </row>
    <row r="147" spans="9:9">
      <c r="I147" s="52"/>
    </row>
    <row r="148" spans="9:9">
      <c r="I148" s="52"/>
    </row>
    <row r="149" spans="9:9">
      <c r="I149" s="52"/>
    </row>
    <row r="150" spans="9:9">
      <c r="I150" s="52"/>
    </row>
    <row r="151" spans="9:9">
      <c r="I151" s="52"/>
    </row>
    <row r="152" spans="9:9">
      <c r="I152" s="52"/>
    </row>
    <row r="153" spans="9:9">
      <c r="I153" s="52"/>
    </row>
    <row r="154" spans="9:9">
      <c r="I154" s="52"/>
    </row>
    <row r="155" spans="9:9">
      <c r="I155" s="52"/>
    </row>
    <row r="156" spans="9:9">
      <c r="I156" s="52"/>
    </row>
    <row r="157" spans="9:9">
      <c r="I157" s="52"/>
    </row>
    <row r="158" spans="9:9">
      <c r="I158" s="52"/>
    </row>
    <row r="159" spans="9:9">
      <c r="I159" s="52"/>
    </row>
    <row r="160" spans="9:9">
      <c r="I160" s="52"/>
    </row>
    <row r="161" spans="9:9">
      <c r="I161" s="52"/>
    </row>
    <row r="162" spans="9:9">
      <c r="I162" s="52"/>
    </row>
    <row r="163" spans="9:9">
      <c r="I163" s="52"/>
    </row>
    <row r="164" spans="9:9">
      <c r="I164" s="52"/>
    </row>
    <row r="165" spans="9:9">
      <c r="I165" s="52"/>
    </row>
    <row r="166" spans="9:9">
      <c r="I166" s="52"/>
    </row>
    <row r="167" spans="9:9">
      <c r="I167" s="52"/>
    </row>
    <row r="168" spans="9:9">
      <c r="I168" s="52"/>
    </row>
    <row r="169" spans="9:9">
      <c r="I169" s="52"/>
    </row>
    <row r="170" spans="9:9">
      <c r="I170" s="52"/>
    </row>
    <row r="171" spans="9:9">
      <c r="I171" s="52"/>
    </row>
    <row r="172" spans="9:9">
      <c r="I172" s="52"/>
    </row>
    <row r="173" spans="9:9">
      <c r="I173" s="52"/>
    </row>
    <row r="174" spans="9:9">
      <c r="I174" s="52"/>
    </row>
    <row r="175" spans="9:9">
      <c r="I175" s="52"/>
    </row>
    <row r="176" spans="9:9">
      <c r="I176" s="52"/>
    </row>
    <row r="177" spans="9:9">
      <c r="I177" s="52"/>
    </row>
    <row r="178" spans="9:9">
      <c r="I178" s="52"/>
    </row>
    <row r="179" spans="9:9">
      <c r="I179" s="52"/>
    </row>
    <row r="180" spans="9:9">
      <c r="I180" s="52"/>
    </row>
    <row r="181" spans="9:9">
      <c r="I181" s="52"/>
    </row>
    <row r="182" spans="9:9">
      <c r="I182" s="52"/>
    </row>
    <row r="183" spans="9:9">
      <c r="I183" s="52"/>
    </row>
    <row r="184" spans="9:9">
      <c r="I184" s="52"/>
    </row>
    <row r="185" spans="9:9">
      <c r="I185" s="52"/>
    </row>
    <row r="186" spans="9:9">
      <c r="I186" s="52"/>
    </row>
    <row r="187" spans="9:9">
      <c r="I187" s="52"/>
    </row>
    <row r="188" spans="9:9">
      <c r="I188" s="52"/>
    </row>
    <row r="189" spans="9:9">
      <c r="I189" s="52"/>
    </row>
    <row r="190" spans="9:9">
      <c r="I190" s="52"/>
    </row>
    <row r="191" spans="9:9">
      <c r="I191" s="52"/>
    </row>
    <row r="192" spans="9:9">
      <c r="I192" s="52"/>
    </row>
    <row r="193" spans="9:9">
      <c r="I193" s="52"/>
    </row>
    <row r="194" spans="9:9">
      <c r="I194" s="52"/>
    </row>
    <row r="195" spans="9:9">
      <c r="I195" s="52"/>
    </row>
    <row r="196" spans="9:9">
      <c r="I196" s="52"/>
    </row>
    <row r="197" spans="9:9">
      <c r="I197" s="52"/>
    </row>
    <row r="198" spans="9:9">
      <c r="I198" s="52"/>
    </row>
    <row r="199" spans="9:9">
      <c r="I199" s="52"/>
    </row>
    <row r="200" spans="9:9">
      <c r="I200" s="52"/>
    </row>
    <row r="201" spans="9:9">
      <c r="I201" s="52"/>
    </row>
    <row r="202" spans="9:9">
      <c r="I202" s="52"/>
    </row>
    <row r="203" spans="9:9">
      <c r="I203" s="52"/>
    </row>
    <row r="204" spans="9:9">
      <c r="I204" s="52"/>
    </row>
    <row r="205" spans="9:9">
      <c r="I205" s="52"/>
    </row>
    <row r="206" spans="9:9">
      <c r="I206" s="52"/>
    </row>
    <row r="207" spans="9:9">
      <c r="I207" s="52"/>
    </row>
    <row r="208" spans="9:9">
      <c r="I208" s="52"/>
    </row>
    <row r="209" spans="9:9">
      <c r="I209" s="52"/>
    </row>
    <row r="210" spans="9:9">
      <c r="I210" s="52"/>
    </row>
    <row r="211" spans="9:9">
      <c r="I211" s="52"/>
    </row>
    <row r="212" spans="9:9">
      <c r="I212" s="52"/>
    </row>
    <row r="213" spans="9:9">
      <c r="I213" s="52"/>
    </row>
    <row r="214" spans="9:9">
      <c r="I214" s="52"/>
    </row>
    <row r="215" spans="9:9">
      <c r="I215" s="52"/>
    </row>
    <row r="216" spans="9:9">
      <c r="I216" s="52"/>
    </row>
    <row r="217" spans="9:9">
      <c r="I217" s="52"/>
    </row>
    <row r="218" spans="9:9">
      <c r="I218" s="52"/>
    </row>
    <row r="219" spans="9:9">
      <c r="I219" s="52"/>
    </row>
    <row r="220" spans="9:9">
      <c r="I220" s="52"/>
    </row>
    <row r="221" spans="9:9">
      <c r="I221" s="52"/>
    </row>
    <row r="222" spans="9:9">
      <c r="I222" s="52"/>
    </row>
    <row r="223" spans="9:9">
      <c r="I223" s="52"/>
    </row>
    <row r="224" spans="9:9">
      <c r="I224" s="52"/>
    </row>
    <row r="225" spans="9:9">
      <c r="I225" s="52"/>
    </row>
    <row r="226" spans="9:9">
      <c r="I226" s="52"/>
    </row>
    <row r="227" spans="9:9">
      <c r="I227" s="52"/>
    </row>
    <row r="228" spans="9:9">
      <c r="I228" s="52"/>
    </row>
    <row r="229" spans="9:9">
      <c r="I229" s="52"/>
    </row>
    <row r="230" spans="9:9">
      <c r="I230" s="52"/>
    </row>
    <row r="231" spans="9:9">
      <c r="I231" s="52"/>
    </row>
    <row r="232" spans="9:9">
      <c r="I232" s="52"/>
    </row>
    <row r="233" spans="9:9">
      <c r="I233" s="52"/>
    </row>
    <row r="234" spans="9:9">
      <c r="I234" s="52"/>
    </row>
    <row r="235" spans="9:9">
      <c r="I235" s="52"/>
    </row>
    <row r="236" spans="9:9">
      <c r="I236" s="52"/>
    </row>
    <row r="237" spans="9:9">
      <c r="I237" s="52"/>
    </row>
    <row r="238" spans="9:9">
      <c r="I238" s="52"/>
    </row>
    <row r="239" spans="9:9">
      <c r="I239" s="52"/>
    </row>
    <row r="240" spans="9:9">
      <c r="I240" s="52"/>
    </row>
    <row r="241" spans="9:9">
      <c r="I241" s="52"/>
    </row>
    <row r="242" spans="9:9">
      <c r="I242" s="52"/>
    </row>
    <row r="243" spans="9:9">
      <c r="I243" s="52"/>
    </row>
    <row r="244" spans="9:9">
      <c r="I244" s="52"/>
    </row>
    <row r="245" spans="9:9">
      <c r="I245" s="52"/>
    </row>
    <row r="246" spans="9:9">
      <c r="I246" s="52"/>
    </row>
    <row r="247" spans="9:9">
      <c r="I247" s="52"/>
    </row>
    <row r="248" spans="9:9">
      <c r="I248" s="52"/>
    </row>
    <row r="249" spans="9:9">
      <c r="I249" s="52"/>
    </row>
    <row r="250" spans="9:9">
      <c r="I250" s="52"/>
    </row>
    <row r="251" spans="9:9">
      <c r="I251" s="52"/>
    </row>
    <row r="252" spans="9:9">
      <c r="I252" s="52"/>
    </row>
    <row r="253" spans="9:9">
      <c r="I253" s="52"/>
    </row>
    <row r="254" spans="9:9">
      <c r="I254" s="52"/>
    </row>
    <row r="255" spans="9:9">
      <c r="I255" s="52"/>
    </row>
    <row r="256" spans="9:9">
      <c r="I256" s="52"/>
    </row>
    <row r="257" spans="9:9">
      <c r="I257" s="52"/>
    </row>
    <row r="258" spans="9:9">
      <c r="I258" s="52"/>
    </row>
    <row r="259" spans="9:9">
      <c r="I259" s="52"/>
    </row>
    <row r="260" spans="9:9">
      <c r="I260" s="52"/>
    </row>
    <row r="261" spans="9:9">
      <c r="I261" s="52"/>
    </row>
    <row r="262" spans="9:9">
      <c r="I262" s="52"/>
    </row>
    <row r="263" spans="9:9">
      <c r="I263" s="52"/>
    </row>
    <row r="264" spans="9:9">
      <c r="I264" s="52"/>
    </row>
    <row r="265" spans="9:9">
      <c r="I265" s="52"/>
    </row>
    <row r="266" spans="9:9">
      <c r="I266" s="52"/>
    </row>
    <row r="267" spans="9:9">
      <c r="I267" s="52"/>
    </row>
    <row r="268" spans="9:9">
      <c r="I268" s="52"/>
    </row>
    <row r="269" spans="9:9">
      <c r="I269" s="52"/>
    </row>
    <row r="270" spans="9:9">
      <c r="I270" s="52"/>
    </row>
    <row r="271" spans="9:9">
      <c r="I271" s="52"/>
    </row>
    <row r="272" spans="9:9">
      <c r="I272" s="52"/>
    </row>
    <row r="273" spans="9:9">
      <c r="I273" s="52"/>
    </row>
    <row r="274" spans="9:9">
      <c r="I274" s="52"/>
    </row>
    <row r="275" spans="9:9">
      <c r="I275" s="52"/>
    </row>
    <row r="276" spans="9:9">
      <c r="I276" s="52"/>
    </row>
    <row r="277" spans="9:9">
      <c r="I277" s="52"/>
    </row>
    <row r="278" spans="9:9">
      <c r="I278" s="52"/>
    </row>
    <row r="279" spans="9:9">
      <c r="I279" s="52"/>
    </row>
    <row r="280" spans="9:9">
      <c r="I280" s="52"/>
    </row>
    <row r="281" spans="9:9">
      <c r="I281" s="52"/>
    </row>
    <row r="282" spans="9:9">
      <c r="I282" s="52"/>
    </row>
    <row r="283" spans="9:9">
      <c r="I283" s="52"/>
    </row>
    <row r="284" spans="9:9">
      <c r="I284" s="52"/>
    </row>
    <row r="285" spans="9:9">
      <c r="I285" s="52"/>
    </row>
    <row r="286" spans="9:9">
      <c r="I286" s="52"/>
    </row>
    <row r="287" spans="9:9">
      <c r="I287" s="52"/>
    </row>
    <row r="288" spans="9:9">
      <c r="I288" s="52"/>
    </row>
    <row r="289" spans="9:9">
      <c r="I289" s="52"/>
    </row>
    <row r="290" spans="9:9">
      <c r="I290" s="52"/>
    </row>
    <row r="291" spans="9:9">
      <c r="I291" s="52"/>
    </row>
    <row r="292" spans="9:9">
      <c r="I292" s="52"/>
    </row>
    <row r="293" spans="9:9">
      <c r="I293" s="52"/>
    </row>
    <row r="294" spans="9:9">
      <c r="I294" s="52"/>
    </row>
    <row r="295" spans="9:9">
      <c r="I295" s="52"/>
    </row>
    <row r="296" spans="9:9">
      <c r="I296" s="52"/>
    </row>
    <row r="297" spans="9:9">
      <c r="I297" s="52"/>
    </row>
    <row r="298" spans="9:9">
      <c r="I298" s="52"/>
    </row>
    <row r="299" spans="9:9">
      <c r="I299" s="52"/>
    </row>
    <row r="300" spans="9:9">
      <c r="I300" s="52"/>
    </row>
    <row r="301" spans="9:9">
      <c r="I301" s="52"/>
    </row>
    <row r="302" spans="9:9">
      <c r="I302" s="52"/>
    </row>
    <row r="303" spans="9:9">
      <c r="I303" s="52"/>
    </row>
    <row r="304" spans="9:9">
      <c r="I304" s="52"/>
    </row>
    <row r="305" spans="9:9">
      <c r="I305" s="52"/>
    </row>
    <row r="306" spans="9:9">
      <c r="I306" s="52"/>
    </row>
    <row r="307" spans="9:9">
      <c r="I307" s="52"/>
    </row>
    <row r="308" spans="9:9">
      <c r="I308" s="52"/>
    </row>
    <row r="309" spans="9:9">
      <c r="I309" s="52"/>
    </row>
    <row r="310" spans="9:9">
      <c r="I310" s="52"/>
    </row>
    <row r="311" spans="9:9">
      <c r="I311" s="52"/>
    </row>
    <row r="312" spans="9:9">
      <c r="I312" s="52"/>
    </row>
    <row r="313" spans="9:9">
      <c r="I313" s="52"/>
    </row>
    <row r="314" spans="9:9">
      <c r="I314" s="52"/>
    </row>
    <row r="315" spans="9:9">
      <c r="I315" s="52"/>
    </row>
    <row r="316" spans="9:9">
      <c r="I316" s="52"/>
    </row>
    <row r="317" spans="9:9">
      <c r="I317" s="52"/>
    </row>
    <row r="318" spans="9:9">
      <c r="I318" s="52"/>
    </row>
    <row r="319" spans="9:9">
      <c r="I319" s="52"/>
    </row>
    <row r="320" spans="9:9">
      <c r="I320" s="52"/>
    </row>
    <row r="321" spans="9:9">
      <c r="I321" s="52"/>
    </row>
    <row r="322" spans="9:9">
      <c r="I322" s="52"/>
    </row>
    <row r="323" spans="9:9">
      <c r="I323" s="52"/>
    </row>
    <row r="324" spans="9:9">
      <c r="I324" s="52"/>
    </row>
    <row r="325" spans="9:9">
      <c r="I325" s="52"/>
    </row>
    <row r="326" spans="9:9">
      <c r="I326" s="52"/>
    </row>
    <row r="327" spans="9:9">
      <c r="I327" s="52"/>
    </row>
    <row r="328" spans="9:9">
      <c r="I328" s="52"/>
    </row>
    <row r="329" spans="9:9">
      <c r="I329" s="52"/>
    </row>
  </sheetData>
  <autoFilter ref="A2:F21" xr:uid="{00000000-0009-0000-0000-000002000000}"/>
  <mergeCells count="1">
    <mergeCell ref="A1:F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C34E-9EDB-43AB-8344-D2002EE06C53}">
  <sheetPr codeName="Sheet14">
    <tabColor theme="0"/>
  </sheetPr>
  <dimension ref="A1:I340"/>
  <sheetViews>
    <sheetView showGridLines="0" topLeftCell="B1" workbookViewId="0">
      <pane ySplit="3" topLeftCell="A4" activePane="bottomLeft" state="frozen"/>
      <selection sqref="A1:F1"/>
      <selection pane="bottomLeft" sqref="A1:F1"/>
    </sheetView>
  </sheetViews>
  <sheetFormatPr defaultRowHeight="15"/>
  <cols>
    <col min="1" max="1" width="16.5703125" hidden="1" customWidth="1"/>
    <col min="2" max="2" width="45.5703125" bestFit="1" customWidth="1"/>
    <col min="3" max="3" width="9" style="20" bestFit="1" customWidth="1"/>
    <col min="4" max="4" width="5.5703125" bestFit="1" customWidth="1"/>
    <col min="6" max="6" width="12.85546875" customWidth="1"/>
  </cols>
  <sheetData>
    <row r="1" spans="1:9" ht="18.75" customHeight="1">
      <c r="A1" s="82" t="s">
        <v>0</v>
      </c>
      <c r="B1" s="83"/>
      <c r="C1" s="83"/>
      <c r="D1" s="83"/>
      <c r="E1" s="83"/>
      <c r="F1" s="83"/>
    </row>
    <row r="2" spans="1:9">
      <c r="A2" s="2" t="s">
        <v>1</v>
      </c>
      <c r="B2" s="1" t="s">
        <v>2</v>
      </c>
      <c r="C2" s="1" t="s">
        <v>3</v>
      </c>
      <c r="D2" s="1" t="s">
        <v>54</v>
      </c>
      <c r="E2" s="1" t="s">
        <v>46</v>
      </c>
      <c r="F2" s="1" t="s">
        <v>47</v>
      </c>
    </row>
    <row r="3" spans="1:9">
      <c r="A3" s="3" t="s">
        <v>5</v>
      </c>
      <c r="B3" s="5" t="s">
        <v>5</v>
      </c>
      <c r="C3" s="58"/>
      <c r="D3" s="8">
        <f>SUM(D4:D500)</f>
        <v>223</v>
      </c>
      <c r="E3" s="8"/>
      <c r="F3" s="16">
        <f>SUM(F4:F500)</f>
        <v>2710890.125</v>
      </c>
      <c r="H3" s="15"/>
    </row>
    <row r="4" spans="1:9">
      <c r="A4" s="3"/>
      <c r="B4" s="6" t="s">
        <v>134</v>
      </c>
      <c r="C4" s="64" t="s">
        <v>93</v>
      </c>
      <c r="D4" s="7">
        <v>47</v>
      </c>
      <c r="E4" s="7">
        <v>8884</v>
      </c>
      <c r="F4" s="7">
        <f>+D4*E4</f>
        <v>417548</v>
      </c>
      <c r="H4" s="15"/>
      <c r="I4" t="s">
        <v>93</v>
      </c>
    </row>
    <row r="5" spans="1:9">
      <c r="B5" s="6" t="s">
        <v>111</v>
      </c>
      <c r="C5" s="64" t="s">
        <v>126</v>
      </c>
      <c r="D5" s="7">
        <v>1</v>
      </c>
      <c r="E5" s="7">
        <v>14868</v>
      </c>
      <c r="F5" s="7">
        <f t="shared" ref="F5:F33" si="0">+D5*E5</f>
        <v>14868</v>
      </c>
      <c r="H5" s="15"/>
      <c r="I5" t="s">
        <v>126</v>
      </c>
    </row>
    <row r="6" spans="1:9">
      <c r="B6" s="6" t="s">
        <v>111</v>
      </c>
      <c r="C6" s="64" t="s">
        <v>126</v>
      </c>
      <c r="D6" s="7">
        <v>6</v>
      </c>
      <c r="E6" s="7">
        <v>14868</v>
      </c>
      <c r="F6" s="7">
        <f t="shared" si="0"/>
        <v>89208</v>
      </c>
      <c r="H6" s="15"/>
      <c r="I6" t="s">
        <v>126</v>
      </c>
    </row>
    <row r="7" spans="1:9">
      <c r="B7" s="6" t="s">
        <v>112</v>
      </c>
      <c r="C7" s="64" t="s">
        <v>125</v>
      </c>
      <c r="D7" s="7">
        <v>1</v>
      </c>
      <c r="E7" s="7">
        <v>9714</v>
      </c>
      <c r="F7" s="7">
        <f t="shared" si="0"/>
        <v>9714</v>
      </c>
      <c r="H7" s="15"/>
      <c r="I7" t="s">
        <v>93</v>
      </c>
    </row>
    <row r="8" spans="1:9">
      <c r="B8" s="6" t="s">
        <v>135</v>
      </c>
      <c r="C8" s="48" t="s">
        <v>77</v>
      </c>
      <c r="D8" s="7">
        <v>2</v>
      </c>
      <c r="E8" s="7">
        <v>4371</v>
      </c>
      <c r="F8" s="7">
        <f t="shared" si="0"/>
        <v>8742</v>
      </c>
      <c r="H8" s="15"/>
      <c r="I8" t="s">
        <v>77</v>
      </c>
    </row>
    <row r="9" spans="1:9">
      <c r="B9" s="6" t="s">
        <v>135</v>
      </c>
      <c r="C9" s="64" t="s">
        <v>81</v>
      </c>
      <c r="D9" s="7">
        <v>10</v>
      </c>
      <c r="E9" s="7">
        <v>4525</v>
      </c>
      <c r="F9" s="7">
        <f t="shared" si="0"/>
        <v>45250</v>
      </c>
      <c r="H9" s="15"/>
      <c r="I9" t="s">
        <v>81</v>
      </c>
    </row>
    <row r="10" spans="1:9">
      <c r="B10" s="6" t="s">
        <v>143</v>
      </c>
      <c r="C10" s="48" t="s">
        <v>145</v>
      </c>
      <c r="D10" s="7">
        <v>12</v>
      </c>
      <c r="E10" s="7">
        <v>27584</v>
      </c>
      <c r="F10" s="7">
        <f t="shared" si="0"/>
        <v>331008</v>
      </c>
      <c r="H10" s="15"/>
      <c r="I10" t="s">
        <v>93</v>
      </c>
    </row>
    <row r="11" spans="1:9">
      <c r="B11" s="6" t="s">
        <v>143</v>
      </c>
      <c r="C11" s="64" t="s">
        <v>145</v>
      </c>
      <c r="D11" s="7">
        <v>3</v>
      </c>
      <c r="E11" s="7">
        <v>27584</v>
      </c>
      <c r="F11" s="7">
        <f t="shared" si="0"/>
        <v>82752</v>
      </c>
      <c r="H11" s="15"/>
      <c r="I11" t="s">
        <v>126</v>
      </c>
    </row>
    <row r="12" spans="1:9">
      <c r="B12" s="6" t="s">
        <v>143</v>
      </c>
      <c r="C12" s="48" t="s">
        <v>145</v>
      </c>
      <c r="D12" s="7">
        <v>2</v>
      </c>
      <c r="E12" s="7">
        <v>27584</v>
      </c>
      <c r="F12" s="7">
        <f t="shared" si="0"/>
        <v>55168</v>
      </c>
      <c r="H12" s="15"/>
      <c r="I12" t="s">
        <v>145</v>
      </c>
    </row>
    <row r="13" spans="1:9">
      <c r="B13" s="6" t="s">
        <v>111</v>
      </c>
      <c r="C13" s="64" t="s">
        <v>126</v>
      </c>
      <c r="D13" s="7">
        <v>1</v>
      </c>
      <c r="E13" s="7">
        <v>14868</v>
      </c>
      <c r="F13" s="7">
        <f t="shared" si="0"/>
        <v>14868</v>
      </c>
      <c r="H13" s="15"/>
      <c r="I13" t="s">
        <v>145</v>
      </c>
    </row>
    <row r="14" spans="1:9">
      <c r="B14" s="6" t="s">
        <v>111</v>
      </c>
      <c r="C14" s="64" t="s">
        <v>126</v>
      </c>
      <c r="D14" s="7">
        <v>2</v>
      </c>
      <c r="E14" s="7">
        <v>14868</v>
      </c>
      <c r="F14" s="7">
        <f t="shared" si="0"/>
        <v>29736</v>
      </c>
      <c r="H14" s="15"/>
      <c r="I14" t="s">
        <v>145</v>
      </c>
    </row>
    <row r="15" spans="1:9">
      <c r="B15" s="6" t="s">
        <v>134</v>
      </c>
      <c r="C15" s="64" t="s">
        <v>93</v>
      </c>
      <c r="D15" s="7">
        <v>25</v>
      </c>
      <c r="E15" s="7">
        <v>8884</v>
      </c>
      <c r="F15" s="7">
        <f t="shared" si="0"/>
        <v>222100</v>
      </c>
      <c r="I15" t="s">
        <v>146</v>
      </c>
    </row>
    <row r="16" spans="1:9">
      <c r="B16" s="6" t="s">
        <v>135</v>
      </c>
      <c r="C16" s="64" t="s">
        <v>77</v>
      </c>
      <c r="D16" s="7">
        <v>6</v>
      </c>
      <c r="E16" s="7">
        <v>4371</v>
      </c>
      <c r="F16" s="7">
        <f t="shared" si="0"/>
        <v>26226</v>
      </c>
      <c r="I16" t="s">
        <v>146</v>
      </c>
    </row>
    <row r="17" spans="2:9">
      <c r="B17" s="6" t="s">
        <v>135</v>
      </c>
      <c r="C17" s="64" t="s">
        <v>81</v>
      </c>
      <c r="D17" s="7">
        <v>1</v>
      </c>
      <c r="E17" s="7">
        <v>4525</v>
      </c>
      <c r="F17" s="7">
        <f t="shared" si="0"/>
        <v>4525</v>
      </c>
      <c r="I17" t="s">
        <v>77</v>
      </c>
    </row>
    <row r="18" spans="2:9">
      <c r="B18" s="6" t="s">
        <v>143</v>
      </c>
      <c r="C18" s="48" t="s">
        <v>146</v>
      </c>
      <c r="D18" s="7">
        <v>15</v>
      </c>
      <c r="E18" s="7">
        <v>29512.375</v>
      </c>
      <c r="F18" s="7">
        <f t="shared" si="0"/>
        <v>442685.625</v>
      </c>
      <c r="I18" t="s">
        <v>81</v>
      </c>
    </row>
    <row r="19" spans="2:9">
      <c r="B19" s="6" t="s">
        <v>143</v>
      </c>
      <c r="C19" s="64" t="s">
        <v>146</v>
      </c>
      <c r="D19" s="7">
        <v>2</v>
      </c>
      <c r="E19" s="7">
        <v>29512.375</v>
      </c>
      <c r="F19" s="7">
        <f t="shared" si="0"/>
        <v>59024.75</v>
      </c>
      <c r="I19" t="s">
        <v>125</v>
      </c>
    </row>
    <row r="20" spans="2:9">
      <c r="B20" s="6" t="s">
        <v>143</v>
      </c>
      <c r="C20" s="48" t="s">
        <v>145</v>
      </c>
      <c r="D20" s="7">
        <v>1</v>
      </c>
      <c r="E20" s="7">
        <v>27584</v>
      </c>
      <c r="F20" s="7">
        <f t="shared" si="0"/>
        <v>27584</v>
      </c>
      <c r="I20" t="s">
        <v>126</v>
      </c>
    </row>
    <row r="21" spans="2:9">
      <c r="B21" s="6" t="s">
        <v>135</v>
      </c>
      <c r="C21" s="64" t="s">
        <v>81</v>
      </c>
      <c r="D21" s="7">
        <v>1</v>
      </c>
      <c r="E21" s="7">
        <v>4525</v>
      </c>
      <c r="F21" s="7">
        <f t="shared" si="0"/>
        <v>4525</v>
      </c>
      <c r="I21" t="s">
        <v>93</v>
      </c>
    </row>
    <row r="22" spans="2:9">
      <c r="B22" s="6" t="s">
        <v>135</v>
      </c>
      <c r="C22" s="48" t="s">
        <v>77</v>
      </c>
      <c r="D22" s="7">
        <v>7</v>
      </c>
      <c r="E22" s="7">
        <v>4371</v>
      </c>
      <c r="F22" s="7">
        <f t="shared" si="0"/>
        <v>30597</v>
      </c>
      <c r="I22" t="s">
        <v>145</v>
      </c>
    </row>
    <row r="23" spans="2:9">
      <c r="B23" s="6" t="s">
        <v>111</v>
      </c>
      <c r="C23" s="64" t="s">
        <v>126</v>
      </c>
      <c r="D23" s="7">
        <v>1</v>
      </c>
      <c r="E23" s="7">
        <v>14868</v>
      </c>
      <c r="F23" s="7">
        <f t="shared" si="0"/>
        <v>14868</v>
      </c>
      <c r="I23" t="s">
        <v>81</v>
      </c>
    </row>
    <row r="24" spans="2:9">
      <c r="B24" s="6" t="s">
        <v>111</v>
      </c>
      <c r="C24" s="64" t="s">
        <v>126</v>
      </c>
      <c r="D24" s="7">
        <v>1</v>
      </c>
      <c r="E24" s="7">
        <v>14868</v>
      </c>
      <c r="F24" s="7">
        <f t="shared" si="0"/>
        <v>14868</v>
      </c>
      <c r="I24" t="s">
        <v>81</v>
      </c>
    </row>
    <row r="25" spans="2:9">
      <c r="B25" s="6" t="s">
        <v>134</v>
      </c>
      <c r="C25" s="64" t="s">
        <v>93</v>
      </c>
      <c r="D25" s="7">
        <v>41</v>
      </c>
      <c r="E25" s="7">
        <v>8884</v>
      </c>
      <c r="F25" s="7">
        <f t="shared" si="0"/>
        <v>364244</v>
      </c>
      <c r="I25" t="s">
        <v>77</v>
      </c>
    </row>
    <row r="26" spans="2:9">
      <c r="B26" s="6" t="s">
        <v>111</v>
      </c>
      <c r="C26" s="64" t="s">
        <v>126</v>
      </c>
      <c r="D26" s="7">
        <v>3</v>
      </c>
      <c r="E26" s="7">
        <v>14868</v>
      </c>
      <c r="F26" s="7">
        <f t="shared" si="0"/>
        <v>44604</v>
      </c>
      <c r="I26" t="s">
        <v>93</v>
      </c>
    </row>
    <row r="27" spans="2:9">
      <c r="B27" s="6" t="s">
        <v>111</v>
      </c>
      <c r="C27" s="64" t="s">
        <v>126</v>
      </c>
      <c r="D27" s="7">
        <v>6</v>
      </c>
      <c r="E27" s="7">
        <v>14868</v>
      </c>
      <c r="F27" s="7">
        <f t="shared" si="0"/>
        <v>89208</v>
      </c>
      <c r="I27" t="s">
        <v>126</v>
      </c>
    </row>
    <row r="28" spans="2:9">
      <c r="B28" s="6" t="s">
        <v>134</v>
      </c>
      <c r="C28" s="48" t="s">
        <v>93</v>
      </c>
      <c r="D28" s="7">
        <v>14</v>
      </c>
      <c r="E28" s="7">
        <v>8884</v>
      </c>
      <c r="F28" s="7">
        <f t="shared" si="0"/>
        <v>124376</v>
      </c>
      <c r="I28" t="s">
        <v>126</v>
      </c>
    </row>
    <row r="29" spans="2:9">
      <c r="B29" s="6" t="s">
        <v>135</v>
      </c>
      <c r="C29" s="64" t="s">
        <v>81</v>
      </c>
      <c r="D29" s="7">
        <v>4</v>
      </c>
      <c r="E29" s="7">
        <v>4525</v>
      </c>
      <c r="F29" s="7">
        <f t="shared" si="0"/>
        <v>18100</v>
      </c>
      <c r="I29" t="s">
        <v>146</v>
      </c>
    </row>
    <row r="30" spans="2:9">
      <c r="B30" s="6" t="s">
        <v>135</v>
      </c>
      <c r="C30" s="48" t="s">
        <v>77</v>
      </c>
      <c r="D30" s="7">
        <v>2</v>
      </c>
      <c r="E30" s="7">
        <v>4371</v>
      </c>
      <c r="F30" s="7">
        <f t="shared" si="0"/>
        <v>8742</v>
      </c>
      <c r="I30" t="s">
        <v>146</v>
      </c>
    </row>
    <row r="31" spans="2:9">
      <c r="B31" s="6" t="s">
        <v>112</v>
      </c>
      <c r="C31" s="64" t="s">
        <v>125</v>
      </c>
      <c r="D31" s="7">
        <v>3</v>
      </c>
      <c r="E31" s="7">
        <v>9714</v>
      </c>
      <c r="F31" s="7">
        <f t="shared" si="0"/>
        <v>29142</v>
      </c>
      <c r="I31" t="s">
        <v>146</v>
      </c>
    </row>
    <row r="32" spans="2:9">
      <c r="B32" s="6" t="s">
        <v>143</v>
      </c>
      <c r="C32" s="64" t="s">
        <v>146</v>
      </c>
      <c r="D32" s="7">
        <v>2</v>
      </c>
      <c r="E32" s="7">
        <v>29512.375</v>
      </c>
      <c r="F32" s="7">
        <f t="shared" si="0"/>
        <v>59024.75</v>
      </c>
      <c r="I32" t="s">
        <v>145</v>
      </c>
    </row>
    <row r="33" spans="2:9">
      <c r="B33" s="6" t="s">
        <v>143</v>
      </c>
      <c r="C33" s="48" t="s">
        <v>145</v>
      </c>
      <c r="D33" s="7">
        <v>1</v>
      </c>
      <c r="E33" s="7">
        <v>27584</v>
      </c>
      <c r="F33" s="7">
        <f t="shared" si="0"/>
        <v>27584</v>
      </c>
      <c r="I33" s="52"/>
    </row>
    <row r="34" spans="2:9">
      <c r="B34" s="6"/>
      <c r="C34" s="48"/>
      <c r="D34" s="7"/>
      <c r="E34" s="7"/>
      <c r="F34" s="7"/>
      <c r="I34" s="52"/>
    </row>
    <row r="35" spans="2:9">
      <c r="B35" s="6"/>
      <c r="C35" s="48"/>
      <c r="D35" s="7"/>
      <c r="E35" s="7"/>
      <c r="F35" s="7"/>
      <c r="I35" s="52"/>
    </row>
    <row r="36" spans="2:9">
      <c r="B36" s="6"/>
      <c r="C36" s="48"/>
      <c r="D36" s="7"/>
      <c r="E36" s="7"/>
      <c r="F36" s="7"/>
      <c r="I36" s="52"/>
    </row>
    <row r="37" spans="2:9">
      <c r="B37" s="6"/>
      <c r="C37" s="48"/>
      <c r="D37" s="7"/>
      <c r="E37" s="7"/>
      <c r="F37" s="7"/>
      <c r="I37" s="52"/>
    </row>
    <row r="38" spans="2:9">
      <c r="B38" s="6"/>
      <c r="C38" s="48"/>
      <c r="D38" s="7"/>
      <c r="E38" s="7"/>
      <c r="F38" s="7"/>
      <c r="I38" s="52"/>
    </row>
    <row r="39" spans="2:9">
      <c r="B39" s="6"/>
      <c r="C39" s="48"/>
      <c r="D39" s="7"/>
      <c r="E39" s="7"/>
      <c r="F39" s="7"/>
      <c r="I39" s="52"/>
    </row>
    <row r="40" spans="2:9">
      <c r="B40" s="6"/>
      <c r="C40" s="48"/>
      <c r="D40" s="7"/>
      <c r="E40" s="7"/>
      <c r="F40" s="7"/>
      <c r="I40" s="52"/>
    </row>
    <row r="41" spans="2:9">
      <c r="B41" s="6"/>
      <c r="C41" s="48"/>
      <c r="D41" s="7"/>
      <c r="E41" s="7"/>
      <c r="F41" s="7"/>
      <c r="I41" s="52"/>
    </row>
    <row r="42" spans="2:9">
      <c r="B42" s="6"/>
      <c r="C42" s="48"/>
      <c r="D42" s="7"/>
      <c r="E42" s="7"/>
      <c r="F42" s="7"/>
      <c r="I42" s="52"/>
    </row>
    <row r="43" spans="2:9">
      <c r="B43" s="6"/>
      <c r="C43" s="48"/>
      <c r="D43" s="7"/>
      <c r="E43" s="7"/>
      <c r="F43" s="7"/>
      <c r="I43" s="52"/>
    </row>
    <row r="44" spans="2:9">
      <c r="B44" s="6"/>
      <c r="C44" s="48"/>
      <c r="D44" s="7"/>
      <c r="E44" s="7"/>
      <c r="F44" s="7"/>
      <c r="I44" s="52"/>
    </row>
    <row r="45" spans="2:9">
      <c r="B45" s="6"/>
      <c r="C45" s="48"/>
      <c r="D45" s="7"/>
      <c r="E45" s="7"/>
      <c r="F45" s="7"/>
      <c r="I45" s="52"/>
    </row>
    <row r="46" spans="2:9">
      <c r="B46" s="6"/>
      <c r="C46" s="48"/>
      <c r="D46" s="7"/>
      <c r="E46" s="7"/>
      <c r="F46" s="7"/>
      <c r="I46" s="52"/>
    </row>
    <row r="47" spans="2:9">
      <c r="B47" s="6"/>
      <c r="C47" s="48"/>
      <c r="D47" s="7"/>
      <c r="E47" s="7"/>
      <c r="F47" s="7"/>
      <c r="I47" s="52"/>
    </row>
    <row r="48" spans="2:9">
      <c r="B48" s="6"/>
      <c r="C48" s="48"/>
      <c r="D48" s="7"/>
      <c r="E48" s="7"/>
      <c r="F48" s="7"/>
      <c r="I48" s="52"/>
    </row>
    <row r="49" spans="2:9">
      <c r="B49" s="6"/>
      <c r="C49" s="48"/>
      <c r="D49" s="7"/>
      <c r="E49" s="7"/>
      <c r="F49" s="7"/>
      <c r="I49" s="52"/>
    </row>
    <row r="50" spans="2:9">
      <c r="B50" s="6"/>
      <c r="C50" s="48"/>
      <c r="D50" s="7"/>
      <c r="E50" s="7"/>
      <c r="F50" s="7"/>
      <c r="I50" s="52"/>
    </row>
    <row r="51" spans="2:9">
      <c r="B51" s="6"/>
      <c r="C51" s="48"/>
      <c r="D51" s="7"/>
      <c r="E51" s="7"/>
      <c r="F51" s="7"/>
      <c r="I51" s="52"/>
    </row>
    <row r="52" spans="2:9">
      <c r="B52" s="6"/>
      <c r="C52" s="48"/>
      <c r="D52" s="7"/>
      <c r="E52" s="7"/>
      <c r="F52" s="7"/>
      <c r="I52" s="52"/>
    </row>
    <row r="53" spans="2:9">
      <c r="B53" s="6"/>
      <c r="C53" s="48"/>
      <c r="D53" s="7"/>
      <c r="E53" s="7"/>
      <c r="F53" s="7"/>
      <c r="I53" s="52"/>
    </row>
    <row r="54" spans="2:9">
      <c r="B54" s="6"/>
      <c r="C54" s="48"/>
      <c r="D54" s="7"/>
      <c r="E54" s="7"/>
      <c r="F54" s="7"/>
      <c r="I54" s="52"/>
    </row>
    <row r="55" spans="2:9">
      <c r="B55" s="6"/>
      <c r="C55" s="48"/>
      <c r="D55" s="7"/>
      <c r="E55" s="7"/>
      <c r="F55" s="7"/>
      <c r="I55" s="52"/>
    </row>
    <row r="56" spans="2:9">
      <c r="B56" s="6"/>
      <c r="C56" s="48"/>
      <c r="D56" s="7"/>
      <c r="E56" s="7"/>
      <c r="F56" s="7"/>
      <c r="I56" s="52"/>
    </row>
    <row r="57" spans="2:9">
      <c r="B57" s="6"/>
      <c r="C57" s="48"/>
      <c r="D57" s="7"/>
      <c r="E57" s="7"/>
      <c r="F57" s="7"/>
      <c r="I57" s="52"/>
    </row>
    <row r="58" spans="2:9">
      <c r="B58" s="6"/>
      <c r="C58" s="48"/>
      <c r="D58" s="7"/>
      <c r="E58" s="7"/>
      <c r="F58" s="7"/>
      <c r="I58" s="52"/>
    </row>
    <row r="59" spans="2:9">
      <c r="B59" s="6"/>
      <c r="C59" s="48"/>
      <c r="D59" s="7"/>
      <c r="E59" s="7"/>
      <c r="F59" s="7"/>
      <c r="I59" s="52"/>
    </row>
    <row r="60" spans="2:9">
      <c r="B60" s="6"/>
      <c r="C60" s="48"/>
      <c r="D60" s="7"/>
      <c r="E60" s="7"/>
      <c r="F60" s="7"/>
      <c r="I60" s="52"/>
    </row>
    <row r="61" spans="2:9">
      <c r="B61" s="6"/>
      <c r="C61" s="48"/>
      <c r="D61" s="7"/>
      <c r="E61" s="7"/>
      <c r="F61" s="7"/>
      <c r="I61" s="52"/>
    </row>
    <row r="62" spans="2:9">
      <c r="B62" s="6"/>
      <c r="C62" s="48"/>
      <c r="D62" s="7"/>
      <c r="E62" s="7"/>
      <c r="F62" s="7"/>
      <c r="I62" s="52"/>
    </row>
    <row r="63" spans="2:9">
      <c r="B63" s="6"/>
      <c r="C63" s="48"/>
      <c r="D63" s="7"/>
      <c r="E63" s="7"/>
      <c r="F63" s="7"/>
      <c r="I63" s="52"/>
    </row>
    <row r="64" spans="2:9">
      <c r="B64" s="6"/>
      <c r="C64" s="48"/>
      <c r="D64" s="7"/>
      <c r="E64" s="7"/>
      <c r="F64" s="7"/>
      <c r="I64" s="52"/>
    </row>
    <row r="65" spans="2:9">
      <c r="B65" s="6"/>
      <c r="C65" s="48"/>
      <c r="D65" s="7"/>
      <c r="E65" s="7"/>
      <c r="F65" s="7"/>
      <c r="I65" s="52"/>
    </row>
    <row r="66" spans="2:9">
      <c r="B66" s="6"/>
      <c r="C66" s="48"/>
      <c r="D66" s="7"/>
      <c r="E66" s="7"/>
      <c r="F66" s="7"/>
      <c r="I66" s="52"/>
    </row>
    <row r="67" spans="2:9">
      <c r="B67" s="6"/>
      <c r="C67" s="48"/>
      <c r="D67" s="7"/>
      <c r="E67" s="7"/>
      <c r="F67" s="7"/>
      <c r="I67" s="52"/>
    </row>
    <row r="68" spans="2:9">
      <c r="B68" s="6"/>
      <c r="C68" s="48"/>
      <c r="D68" s="7"/>
      <c r="E68" s="7"/>
      <c r="F68" s="7"/>
      <c r="I68" s="52"/>
    </row>
    <row r="69" spans="2:9">
      <c r="B69" s="6"/>
      <c r="C69" s="48"/>
      <c r="D69" s="7"/>
      <c r="E69" s="7"/>
      <c r="F69" s="7"/>
      <c r="I69" s="52"/>
    </row>
    <row r="70" spans="2:9">
      <c r="B70" s="6"/>
      <c r="C70" s="48"/>
      <c r="D70" s="7"/>
      <c r="E70" s="7"/>
      <c r="F70" s="7"/>
      <c r="I70" s="52"/>
    </row>
    <row r="71" spans="2:9">
      <c r="B71" s="6"/>
      <c r="C71" s="48"/>
      <c r="D71" s="7"/>
      <c r="E71" s="7"/>
      <c r="F71" s="7"/>
      <c r="I71" s="52"/>
    </row>
    <row r="72" spans="2:9">
      <c r="B72" s="6"/>
      <c r="C72" s="48"/>
      <c r="D72" s="7"/>
      <c r="E72" s="7"/>
      <c r="F72" s="7"/>
      <c r="I72" s="52"/>
    </row>
    <row r="73" spans="2:9">
      <c r="B73" s="6"/>
      <c r="C73" s="48"/>
      <c r="D73" s="7"/>
      <c r="E73" s="7"/>
      <c r="F73" s="7"/>
      <c r="I73" s="52"/>
    </row>
    <row r="74" spans="2:9">
      <c r="B74" s="6"/>
      <c r="C74" s="48"/>
      <c r="D74" s="7"/>
      <c r="E74" s="7"/>
      <c r="F74" s="7"/>
      <c r="I74" s="52"/>
    </row>
    <row r="75" spans="2:9">
      <c r="B75" s="6"/>
      <c r="C75" s="48"/>
      <c r="D75" s="7"/>
      <c r="E75" s="7"/>
      <c r="F75" s="7"/>
      <c r="I75" s="52"/>
    </row>
    <row r="76" spans="2:9">
      <c r="B76" s="6"/>
      <c r="C76" s="48"/>
      <c r="D76" s="7"/>
      <c r="E76" s="7"/>
      <c r="F76" s="7"/>
      <c r="I76" s="52"/>
    </row>
    <row r="77" spans="2:9">
      <c r="B77" s="6"/>
      <c r="C77" s="48"/>
      <c r="D77" s="7"/>
      <c r="E77" s="7"/>
      <c r="F77" s="7"/>
      <c r="I77" s="52"/>
    </row>
    <row r="78" spans="2:9">
      <c r="B78" s="6"/>
      <c r="C78" s="48"/>
      <c r="D78" s="7"/>
      <c r="E78" s="7"/>
      <c r="F78" s="7"/>
      <c r="I78" s="52"/>
    </row>
    <row r="79" spans="2:9">
      <c r="B79" s="6"/>
      <c r="C79" s="48"/>
      <c r="D79" s="7"/>
      <c r="E79" s="7"/>
      <c r="F79" s="7"/>
      <c r="I79" s="52"/>
    </row>
    <row r="80" spans="2:9">
      <c r="B80" s="6"/>
      <c r="C80" s="48"/>
      <c r="D80" s="7"/>
      <c r="E80" s="7"/>
      <c r="F80" s="7"/>
      <c r="I80" s="52"/>
    </row>
    <row r="81" spans="2:9">
      <c r="B81" s="6"/>
      <c r="C81" s="48"/>
      <c r="D81" s="7"/>
      <c r="E81" s="7"/>
      <c r="F81" s="7"/>
      <c r="I81" s="52"/>
    </row>
    <row r="82" spans="2:9">
      <c r="B82" s="6"/>
      <c r="C82" s="48"/>
      <c r="D82" s="7"/>
      <c r="E82" s="7"/>
      <c r="F82" s="7"/>
      <c r="I82" s="52"/>
    </row>
    <row r="83" spans="2:9">
      <c r="B83" s="6"/>
      <c r="C83" s="48"/>
      <c r="D83" s="7"/>
      <c r="E83" s="7"/>
      <c r="F83" s="7"/>
      <c r="I83" s="52"/>
    </row>
    <row r="84" spans="2:9">
      <c r="B84" s="6"/>
      <c r="C84" s="48"/>
      <c r="D84" s="7"/>
      <c r="E84" s="7"/>
      <c r="F84" s="7"/>
      <c r="I84" s="52"/>
    </row>
    <row r="85" spans="2:9">
      <c r="B85" s="6"/>
      <c r="C85" s="48"/>
      <c r="D85" s="7"/>
      <c r="E85" s="7"/>
      <c r="F85" s="7"/>
      <c r="I85" s="52"/>
    </row>
    <row r="86" spans="2:9">
      <c r="B86" s="6"/>
      <c r="C86" s="48"/>
      <c r="D86" s="7"/>
      <c r="E86" s="7"/>
      <c r="F86" s="7"/>
      <c r="I86" s="52"/>
    </row>
    <row r="87" spans="2:9">
      <c r="B87" s="6"/>
      <c r="C87" s="48"/>
      <c r="D87" s="7"/>
      <c r="E87" s="7"/>
      <c r="F87" s="7"/>
      <c r="I87" s="52"/>
    </row>
    <row r="88" spans="2:9">
      <c r="B88" s="6"/>
      <c r="C88" s="48"/>
      <c r="D88" s="7"/>
      <c r="E88" s="7"/>
      <c r="F88" s="7"/>
      <c r="I88" s="52"/>
    </row>
    <row r="89" spans="2:9">
      <c r="B89" s="6"/>
      <c r="C89" s="48"/>
      <c r="D89" s="7"/>
      <c r="E89" s="7"/>
      <c r="F89" s="7"/>
      <c r="I89" s="52"/>
    </row>
    <row r="90" spans="2:9">
      <c r="B90" s="6"/>
      <c r="C90" s="48"/>
      <c r="D90" s="7"/>
      <c r="E90" s="7"/>
      <c r="F90" s="7"/>
      <c r="I90" s="52"/>
    </row>
    <row r="91" spans="2:9">
      <c r="B91" s="6"/>
      <c r="C91" s="48"/>
      <c r="D91" s="7"/>
      <c r="E91" s="7"/>
      <c r="F91" s="7"/>
      <c r="I91" s="52"/>
    </row>
    <row r="92" spans="2:9">
      <c r="B92" s="6"/>
      <c r="C92" s="48"/>
      <c r="D92" s="7"/>
      <c r="E92" s="7"/>
      <c r="F92" s="7"/>
      <c r="I92" s="52"/>
    </row>
    <row r="93" spans="2:9">
      <c r="B93" s="6"/>
      <c r="C93" s="48"/>
      <c r="D93" s="7"/>
      <c r="E93" s="7"/>
      <c r="F93" s="7"/>
      <c r="I93" s="52"/>
    </row>
    <row r="94" spans="2:9">
      <c r="B94" s="6"/>
      <c r="C94" s="48"/>
      <c r="D94" s="7"/>
      <c r="E94" s="7"/>
      <c r="F94" s="7"/>
      <c r="I94" s="52"/>
    </row>
    <row r="95" spans="2:9">
      <c r="B95" s="6"/>
      <c r="C95" s="48"/>
      <c r="D95" s="7"/>
      <c r="E95" s="7"/>
      <c r="F95" s="7"/>
      <c r="I95" s="52"/>
    </row>
    <row r="96" spans="2:9">
      <c r="B96" s="6"/>
      <c r="C96" s="48"/>
      <c r="D96" s="7"/>
      <c r="E96" s="7"/>
      <c r="F96" s="7"/>
      <c r="I96" s="52"/>
    </row>
    <row r="97" spans="2:9">
      <c r="B97" s="6"/>
      <c r="C97" s="48"/>
      <c r="D97" s="7"/>
      <c r="E97" s="7"/>
      <c r="F97" s="7"/>
      <c r="I97" s="52"/>
    </row>
    <row r="98" spans="2:9">
      <c r="B98" s="6"/>
      <c r="C98" s="48"/>
      <c r="D98" s="7"/>
      <c r="E98" s="7"/>
      <c r="F98" s="7"/>
      <c r="I98" s="52"/>
    </row>
    <row r="99" spans="2:9">
      <c r="B99" s="6"/>
      <c r="C99" s="48"/>
      <c r="D99" s="7"/>
      <c r="E99" s="7"/>
      <c r="F99" s="7"/>
      <c r="I99" s="52"/>
    </row>
    <row r="100" spans="2:9">
      <c r="B100" s="6"/>
      <c r="C100" s="48"/>
      <c r="D100" s="7"/>
      <c r="E100" s="7"/>
      <c r="F100" s="7"/>
      <c r="I100" s="52"/>
    </row>
    <row r="101" spans="2:9">
      <c r="B101" s="6"/>
      <c r="C101" s="48"/>
      <c r="D101" s="7"/>
      <c r="E101" s="7"/>
      <c r="F101" s="7"/>
      <c r="I101" s="52"/>
    </row>
    <row r="102" spans="2:9">
      <c r="B102" s="6"/>
      <c r="C102" s="48"/>
      <c r="D102" s="7"/>
      <c r="E102" s="7"/>
      <c r="F102" s="7"/>
      <c r="I102" s="52"/>
    </row>
    <row r="103" spans="2:9">
      <c r="B103" s="6"/>
      <c r="C103" s="48"/>
      <c r="D103" s="7"/>
      <c r="E103" s="7"/>
      <c r="F103" s="7"/>
      <c r="I103" s="52"/>
    </row>
    <row r="104" spans="2:9">
      <c r="B104" s="6"/>
      <c r="C104" s="48"/>
      <c r="D104" s="7"/>
      <c r="E104" s="7"/>
      <c r="F104" s="7"/>
      <c r="I104" s="52"/>
    </row>
    <row r="105" spans="2:9">
      <c r="B105" s="6"/>
      <c r="C105" s="48"/>
      <c r="D105" s="7"/>
      <c r="E105" s="7"/>
      <c r="F105" s="7"/>
      <c r="I105" s="52"/>
    </row>
    <row r="106" spans="2:9">
      <c r="B106" s="6"/>
      <c r="C106" s="48"/>
      <c r="D106" s="7"/>
      <c r="E106" s="7"/>
      <c r="F106" s="7"/>
      <c r="I106" s="52"/>
    </row>
    <row r="107" spans="2:9">
      <c r="B107" s="6"/>
      <c r="C107" s="48"/>
      <c r="D107" s="7"/>
      <c r="E107" s="7"/>
      <c r="F107" s="7"/>
      <c r="I107" s="52"/>
    </row>
    <row r="108" spans="2:9">
      <c r="B108" s="6"/>
      <c r="C108" s="48"/>
      <c r="D108" s="7"/>
      <c r="E108" s="7"/>
      <c r="F108" s="7"/>
      <c r="I108" s="52"/>
    </row>
    <row r="109" spans="2:9">
      <c r="B109" s="6"/>
      <c r="C109" s="48"/>
      <c r="D109" s="7"/>
      <c r="E109" s="7"/>
      <c r="F109" s="7"/>
      <c r="I109" s="52"/>
    </row>
    <row r="110" spans="2:9">
      <c r="B110" s="6"/>
      <c r="C110" s="48"/>
      <c r="D110" s="7"/>
      <c r="E110" s="7"/>
      <c r="F110" s="7"/>
      <c r="I110" s="52"/>
    </row>
    <row r="111" spans="2:9">
      <c r="B111" s="6"/>
      <c r="C111" s="48"/>
      <c r="D111" s="7"/>
      <c r="E111" s="7"/>
      <c r="F111" s="7"/>
      <c r="I111" s="52"/>
    </row>
    <row r="112" spans="2:9">
      <c r="B112" s="6"/>
      <c r="C112" s="48"/>
      <c r="D112" s="7"/>
      <c r="E112" s="7"/>
      <c r="F112" s="7"/>
      <c r="I112" s="52"/>
    </row>
    <row r="113" spans="2:9">
      <c r="B113" s="6"/>
      <c r="C113" s="48"/>
      <c r="D113" s="7"/>
      <c r="E113" s="7"/>
      <c r="F113" s="7"/>
      <c r="I113" s="52"/>
    </row>
    <row r="114" spans="2:9">
      <c r="B114" s="6"/>
      <c r="C114" s="48"/>
      <c r="D114" s="7"/>
      <c r="E114" s="7"/>
      <c r="F114" s="7"/>
      <c r="I114" s="52"/>
    </row>
    <row r="115" spans="2:9">
      <c r="B115" s="6"/>
      <c r="C115" s="48"/>
      <c r="D115" s="7"/>
      <c r="E115" s="7"/>
      <c r="F115" s="7"/>
      <c r="I115" s="52"/>
    </row>
    <row r="116" spans="2:9">
      <c r="B116" s="6"/>
      <c r="C116" s="48"/>
      <c r="D116" s="7"/>
      <c r="E116" s="7"/>
      <c r="F116" s="7"/>
      <c r="I116" s="52"/>
    </row>
    <row r="117" spans="2:9">
      <c r="B117" s="6"/>
      <c r="C117" s="48"/>
      <c r="D117" s="7"/>
      <c r="E117" s="7"/>
      <c r="F117" s="7"/>
      <c r="I117" s="52"/>
    </row>
    <row r="118" spans="2:9">
      <c r="B118" s="6"/>
      <c r="C118" s="48"/>
      <c r="D118" s="7"/>
      <c r="E118" s="7"/>
      <c r="F118" s="7"/>
      <c r="I118" s="52"/>
    </row>
    <row r="119" spans="2:9">
      <c r="B119" s="6"/>
      <c r="C119" s="48"/>
      <c r="D119" s="7"/>
      <c r="E119" s="7"/>
      <c r="F119" s="7"/>
      <c r="I119" s="52"/>
    </row>
    <row r="120" spans="2:9">
      <c r="B120" s="6"/>
      <c r="C120" s="48"/>
      <c r="D120" s="7"/>
      <c r="E120" s="7"/>
      <c r="F120" s="7"/>
      <c r="I120" s="52"/>
    </row>
    <row r="121" spans="2:9">
      <c r="B121" s="6"/>
      <c r="C121" s="48"/>
      <c r="D121" s="7"/>
      <c r="E121" s="7"/>
      <c r="F121" s="7"/>
      <c r="I121" s="52"/>
    </row>
    <row r="122" spans="2:9">
      <c r="B122" s="6"/>
      <c r="C122" s="48"/>
      <c r="D122" s="7"/>
      <c r="E122" s="7"/>
      <c r="F122" s="7"/>
      <c r="I122" s="52"/>
    </row>
    <row r="123" spans="2:9">
      <c r="B123" s="6"/>
      <c r="C123" s="48"/>
      <c r="D123" s="7"/>
      <c r="E123" s="7"/>
      <c r="F123" s="7"/>
      <c r="I123" s="52"/>
    </row>
    <row r="124" spans="2:9">
      <c r="B124" s="6"/>
      <c r="C124" s="48"/>
      <c r="D124" s="7"/>
      <c r="E124" s="7"/>
      <c r="F124" s="7"/>
      <c r="I124" s="52"/>
    </row>
    <row r="125" spans="2:9">
      <c r="B125" s="6"/>
      <c r="C125" s="48"/>
      <c r="D125" s="7"/>
      <c r="E125" s="7"/>
      <c r="F125" s="7"/>
      <c r="I125" s="52"/>
    </row>
    <row r="126" spans="2:9">
      <c r="B126" s="6"/>
      <c r="C126" s="48"/>
      <c r="D126" s="7"/>
      <c r="E126" s="7"/>
      <c r="F126" s="7"/>
      <c r="I126" s="52"/>
    </row>
    <row r="127" spans="2:9">
      <c r="B127" s="6"/>
      <c r="C127" s="48"/>
      <c r="D127" s="7"/>
      <c r="E127" s="7"/>
      <c r="F127" s="7"/>
      <c r="I127" s="52"/>
    </row>
    <row r="128" spans="2:9">
      <c r="B128" s="6"/>
      <c r="C128" s="48"/>
      <c r="D128" s="7"/>
      <c r="E128" s="7"/>
      <c r="F128" s="7"/>
      <c r="I128" s="52"/>
    </row>
    <row r="129" spans="2:9">
      <c r="B129" s="6"/>
      <c r="C129" s="48"/>
      <c r="D129" s="7"/>
      <c r="E129" s="7"/>
      <c r="F129" s="7"/>
      <c r="I129" s="52"/>
    </row>
    <row r="130" spans="2:9">
      <c r="B130" s="6"/>
      <c r="C130" s="48"/>
      <c r="D130" s="7"/>
      <c r="E130" s="7"/>
      <c r="F130" s="7"/>
      <c r="I130" s="52"/>
    </row>
    <row r="131" spans="2:9">
      <c r="B131" s="6"/>
      <c r="C131" s="48"/>
      <c r="D131" s="7"/>
      <c r="E131" s="7"/>
      <c r="F131" s="7"/>
      <c r="I131" s="52"/>
    </row>
    <row r="132" spans="2:9">
      <c r="B132" s="6"/>
      <c r="C132" s="48"/>
      <c r="D132" s="7"/>
      <c r="E132" s="7"/>
      <c r="F132" s="7"/>
      <c r="I132" s="52"/>
    </row>
    <row r="133" spans="2:9">
      <c r="B133" s="6"/>
      <c r="C133" s="48"/>
      <c r="D133" s="7"/>
      <c r="E133" s="7"/>
      <c r="F133" s="7"/>
      <c r="I133" s="52"/>
    </row>
    <row r="134" spans="2:9">
      <c r="B134" s="6"/>
      <c r="C134" s="48"/>
      <c r="D134" s="7"/>
      <c r="E134" s="7"/>
      <c r="F134" s="7"/>
      <c r="I134" s="52"/>
    </row>
    <row r="135" spans="2:9">
      <c r="B135" s="6"/>
      <c r="C135" s="48"/>
      <c r="D135" s="7"/>
      <c r="E135" s="7"/>
      <c r="F135" s="7"/>
      <c r="I135" s="52"/>
    </row>
    <row r="136" spans="2:9">
      <c r="B136" s="6"/>
      <c r="C136" s="48"/>
      <c r="D136" s="7"/>
      <c r="E136" s="7"/>
      <c r="F136" s="7"/>
      <c r="I136" s="52"/>
    </row>
    <row r="137" spans="2:9">
      <c r="B137" s="6"/>
      <c r="C137" s="48"/>
      <c r="D137" s="7"/>
      <c r="E137" s="7"/>
      <c r="F137" s="7"/>
      <c r="I137" s="52"/>
    </row>
    <row r="138" spans="2:9">
      <c r="B138" s="6"/>
      <c r="C138" s="48"/>
      <c r="D138" s="7"/>
      <c r="E138" s="7"/>
      <c r="F138" s="7"/>
      <c r="I138" s="52"/>
    </row>
    <row r="139" spans="2:9">
      <c r="B139" s="6"/>
      <c r="C139" s="48"/>
      <c r="D139" s="7"/>
      <c r="E139" s="7"/>
      <c r="F139" s="7"/>
      <c r="I139" s="52"/>
    </row>
    <row r="140" spans="2:9">
      <c r="I140" s="52"/>
    </row>
    <row r="141" spans="2:9">
      <c r="I141" s="52"/>
    </row>
    <row r="142" spans="2:9">
      <c r="I142" s="52"/>
    </row>
    <row r="143" spans="2:9">
      <c r="I143" s="52"/>
    </row>
    <row r="144" spans="2:9">
      <c r="I144" s="52"/>
    </row>
    <row r="145" spans="9:9">
      <c r="I145" s="52"/>
    </row>
    <row r="146" spans="9:9">
      <c r="I146" s="52"/>
    </row>
    <row r="147" spans="9:9">
      <c r="I147" s="52"/>
    </row>
    <row r="148" spans="9:9">
      <c r="I148" s="52"/>
    </row>
    <row r="149" spans="9:9">
      <c r="I149" s="52"/>
    </row>
    <row r="150" spans="9:9">
      <c r="I150" s="52"/>
    </row>
    <row r="151" spans="9:9">
      <c r="I151" s="52"/>
    </row>
    <row r="152" spans="9:9">
      <c r="I152" s="52"/>
    </row>
    <row r="153" spans="9:9">
      <c r="I153" s="52"/>
    </row>
    <row r="154" spans="9:9">
      <c r="I154" s="52"/>
    </row>
    <row r="155" spans="9:9">
      <c r="I155" s="52"/>
    </row>
    <row r="156" spans="9:9">
      <c r="I156" s="52"/>
    </row>
    <row r="157" spans="9:9">
      <c r="I157" s="52"/>
    </row>
    <row r="158" spans="9:9">
      <c r="I158" s="52"/>
    </row>
    <row r="159" spans="9:9">
      <c r="I159" s="52"/>
    </row>
    <row r="160" spans="9:9">
      <c r="I160" s="52"/>
    </row>
    <row r="161" spans="9:9">
      <c r="I161" s="52"/>
    </row>
    <row r="162" spans="9:9">
      <c r="I162" s="52"/>
    </row>
    <row r="163" spans="9:9">
      <c r="I163" s="52"/>
    </row>
    <row r="164" spans="9:9">
      <c r="I164" s="52"/>
    </row>
    <row r="165" spans="9:9">
      <c r="I165" s="52"/>
    </row>
    <row r="166" spans="9:9">
      <c r="I166" s="52"/>
    </row>
    <row r="167" spans="9:9">
      <c r="I167" s="52"/>
    </row>
    <row r="168" spans="9:9">
      <c r="I168" s="52"/>
    </row>
    <row r="169" spans="9:9">
      <c r="I169" s="52"/>
    </row>
    <row r="170" spans="9:9">
      <c r="I170" s="52"/>
    </row>
    <row r="171" spans="9:9">
      <c r="I171" s="52"/>
    </row>
    <row r="172" spans="9:9">
      <c r="I172" s="52"/>
    </row>
    <row r="173" spans="9:9">
      <c r="I173" s="52"/>
    </row>
    <row r="174" spans="9:9">
      <c r="I174" s="52"/>
    </row>
    <row r="175" spans="9:9">
      <c r="I175" s="52"/>
    </row>
    <row r="176" spans="9:9">
      <c r="I176" s="52"/>
    </row>
    <row r="177" spans="9:9">
      <c r="I177" s="52"/>
    </row>
    <row r="178" spans="9:9">
      <c r="I178" s="52"/>
    </row>
    <row r="179" spans="9:9">
      <c r="I179" s="52"/>
    </row>
    <row r="180" spans="9:9">
      <c r="I180" s="52"/>
    </row>
    <row r="181" spans="9:9">
      <c r="I181" s="52"/>
    </row>
    <row r="182" spans="9:9">
      <c r="I182" s="52"/>
    </row>
    <row r="183" spans="9:9">
      <c r="I183" s="52"/>
    </row>
    <row r="184" spans="9:9">
      <c r="I184" s="52"/>
    </row>
    <row r="185" spans="9:9">
      <c r="I185" s="52"/>
    </row>
    <row r="186" spans="9:9">
      <c r="I186" s="52"/>
    </row>
    <row r="187" spans="9:9">
      <c r="I187" s="52"/>
    </row>
    <row r="188" spans="9:9">
      <c r="I188" s="52"/>
    </row>
    <row r="189" spans="9:9">
      <c r="I189" s="52"/>
    </row>
    <row r="190" spans="9:9">
      <c r="I190" s="52"/>
    </row>
    <row r="191" spans="9:9">
      <c r="I191" s="52"/>
    </row>
    <row r="192" spans="9:9">
      <c r="I192" s="52"/>
    </row>
    <row r="193" spans="9:9">
      <c r="I193" s="52"/>
    </row>
    <row r="194" spans="9:9">
      <c r="I194" s="52"/>
    </row>
    <row r="195" spans="9:9">
      <c r="I195" s="52"/>
    </row>
    <row r="196" spans="9:9">
      <c r="I196" s="52"/>
    </row>
    <row r="197" spans="9:9">
      <c r="I197" s="52"/>
    </row>
    <row r="198" spans="9:9">
      <c r="I198" s="52"/>
    </row>
    <row r="199" spans="9:9">
      <c r="I199" s="52"/>
    </row>
    <row r="200" spans="9:9">
      <c r="I200" s="52"/>
    </row>
    <row r="201" spans="9:9">
      <c r="I201" s="52"/>
    </row>
    <row r="202" spans="9:9">
      <c r="I202" s="52"/>
    </row>
    <row r="203" spans="9:9">
      <c r="I203" s="52"/>
    </row>
    <row r="204" spans="9:9">
      <c r="I204" s="52"/>
    </row>
    <row r="205" spans="9:9">
      <c r="I205" s="52"/>
    </row>
    <row r="206" spans="9:9">
      <c r="I206" s="52"/>
    </row>
    <row r="207" spans="9:9">
      <c r="I207" s="52"/>
    </row>
    <row r="208" spans="9:9">
      <c r="I208" s="52"/>
    </row>
    <row r="209" spans="9:9">
      <c r="I209" s="52"/>
    </row>
    <row r="210" spans="9:9">
      <c r="I210" s="52"/>
    </row>
    <row r="211" spans="9:9">
      <c r="I211" s="52"/>
    </row>
    <row r="212" spans="9:9">
      <c r="I212" s="52"/>
    </row>
    <row r="213" spans="9:9">
      <c r="I213" s="52"/>
    </row>
    <row r="214" spans="9:9">
      <c r="I214" s="52"/>
    </row>
    <row r="215" spans="9:9">
      <c r="I215" s="52"/>
    </row>
    <row r="216" spans="9:9">
      <c r="I216" s="52"/>
    </row>
    <row r="217" spans="9:9">
      <c r="I217" s="52"/>
    </row>
    <row r="218" spans="9:9">
      <c r="I218" s="52"/>
    </row>
    <row r="219" spans="9:9">
      <c r="I219" s="52"/>
    </row>
    <row r="220" spans="9:9">
      <c r="I220" s="52"/>
    </row>
    <row r="221" spans="9:9">
      <c r="I221" s="52"/>
    </row>
    <row r="222" spans="9:9">
      <c r="I222" s="52"/>
    </row>
    <row r="223" spans="9:9">
      <c r="I223" s="52"/>
    </row>
    <row r="224" spans="9:9">
      <c r="I224" s="52"/>
    </row>
    <row r="225" spans="9:9">
      <c r="I225" s="52"/>
    </row>
    <row r="226" spans="9:9">
      <c r="I226" s="52"/>
    </row>
    <row r="227" spans="9:9">
      <c r="I227" s="52"/>
    </row>
    <row r="228" spans="9:9">
      <c r="I228" s="52"/>
    </row>
    <row r="229" spans="9:9">
      <c r="I229" s="52"/>
    </row>
    <row r="230" spans="9:9">
      <c r="I230" s="52"/>
    </row>
    <row r="231" spans="9:9">
      <c r="I231" s="52"/>
    </row>
    <row r="232" spans="9:9">
      <c r="I232" s="52"/>
    </row>
    <row r="233" spans="9:9">
      <c r="I233" s="52"/>
    </row>
    <row r="234" spans="9:9">
      <c r="I234" s="52"/>
    </row>
    <row r="235" spans="9:9">
      <c r="I235" s="52"/>
    </row>
    <row r="236" spans="9:9">
      <c r="I236" s="52"/>
    </row>
    <row r="237" spans="9:9">
      <c r="I237" s="52"/>
    </row>
    <row r="238" spans="9:9">
      <c r="I238" s="52"/>
    </row>
    <row r="239" spans="9:9">
      <c r="I239" s="52"/>
    </row>
    <row r="240" spans="9:9">
      <c r="I240" s="52"/>
    </row>
    <row r="241" spans="9:9">
      <c r="I241" s="52"/>
    </row>
    <row r="242" spans="9:9">
      <c r="I242" s="52"/>
    </row>
    <row r="243" spans="9:9">
      <c r="I243" s="52"/>
    </row>
    <row r="244" spans="9:9">
      <c r="I244" s="52"/>
    </row>
    <row r="245" spans="9:9">
      <c r="I245" s="52"/>
    </row>
    <row r="246" spans="9:9">
      <c r="I246" s="52"/>
    </row>
    <row r="247" spans="9:9">
      <c r="I247" s="52"/>
    </row>
    <row r="248" spans="9:9">
      <c r="I248" s="52"/>
    </row>
    <row r="249" spans="9:9">
      <c r="I249" s="52"/>
    </row>
    <row r="250" spans="9:9">
      <c r="I250" s="52"/>
    </row>
    <row r="251" spans="9:9">
      <c r="I251" s="52"/>
    </row>
    <row r="252" spans="9:9">
      <c r="I252" s="52"/>
    </row>
    <row r="253" spans="9:9">
      <c r="I253" s="52"/>
    </row>
    <row r="254" spans="9:9">
      <c r="I254" s="52"/>
    </row>
    <row r="255" spans="9:9">
      <c r="I255" s="52"/>
    </row>
    <row r="256" spans="9:9">
      <c r="I256" s="52"/>
    </row>
    <row r="257" spans="9:9">
      <c r="I257" s="52"/>
    </row>
    <row r="258" spans="9:9">
      <c r="I258" s="52"/>
    </row>
    <row r="259" spans="9:9">
      <c r="I259" s="52"/>
    </row>
    <row r="260" spans="9:9">
      <c r="I260" s="52"/>
    </row>
    <row r="261" spans="9:9">
      <c r="I261" s="52"/>
    </row>
    <row r="262" spans="9:9">
      <c r="I262" s="52"/>
    </row>
    <row r="263" spans="9:9">
      <c r="I263" s="52"/>
    </row>
    <row r="264" spans="9:9">
      <c r="I264" s="52"/>
    </row>
    <row r="265" spans="9:9">
      <c r="I265" s="52"/>
    </row>
    <row r="266" spans="9:9">
      <c r="I266" s="52"/>
    </row>
    <row r="267" spans="9:9">
      <c r="I267" s="52"/>
    </row>
    <row r="268" spans="9:9">
      <c r="I268" s="52"/>
    </row>
    <row r="269" spans="9:9">
      <c r="I269" s="52"/>
    </row>
    <row r="270" spans="9:9">
      <c r="I270" s="52"/>
    </row>
    <row r="271" spans="9:9">
      <c r="I271" s="52"/>
    </row>
    <row r="272" spans="9:9">
      <c r="I272" s="52"/>
    </row>
    <row r="273" spans="9:9">
      <c r="I273" s="52"/>
    </row>
    <row r="274" spans="9:9">
      <c r="I274" s="52"/>
    </row>
    <row r="275" spans="9:9">
      <c r="I275" s="52"/>
    </row>
    <row r="276" spans="9:9">
      <c r="I276" s="52"/>
    </row>
    <row r="277" spans="9:9">
      <c r="I277" s="52"/>
    </row>
    <row r="278" spans="9:9">
      <c r="I278" s="52"/>
    </row>
    <row r="279" spans="9:9">
      <c r="I279" s="52"/>
    </row>
    <row r="280" spans="9:9">
      <c r="I280" s="52"/>
    </row>
    <row r="281" spans="9:9">
      <c r="I281" s="52"/>
    </row>
    <row r="282" spans="9:9">
      <c r="I282" s="52"/>
    </row>
    <row r="283" spans="9:9">
      <c r="I283" s="52"/>
    </row>
    <row r="284" spans="9:9">
      <c r="I284" s="52"/>
    </row>
    <row r="285" spans="9:9">
      <c r="I285" s="52"/>
    </row>
    <row r="286" spans="9:9">
      <c r="I286" s="52"/>
    </row>
    <row r="287" spans="9:9">
      <c r="I287" s="52"/>
    </row>
    <row r="288" spans="9:9">
      <c r="I288" s="52"/>
    </row>
    <row r="289" spans="9:9">
      <c r="I289" s="52"/>
    </row>
    <row r="290" spans="9:9">
      <c r="I290" s="52"/>
    </row>
    <row r="291" spans="9:9">
      <c r="I291" s="52"/>
    </row>
    <row r="292" spans="9:9">
      <c r="I292" s="52"/>
    </row>
    <row r="293" spans="9:9">
      <c r="I293" s="52"/>
    </row>
    <row r="294" spans="9:9">
      <c r="I294" s="52"/>
    </row>
    <row r="295" spans="9:9">
      <c r="I295" s="52"/>
    </row>
    <row r="296" spans="9:9">
      <c r="I296" s="52"/>
    </row>
    <row r="297" spans="9:9">
      <c r="I297" s="52"/>
    </row>
    <row r="298" spans="9:9">
      <c r="I298" s="52"/>
    </row>
    <row r="299" spans="9:9">
      <c r="I299" s="52"/>
    </row>
    <row r="300" spans="9:9">
      <c r="I300" s="52"/>
    </row>
    <row r="301" spans="9:9">
      <c r="I301" s="52"/>
    </row>
    <row r="302" spans="9:9">
      <c r="I302" s="52"/>
    </row>
    <row r="303" spans="9:9">
      <c r="I303" s="52"/>
    </row>
    <row r="304" spans="9:9">
      <c r="I304" s="52"/>
    </row>
    <row r="305" spans="9:9">
      <c r="I305" s="52"/>
    </row>
    <row r="306" spans="9:9">
      <c r="I306" s="52"/>
    </row>
    <row r="307" spans="9:9">
      <c r="I307" s="52"/>
    </row>
    <row r="308" spans="9:9">
      <c r="I308" s="52"/>
    </row>
    <row r="309" spans="9:9">
      <c r="I309" s="52"/>
    </row>
    <row r="310" spans="9:9">
      <c r="I310" s="52"/>
    </row>
    <row r="311" spans="9:9">
      <c r="I311" s="52"/>
    </row>
    <row r="312" spans="9:9">
      <c r="I312" s="52"/>
    </row>
    <row r="313" spans="9:9">
      <c r="I313" s="52"/>
    </row>
    <row r="314" spans="9:9">
      <c r="I314" s="52"/>
    </row>
    <row r="315" spans="9:9">
      <c r="I315" s="52"/>
    </row>
    <row r="316" spans="9:9">
      <c r="I316" s="52"/>
    </row>
    <row r="317" spans="9:9">
      <c r="I317" s="52"/>
    </row>
    <row r="318" spans="9:9">
      <c r="I318" s="52"/>
    </row>
    <row r="319" spans="9:9">
      <c r="I319" s="52"/>
    </row>
    <row r="320" spans="9:9">
      <c r="I320" s="52"/>
    </row>
    <row r="321" spans="9:9">
      <c r="I321" s="52"/>
    </row>
    <row r="322" spans="9:9">
      <c r="I322" s="52"/>
    </row>
    <row r="323" spans="9:9">
      <c r="I323" s="52"/>
    </row>
    <row r="324" spans="9:9">
      <c r="I324" s="52"/>
    </row>
    <row r="325" spans="9:9">
      <c r="I325" s="52"/>
    </row>
    <row r="326" spans="9:9">
      <c r="I326" s="52"/>
    </row>
    <row r="327" spans="9:9">
      <c r="I327" s="52"/>
    </row>
    <row r="328" spans="9:9">
      <c r="I328" s="52"/>
    </row>
    <row r="329" spans="9:9">
      <c r="I329" s="52"/>
    </row>
    <row r="330" spans="9:9">
      <c r="I330" s="52"/>
    </row>
    <row r="331" spans="9:9">
      <c r="I331" s="52"/>
    </row>
    <row r="332" spans="9:9">
      <c r="I332" s="52"/>
    </row>
    <row r="333" spans="9:9">
      <c r="I333" s="52"/>
    </row>
    <row r="334" spans="9:9">
      <c r="I334" s="52"/>
    </row>
    <row r="335" spans="9:9">
      <c r="I335" s="52"/>
    </row>
    <row r="336" spans="9:9">
      <c r="I336" s="52"/>
    </row>
    <row r="337" spans="9:9">
      <c r="I337" s="52"/>
    </row>
    <row r="338" spans="9:9">
      <c r="I338" s="52"/>
    </row>
    <row r="339" spans="9:9">
      <c r="I339" s="52"/>
    </row>
    <row r="340" spans="9:9">
      <c r="I340" s="52"/>
    </row>
  </sheetData>
  <autoFilter ref="A2:F33" xr:uid="{00000000-0009-0000-0000-000002000000}"/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0"/>
  </sheetPr>
  <dimension ref="A1:I340"/>
  <sheetViews>
    <sheetView showGridLines="0" topLeftCell="B1" workbookViewId="0">
      <pane ySplit="3" topLeftCell="A4" activePane="bottomLeft" state="frozen"/>
      <selection sqref="A1:F1"/>
      <selection pane="bottomLeft" sqref="A1:F1"/>
    </sheetView>
  </sheetViews>
  <sheetFormatPr defaultColWidth="9" defaultRowHeight="15"/>
  <cols>
    <col min="1" max="1" width="16.5703125" hidden="1" customWidth="1"/>
    <col min="2" max="2" width="45.5703125" bestFit="1" customWidth="1"/>
    <col min="3" max="3" width="9.7109375" style="20" bestFit="1" customWidth="1"/>
    <col min="4" max="4" width="5.7109375" bestFit="1" customWidth="1"/>
    <col min="6" max="6" width="13.7109375" bestFit="1" customWidth="1"/>
    <col min="7" max="7" width="22.85546875" bestFit="1" customWidth="1"/>
  </cols>
  <sheetData>
    <row r="1" spans="1:9" ht="18.75" customHeight="1">
      <c r="A1" s="82" t="s">
        <v>0</v>
      </c>
      <c r="B1" s="83"/>
      <c r="C1" s="83"/>
      <c r="D1" s="83"/>
      <c r="E1" s="83"/>
      <c r="F1" s="83"/>
    </row>
    <row r="2" spans="1:9">
      <c r="A2" s="2" t="s">
        <v>1</v>
      </c>
      <c r="B2" s="1" t="s">
        <v>2</v>
      </c>
      <c r="C2" s="1" t="s">
        <v>3</v>
      </c>
      <c r="D2" s="1" t="s">
        <v>4</v>
      </c>
      <c r="E2" s="1" t="s">
        <v>53</v>
      </c>
      <c r="F2" s="1" t="s">
        <v>54</v>
      </c>
    </row>
    <row r="3" spans="1:9">
      <c r="A3" s="3" t="s">
        <v>5</v>
      </c>
      <c r="B3" s="30" t="s">
        <v>5</v>
      </c>
      <c r="C3" s="63"/>
      <c r="D3" s="8">
        <f>SUM(D4:D500)</f>
        <v>1367</v>
      </c>
      <c r="E3" s="8"/>
      <c r="F3" s="16">
        <f>SUM(F4:F500)</f>
        <v>19509992</v>
      </c>
    </row>
    <row r="4" spans="1:9" ht="16.5" customHeight="1">
      <c r="B4" s="6" t="s">
        <v>134</v>
      </c>
      <c r="C4" s="66" t="s">
        <v>93</v>
      </c>
      <c r="D4" s="7">
        <v>8</v>
      </c>
      <c r="E4" s="7">
        <f>VLOOKUP(C4,[1]단가산출!$N:$P,3,FALSE)</f>
        <v>8884</v>
      </c>
      <c r="F4" s="7">
        <f>+D4*E4</f>
        <v>71072</v>
      </c>
      <c r="I4" t="s">
        <v>126</v>
      </c>
    </row>
    <row r="5" spans="1:9">
      <c r="B5" s="6" t="s">
        <v>111</v>
      </c>
      <c r="C5" s="66" t="s">
        <v>126</v>
      </c>
      <c r="D5" s="7">
        <v>24</v>
      </c>
      <c r="E5" s="7">
        <f>VLOOKUP(C5,[1]단가산출!$N:$P,3,FALSE)</f>
        <v>14868</v>
      </c>
      <c r="F5" s="7">
        <f t="shared" ref="F5:F34" si="0">+D5*E5</f>
        <v>356832</v>
      </c>
      <c r="I5" t="s">
        <v>126</v>
      </c>
    </row>
    <row r="6" spans="1:9" ht="16.5" customHeight="1">
      <c r="B6" s="6" t="s">
        <v>111</v>
      </c>
      <c r="C6" s="66" t="s">
        <v>126</v>
      </c>
      <c r="D6" s="7">
        <v>9</v>
      </c>
      <c r="E6" s="7">
        <f>VLOOKUP(C6,[1]단가산출!$N:$P,3,FALSE)</f>
        <v>14868</v>
      </c>
      <c r="F6" s="7">
        <f t="shared" si="0"/>
        <v>133812</v>
      </c>
      <c r="I6" t="s">
        <v>126</v>
      </c>
    </row>
    <row r="7" spans="1:9" ht="16.5" customHeight="1">
      <c r="B7" s="6" t="s">
        <v>143</v>
      </c>
      <c r="C7" s="66" t="s">
        <v>146</v>
      </c>
      <c r="D7" s="7">
        <v>5</v>
      </c>
      <c r="E7" s="7">
        <f>VLOOKUP(C7,[1]단가산출!$N:$P,3,FALSE)</f>
        <v>29512.375</v>
      </c>
      <c r="F7" s="7">
        <f t="shared" si="0"/>
        <v>147561.875</v>
      </c>
      <c r="I7" t="s">
        <v>126</v>
      </c>
    </row>
    <row r="8" spans="1:9" ht="16.5" customHeight="1">
      <c r="B8" s="6" t="s">
        <v>143</v>
      </c>
      <c r="C8" s="48" t="s">
        <v>145</v>
      </c>
      <c r="D8" s="7">
        <v>5</v>
      </c>
      <c r="E8" s="7">
        <f>VLOOKUP(C8,[1]단가산출!$N:$P,3,FALSE)</f>
        <v>27584</v>
      </c>
      <c r="F8" s="7">
        <f t="shared" si="0"/>
        <v>137920</v>
      </c>
      <c r="I8" t="s">
        <v>93</v>
      </c>
    </row>
    <row r="9" spans="1:9" ht="16.5" customHeight="1">
      <c r="B9" s="6" t="s">
        <v>143</v>
      </c>
      <c r="C9" s="48" t="s">
        <v>145</v>
      </c>
      <c r="D9" s="7">
        <v>2</v>
      </c>
      <c r="E9" s="7">
        <f>VLOOKUP(C9,[1]단가산출!$N:$P,3,FALSE)</f>
        <v>27584</v>
      </c>
      <c r="F9" s="7">
        <f t="shared" si="0"/>
        <v>55168</v>
      </c>
      <c r="I9" t="s">
        <v>125</v>
      </c>
    </row>
    <row r="10" spans="1:9" ht="16.5" customHeight="1">
      <c r="B10" s="6" t="s">
        <v>143</v>
      </c>
      <c r="C10" s="48" t="s">
        <v>145</v>
      </c>
      <c r="D10" s="7">
        <v>3</v>
      </c>
      <c r="E10" s="7">
        <f>VLOOKUP(C10,[1]단가산출!$N:$P,3,FALSE)</f>
        <v>27584</v>
      </c>
      <c r="F10" s="7">
        <f t="shared" si="0"/>
        <v>82752</v>
      </c>
      <c r="I10" t="s">
        <v>93</v>
      </c>
    </row>
    <row r="11" spans="1:9" ht="16.5" customHeight="1">
      <c r="B11" s="6" t="s">
        <v>111</v>
      </c>
      <c r="C11" s="66" t="s">
        <v>117</v>
      </c>
      <c r="D11" s="7">
        <v>264</v>
      </c>
      <c r="E11" s="7">
        <f>VLOOKUP(C11,[1]단가산출!$N:$P,3,FALSE)</f>
        <v>13305</v>
      </c>
      <c r="F11" s="7">
        <f t="shared" si="0"/>
        <v>3512520</v>
      </c>
      <c r="I11" t="s">
        <v>126</v>
      </c>
    </row>
    <row r="12" spans="1:9" ht="16.5" customHeight="1">
      <c r="B12" s="6" t="s">
        <v>111</v>
      </c>
      <c r="C12" s="66" t="s">
        <v>117</v>
      </c>
      <c r="D12" s="7">
        <v>24</v>
      </c>
      <c r="E12" s="7">
        <f>VLOOKUP(C12,[1]단가산출!$N:$P,3,FALSE)</f>
        <v>13305</v>
      </c>
      <c r="F12" s="7">
        <f t="shared" si="0"/>
        <v>319320</v>
      </c>
      <c r="I12" t="s">
        <v>126</v>
      </c>
    </row>
    <row r="13" spans="1:9" ht="16.5" customHeight="1">
      <c r="B13" s="6" t="s">
        <v>111</v>
      </c>
      <c r="C13" s="64" t="s">
        <v>126</v>
      </c>
      <c r="D13" s="7">
        <v>17</v>
      </c>
      <c r="E13" s="7">
        <f>VLOOKUP(C13,[1]단가산출!$N:$P,3,FALSE)</f>
        <v>14868</v>
      </c>
      <c r="F13" s="7">
        <f t="shared" si="0"/>
        <v>252756</v>
      </c>
      <c r="I13" t="s">
        <v>145</v>
      </c>
    </row>
    <row r="14" spans="1:9" ht="16.5" customHeight="1">
      <c r="B14" s="6" t="s">
        <v>111</v>
      </c>
      <c r="C14" s="64" t="s">
        <v>126</v>
      </c>
      <c r="D14" s="7">
        <v>3</v>
      </c>
      <c r="E14" s="7">
        <f>VLOOKUP(C14,[1]단가산출!$N:$P,3,FALSE)</f>
        <v>14868</v>
      </c>
      <c r="F14" s="7">
        <f t="shared" si="0"/>
        <v>44604</v>
      </c>
      <c r="I14" t="s">
        <v>145</v>
      </c>
    </row>
    <row r="15" spans="1:9" ht="16.5" customHeight="1">
      <c r="B15" s="6" t="s">
        <v>135</v>
      </c>
      <c r="C15" s="48" t="s">
        <v>77</v>
      </c>
      <c r="D15" s="7">
        <v>1</v>
      </c>
      <c r="E15" s="7">
        <f>VLOOKUP(C15,[1]단가산출!$N:$P,3,FALSE)</f>
        <v>4371</v>
      </c>
      <c r="F15" s="7">
        <f t="shared" si="0"/>
        <v>4371</v>
      </c>
      <c r="I15" t="s">
        <v>145</v>
      </c>
    </row>
    <row r="16" spans="1:9" ht="16.5" customHeight="1">
      <c r="B16" s="6" t="s">
        <v>143</v>
      </c>
      <c r="C16" s="64" t="s">
        <v>146</v>
      </c>
      <c r="D16" s="7">
        <v>25</v>
      </c>
      <c r="E16" s="7">
        <f>VLOOKUP(C16,[1]단가산출!$N:$P,3,FALSE)</f>
        <v>29512.375</v>
      </c>
      <c r="F16" s="7">
        <f t="shared" si="0"/>
        <v>737809.375</v>
      </c>
      <c r="I16" t="s">
        <v>146</v>
      </c>
    </row>
    <row r="17" spans="2:9" ht="16.5" customHeight="1">
      <c r="B17" s="6" t="s">
        <v>143</v>
      </c>
      <c r="C17" s="64" t="s">
        <v>145</v>
      </c>
      <c r="D17" s="7">
        <v>11</v>
      </c>
      <c r="E17" s="7">
        <f>VLOOKUP(C17,[1]단가산출!$N:$P,3,FALSE)</f>
        <v>27584</v>
      </c>
      <c r="F17" s="7">
        <f t="shared" si="0"/>
        <v>303424</v>
      </c>
      <c r="I17" t="s">
        <v>146</v>
      </c>
    </row>
    <row r="18" spans="2:9" ht="16.5" customHeight="1">
      <c r="B18" s="6" t="s">
        <v>111</v>
      </c>
      <c r="C18" s="48" t="s">
        <v>117</v>
      </c>
      <c r="D18" s="7">
        <v>334</v>
      </c>
      <c r="E18" s="7">
        <f>VLOOKUP(C18,[1]단가산출!$N:$P,3,FALSE)</f>
        <v>13305</v>
      </c>
      <c r="F18" s="7">
        <f t="shared" si="0"/>
        <v>4443870</v>
      </c>
      <c r="I18" t="s">
        <v>146</v>
      </c>
    </row>
    <row r="19" spans="2:9" ht="16.5" customHeight="1">
      <c r="B19" s="6" t="s">
        <v>135</v>
      </c>
      <c r="C19" s="66" t="s">
        <v>81</v>
      </c>
      <c r="D19" s="7">
        <v>5</v>
      </c>
      <c r="E19" s="7">
        <f>VLOOKUP(C19,[1]단가산출!$N:$P,3,FALSE)</f>
        <v>4525</v>
      </c>
      <c r="F19" s="7">
        <f t="shared" si="0"/>
        <v>22625</v>
      </c>
      <c r="I19" t="s">
        <v>126</v>
      </c>
    </row>
    <row r="20" spans="2:9" ht="16.5" customHeight="1">
      <c r="B20" s="6" t="s">
        <v>135</v>
      </c>
      <c r="C20" s="66" t="s">
        <v>77</v>
      </c>
      <c r="D20" s="7">
        <v>2</v>
      </c>
      <c r="E20" s="7">
        <f>VLOOKUP(C20,[1]단가산출!$N:$P,3,FALSE)</f>
        <v>4371</v>
      </c>
      <c r="F20" s="7">
        <f t="shared" si="0"/>
        <v>8742</v>
      </c>
      <c r="I20" t="s">
        <v>126</v>
      </c>
    </row>
    <row r="21" spans="2:9" ht="16.5" customHeight="1">
      <c r="B21" s="6" t="s">
        <v>111</v>
      </c>
      <c r="C21" s="64" t="s">
        <v>126</v>
      </c>
      <c r="D21" s="7">
        <v>20</v>
      </c>
      <c r="E21" s="7">
        <f>VLOOKUP(C21,[1]단가산출!$N:$P,3,FALSE)</f>
        <v>14868</v>
      </c>
      <c r="F21" s="7">
        <f t="shared" si="0"/>
        <v>297360</v>
      </c>
      <c r="I21" t="s">
        <v>93</v>
      </c>
    </row>
    <row r="22" spans="2:9" ht="16.5" customHeight="1">
      <c r="B22" s="6" t="s">
        <v>111</v>
      </c>
      <c r="C22" s="64" t="s">
        <v>126</v>
      </c>
      <c r="D22" s="7">
        <v>48</v>
      </c>
      <c r="E22" s="7">
        <f>VLOOKUP(C22,[1]단가산출!$N:$P,3,FALSE)</f>
        <v>14868</v>
      </c>
      <c r="F22" s="7">
        <f t="shared" si="0"/>
        <v>713664</v>
      </c>
      <c r="I22" t="s">
        <v>93</v>
      </c>
    </row>
    <row r="23" spans="2:9" ht="16.5" customHeight="1">
      <c r="B23" s="6" t="s">
        <v>111</v>
      </c>
      <c r="C23" s="64" t="s">
        <v>126</v>
      </c>
      <c r="D23" s="7">
        <v>3</v>
      </c>
      <c r="E23" s="7">
        <f>VLOOKUP(C23,[1]단가산출!$N:$P,3,FALSE)</f>
        <v>14868</v>
      </c>
      <c r="F23" s="7">
        <f t="shared" si="0"/>
        <v>44604</v>
      </c>
      <c r="I23" t="s">
        <v>146</v>
      </c>
    </row>
    <row r="24" spans="2:9" ht="16.5" customHeight="1">
      <c r="B24" s="6" t="s">
        <v>134</v>
      </c>
      <c r="C24" s="64" t="s">
        <v>93</v>
      </c>
      <c r="D24" s="7">
        <v>7</v>
      </c>
      <c r="E24" s="7">
        <f>VLOOKUP(C24,[1]단가산출!$N:$P,3,FALSE)</f>
        <v>8884</v>
      </c>
      <c r="F24" s="7">
        <f t="shared" si="0"/>
        <v>62188</v>
      </c>
      <c r="I24" t="s">
        <v>145</v>
      </c>
    </row>
    <row r="25" spans="2:9" ht="16.5" customHeight="1">
      <c r="B25" s="6" t="s">
        <v>111</v>
      </c>
      <c r="C25" s="64" t="s">
        <v>117</v>
      </c>
      <c r="D25" s="7">
        <v>336</v>
      </c>
      <c r="E25" s="7">
        <f>VLOOKUP(C25,[1]단가산출!$N:$P,3,FALSE)</f>
        <v>13305</v>
      </c>
      <c r="F25" s="7">
        <f t="shared" si="0"/>
        <v>4470480</v>
      </c>
      <c r="I25" t="s">
        <v>65</v>
      </c>
    </row>
    <row r="26" spans="2:9" ht="16.5" customHeight="1">
      <c r="B26" s="6" t="s">
        <v>111</v>
      </c>
      <c r="C26" s="48" t="s">
        <v>163</v>
      </c>
      <c r="D26" s="7">
        <v>132</v>
      </c>
      <c r="E26" s="7">
        <f>VLOOKUP(C26,[1]단가산출!$N:$P,3,FALSE)</f>
        <v>15214</v>
      </c>
      <c r="F26" s="7">
        <f t="shared" si="0"/>
        <v>2008248</v>
      </c>
      <c r="I26" t="s">
        <v>70</v>
      </c>
    </row>
    <row r="27" spans="2:9" ht="16.5" customHeight="1">
      <c r="B27" s="6" t="s">
        <v>111</v>
      </c>
      <c r="C27" s="66" t="s">
        <v>126</v>
      </c>
      <c r="D27" s="7">
        <v>21</v>
      </c>
      <c r="E27" s="7">
        <f>VLOOKUP(C27,[1]단가산출!$N:$P,3,FALSE)</f>
        <v>14868</v>
      </c>
      <c r="F27" s="7">
        <f t="shared" si="0"/>
        <v>312228</v>
      </c>
      <c r="I27" t="s">
        <v>126</v>
      </c>
    </row>
    <row r="28" spans="2:9" ht="16.5" customHeight="1">
      <c r="B28" s="6" t="s">
        <v>111</v>
      </c>
      <c r="C28" s="66" t="s">
        <v>126</v>
      </c>
      <c r="D28" s="7">
        <v>9</v>
      </c>
      <c r="E28" s="7">
        <f>VLOOKUP(C28,[1]단가산출!$N:$P,3,FALSE)</f>
        <v>14868</v>
      </c>
      <c r="F28" s="7">
        <f t="shared" si="0"/>
        <v>133812</v>
      </c>
      <c r="I28" t="s">
        <v>126</v>
      </c>
    </row>
    <row r="29" spans="2:9" ht="16.5" customHeight="1">
      <c r="B29" s="6" t="s">
        <v>134</v>
      </c>
      <c r="C29" s="66" t="s">
        <v>93</v>
      </c>
      <c r="D29" s="7">
        <v>7</v>
      </c>
      <c r="E29" s="7">
        <f>VLOOKUP(C29,[1]단가산출!$N:$P,3,FALSE)</f>
        <v>8884</v>
      </c>
      <c r="F29" s="7">
        <f t="shared" si="0"/>
        <v>62188</v>
      </c>
      <c r="I29" t="s">
        <v>126</v>
      </c>
    </row>
    <row r="30" spans="2:9" ht="16.5" customHeight="1">
      <c r="B30" s="6" t="s">
        <v>135</v>
      </c>
      <c r="C30" s="48" t="s">
        <v>77</v>
      </c>
      <c r="D30" s="7">
        <v>6</v>
      </c>
      <c r="E30" s="7">
        <f>VLOOKUP(C30,[1]단가산출!$N:$P,3,FALSE)</f>
        <v>4371</v>
      </c>
      <c r="F30" s="7">
        <f t="shared" si="0"/>
        <v>26226</v>
      </c>
      <c r="I30" t="s">
        <v>118</v>
      </c>
    </row>
    <row r="31" spans="2:9" ht="16.5" customHeight="1">
      <c r="B31" s="6" t="s">
        <v>143</v>
      </c>
      <c r="C31" s="64" t="s">
        <v>146</v>
      </c>
      <c r="D31" s="7">
        <v>10</v>
      </c>
      <c r="E31" s="7">
        <f>VLOOKUP(C31,[1]단가산출!$N:$P,3,FALSE)</f>
        <v>29512.375</v>
      </c>
      <c r="F31" s="7">
        <f t="shared" si="0"/>
        <v>295123.75</v>
      </c>
      <c r="I31" t="s">
        <v>146</v>
      </c>
    </row>
    <row r="32" spans="2:9" ht="16.5" customHeight="1">
      <c r="B32" s="6" t="s">
        <v>143</v>
      </c>
      <c r="C32" s="64" t="s">
        <v>145</v>
      </c>
      <c r="D32" s="7">
        <v>7</v>
      </c>
      <c r="E32" s="7">
        <f>VLOOKUP(C32,[1]단가산출!$N:$P,3,FALSE)</f>
        <v>27584</v>
      </c>
      <c r="F32" s="7">
        <f t="shared" si="0"/>
        <v>193088</v>
      </c>
      <c r="I32" t="s">
        <v>146</v>
      </c>
    </row>
    <row r="33" spans="2:9" ht="16.5" customHeight="1">
      <c r="B33" s="6" t="s">
        <v>144</v>
      </c>
      <c r="C33" s="48" t="s">
        <v>117</v>
      </c>
      <c r="D33" s="7">
        <v>17</v>
      </c>
      <c r="E33" s="7">
        <f>VLOOKUP(C33,[1]단가산출!$N:$P,3,FALSE)</f>
        <v>13305</v>
      </c>
      <c r="F33" s="7">
        <f t="shared" si="0"/>
        <v>226185</v>
      </c>
      <c r="I33" t="s">
        <v>145</v>
      </c>
    </row>
    <row r="34" spans="2:9" ht="16.5" customHeight="1">
      <c r="B34" s="44" t="s">
        <v>144</v>
      </c>
      <c r="C34" s="57" t="s">
        <v>118</v>
      </c>
      <c r="D34" s="44">
        <v>2</v>
      </c>
      <c r="E34" s="7">
        <f>VLOOKUP(C34,[1]단가산출!$N:$P,3,FALSE)</f>
        <v>14719</v>
      </c>
      <c r="F34" s="7">
        <f t="shared" si="0"/>
        <v>29438</v>
      </c>
      <c r="I34" s="52"/>
    </row>
    <row r="35" spans="2:9" ht="16.5" customHeight="1">
      <c r="B35" s="44"/>
      <c r="C35" s="57"/>
      <c r="D35" s="44"/>
      <c r="E35" s="51"/>
      <c r="F35" s="51"/>
      <c r="I35" s="52"/>
    </row>
    <row r="36" spans="2:9" ht="16.5" customHeight="1">
      <c r="B36" s="44"/>
      <c r="C36" s="57"/>
      <c r="D36" s="44"/>
      <c r="E36" s="51"/>
      <c r="F36" s="51"/>
      <c r="I36" s="52"/>
    </row>
    <row r="37" spans="2:9" ht="16.5" customHeight="1">
      <c r="B37" s="44"/>
      <c r="C37" s="57"/>
      <c r="D37" s="44"/>
      <c r="E37" s="51"/>
      <c r="F37" s="51"/>
      <c r="I37" s="52"/>
    </row>
    <row r="38" spans="2:9" ht="16.5" customHeight="1">
      <c r="B38" s="44"/>
      <c r="C38" s="57"/>
      <c r="D38" s="44"/>
      <c r="E38" s="51"/>
      <c r="F38" s="51"/>
      <c r="I38" s="52"/>
    </row>
    <row r="39" spans="2:9" ht="16.5" customHeight="1">
      <c r="B39" s="44"/>
      <c r="C39" s="57"/>
      <c r="D39" s="44"/>
      <c r="E39" s="51"/>
      <c r="F39" s="51"/>
      <c r="I39" s="52"/>
    </row>
    <row r="40" spans="2:9" ht="16.5" customHeight="1">
      <c r="B40" s="44"/>
      <c r="C40" s="57"/>
      <c r="D40" s="44"/>
      <c r="E40" s="51"/>
      <c r="F40" s="51"/>
      <c r="I40" s="52"/>
    </row>
    <row r="41" spans="2:9" ht="16.5" customHeight="1">
      <c r="B41" s="44"/>
      <c r="C41" s="57"/>
      <c r="D41" s="44"/>
      <c r="E41" s="51"/>
      <c r="F41" s="51"/>
      <c r="I41" s="52"/>
    </row>
    <row r="42" spans="2:9" ht="16.5" customHeight="1">
      <c r="B42" s="44"/>
      <c r="C42" s="57"/>
      <c r="D42" s="44"/>
      <c r="E42" s="51"/>
      <c r="F42" s="51"/>
      <c r="I42" s="52"/>
    </row>
    <row r="43" spans="2:9" ht="16.5" customHeight="1">
      <c r="B43" s="44"/>
      <c r="C43" s="57"/>
      <c r="D43" s="44"/>
      <c r="E43" s="51"/>
      <c r="F43" s="51"/>
      <c r="I43" s="52"/>
    </row>
    <row r="44" spans="2:9" ht="16.5" customHeight="1">
      <c r="B44" s="44"/>
      <c r="C44" s="57"/>
      <c r="D44" s="44"/>
      <c r="E44" s="51"/>
      <c r="F44" s="51"/>
      <c r="I44" s="52"/>
    </row>
    <row r="45" spans="2:9" ht="16.5" customHeight="1">
      <c r="B45" s="44"/>
      <c r="C45" s="57"/>
      <c r="D45" s="44"/>
      <c r="E45" s="51"/>
      <c r="F45" s="51"/>
      <c r="I45" s="52"/>
    </row>
    <row r="46" spans="2:9" ht="16.5" customHeight="1">
      <c r="B46" s="44"/>
      <c r="C46" s="57"/>
      <c r="D46" s="44"/>
      <c r="E46" s="51"/>
      <c r="F46" s="51"/>
      <c r="I46" s="52"/>
    </row>
    <row r="47" spans="2:9" ht="16.5" customHeight="1">
      <c r="B47" s="44"/>
      <c r="C47" s="57"/>
      <c r="D47" s="44"/>
      <c r="E47" s="51"/>
      <c r="F47" s="51"/>
      <c r="I47" s="52"/>
    </row>
    <row r="48" spans="2:9" ht="16.5" customHeight="1">
      <c r="B48" s="44"/>
      <c r="C48" s="57"/>
      <c r="D48" s="44"/>
      <c r="E48" s="51"/>
      <c r="F48" s="51"/>
      <c r="I48" s="52"/>
    </row>
    <row r="49" spans="2:9" ht="16.5" customHeight="1">
      <c r="B49" s="44"/>
      <c r="C49" s="57"/>
      <c r="D49" s="44"/>
      <c r="E49" s="51"/>
      <c r="F49" s="51"/>
      <c r="I49" s="52"/>
    </row>
    <row r="50" spans="2:9" ht="16.5" customHeight="1">
      <c r="B50" s="44"/>
      <c r="C50" s="57"/>
      <c r="D50" s="44"/>
      <c r="E50" s="51"/>
      <c r="F50" s="51"/>
      <c r="I50" s="52"/>
    </row>
    <row r="51" spans="2:9" ht="16.5" customHeight="1">
      <c r="B51" s="44"/>
      <c r="C51" s="57"/>
      <c r="D51" s="44"/>
      <c r="E51" s="51"/>
      <c r="F51" s="51"/>
      <c r="I51" s="52"/>
    </row>
    <row r="52" spans="2:9" ht="16.5" customHeight="1">
      <c r="B52" s="44"/>
      <c r="C52" s="57"/>
      <c r="D52" s="44"/>
      <c r="E52" s="51"/>
      <c r="F52" s="51"/>
      <c r="I52" s="52"/>
    </row>
    <row r="53" spans="2:9" ht="16.5" customHeight="1">
      <c r="B53" s="44"/>
      <c r="C53" s="57"/>
      <c r="D53" s="44"/>
      <c r="E53" s="51"/>
      <c r="F53" s="51"/>
      <c r="I53" s="52"/>
    </row>
    <row r="54" spans="2:9" ht="16.5" customHeight="1">
      <c r="B54" s="44"/>
      <c r="C54" s="57"/>
      <c r="D54" s="44"/>
      <c r="E54" s="51"/>
      <c r="F54" s="51"/>
      <c r="I54" s="52"/>
    </row>
    <row r="55" spans="2:9" ht="16.5" customHeight="1">
      <c r="B55" s="44"/>
      <c r="C55" s="57"/>
      <c r="D55" s="44"/>
      <c r="E55" s="51"/>
      <c r="F55" s="51"/>
      <c r="I55" s="52"/>
    </row>
    <row r="56" spans="2:9" ht="16.5" customHeight="1">
      <c r="B56" s="44"/>
      <c r="C56" s="57"/>
      <c r="D56" s="44"/>
      <c r="E56" s="51"/>
      <c r="F56" s="51"/>
      <c r="I56" s="52"/>
    </row>
    <row r="57" spans="2:9" ht="16.5" customHeight="1">
      <c r="B57" s="44"/>
      <c r="C57" s="57"/>
      <c r="D57" s="44"/>
      <c r="E57" s="51"/>
      <c r="F57" s="51"/>
      <c r="I57" s="52"/>
    </row>
    <row r="58" spans="2:9" ht="16.5" customHeight="1">
      <c r="B58" s="44"/>
      <c r="C58" s="57"/>
      <c r="D58" s="44"/>
      <c r="E58" s="51"/>
      <c r="F58" s="51"/>
      <c r="I58" s="52"/>
    </row>
    <row r="59" spans="2:9" ht="16.5" customHeight="1">
      <c r="B59" s="44"/>
      <c r="C59" s="57"/>
      <c r="D59" s="44"/>
      <c r="E59" s="51"/>
      <c r="F59" s="51"/>
      <c r="I59" s="52"/>
    </row>
    <row r="60" spans="2:9" ht="16.5" customHeight="1">
      <c r="B60" s="44"/>
      <c r="C60" s="57"/>
      <c r="D60" s="44"/>
      <c r="E60" s="51"/>
      <c r="F60" s="51"/>
      <c r="I60" s="52"/>
    </row>
    <row r="61" spans="2:9" ht="16.5" customHeight="1">
      <c r="B61" s="44"/>
      <c r="C61" s="57"/>
      <c r="D61" s="44"/>
      <c r="E61" s="51"/>
      <c r="F61" s="51"/>
      <c r="I61" s="52"/>
    </row>
    <row r="62" spans="2:9" ht="16.5" customHeight="1">
      <c r="B62" s="44"/>
      <c r="C62" s="57"/>
      <c r="D62" s="44"/>
      <c r="E62" s="51"/>
      <c r="F62" s="51"/>
      <c r="I62" s="52"/>
    </row>
    <row r="63" spans="2:9" ht="16.5" customHeight="1">
      <c r="B63" s="44"/>
      <c r="C63" s="57"/>
      <c r="D63" s="44"/>
      <c r="E63" s="51"/>
      <c r="F63" s="51"/>
      <c r="I63" s="52"/>
    </row>
    <row r="64" spans="2:9" ht="16.5" customHeight="1">
      <c r="B64" s="44"/>
      <c r="C64" s="57"/>
      <c r="D64" s="44"/>
      <c r="E64" s="51"/>
      <c r="F64" s="51"/>
      <c r="I64" s="52"/>
    </row>
    <row r="65" spans="2:9" ht="16.5" customHeight="1">
      <c r="B65" s="44"/>
      <c r="C65" s="57"/>
      <c r="D65" s="44"/>
      <c r="E65" s="51"/>
      <c r="F65" s="51"/>
      <c r="I65" s="52"/>
    </row>
    <row r="66" spans="2:9" ht="16.5" customHeight="1">
      <c r="B66" s="44"/>
      <c r="C66" s="57"/>
      <c r="D66" s="44"/>
      <c r="E66" s="51"/>
      <c r="F66" s="51"/>
      <c r="I66" s="52"/>
    </row>
    <row r="67" spans="2:9" ht="16.5" customHeight="1">
      <c r="B67" s="44"/>
      <c r="C67" s="57"/>
      <c r="D67" s="44"/>
      <c r="E67" s="51"/>
      <c r="F67" s="51"/>
      <c r="I67" s="52"/>
    </row>
    <row r="68" spans="2:9" ht="16.5" customHeight="1">
      <c r="B68" s="44"/>
      <c r="C68" s="57"/>
      <c r="D68" s="44"/>
      <c r="E68" s="51"/>
      <c r="F68" s="51"/>
      <c r="I68" s="52"/>
    </row>
    <row r="69" spans="2:9" ht="16.5" customHeight="1">
      <c r="B69" s="44"/>
      <c r="C69" s="57"/>
      <c r="D69" s="44"/>
      <c r="E69" s="51"/>
      <c r="F69" s="51"/>
      <c r="I69" s="52"/>
    </row>
    <row r="70" spans="2:9" ht="16.5" customHeight="1">
      <c r="B70" s="44"/>
      <c r="C70" s="57"/>
      <c r="D70" s="44"/>
      <c r="E70" s="51"/>
      <c r="F70" s="51"/>
      <c r="I70" s="52"/>
    </row>
    <row r="71" spans="2:9" ht="16.5" customHeight="1">
      <c r="B71" s="44"/>
      <c r="C71" s="57"/>
      <c r="D71" s="44"/>
      <c r="E71" s="51"/>
      <c r="F71" s="51"/>
      <c r="I71" s="52"/>
    </row>
    <row r="72" spans="2:9" ht="16.5" customHeight="1">
      <c r="B72" s="44"/>
      <c r="C72" s="57"/>
      <c r="D72" s="44"/>
      <c r="E72" s="51"/>
      <c r="F72" s="51"/>
      <c r="I72" s="52"/>
    </row>
    <row r="73" spans="2:9" ht="16.5" customHeight="1">
      <c r="B73" s="44"/>
      <c r="C73" s="57"/>
      <c r="D73" s="44"/>
      <c r="E73" s="51"/>
      <c r="F73" s="51"/>
      <c r="I73" s="52"/>
    </row>
    <row r="74" spans="2:9" ht="16.5" customHeight="1">
      <c r="B74" s="44"/>
      <c r="C74" s="57"/>
      <c r="D74" s="44"/>
      <c r="E74" s="51"/>
      <c r="F74" s="51"/>
      <c r="I74" s="52"/>
    </row>
    <row r="75" spans="2:9" ht="16.5" customHeight="1">
      <c r="B75" s="44"/>
      <c r="C75" s="57"/>
      <c r="D75" s="44"/>
      <c r="E75" s="51"/>
      <c r="F75" s="51"/>
      <c r="I75" s="52"/>
    </row>
    <row r="76" spans="2:9" ht="16.5" customHeight="1">
      <c r="B76" s="44"/>
      <c r="C76" s="57"/>
      <c r="D76" s="44"/>
      <c r="E76" s="51"/>
      <c r="F76" s="51"/>
      <c r="I76" s="52"/>
    </row>
    <row r="77" spans="2:9" ht="16.5" customHeight="1">
      <c r="B77" s="44"/>
      <c r="C77" s="57"/>
      <c r="D77" s="44"/>
      <c r="E77" s="51"/>
      <c r="F77" s="51"/>
      <c r="I77" s="52"/>
    </row>
    <row r="78" spans="2:9" ht="16.5" customHeight="1">
      <c r="B78" s="44"/>
      <c r="C78" s="57"/>
      <c r="D78" s="44"/>
      <c r="E78" s="51"/>
      <c r="F78" s="51"/>
      <c r="I78" s="52"/>
    </row>
    <row r="79" spans="2:9" ht="16.5" customHeight="1">
      <c r="B79" s="44"/>
      <c r="C79" s="57"/>
      <c r="D79" s="44"/>
      <c r="E79" s="51"/>
      <c r="F79" s="51"/>
      <c r="I79" s="52"/>
    </row>
    <row r="80" spans="2:9" ht="16.5" customHeight="1">
      <c r="B80" s="44"/>
      <c r="C80" s="57"/>
      <c r="D80" s="44"/>
      <c r="E80" s="51"/>
      <c r="F80" s="51"/>
      <c r="I80" s="52"/>
    </row>
    <row r="81" spans="2:9" ht="16.5" customHeight="1">
      <c r="B81" s="44"/>
      <c r="C81" s="57"/>
      <c r="D81" s="44"/>
      <c r="E81" s="51"/>
      <c r="F81" s="51"/>
      <c r="I81" s="52"/>
    </row>
    <row r="82" spans="2:9" ht="16.5" customHeight="1">
      <c r="B82" s="44"/>
      <c r="C82" s="57"/>
      <c r="D82" s="44"/>
      <c r="E82" s="51"/>
      <c r="F82" s="51"/>
      <c r="I82" s="52"/>
    </row>
    <row r="83" spans="2:9" ht="16.5" customHeight="1">
      <c r="B83" s="44"/>
      <c r="C83" s="57"/>
      <c r="D83" s="44"/>
      <c r="E83" s="51"/>
      <c r="F83" s="51"/>
      <c r="I83" s="52"/>
    </row>
    <row r="84" spans="2:9" ht="16.5" customHeight="1">
      <c r="B84" s="44"/>
      <c r="C84" s="57"/>
      <c r="D84" s="44"/>
      <c r="E84" s="51"/>
      <c r="F84" s="51"/>
      <c r="I84" s="52"/>
    </row>
    <row r="85" spans="2:9" ht="16.5" customHeight="1">
      <c r="B85" s="44"/>
      <c r="C85" s="57"/>
      <c r="D85" s="44"/>
      <c r="E85" s="51"/>
      <c r="F85" s="51"/>
      <c r="I85" s="52"/>
    </row>
    <row r="86" spans="2:9" ht="16.5" customHeight="1">
      <c r="B86" s="44"/>
      <c r="C86" s="57"/>
      <c r="D86" s="44"/>
      <c r="E86" s="51"/>
      <c r="F86" s="51"/>
      <c r="I86" s="52"/>
    </row>
    <row r="87" spans="2:9" ht="16.5" customHeight="1">
      <c r="B87" s="44"/>
      <c r="C87" s="57"/>
      <c r="D87" s="44"/>
      <c r="E87" s="51"/>
      <c r="F87" s="51"/>
      <c r="I87" s="52"/>
    </row>
    <row r="88" spans="2:9" ht="16.5" customHeight="1">
      <c r="B88" s="44"/>
      <c r="C88" s="57"/>
      <c r="D88" s="44"/>
      <c r="E88" s="51"/>
      <c r="F88" s="51"/>
      <c r="I88" s="52"/>
    </row>
    <row r="89" spans="2:9" ht="16.5" customHeight="1">
      <c r="B89" s="44"/>
      <c r="C89" s="57"/>
      <c r="D89" s="44"/>
      <c r="E89" s="51"/>
      <c r="F89" s="51"/>
      <c r="I89" s="52"/>
    </row>
    <row r="90" spans="2:9" ht="16.5" customHeight="1">
      <c r="B90" s="44"/>
      <c r="C90" s="57"/>
      <c r="D90" s="44"/>
      <c r="E90" s="51"/>
      <c r="F90" s="51"/>
      <c r="I90" s="52"/>
    </row>
    <row r="91" spans="2:9" ht="16.5" customHeight="1">
      <c r="B91" s="44"/>
      <c r="C91" s="57"/>
      <c r="D91" s="44"/>
      <c r="E91" s="51"/>
      <c r="F91" s="51"/>
      <c r="I91" s="52"/>
    </row>
    <row r="92" spans="2:9" ht="16.5" customHeight="1">
      <c r="B92" s="44"/>
      <c r="C92" s="57"/>
      <c r="D92" s="44"/>
      <c r="E92" s="51"/>
      <c r="F92" s="51"/>
      <c r="I92" s="52"/>
    </row>
    <row r="93" spans="2:9" ht="16.5" customHeight="1">
      <c r="B93" s="44"/>
      <c r="C93" s="57"/>
      <c r="D93" s="44"/>
      <c r="E93" s="51"/>
      <c r="F93" s="51"/>
      <c r="I93" s="52"/>
    </row>
    <row r="94" spans="2:9" ht="16.5" customHeight="1">
      <c r="B94" s="44"/>
      <c r="C94" s="57"/>
      <c r="D94" s="44"/>
      <c r="E94" s="51"/>
      <c r="F94" s="51"/>
      <c r="I94" s="52"/>
    </row>
    <row r="95" spans="2:9" ht="16.5" customHeight="1">
      <c r="B95" s="44"/>
      <c r="C95" s="57"/>
      <c r="D95" s="44"/>
      <c r="E95" s="51"/>
      <c r="F95" s="51"/>
      <c r="I95" s="52"/>
    </row>
    <row r="96" spans="2:9" ht="16.5" customHeight="1">
      <c r="B96" s="44"/>
      <c r="C96" s="57"/>
      <c r="D96" s="44"/>
      <c r="E96" s="51"/>
      <c r="F96" s="51"/>
      <c r="I96" s="52"/>
    </row>
    <row r="97" spans="2:9" ht="16.5" customHeight="1">
      <c r="B97" s="44"/>
      <c r="C97" s="57"/>
      <c r="D97" s="44"/>
      <c r="E97" s="51"/>
      <c r="F97" s="51"/>
      <c r="I97" s="52"/>
    </row>
    <row r="98" spans="2:9" ht="16.5" customHeight="1">
      <c r="B98" s="44"/>
      <c r="C98" s="57"/>
      <c r="D98" s="44"/>
      <c r="E98" s="51"/>
      <c r="F98" s="51"/>
      <c r="I98" s="52"/>
    </row>
    <row r="99" spans="2:9" ht="16.5" customHeight="1">
      <c r="B99" s="44"/>
      <c r="C99" s="57"/>
      <c r="D99" s="44"/>
      <c r="E99" s="51"/>
      <c r="F99" s="51"/>
      <c r="I99" s="52"/>
    </row>
    <row r="100" spans="2:9" ht="16.5" customHeight="1">
      <c r="B100" s="44"/>
      <c r="C100" s="57"/>
      <c r="D100" s="44"/>
      <c r="E100" s="51"/>
      <c r="F100" s="51"/>
      <c r="I100" s="52"/>
    </row>
    <row r="101" spans="2:9" ht="16.5" customHeight="1">
      <c r="B101" s="44"/>
      <c r="C101" s="57"/>
      <c r="D101" s="44"/>
      <c r="E101" s="51"/>
      <c r="F101" s="51"/>
      <c r="I101" s="52"/>
    </row>
    <row r="102" spans="2:9" ht="16.5" customHeight="1">
      <c r="B102" s="44"/>
      <c r="C102" s="57"/>
      <c r="D102" s="44"/>
      <c r="E102" s="51"/>
      <c r="F102" s="51"/>
      <c r="I102" s="52"/>
    </row>
    <row r="103" spans="2:9" ht="16.5" customHeight="1">
      <c r="B103" s="44"/>
      <c r="C103" s="57"/>
      <c r="D103" s="44"/>
      <c r="E103" s="51"/>
      <c r="F103" s="51"/>
      <c r="I103" s="52"/>
    </row>
    <row r="104" spans="2:9" ht="16.5" customHeight="1">
      <c r="B104" s="44"/>
      <c r="C104" s="57"/>
      <c r="D104" s="44"/>
      <c r="E104" s="51"/>
      <c r="F104" s="51"/>
      <c r="I104" s="52"/>
    </row>
    <row r="105" spans="2:9" ht="16.5" customHeight="1">
      <c r="B105" s="44"/>
      <c r="C105" s="57"/>
      <c r="D105" s="44"/>
      <c r="E105" s="51"/>
      <c r="F105" s="51"/>
      <c r="I105" s="52"/>
    </row>
    <row r="106" spans="2:9" ht="16.5" customHeight="1">
      <c r="B106" s="44"/>
      <c r="C106" s="57"/>
      <c r="D106" s="44"/>
      <c r="E106" s="51"/>
      <c r="F106" s="51"/>
      <c r="I106" s="52"/>
    </row>
    <row r="107" spans="2:9" ht="16.5" customHeight="1">
      <c r="B107" s="44"/>
      <c r="C107" s="57"/>
      <c r="D107" s="44"/>
      <c r="E107" s="51"/>
      <c r="F107" s="51"/>
      <c r="I107" s="52"/>
    </row>
    <row r="108" spans="2:9" ht="16.5" customHeight="1">
      <c r="B108" s="44"/>
      <c r="C108" s="57"/>
      <c r="D108" s="44"/>
      <c r="E108" s="51"/>
      <c r="F108" s="51"/>
      <c r="I108" s="52"/>
    </row>
    <row r="109" spans="2:9" ht="16.5" customHeight="1">
      <c r="B109" s="44"/>
      <c r="C109" s="57"/>
      <c r="D109" s="44"/>
      <c r="E109" s="51"/>
      <c r="F109" s="51"/>
      <c r="I109" s="52"/>
    </row>
    <row r="110" spans="2:9" ht="16.5" customHeight="1">
      <c r="B110" s="44"/>
      <c r="C110" s="57"/>
      <c r="D110" s="44"/>
      <c r="E110" s="51"/>
      <c r="F110" s="51"/>
      <c r="I110" s="52"/>
    </row>
    <row r="111" spans="2:9" ht="16.5" customHeight="1">
      <c r="B111" s="44"/>
      <c r="C111" s="57"/>
      <c r="D111" s="44"/>
      <c r="E111" s="51"/>
      <c r="F111" s="51"/>
      <c r="I111" s="52"/>
    </row>
    <row r="112" spans="2:9" ht="16.5" customHeight="1">
      <c r="B112" s="44"/>
      <c r="C112" s="57"/>
      <c r="D112" s="44"/>
      <c r="E112" s="51"/>
      <c r="F112" s="51"/>
      <c r="I112" s="52"/>
    </row>
    <row r="113" spans="2:9" ht="16.5" customHeight="1">
      <c r="B113" s="44"/>
      <c r="C113" s="57"/>
      <c r="D113" s="44"/>
      <c r="E113" s="51"/>
      <c r="F113" s="51"/>
      <c r="I113" s="52"/>
    </row>
    <row r="114" spans="2:9" ht="16.5" customHeight="1">
      <c r="B114" s="44"/>
      <c r="C114" s="57"/>
      <c r="D114" s="44"/>
      <c r="E114" s="51"/>
      <c r="F114" s="51"/>
      <c r="I114" s="52"/>
    </row>
    <row r="115" spans="2:9" ht="16.5" customHeight="1">
      <c r="B115" s="44"/>
      <c r="C115" s="57"/>
      <c r="D115" s="44"/>
      <c r="E115" s="51"/>
      <c r="F115" s="51"/>
      <c r="I115" s="52"/>
    </row>
    <row r="116" spans="2:9" ht="16.5" customHeight="1">
      <c r="B116" s="44"/>
      <c r="C116" s="57"/>
      <c r="D116" s="44"/>
      <c r="E116" s="51"/>
      <c r="F116" s="51"/>
      <c r="I116" s="52"/>
    </row>
    <row r="117" spans="2:9" ht="16.5" customHeight="1">
      <c r="B117" s="44"/>
      <c r="C117" s="57"/>
      <c r="D117" s="44"/>
      <c r="E117" s="51"/>
      <c r="F117" s="51"/>
      <c r="I117" s="52"/>
    </row>
    <row r="118" spans="2:9" ht="16.5" customHeight="1">
      <c r="B118" s="44"/>
      <c r="C118" s="57"/>
      <c r="D118" s="44"/>
      <c r="E118" s="51"/>
      <c r="F118" s="51"/>
      <c r="I118" s="52"/>
    </row>
    <row r="119" spans="2:9" ht="16.5" customHeight="1">
      <c r="B119" s="44"/>
      <c r="C119" s="57"/>
      <c r="D119" s="44"/>
      <c r="E119" s="51"/>
      <c r="F119" s="51"/>
      <c r="I119" s="52"/>
    </row>
    <row r="120" spans="2:9" ht="16.5" customHeight="1">
      <c r="B120" s="44"/>
      <c r="C120" s="57"/>
      <c r="D120" s="44"/>
      <c r="E120" s="51"/>
      <c r="F120" s="51"/>
      <c r="I120" s="52"/>
    </row>
    <row r="121" spans="2:9" ht="16.5" customHeight="1">
      <c r="B121" s="44"/>
      <c r="C121" s="57"/>
      <c r="D121" s="44"/>
      <c r="E121" s="51"/>
      <c r="F121" s="51"/>
      <c r="I121" s="52"/>
    </row>
    <row r="122" spans="2:9" ht="16.5" customHeight="1">
      <c r="B122" s="44"/>
      <c r="C122" s="57"/>
      <c r="D122" s="44"/>
      <c r="E122" s="51"/>
      <c r="F122" s="51"/>
      <c r="I122" s="52"/>
    </row>
    <row r="123" spans="2:9" ht="16.5" customHeight="1">
      <c r="B123" s="44"/>
      <c r="C123" s="57"/>
      <c r="D123" s="44"/>
      <c r="E123" s="51"/>
      <c r="F123" s="51"/>
      <c r="I123" s="52"/>
    </row>
    <row r="124" spans="2:9" ht="16.5" customHeight="1">
      <c r="B124" s="44"/>
      <c r="C124" s="57"/>
      <c r="D124" s="44"/>
      <c r="E124" s="51"/>
      <c r="F124" s="51"/>
      <c r="I124" s="52"/>
    </row>
    <row r="125" spans="2:9" ht="16.5" customHeight="1">
      <c r="B125" s="44"/>
      <c r="C125" s="57"/>
      <c r="D125" s="44"/>
      <c r="E125" s="51"/>
      <c r="F125" s="51"/>
      <c r="I125" s="52"/>
    </row>
    <row r="126" spans="2:9" ht="16.5" customHeight="1">
      <c r="B126" s="44"/>
      <c r="C126" s="57"/>
      <c r="D126" s="44"/>
      <c r="E126" s="51"/>
      <c r="F126" s="51"/>
      <c r="I126" s="52"/>
    </row>
    <row r="127" spans="2:9" ht="16.5" customHeight="1">
      <c r="B127" s="44"/>
      <c r="C127" s="57"/>
      <c r="D127" s="44"/>
      <c r="E127" s="51"/>
      <c r="F127" s="51"/>
      <c r="I127" s="52"/>
    </row>
    <row r="128" spans="2:9" ht="16.5" customHeight="1">
      <c r="B128" s="44"/>
      <c r="C128" s="57"/>
      <c r="D128" s="44"/>
      <c r="E128" s="51"/>
      <c r="F128" s="51"/>
      <c r="I128" s="52"/>
    </row>
    <row r="129" spans="2:9" ht="16.5" customHeight="1">
      <c r="B129" s="44"/>
      <c r="C129" s="57"/>
      <c r="D129" s="44"/>
      <c r="E129" s="51"/>
      <c r="F129" s="51"/>
      <c r="I129" s="52"/>
    </row>
    <row r="130" spans="2:9" ht="16.5" customHeight="1">
      <c r="B130" s="44"/>
      <c r="C130" s="57"/>
      <c r="D130" s="44"/>
      <c r="E130" s="51"/>
      <c r="F130" s="51"/>
      <c r="I130" s="52"/>
    </row>
    <row r="131" spans="2:9" ht="16.5" customHeight="1">
      <c r="B131" s="44"/>
      <c r="C131" s="57"/>
      <c r="D131" s="44"/>
      <c r="E131" s="51"/>
      <c r="F131" s="51"/>
      <c r="I131" s="52"/>
    </row>
    <row r="132" spans="2:9" ht="16.5" customHeight="1">
      <c r="B132" s="44"/>
      <c r="C132" s="57"/>
      <c r="D132" s="44"/>
      <c r="E132" s="51"/>
      <c r="F132" s="51"/>
      <c r="I132" s="52"/>
    </row>
    <row r="133" spans="2:9" ht="16.5" customHeight="1">
      <c r="B133" s="44"/>
      <c r="C133" s="57"/>
      <c r="D133" s="44"/>
      <c r="E133" s="51"/>
      <c r="F133" s="51"/>
      <c r="I133" s="52"/>
    </row>
    <row r="134" spans="2:9" ht="16.5" customHeight="1">
      <c r="B134" s="44"/>
      <c r="C134" s="57"/>
      <c r="D134" s="44"/>
      <c r="E134" s="51"/>
      <c r="F134" s="51"/>
      <c r="I134" s="52"/>
    </row>
    <row r="135" spans="2:9" ht="16.5" customHeight="1">
      <c r="B135" s="44"/>
      <c r="C135" s="57"/>
      <c r="D135" s="44"/>
      <c r="E135" s="51"/>
      <c r="F135" s="51"/>
      <c r="I135" s="52"/>
    </row>
    <row r="136" spans="2:9" ht="16.5" customHeight="1">
      <c r="B136" s="44"/>
      <c r="C136" s="57"/>
      <c r="D136" s="44"/>
      <c r="E136" s="51"/>
      <c r="F136" s="51"/>
      <c r="I136" s="52"/>
    </row>
    <row r="137" spans="2:9" ht="16.5" customHeight="1">
      <c r="B137" s="44"/>
      <c r="C137" s="57"/>
      <c r="D137" s="44"/>
      <c r="E137" s="51"/>
      <c r="F137" s="51"/>
      <c r="I137" s="52"/>
    </row>
    <row r="138" spans="2:9" ht="16.5" customHeight="1">
      <c r="B138" s="44"/>
      <c r="C138" s="57"/>
      <c r="D138" s="44"/>
      <c r="E138" s="51"/>
      <c r="F138" s="51"/>
      <c r="I138" s="52"/>
    </row>
    <row r="139" spans="2:9" ht="16.5" customHeight="1">
      <c r="B139" s="44"/>
      <c r="C139" s="57"/>
      <c r="D139" s="44"/>
      <c r="E139" s="51"/>
      <c r="F139" s="51"/>
      <c r="I139" s="52"/>
    </row>
    <row r="140" spans="2:9" ht="16.5" customHeight="1">
      <c r="B140" s="44"/>
      <c r="C140" s="57"/>
      <c r="D140" s="44"/>
      <c r="E140" s="51"/>
      <c r="F140" s="51"/>
      <c r="I140" s="52"/>
    </row>
    <row r="141" spans="2:9" ht="16.5" customHeight="1">
      <c r="B141" s="44"/>
      <c r="C141" s="57"/>
      <c r="D141" s="44"/>
      <c r="E141" s="51"/>
      <c r="F141" s="51"/>
      <c r="I141" s="52"/>
    </row>
    <row r="142" spans="2:9" ht="16.5" customHeight="1">
      <c r="B142" s="44"/>
      <c r="C142" s="57"/>
      <c r="D142" s="44"/>
      <c r="E142" s="51"/>
      <c r="F142" s="51"/>
      <c r="I142" s="52"/>
    </row>
    <row r="143" spans="2:9" ht="16.5" customHeight="1">
      <c r="B143" s="44"/>
      <c r="C143" s="57"/>
      <c r="D143" s="44"/>
      <c r="E143" s="51"/>
      <c r="F143" s="51"/>
      <c r="I143" s="52"/>
    </row>
    <row r="144" spans="2:9" ht="16.5" customHeight="1">
      <c r="B144" s="44"/>
      <c r="C144" s="61"/>
      <c r="D144" s="44"/>
      <c r="E144" s="51"/>
      <c r="F144" s="51"/>
      <c r="I144" s="52"/>
    </row>
    <row r="145" spans="2:9" ht="16.5" customHeight="1">
      <c r="B145" s="44"/>
      <c r="C145" s="61"/>
      <c r="D145" s="44"/>
      <c r="E145" s="51"/>
      <c r="F145" s="51"/>
      <c r="I145" s="52"/>
    </row>
    <row r="146" spans="2:9" ht="16.5" customHeight="1">
      <c r="B146" s="44"/>
      <c r="C146" s="57"/>
      <c r="D146" s="44"/>
      <c r="E146" s="51"/>
      <c r="F146" s="51"/>
      <c r="I146" s="52"/>
    </row>
    <row r="147" spans="2:9" ht="16.5" customHeight="1">
      <c r="B147" s="44"/>
      <c r="C147" s="57"/>
      <c r="D147" s="44"/>
      <c r="E147" s="51"/>
      <c r="F147" s="51"/>
      <c r="I147" s="52"/>
    </row>
    <row r="148" spans="2:9" ht="16.5" customHeight="1">
      <c r="B148" s="44"/>
      <c r="C148" s="57"/>
      <c r="D148" s="44"/>
      <c r="E148" s="51"/>
      <c r="F148" s="51"/>
      <c r="I148" s="52"/>
    </row>
    <row r="149" spans="2:9" ht="16.5" customHeight="1">
      <c r="B149" s="44"/>
      <c r="C149" s="57"/>
      <c r="D149" s="44"/>
      <c r="E149" s="51"/>
      <c r="F149" s="51"/>
      <c r="I149" s="52"/>
    </row>
    <row r="150" spans="2:9" ht="16.5" customHeight="1">
      <c r="B150" s="44"/>
      <c r="C150" s="57"/>
      <c r="D150" s="44"/>
      <c r="E150" s="51"/>
      <c r="F150" s="51"/>
      <c r="I150" s="52"/>
    </row>
    <row r="151" spans="2:9" ht="16.5" customHeight="1">
      <c r="B151" s="44"/>
      <c r="C151" s="61"/>
      <c r="D151" s="44"/>
      <c r="E151" s="51"/>
      <c r="F151" s="51"/>
      <c r="I151" s="52"/>
    </row>
    <row r="152" spans="2:9" ht="16.5" customHeight="1">
      <c r="B152" s="44"/>
      <c r="C152" s="61"/>
      <c r="D152" s="44"/>
      <c r="E152" s="51"/>
      <c r="F152" s="51"/>
      <c r="I152" s="52"/>
    </row>
    <row r="153" spans="2:9" ht="16.5" customHeight="1">
      <c r="B153" s="44"/>
      <c r="C153" s="61"/>
      <c r="D153" s="44"/>
      <c r="E153" s="51"/>
      <c r="F153" s="51"/>
      <c r="I153" s="52"/>
    </row>
    <row r="154" spans="2:9" ht="16.5" customHeight="1">
      <c r="B154" s="44"/>
      <c r="C154" s="61"/>
      <c r="D154" s="44"/>
      <c r="E154" s="51"/>
      <c r="F154" s="51"/>
      <c r="I154" s="52"/>
    </row>
    <row r="155" spans="2:9" ht="16.5" customHeight="1">
      <c r="B155" s="44"/>
      <c r="C155" s="57"/>
      <c r="D155" s="44"/>
      <c r="E155" s="51"/>
      <c r="F155" s="51"/>
      <c r="I155" s="52"/>
    </row>
    <row r="156" spans="2:9" ht="16.5" customHeight="1">
      <c r="B156" s="44"/>
      <c r="C156" s="57"/>
      <c r="D156" s="44"/>
      <c r="E156" s="51"/>
      <c r="F156" s="51"/>
      <c r="I156" s="52"/>
    </row>
    <row r="157" spans="2:9" ht="16.5" customHeight="1">
      <c r="B157" s="44"/>
      <c r="C157" s="57"/>
      <c r="D157" s="44"/>
      <c r="E157" s="51"/>
      <c r="F157" s="51"/>
      <c r="I157" s="52"/>
    </row>
    <row r="158" spans="2:9" ht="16.5" customHeight="1">
      <c r="B158" s="44"/>
      <c r="C158" s="57"/>
      <c r="D158" s="44"/>
      <c r="E158" s="51"/>
      <c r="F158" s="51"/>
      <c r="I158" s="52"/>
    </row>
    <row r="159" spans="2:9" ht="16.5" customHeight="1">
      <c r="B159" s="44"/>
      <c r="C159" s="61"/>
      <c r="D159" s="44"/>
      <c r="E159" s="51"/>
      <c r="F159" s="51"/>
      <c r="I159" s="52"/>
    </row>
    <row r="160" spans="2:9" ht="16.5" customHeight="1">
      <c r="B160" s="44"/>
      <c r="C160" s="57"/>
      <c r="D160" s="44"/>
      <c r="E160" s="51"/>
      <c r="F160" s="51"/>
      <c r="I160" s="52"/>
    </row>
    <row r="161" spans="2:9" ht="16.5" customHeight="1">
      <c r="B161" s="44"/>
      <c r="C161" s="57"/>
      <c r="D161" s="44"/>
      <c r="E161" s="51"/>
      <c r="F161" s="51"/>
      <c r="I161" s="52"/>
    </row>
    <row r="162" spans="2:9" ht="16.5" customHeight="1">
      <c r="B162" s="44"/>
      <c r="C162" s="57"/>
      <c r="D162" s="44"/>
      <c r="E162" s="51"/>
      <c r="F162" s="51"/>
      <c r="I162" s="52"/>
    </row>
    <row r="163" spans="2:9" ht="16.5" customHeight="1">
      <c r="B163" s="44"/>
      <c r="C163" s="57"/>
      <c r="D163" s="44"/>
      <c r="E163" s="51"/>
      <c r="F163" s="51"/>
      <c r="I163" s="52"/>
    </row>
    <row r="164" spans="2:9" ht="16.5" customHeight="1">
      <c r="B164" s="44"/>
      <c r="C164" s="57"/>
      <c r="D164" s="44"/>
      <c r="E164" s="51"/>
      <c r="F164" s="51"/>
      <c r="I164" s="52"/>
    </row>
    <row r="165" spans="2:9" ht="16.5" customHeight="1">
      <c r="B165" s="44"/>
      <c r="C165" s="57"/>
      <c r="D165" s="44"/>
      <c r="E165" s="51"/>
      <c r="F165" s="51"/>
      <c r="I165" s="52"/>
    </row>
    <row r="166" spans="2:9" ht="16.5" customHeight="1">
      <c r="B166" s="44"/>
      <c r="C166" s="61"/>
      <c r="D166" s="44"/>
      <c r="E166" s="51"/>
      <c r="F166" s="51"/>
      <c r="I166" s="52"/>
    </row>
    <row r="167" spans="2:9" ht="16.5" customHeight="1">
      <c r="B167" s="44"/>
      <c r="C167" s="61"/>
      <c r="D167" s="44"/>
      <c r="E167" s="51"/>
      <c r="F167" s="51"/>
      <c r="I167" s="52"/>
    </row>
    <row r="168" spans="2:9" ht="16.5" customHeight="1">
      <c r="B168" s="44"/>
      <c r="C168" s="57"/>
      <c r="D168" s="44"/>
      <c r="E168" s="51"/>
      <c r="F168" s="51"/>
      <c r="I168" s="52"/>
    </row>
    <row r="169" spans="2:9" ht="16.5" customHeight="1">
      <c r="B169" s="44"/>
      <c r="C169" s="61"/>
      <c r="D169" s="44"/>
      <c r="E169" s="51"/>
      <c r="F169" s="51"/>
      <c r="I169" s="52"/>
    </row>
    <row r="170" spans="2:9" ht="16.5" customHeight="1">
      <c r="B170" s="44"/>
      <c r="C170" s="61"/>
      <c r="D170" s="44"/>
      <c r="E170" s="51"/>
      <c r="F170" s="51"/>
      <c r="I170" s="52"/>
    </row>
    <row r="171" spans="2:9" ht="16.5" customHeight="1">
      <c r="B171" s="44"/>
      <c r="C171" s="57"/>
      <c r="D171" s="44"/>
      <c r="E171" s="51"/>
      <c r="F171" s="51"/>
      <c r="I171" s="52"/>
    </row>
    <row r="172" spans="2:9" ht="16.5" customHeight="1">
      <c r="B172" s="44"/>
      <c r="C172" s="57"/>
      <c r="D172" s="44"/>
      <c r="E172" s="51"/>
      <c r="F172" s="51"/>
      <c r="I172" s="52"/>
    </row>
    <row r="173" spans="2:9" ht="16.5" customHeight="1">
      <c r="B173" s="44"/>
      <c r="C173" s="57"/>
      <c r="D173" s="44"/>
      <c r="E173" s="51"/>
      <c r="F173" s="51"/>
      <c r="I173" s="52"/>
    </row>
    <row r="174" spans="2:9" ht="16.5" customHeight="1">
      <c r="B174" s="44"/>
      <c r="C174" s="57"/>
      <c r="D174" s="44"/>
      <c r="E174" s="51"/>
      <c r="F174" s="51"/>
      <c r="I174" s="52"/>
    </row>
    <row r="175" spans="2:9" ht="16.5" customHeight="1">
      <c r="B175" s="44"/>
      <c r="C175" s="57"/>
      <c r="D175" s="44"/>
      <c r="E175" s="51"/>
      <c r="F175" s="51"/>
      <c r="I175" s="52"/>
    </row>
    <row r="176" spans="2:9" ht="16.5" customHeight="1">
      <c r="B176" s="44"/>
      <c r="C176" s="57"/>
      <c r="D176" s="44"/>
      <c r="E176" s="51"/>
      <c r="F176" s="51"/>
      <c r="I176" s="52"/>
    </row>
    <row r="177" spans="2:9" ht="16.5" customHeight="1">
      <c r="B177" s="44"/>
      <c r="C177" s="61"/>
      <c r="D177" s="44"/>
      <c r="E177" s="51"/>
      <c r="F177" s="51"/>
      <c r="I177" s="52"/>
    </row>
    <row r="178" spans="2:9" ht="16.5" customHeight="1">
      <c r="B178" s="44"/>
      <c r="C178" s="57"/>
      <c r="D178" s="44"/>
      <c r="E178" s="51"/>
      <c r="F178" s="51"/>
      <c r="I178" s="52"/>
    </row>
    <row r="179" spans="2:9" ht="16.5" customHeight="1">
      <c r="B179" s="44"/>
      <c r="C179" s="61"/>
      <c r="D179" s="44"/>
      <c r="E179" s="51"/>
      <c r="F179" s="51"/>
      <c r="I179" s="52"/>
    </row>
    <row r="180" spans="2:9" ht="16.5" customHeight="1">
      <c r="B180" s="44"/>
      <c r="C180" s="61"/>
      <c r="D180" s="44"/>
      <c r="E180" s="51"/>
      <c r="F180" s="51"/>
      <c r="I180" s="52"/>
    </row>
    <row r="181" spans="2:9" ht="16.5" customHeight="1">
      <c r="B181" s="44"/>
      <c r="C181" s="61"/>
      <c r="D181" s="44"/>
      <c r="E181" s="51"/>
      <c r="F181" s="51"/>
      <c r="I181" s="52"/>
    </row>
    <row r="182" spans="2:9" ht="16.5" customHeight="1">
      <c r="B182" s="44"/>
      <c r="C182" s="61"/>
      <c r="D182" s="44"/>
      <c r="E182" s="51"/>
      <c r="F182" s="51"/>
      <c r="I182" s="52"/>
    </row>
    <row r="183" spans="2:9" ht="16.5" customHeight="1">
      <c r="B183" s="44"/>
      <c r="C183" s="61"/>
      <c r="D183" s="44"/>
      <c r="E183" s="51"/>
      <c r="F183" s="51"/>
      <c r="I183" s="52"/>
    </row>
    <row r="184" spans="2:9" ht="16.5" customHeight="1">
      <c r="B184" s="44"/>
      <c r="C184" s="61"/>
      <c r="D184" s="44"/>
      <c r="E184" s="51"/>
      <c r="F184" s="51"/>
      <c r="I184" s="52"/>
    </row>
    <row r="185" spans="2:9" ht="16.5" customHeight="1">
      <c r="B185" s="44"/>
      <c r="C185" s="61"/>
      <c r="D185" s="44"/>
      <c r="E185" s="51"/>
      <c r="F185" s="51"/>
      <c r="I185" s="52"/>
    </row>
    <row r="186" spans="2:9" ht="16.5" customHeight="1">
      <c r="B186" s="44"/>
      <c r="C186" s="57"/>
      <c r="D186" s="44"/>
      <c r="E186" s="51"/>
      <c r="F186" s="51"/>
      <c r="I186" s="52"/>
    </row>
    <row r="187" spans="2:9" ht="16.5" customHeight="1">
      <c r="B187" s="44"/>
      <c r="C187" s="61"/>
      <c r="D187" s="44"/>
      <c r="E187" s="51"/>
      <c r="F187" s="51"/>
      <c r="I187" s="52"/>
    </row>
    <row r="188" spans="2:9" ht="16.5" customHeight="1">
      <c r="B188" s="44"/>
      <c r="C188" s="61"/>
      <c r="D188" s="44"/>
      <c r="E188" s="51"/>
      <c r="F188" s="51"/>
      <c r="I188" s="52"/>
    </row>
    <row r="189" spans="2:9" ht="16.5" customHeight="1">
      <c r="B189" s="44"/>
      <c r="C189" s="61"/>
      <c r="D189" s="44"/>
      <c r="E189" s="51"/>
      <c r="F189" s="51"/>
      <c r="I189" s="52"/>
    </row>
    <row r="190" spans="2:9" ht="16.5" customHeight="1">
      <c r="B190" s="44"/>
      <c r="C190" s="61"/>
      <c r="D190" s="44"/>
      <c r="E190" s="51"/>
      <c r="F190" s="51"/>
      <c r="I190" s="52"/>
    </row>
    <row r="191" spans="2:9" ht="16.5" customHeight="1">
      <c r="B191" s="44"/>
      <c r="C191" s="61"/>
      <c r="D191" s="44"/>
      <c r="E191" s="51"/>
      <c r="F191" s="51"/>
      <c r="I191" s="52"/>
    </row>
    <row r="192" spans="2:9" ht="16.5" customHeight="1">
      <c r="B192" s="44"/>
      <c r="C192" s="61"/>
      <c r="D192" s="44"/>
      <c r="E192" s="51"/>
      <c r="F192" s="51"/>
      <c r="I192" s="52"/>
    </row>
    <row r="193" spans="2:9" ht="16.5" customHeight="1">
      <c r="B193" s="44"/>
      <c r="C193" s="61"/>
      <c r="D193" s="44"/>
      <c r="E193" s="51"/>
      <c r="F193" s="51"/>
      <c r="I193" s="52"/>
    </row>
    <row r="194" spans="2:9" ht="16.5" customHeight="1">
      <c r="B194" s="44"/>
      <c r="C194" s="61"/>
      <c r="D194" s="44"/>
      <c r="E194" s="51"/>
      <c r="F194" s="51"/>
      <c r="I194" s="52"/>
    </row>
    <row r="195" spans="2:9" ht="16.5" customHeight="1">
      <c r="B195" s="44"/>
      <c r="C195" s="57"/>
      <c r="D195" s="44"/>
      <c r="E195" s="51"/>
      <c r="F195" s="51"/>
      <c r="I195" s="52"/>
    </row>
    <row r="196" spans="2:9" ht="16.5" customHeight="1">
      <c r="B196" s="44"/>
      <c r="C196" s="57"/>
      <c r="D196" s="44"/>
      <c r="E196" s="51"/>
      <c r="F196" s="51"/>
      <c r="I196" s="52"/>
    </row>
    <row r="197" spans="2:9" ht="16.5" customHeight="1">
      <c r="B197" s="44"/>
      <c r="C197" s="57"/>
      <c r="D197" s="44"/>
      <c r="E197" s="51"/>
      <c r="F197" s="51"/>
      <c r="I197" s="52"/>
    </row>
    <row r="198" spans="2:9" ht="16.5" customHeight="1">
      <c r="B198" s="44"/>
      <c r="C198" s="57"/>
      <c r="D198" s="44"/>
      <c r="E198" s="51"/>
      <c r="F198" s="51"/>
      <c r="I198" s="52"/>
    </row>
    <row r="199" spans="2:9" ht="16.5" customHeight="1">
      <c r="B199" s="44"/>
      <c r="C199" s="57"/>
      <c r="D199" s="44"/>
      <c r="E199" s="51"/>
      <c r="F199" s="51"/>
      <c r="I199" s="52"/>
    </row>
    <row r="200" spans="2:9" ht="16.5" customHeight="1">
      <c r="B200" s="44"/>
      <c r="C200" s="57"/>
      <c r="D200" s="44"/>
      <c r="E200" s="51"/>
      <c r="F200" s="51"/>
      <c r="I200" s="52"/>
    </row>
    <row r="201" spans="2:9" ht="16.5" customHeight="1">
      <c r="B201" s="44"/>
      <c r="C201" s="57"/>
      <c r="D201" s="44"/>
      <c r="E201" s="51"/>
      <c r="F201" s="51"/>
      <c r="I201" s="52"/>
    </row>
    <row r="202" spans="2:9" ht="16.5" customHeight="1">
      <c r="B202" s="44"/>
      <c r="C202" s="57"/>
      <c r="D202" s="44"/>
      <c r="E202" s="51"/>
      <c r="F202" s="51"/>
      <c r="I202" s="52"/>
    </row>
    <row r="203" spans="2:9" ht="16.5" customHeight="1">
      <c r="B203" s="44"/>
      <c r="C203" s="57"/>
      <c r="D203" s="44"/>
      <c r="E203" s="51"/>
      <c r="F203" s="51"/>
      <c r="I203" s="52"/>
    </row>
    <row r="204" spans="2:9" ht="16.5" customHeight="1">
      <c r="B204" s="44"/>
      <c r="C204" s="57"/>
      <c r="D204" s="44"/>
      <c r="E204" s="51"/>
      <c r="F204" s="51"/>
      <c r="I204" s="52"/>
    </row>
    <row r="205" spans="2:9" ht="16.5" customHeight="1">
      <c r="B205" s="44"/>
      <c r="C205" s="57"/>
      <c r="D205" s="44"/>
      <c r="E205" s="51"/>
      <c r="F205" s="51"/>
      <c r="I205" s="52"/>
    </row>
    <row r="206" spans="2:9" ht="16.5" customHeight="1">
      <c r="B206" s="44"/>
      <c r="C206" s="57"/>
      <c r="D206" s="44"/>
      <c r="E206" s="51"/>
      <c r="F206" s="51"/>
      <c r="I206" s="52"/>
    </row>
    <row r="207" spans="2:9" ht="16.5" customHeight="1">
      <c r="B207" s="44"/>
      <c r="C207" s="57"/>
      <c r="D207" s="44"/>
      <c r="E207" s="51"/>
      <c r="F207" s="51"/>
      <c r="I207" s="52"/>
    </row>
    <row r="208" spans="2:9" ht="16.5" customHeight="1">
      <c r="B208" s="44"/>
      <c r="C208" s="57"/>
      <c r="D208" s="44"/>
      <c r="E208" s="51"/>
      <c r="F208" s="51"/>
      <c r="I208" s="52"/>
    </row>
    <row r="209" spans="2:9" ht="16.5" customHeight="1">
      <c r="B209" s="44"/>
      <c r="C209" s="57"/>
      <c r="D209" s="44"/>
      <c r="E209" s="51"/>
      <c r="F209" s="51"/>
      <c r="I209" s="52"/>
    </row>
    <row r="210" spans="2:9" ht="16.5" customHeight="1">
      <c r="B210" s="44"/>
      <c r="C210" s="57"/>
      <c r="D210" s="44"/>
      <c r="E210" s="51"/>
      <c r="F210" s="51"/>
      <c r="I210" s="52"/>
    </row>
    <row r="211" spans="2:9" ht="16.5" customHeight="1">
      <c r="B211" s="44"/>
      <c r="C211" s="57"/>
      <c r="D211" s="44"/>
      <c r="E211" s="51"/>
      <c r="F211" s="51"/>
      <c r="I211" s="52"/>
    </row>
    <row r="212" spans="2:9" ht="16.5" customHeight="1">
      <c r="B212" s="44"/>
      <c r="C212" s="57"/>
      <c r="D212" s="44"/>
      <c r="E212" s="51"/>
      <c r="F212" s="51"/>
      <c r="I212" s="52"/>
    </row>
    <row r="213" spans="2:9" ht="16.5" customHeight="1">
      <c r="B213" s="44"/>
      <c r="C213" s="57"/>
      <c r="D213" s="44"/>
      <c r="E213" s="51"/>
      <c r="F213" s="51"/>
      <c r="I213" s="52"/>
    </row>
    <row r="214" spans="2:9" ht="16.5" customHeight="1">
      <c r="B214" s="44"/>
      <c r="C214" s="57"/>
      <c r="D214" s="44"/>
      <c r="E214" s="51"/>
      <c r="F214" s="51"/>
      <c r="I214" s="52"/>
    </row>
    <row r="215" spans="2:9" ht="16.5" customHeight="1">
      <c r="B215" s="44"/>
      <c r="C215" s="57"/>
      <c r="D215" s="44"/>
      <c r="E215" s="51"/>
      <c r="F215" s="51"/>
      <c r="I215" s="52"/>
    </row>
    <row r="216" spans="2:9" ht="16.5" customHeight="1">
      <c r="B216" s="44"/>
      <c r="C216" s="57"/>
      <c r="D216" s="44"/>
      <c r="E216" s="51"/>
      <c r="F216" s="51"/>
      <c r="I216" s="52"/>
    </row>
    <row r="217" spans="2:9" ht="16.5" customHeight="1">
      <c r="B217" s="44"/>
      <c r="C217" s="57"/>
      <c r="D217" s="44"/>
      <c r="E217" s="51"/>
      <c r="F217" s="51"/>
      <c r="I217" s="52"/>
    </row>
    <row r="218" spans="2:9" ht="16.5" customHeight="1">
      <c r="B218" s="44"/>
      <c r="C218" s="57"/>
      <c r="D218" s="44"/>
      <c r="E218" s="51"/>
      <c r="F218" s="51"/>
      <c r="I218" s="52"/>
    </row>
    <row r="219" spans="2:9" ht="16.5" customHeight="1">
      <c r="B219" s="44"/>
      <c r="C219" s="57"/>
      <c r="D219" s="44"/>
      <c r="E219" s="51"/>
      <c r="F219" s="51"/>
      <c r="I219" s="52"/>
    </row>
    <row r="220" spans="2:9" ht="16.5" customHeight="1">
      <c r="B220" s="44"/>
      <c r="C220" s="57"/>
      <c r="D220" s="44"/>
      <c r="E220" s="51"/>
      <c r="F220" s="51"/>
      <c r="I220" s="52"/>
    </row>
    <row r="221" spans="2:9" ht="16.5" customHeight="1">
      <c r="B221" s="44"/>
      <c r="C221" s="57"/>
      <c r="D221" s="44"/>
      <c r="E221" s="51"/>
      <c r="F221" s="51"/>
      <c r="I221" s="52"/>
    </row>
    <row r="222" spans="2:9" ht="16.5" customHeight="1">
      <c r="B222" s="44"/>
      <c r="C222" s="57"/>
      <c r="D222" s="44"/>
      <c r="E222" s="51"/>
      <c r="F222" s="51"/>
      <c r="I222" s="52"/>
    </row>
    <row r="223" spans="2:9" ht="16.5" customHeight="1">
      <c r="B223" s="44"/>
      <c r="C223" s="57"/>
      <c r="D223" s="44"/>
      <c r="E223" s="51"/>
      <c r="F223" s="51"/>
      <c r="I223" s="52"/>
    </row>
    <row r="224" spans="2:9" ht="16.5" customHeight="1">
      <c r="B224" s="44"/>
      <c r="C224" s="57"/>
      <c r="D224" s="44"/>
      <c r="E224" s="51"/>
      <c r="F224" s="51"/>
      <c r="I224" s="52"/>
    </row>
    <row r="225" spans="2:9" ht="16.5" customHeight="1">
      <c r="B225" s="44"/>
      <c r="C225" s="57"/>
      <c r="D225" s="44"/>
      <c r="E225" s="51"/>
      <c r="F225" s="51"/>
      <c r="I225" s="52"/>
    </row>
    <row r="226" spans="2:9" ht="16.5" customHeight="1">
      <c r="B226" s="44"/>
      <c r="C226" s="57"/>
      <c r="D226" s="44"/>
      <c r="E226" s="51"/>
      <c r="F226" s="51"/>
      <c r="I226" s="52"/>
    </row>
    <row r="227" spans="2:9" ht="16.5" customHeight="1">
      <c r="B227" s="44"/>
      <c r="C227" s="57"/>
      <c r="D227" s="44"/>
      <c r="E227" s="51"/>
      <c r="F227" s="51"/>
      <c r="I227" s="52"/>
    </row>
    <row r="228" spans="2:9" ht="16.5" customHeight="1">
      <c r="B228" s="44"/>
      <c r="C228" s="57"/>
      <c r="D228" s="44"/>
      <c r="E228" s="51"/>
      <c r="F228" s="51"/>
      <c r="I228" s="52"/>
    </row>
    <row r="229" spans="2:9" ht="16.5" customHeight="1">
      <c r="B229" s="44"/>
      <c r="C229" s="57"/>
      <c r="D229" s="44"/>
      <c r="E229" s="51"/>
      <c r="F229" s="51"/>
      <c r="I229" s="52"/>
    </row>
    <row r="230" spans="2:9" ht="16.5" customHeight="1">
      <c r="B230" s="44"/>
      <c r="C230" s="57"/>
      <c r="D230" s="44"/>
      <c r="E230" s="51"/>
      <c r="F230" s="51"/>
      <c r="I230" s="52"/>
    </row>
    <row r="231" spans="2:9" ht="16.5" customHeight="1">
      <c r="B231" s="44"/>
      <c r="C231" s="57"/>
      <c r="D231" s="44"/>
      <c r="E231" s="51"/>
      <c r="F231" s="51"/>
      <c r="I231" s="52"/>
    </row>
    <row r="232" spans="2:9" ht="16.5" customHeight="1">
      <c r="B232" s="44"/>
      <c r="C232" s="57"/>
      <c r="D232" s="44"/>
      <c r="E232" s="51"/>
      <c r="F232" s="51"/>
      <c r="I232" s="52"/>
    </row>
    <row r="233" spans="2:9" ht="16.5" customHeight="1">
      <c r="B233" s="44"/>
      <c r="C233" s="57"/>
      <c r="D233" s="44"/>
      <c r="E233" s="51"/>
      <c r="F233" s="51"/>
      <c r="I233" s="52"/>
    </row>
    <row r="234" spans="2:9" ht="16.5" customHeight="1">
      <c r="B234" s="44"/>
      <c r="C234" s="57"/>
      <c r="D234" s="44"/>
      <c r="E234" s="51"/>
      <c r="F234" s="51"/>
      <c r="I234" s="52"/>
    </row>
    <row r="235" spans="2:9" ht="16.5" customHeight="1">
      <c r="B235" s="44"/>
      <c r="C235" s="57"/>
      <c r="D235" s="44"/>
      <c r="E235" s="51"/>
      <c r="F235" s="51"/>
      <c r="I235" s="52"/>
    </row>
    <row r="236" spans="2:9" ht="16.5" customHeight="1">
      <c r="B236" s="44"/>
      <c r="C236" s="57"/>
      <c r="D236" s="44"/>
      <c r="E236" s="51"/>
      <c r="F236" s="51"/>
      <c r="I236" s="52"/>
    </row>
    <row r="237" spans="2:9" ht="16.5" customHeight="1">
      <c r="B237" s="44"/>
      <c r="C237" s="57"/>
      <c r="D237" s="44"/>
      <c r="E237" s="51"/>
      <c r="F237" s="51"/>
      <c r="I237" s="52"/>
    </row>
    <row r="238" spans="2:9" ht="16.5" customHeight="1">
      <c r="B238" s="44"/>
      <c r="C238" s="57"/>
      <c r="D238" s="44"/>
      <c r="E238" s="51"/>
      <c r="F238" s="51"/>
      <c r="I238" s="52"/>
    </row>
    <row r="239" spans="2:9" ht="16.5" customHeight="1">
      <c r="B239" s="44"/>
      <c r="C239" s="57"/>
      <c r="D239" s="44"/>
      <c r="E239" s="51"/>
      <c r="F239" s="51"/>
      <c r="I239" s="52"/>
    </row>
    <row r="240" spans="2:9" ht="16.5" customHeight="1">
      <c r="B240" s="44"/>
      <c r="C240" s="57"/>
      <c r="D240" s="44"/>
      <c r="E240" s="51"/>
      <c r="F240" s="51"/>
      <c r="I240" s="52"/>
    </row>
    <row r="241" spans="2:9" ht="16.5" customHeight="1">
      <c r="B241" s="44"/>
      <c r="C241" s="57"/>
      <c r="D241" s="44"/>
      <c r="E241" s="51"/>
      <c r="F241" s="51"/>
      <c r="I241" s="52"/>
    </row>
    <row r="242" spans="2:9" ht="16.5" customHeight="1">
      <c r="B242" s="44"/>
      <c r="C242" s="57"/>
      <c r="D242" s="44"/>
      <c r="E242" s="51"/>
      <c r="F242" s="51"/>
      <c r="I242" s="52"/>
    </row>
    <row r="243" spans="2:9" ht="16.5" customHeight="1">
      <c r="B243" s="44"/>
      <c r="C243" s="57"/>
      <c r="D243" s="44"/>
      <c r="E243" s="51"/>
      <c r="F243" s="51"/>
      <c r="I243" s="52"/>
    </row>
    <row r="244" spans="2:9" ht="16.5" customHeight="1">
      <c r="B244" s="44"/>
      <c r="C244" s="57"/>
      <c r="D244" s="44"/>
      <c r="E244" s="51"/>
      <c r="F244" s="51"/>
      <c r="I244" s="52"/>
    </row>
    <row r="245" spans="2:9" ht="16.5" customHeight="1">
      <c r="B245" s="44"/>
      <c r="C245" s="57"/>
      <c r="D245" s="44"/>
      <c r="E245" s="51"/>
      <c r="F245" s="51"/>
      <c r="I245" s="52"/>
    </row>
    <row r="246" spans="2:9" ht="16.5" customHeight="1">
      <c r="B246" s="44"/>
      <c r="C246" s="57"/>
      <c r="D246" s="44"/>
      <c r="E246" s="51"/>
      <c r="F246" s="51"/>
      <c r="I246" s="52"/>
    </row>
    <row r="247" spans="2:9" ht="16.5" customHeight="1">
      <c r="B247" s="44"/>
      <c r="C247" s="57"/>
      <c r="D247" s="44"/>
      <c r="E247" s="51"/>
      <c r="F247" s="51"/>
      <c r="I247" s="52"/>
    </row>
    <row r="248" spans="2:9" ht="16.5" customHeight="1">
      <c r="B248" s="44"/>
      <c r="C248" s="57"/>
      <c r="D248" s="44"/>
      <c r="E248" s="51"/>
      <c r="F248" s="51"/>
      <c r="I248" s="52"/>
    </row>
    <row r="249" spans="2:9" ht="16.5" customHeight="1">
      <c r="B249" s="44"/>
      <c r="C249" s="57"/>
      <c r="D249" s="44"/>
      <c r="E249" s="51"/>
      <c r="F249" s="51"/>
      <c r="I249" s="52"/>
    </row>
    <row r="250" spans="2:9" ht="16.5" customHeight="1">
      <c r="B250" s="44"/>
      <c r="C250" s="57"/>
      <c r="D250" s="44"/>
      <c r="E250" s="51"/>
      <c r="F250" s="51"/>
      <c r="I250" s="52"/>
    </row>
    <row r="251" spans="2:9" ht="16.5" customHeight="1">
      <c r="B251" s="44"/>
      <c r="C251" s="57"/>
      <c r="D251" s="44"/>
      <c r="E251" s="51"/>
      <c r="F251" s="51"/>
      <c r="I251" s="52"/>
    </row>
    <row r="252" spans="2:9" ht="16.5" customHeight="1">
      <c r="B252" s="44"/>
      <c r="C252" s="57"/>
      <c r="D252" s="44"/>
      <c r="E252" s="51"/>
      <c r="F252" s="51"/>
      <c r="I252" s="52"/>
    </row>
    <row r="253" spans="2:9" ht="16.5" customHeight="1">
      <c r="B253" s="44"/>
      <c r="C253" s="57"/>
      <c r="D253" s="44"/>
      <c r="E253" s="51"/>
      <c r="F253" s="51"/>
      <c r="I253" s="52"/>
    </row>
    <row r="254" spans="2:9" ht="16.5" customHeight="1">
      <c r="B254" s="44"/>
      <c r="C254" s="57"/>
      <c r="D254" s="44"/>
      <c r="E254" s="51"/>
      <c r="F254" s="51"/>
      <c r="I254" s="52"/>
    </row>
    <row r="255" spans="2:9" ht="16.5" customHeight="1">
      <c r="B255" s="44"/>
      <c r="C255" s="57"/>
      <c r="D255" s="44"/>
      <c r="E255" s="51"/>
      <c r="F255" s="51"/>
      <c r="I255" s="52"/>
    </row>
    <row r="256" spans="2:9" ht="16.5" customHeight="1">
      <c r="B256" s="44"/>
      <c r="C256" s="57"/>
      <c r="D256" s="44"/>
      <c r="E256" s="51"/>
      <c r="F256" s="51"/>
      <c r="I256" s="52"/>
    </row>
    <row r="257" spans="2:9" ht="16.5" customHeight="1">
      <c r="B257" s="44"/>
      <c r="C257" s="57"/>
      <c r="D257" s="44"/>
      <c r="E257" s="51"/>
      <c r="F257" s="51"/>
      <c r="I257" s="52"/>
    </row>
    <row r="258" spans="2:9" ht="16.5" customHeight="1">
      <c r="B258" s="44"/>
      <c r="C258" s="57"/>
      <c r="D258" s="44"/>
      <c r="E258" s="51"/>
      <c r="F258" s="51"/>
      <c r="I258" s="52"/>
    </row>
    <row r="259" spans="2:9" ht="16.5" customHeight="1">
      <c r="B259" s="44"/>
      <c r="C259" s="57"/>
      <c r="D259" s="44"/>
      <c r="E259" s="51"/>
      <c r="F259" s="51"/>
      <c r="I259" s="52"/>
    </row>
    <row r="260" spans="2:9" ht="16.5" customHeight="1">
      <c r="B260" s="44"/>
      <c r="C260" s="57"/>
      <c r="D260" s="44"/>
      <c r="E260" s="51"/>
      <c r="F260" s="51"/>
      <c r="I260" s="52"/>
    </row>
    <row r="261" spans="2:9" ht="16.5" customHeight="1">
      <c r="B261" s="44"/>
      <c r="C261" s="57"/>
      <c r="D261" s="44"/>
      <c r="E261" s="51"/>
      <c r="F261" s="51"/>
      <c r="I261" s="52"/>
    </row>
    <row r="262" spans="2:9" ht="16.5" customHeight="1">
      <c r="B262" s="44"/>
      <c r="C262" s="57"/>
      <c r="D262" s="44"/>
      <c r="E262" s="51"/>
      <c r="F262" s="51"/>
      <c r="I262" s="52"/>
    </row>
    <row r="263" spans="2:9" ht="16.5" customHeight="1">
      <c r="B263" s="44"/>
      <c r="C263" s="57"/>
      <c r="D263" s="44"/>
      <c r="E263" s="51"/>
      <c r="F263" s="51"/>
      <c r="I263" s="52"/>
    </row>
    <row r="264" spans="2:9" ht="16.5" customHeight="1">
      <c r="B264" s="44"/>
      <c r="C264" s="57"/>
      <c r="D264" s="44"/>
      <c r="E264" s="51"/>
      <c r="F264" s="51"/>
      <c r="I264" s="52"/>
    </row>
    <row r="265" spans="2:9" ht="16.5" customHeight="1">
      <c r="B265" s="44"/>
      <c r="C265" s="57"/>
      <c r="D265" s="44"/>
      <c r="E265" s="51"/>
      <c r="F265" s="51"/>
      <c r="I265" s="52"/>
    </row>
    <row r="266" spans="2:9" ht="16.5" customHeight="1">
      <c r="B266" s="44"/>
      <c r="C266" s="57"/>
      <c r="D266" s="44"/>
      <c r="E266" s="51"/>
      <c r="F266" s="51"/>
      <c r="I266" s="52"/>
    </row>
    <row r="267" spans="2:9" ht="16.5" customHeight="1">
      <c r="B267" s="44"/>
      <c r="C267" s="57"/>
      <c r="D267" s="44"/>
      <c r="E267" s="51"/>
      <c r="F267" s="51"/>
      <c r="I267" s="52"/>
    </row>
    <row r="268" spans="2:9">
      <c r="I268" s="52"/>
    </row>
    <row r="269" spans="2:9">
      <c r="I269" s="52"/>
    </row>
    <row r="270" spans="2:9">
      <c r="I270" s="52"/>
    </row>
    <row r="271" spans="2:9">
      <c r="I271" s="52"/>
    </row>
    <row r="272" spans="2:9">
      <c r="I272" s="52"/>
    </row>
    <row r="273" spans="9:9">
      <c r="I273" s="52"/>
    </row>
    <row r="274" spans="9:9">
      <c r="I274" s="52"/>
    </row>
    <row r="275" spans="9:9">
      <c r="I275" s="52"/>
    </row>
    <row r="276" spans="9:9">
      <c r="I276" s="52"/>
    </row>
    <row r="277" spans="9:9">
      <c r="I277" s="52"/>
    </row>
    <row r="278" spans="9:9">
      <c r="I278" s="52"/>
    </row>
    <row r="279" spans="9:9">
      <c r="I279" s="52"/>
    </row>
    <row r="280" spans="9:9">
      <c r="I280" s="52"/>
    </row>
    <row r="281" spans="9:9">
      <c r="I281" s="52"/>
    </row>
    <row r="282" spans="9:9">
      <c r="I282" s="52"/>
    </row>
    <row r="283" spans="9:9">
      <c r="I283" s="52"/>
    </row>
    <row r="284" spans="9:9">
      <c r="I284" s="52"/>
    </row>
    <row r="285" spans="9:9">
      <c r="I285" s="52"/>
    </row>
    <row r="286" spans="9:9">
      <c r="I286" s="52"/>
    </row>
    <row r="287" spans="9:9">
      <c r="I287" s="52"/>
    </row>
    <row r="288" spans="9:9">
      <c r="I288" s="52"/>
    </row>
    <row r="289" spans="9:9">
      <c r="I289" s="52"/>
    </row>
    <row r="290" spans="9:9">
      <c r="I290" s="52"/>
    </row>
    <row r="291" spans="9:9">
      <c r="I291" s="52"/>
    </row>
    <row r="292" spans="9:9">
      <c r="I292" s="52"/>
    </row>
    <row r="293" spans="9:9">
      <c r="I293" s="52"/>
    </row>
    <row r="294" spans="9:9">
      <c r="I294" s="52"/>
    </row>
    <row r="295" spans="9:9">
      <c r="I295" s="52"/>
    </row>
    <row r="296" spans="9:9">
      <c r="I296" s="52"/>
    </row>
    <row r="297" spans="9:9">
      <c r="I297" s="52"/>
    </row>
    <row r="298" spans="9:9">
      <c r="I298" s="52"/>
    </row>
    <row r="299" spans="9:9">
      <c r="I299" s="52"/>
    </row>
    <row r="300" spans="9:9">
      <c r="I300" s="52"/>
    </row>
    <row r="301" spans="9:9">
      <c r="I301" s="52"/>
    </row>
    <row r="302" spans="9:9">
      <c r="I302" s="52"/>
    </row>
    <row r="303" spans="9:9">
      <c r="I303" s="52"/>
    </row>
    <row r="304" spans="9:9">
      <c r="I304" s="52"/>
    </row>
    <row r="305" spans="9:9">
      <c r="I305" s="52"/>
    </row>
    <row r="306" spans="9:9">
      <c r="I306" s="52"/>
    </row>
    <row r="307" spans="9:9">
      <c r="I307" s="52"/>
    </row>
    <row r="308" spans="9:9">
      <c r="I308" s="52"/>
    </row>
    <row r="309" spans="9:9">
      <c r="I309" s="52"/>
    </row>
    <row r="310" spans="9:9">
      <c r="I310" s="52"/>
    </row>
    <row r="311" spans="9:9">
      <c r="I311" s="52"/>
    </row>
    <row r="312" spans="9:9">
      <c r="I312" s="52"/>
    </row>
    <row r="313" spans="9:9">
      <c r="I313" s="52"/>
    </row>
    <row r="314" spans="9:9">
      <c r="I314" s="52"/>
    </row>
    <row r="315" spans="9:9">
      <c r="I315" s="52"/>
    </row>
    <row r="316" spans="9:9">
      <c r="I316" s="52"/>
    </row>
    <row r="317" spans="9:9">
      <c r="I317" s="52"/>
    </row>
    <row r="318" spans="9:9">
      <c r="I318" s="52"/>
    </row>
    <row r="319" spans="9:9">
      <c r="I319" s="52"/>
    </row>
    <row r="320" spans="9:9">
      <c r="I320" s="52"/>
    </row>
    <row r="321" spans="9:9">
      <c r="I321" s="52"/>
    </row>
    <row r="322" spans="9:9">
      <c r="I322" s="52"/>
    </row>
    <row r="323" spans="9:9">
      <c r="I323" s="52"/>
    </row>
    <row r="324" spans="9:9">
      <c r="I324" s="52"/>
    </row>
    <row r="325" spans="9:9">
      <c r="I325" s="52"/>
    </row>
    <row r="326" spans="9:9">
      <c r="I326" s="52"/>
    </row>
    <row r="327" spans="9:9">
      <c r="I327" s="52"/>
    </row>
    <row r="328" spans="9:9">
      <c r="I328" s="52"/>
    </row>
    <row r="329" spans="9:9">
      <c r="I329" s="52"/>
    </row>
    <row r="330" spans="9:9">
      <c r="I330" s="52"/>
    </row>
    <row r="331" spans="9:9">
      <c r="I331" s="52"/>
    </row>
    <row r="332" spans="9:9">
      <c r="I332" s="52"/>
    </row>
    <row r="333" spans="9:9">
      <c r="I333" s="52"/>
    </row>
    <row r="334" spans="9:9">
      <c r="I334" s="52"/>
    </row>
    <row r="335" spans="9:9">
      <c r="I335" s="52"/>
    </row>
    <row r="336" spans="9:9">
      <c r="I336" s="52"/>
    </row>
    <row r="337" spans="9:9">
      <c r="I337" s="52"/>
    </row>
    <row r="338" spans="9:9">
      <c r="I338" s="52"/>
    </row>
    <row r="339" spans="9:9">
      <c r="I339" s="52"/>
    </row>
    <row r="340" spans="9:9">
      <c r="I340" s="52"/>
    </row>
  </sheetData>
  <autoFilter ref="A2:F34" xr:uid="{00000000-0009-0000-0000-000003000000}"/>
  <mergeCells count="1">
    <mergeCell ref="A1:F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/>
  </sheetPr>
  <dimension ref="A1:F280"/>
  <sheetViews>
    <sheetView showGridLines="0" topLeftCell="B1" workbookViewId="0">
      <pane ySplit="3" topLeftCell="A4" activePane="bottomLeft" state="frozen"/>
      <selection sqref="A1:F1"/>
      <selection pane="bottomLeft" sqref="A1:F1"/>
    </sheetView>
  </sheetViews>
  <sheetFormatPr defaultRowHeight="15"/>
  <cols>
    <col min="1" max="1" width="16.42578125" hidden="1" customWidth="1"/>
    <col min="2" max="2" width="45.5703125" bestFit="1" customWidth="1"/>
    <col min="4" max="4" width="5.5703125" bestFit="1" customWidth="1"/>
    <col min="6" max="6" width="10.140625" bestFit="1" customWidth="1"/>
  </cols>
  <sheetData>
    <row r="1" spans="1:6" ht="18.75">
      <c r="A1" s="82" t="s">
        <v>0</v>
      </c>
      <c r="B1" s="83"/>
      <c r="C1" s="83"/>
      <c r="D1" s="83"/>
      <c r="E1" s="83"/>
      <c r="F1" s="83"/>
    </row>
    <row r="2" spans="1:6">
      <c r="A2" s="2" t="s">
        <v>1</v>
      </c>
      <c r="B2" s="1" t="s">
        <v>2</v>
      </c>
      <c r="C2" s="1" t="s">
        <v>3</v>
      </c>
      <c r="D2" s="1" t="s">
        <v>4</v>
      </c>
      <c r="E2" s="1" t="s">
        <v>46</v>
      </c>
      <c r="F2" s="1" t="s">
        <v>47</v>
      </c>
    </row>
    <row r="3" spans="1:6">
      <c r="A3" s="3" t="s">
        <v>5</v>
      </c>
      <c r="B3" s="30" t="s">
        <v>5</v>
      </c>
      <c r="C3" s="31"/>
      <c r="D3" s="8">
        <f>SUM(D4:D500)</f>
        <v>0</v>
      </c>
      <c r="E3" s="8"/>
      <c r="F3" s="16">
        <f>SUM(F4:F500)</f>
        <v>0</v>
      </c>
    </row>
    <row r="4" spans="1:6">
      <c r="A4" s="29"/>
      <c r="B4" s="42"/>
      <c r="C4" s="42"/>
      <c r="D4" s="43"/>
      <c r="E4" s="7"/>
      <c r="F4" s="7">
        <f>+E4*D4</f>
        <v>0</v>
      </c>
    </row>
    <row r="5" spans="1:6" ht="16.5" customHeight="1">
      <c r="A5" s="29"/>
      <c r="B5" s="42"/>
      <c r="C5" s="45"/>
      <c r="D5" s="43"/>
      <c r="E5" s="7"/>
      <c r="F5" s="7"/>
    </row>
    <row r="6" spans="1:6" ht="16.5" customHeight="1">
      <c r="A6" s="29" t="s">
        <v>12</v>
      </c>
      <c r="B6" s="42"/>
      <c r="C6" s="45"/>
      <c r="D6" s="43"/>
      <c r="E6" s="7"/>
      <c r="F6" s="7"/>
    </row>
    <row r="7" spans="1:6" ht="16.5" customHeight="1">
      <c r="A7" s="29" t="s">
        <v>13</v>
      </c>
      <c r="B7" s="42"/>
      <c r="C7" s="45"/>
      <c r="D7" s="43"/>
      <c r="E7" s="7"/>
      <c r="F7" s="7"/>
    </row>
    <row r="8" spans="1:6" ht="16.5" customHeight="1">
      <c r="A8" s="29" t="s">
        <v>14</v>
      </c>
      <c r="B8" s="42"/>
      <c r="C8" s="45"/>
      <c r="D8" s="43"/>
      <c r="E8" s="43"/>
      <c r="F8" s="43"/>
    </row>
    <row r="9" spans="1:6" ht="16.5" customHeight="1">
      <c r="A9" s="29" t="s">
        <v>15</v>
      </c>
      <c r="B9" s="42"/>
      <c r="C9" s="45"/>
      <c r="D9" s="43"/>
      <c r="E9" s="43"/>
      <c r="F9" s="43"/>
    </row>
    <row r="10" spans="1:6" ht="16.5" customHeight="1">
      <c r="B10" s="42"/>
      <c r="C10" s="45"/>
      <c r="D10" s="43"/>
      <c r="E10" s="43"/>
      <c r="F10" s="43"/>
    </row>
    <row r="11" spans="1:6" ht="16.5" customHeight="1">
      <c r="B11" s="42"/>
      <c r="C11" s="45"/>
      <c r="D11" s="43"/>
      <c r="E11" s="43"/>
      <c r="F11" s="43"/>
    </row>
    <row r="12" spans="1:6">
      <c r="B12" s="42"/>
      <c r="C12" s="45"/>
      <c r="D12" s="43"/>
      <c r="E12" s="43"/>
      <c r="F12" s="43"/>
    </row>
    <row r="13" spans="1:6">
      <c r="B13" s="42"/>
      <c r="C13" s="45"/>
      <c r="D13" s="43"/>
      <c r="E13" s="43"/>
      <c r="F13" s="43"/>
    </row>
    <row r="14" spans="1:6">
      <c r="B14" s="42"/>
      <c r="C14" s="45"/>
      <c r="D14" s="43"/>
      <c r="E14" s="43"/>
      <c r="F14" s="43"/>
    </row>
    <row r="15" spans="1:6">
      <c r="B15" s="42"/>
      <c r="C15" s="45"/>
      <c r="D15" s="43"/>
      <c r="E15" s="43"/>
      <c r="F15" s="43"/>
    </row>
    <row r="16" spans="1:6">
      <c r="B16" s="42"/>
      <c r="C16" s="45"/>
      <c r="D16" s="43"/>
      <c r="E16" s="43"/>
      <c r="F16" s="43"/>
    </row>
    <row r="17" spans="2:6">
      <c r="B17" s="42"/>
      <c r="C17" s="45"/>
      <c r="D17" s="43"/>
      <c r="E17" s="43"/>
      <c r="F17" s="43"/>
    </row>
    <row r="18" spans="2:6" ht="16.5" customHeight="1">
      <c r="B18" s="42"/>
      <c r="C18" s="45"/>
      <c r="D18" s="43"/>
      <c r="E18" s="43"/>
      <c r="F18" s="43"/>
    </row>
    <row r="19" spans="2:6" ht="16.5" customHeight="1">
      <c r="B19" s="42"/>
      <c r="C19" s="45"/>
      <c r="D19" s="43"/>
      <c r="E19" s="43"/>
      <c r="F19" s="43"/>
    </row>
    <row r="20" spans="2:6" ht="16.5" customHeight="1">
      <c r="B20" s="42"/>
      <c r="C20" s="45"/>
      <c r="D20" s="43"/>
      <c r="E20" s="43"/>
      <c r="F20" s="43"/>
    </row>
    <row r="21" spans="2:6" ht="16.5" customHeight="1">
      <c r="B21" s="42"/>
      <c r="C21" s="45"/>
      <c r="D21" s="43"/>
      <c r="E21" s="43"/>
      <c r="F21" s="43"/>
    </row>
    <row r="22" spans="2:6" ht="16.5" customHeight="1">
      <c r="B22" s="42"/>
      <c r="C22" s="45"/>
      <c r="D22" s="43"/>
      <c r="E22" s="43"/>
      <c r="F22" s="43"/>
    </row>
    <row r="23" spans="2:6" ht="16.5" customHeight="1">
      <c r="B23" s="42"/>
      <c r="C23" s="45"/>
      <c r="D23" s="43"/>
      <c r="E23" s="43"/>
      <c r="F23" s="43"/>
    </row>
    <row r="24" spans="2:6" ht="16.5" customHeight="1">
      <c r="B24" s="42"/>
      <c r="C24" s="45"/>
      <c r="D24" s="43"/>
      <c r="E24" s="43"/>
      <c r="F24" s="43"/>
    </row>
    <row r="25" spans="2:6" ht="16.5" customHeight="1">
      <c r="B25" s="42"/>
      <c r="C25" s="45"/>
      <c r="D25" s="43"/>
      <c r="E25" s="43"/>
      <c r="F25" s="43"/>
    </row>
    <row r="26" spans="2:6" ht="16.5" customHeight="1">
      <c r="B26" s="42"/>
      <c r="C26" s="45"/>
      <c r="D26" s="43"/>
      <c r="E26" s="43"/>
      <c r="F26" s="43"/>
    </row>
    <row r="27" spans="2:6" ht="16.5" customHeight="1">
      <c r="B27" s="42"/>
      <c r="C27" s="45"/>
      <c r="D27" s="43"/>
      <c r="E27" s="43"/>
      <c r="F27" s="43"/>
    </row>
    <row r="28" spans="2:6" ht="16.5" customHeight="1">
      <c r="B28" s="42"/>
      <c r="C28" s="45"/>
      <c r="D28" s="43"/>
      <c r="E28" s="43"/>
      <c r="F28" s="43"/>
    </row>
    <row r="29" spans="2:6" ht="16.5" customHeight="1">
      <c r="B29" s="42"/>
      <c r="C29" s="45"/>
      <c r="D29" s="43"/>
      <c r="E29" s="43"/>
      <c r="F29" s="43"/>
    </row>
    <row r="30" spans="2:6" ht="16.5" customHeight="1">
      <c r="B30" s="42"/>
      <c r="C30" s="45"/>
      <c r="D30" s="43"/>
      <c r="E30" s="43"/>
      <c r="F30" s="43"/>
    </row>
    <row r="31" spans="2:6" ht="16.5" customHeight="1">
      <c r="B31" s="42"/>
      <c r="C31" s="45"/>
      <c r="D31" s="43"/>
      <c r="E31" s="43"/>
      <c r="F31" s="43"/>
    </row>
    <row r="32" spans="2:6" ht="16.5" customHeight="1">
      <c r="B32" s="42"/>
      <c r="C32" s="45"/>
      <c r="D32" s="43"/>
      <c r="E32" s="43"/>
      <c r="F32" s="43"/>
    </row>
    <row r="33" spans="2:6" ht="16.5" customHeight="1">
      <c r="B33" s="42"/>
      <c r="C33" s="45"/>
      <c r="D33" s="43"/>
      <c r="E33" s="43"/>
      <c r="F33" s="43"/>
    </row>
    <row r="34" spans="2:6" ht="16.5" customHeight="1">
      <c r="B34" s="42"/>
      <c r="C34" s="45"/>
      <c r="D34" s="43"/>
      <c r="E34" s="43"/>
      <c r="F34" s="43"/>
    </row>
    <row r="35" spans="2:6" ht="16.5" customHeight="1">
      <c r="B35" s="42"/>
      <c r="C35" s="45"/>
      <c r="D35" s="43"/>
      <c r="E35" s="43"/>
      <c r="F35" s="43"/>
    </row>
    <row r="36" spans="2:6" ht="16.5" customHeight="1">
      <c r="B36" s="42"/>
      <c r="C36" s="45"/>
      <c r="D36" s="43"/>
      <c r="E36" s="43"/>
      <c r="F36" s="43"/>
    </row>
    <row r="37" spans="2:6" ht="16.5" customHeight="1">
      <c r="B37" s="42"/>
      <c r="C37" s="45"/>
      <c r="D37" s="43"/>
      <c r="E37" s="43"/>
      <c r="F37" s="43"/>
    </row>
    <row r="38" spans="2:6" ht="16.5" customHeight="1">
      <c r="B38" s="42"/>
      <c r="C38" s="45"/>
      <c r="D38" s="43"/>
      <c r="E38" s="43"/>
      <c r="F38" s="43"/>
    </row>
    <row r="39" spans="2:6" ht="16.5" customHeight="1">
      <c r="B39" s="42"/>
      <c r="C39" s="45"/>
      <c r="D39" s="43"/>
      <c r="E39" s="43"/>
      <c r="F39" s="43"/>
    </row>
    <row r="40" spans="2:6" ht="16.5" customHeight="1">
      <c r="B40" s="42"/>
      <c r="C40" s="45"/>
      <c r="D40" s="43"/>
      <c r="E40" s="43"/>
      <c r="F40" s="43"/>
    </row>
    <row r="41" spans="2:6" ht="16.5" customHeight="1">
      <c r="B41" s="42"/>
      <c r="C41" s="45"/>
      <c r="D41" s="43"/>
      <c r="E41" s="43"/>
      <c r="F41" s="43"/>
    </row>
    <row r="42" spans="2:6" ht="16.5" customHeight="1">
      <c r="B42" s="42"/>
      <c r="C42" s="45"/>
      <c r="D42" s="43"/>
      <c r="E42" s="43"/>
      <c r="F42" s="43"/>
    </row>
    <row r="43" spans="2:6" ht="16.5" customHeight="1">
      <c r="B43" s="42"/>
      <c r="C43" s="45"/>
      <c r="D43" s="43"/>
      <c r="E43" s="43"/>
      <c r="F43" s="43"/>
    </row>
    <row r="44" spans="2:6" ht="16.5" customHeight="1">
      <c r="B44" s="42"/>
      <c r="C44" s="45"/>
      <c r="D44" s="43"/>
      <c r="E44" s="43"/>
      <c r="F44" s="43"/>
    </row>
    <row r="45" spans="2:6" ht="16.5" customHeight="1">
      <c r="B45" s="44"/>
      <c r="C45" s="44"/>
      <c r="D45" s="44"/>
      <c r="E45" s="51"/>
      <c r="F45" s="51"/>
    </row>
    <row r="46" spans="2:6" ht="16.5" customHeight="1">
      <c r="B46" s="44"/>
      <c r="C46" s="44"/>
      <c r="D46" s="44"/>
      <c r="E46" s="51"/>
      <c r="F46" s="51"/>
    </row>
    <row r="47" spans="2:6" ht="16.5" customHeight="1">
      <c r="B47" s="44"/>
      <c r="C47" s="44"/>
      <c r="D47" s="44"/>
      <c r="E47" s="51"/>
      <c r="F47" s="51"/>
    </row>
    <row r="48" spans="2:6" ht="16.5" customHeight="1">
      <c r="B48" s="44"/>
      <c r="C48" s="44"/>
      <c r="D48" s="44"/>
      <c r="E48" s="51"/>
      <c r="F48" s="51"/>
    </row>
    <row r="49" spans="2:6" ht="16.5" customHeight="1">
      <c r="B49" s="44"/>
      <c r="C49" s="44"/>
      <c r="D49" s="44"/>
      <c r="E49" s="51"/>
      <c r="F49" s="51"/>
    </row>
    <row r="50" spans="2:6" ht="16.5" customHeight="1">
      <c r="B50" s="44"/>
      <c r="C50" s="44"/>
      <c r="D50" s="44"/>
      <c r="E50" s="51"/>
      <c r="F50" s="51"/>
    </row>
    <row r="51" spans="2:6" ht="16.5" customHeight="1">
      <c r="B51" s="44"/>
      <c r="C51" s="44"/>
      <c r="D51" s="44"/>
      <c r="E51" s="51"/>
      <c r="F51" s="51"/>
    </row>
    <row r="52" spans="2:6" ht="16.5" customHeight="1">
      <c r="B52" s="44"/>
      <c r="C52" s="44"/>
      <c r="D52" s="44"/>
      <c r="E52" s="51"/>
      <c r="F52" s="51"/>
    </row>
    <row r="53" spans="2:6" ht="16.5" customHeight="1">
      <c r="B53" s="44"/>
      <c r="C53" s="44"/>
      <c r="D53" s="44"/>
      <c r="E53" s="51"/>
      <c r="F53" s="51"/>
    </row>
    <row r="54" spans="2:6" ht="16.5" customHeight="1">
      <c r="B54" s="44"/>
      <c r="C54" s="44"/>
      <c r="D54" s="44"/>
      <c r="E54" s="51"/>
      <c r="F54" s="51"/>
    </row>
    <row r="55" spans="2:6" ht="16.5" customHeight="1">
      <c r="B55" s="44"/>
      <c r="C55" s="44"/>
      <c r="D55" s="44"/>
      <c r="E55" s="51"/>
      <c r="F55" s="51"/>
    </row>
    <row r="56" spans="2:6" ht="16.5" customHeight="1">
      <c r="B56" s="44"/>
      <c r="C56" s="44"/>
      <c r="D56" s="44"/>
      <c r="E56" s="51"/>
      <c r="F56" s="51"/>
    </row>
    <row r="57" spans="2:6" ht="16.5" customHeight="1">
      <c r="B57" s="44"/>
      <c r="C57" s="44"/>
      <c r="D57" s="44"/>
      <c r="E57" s="51"/>
      <c r="F57" s="51"/>
    </row>
    <row r="58" spans="2:6" ht="16.5" customHeight="1">
      <c r="B58" s="44"/>
      <c r="C58" s="44"/>
      <c r="D58" s="44"/>
      <c r="E58" s="51"/>
      <c r="F58" s="51"/>
    </row>
    <row r="59" spans="2:6" ht="16.5" customHeight="1">
      <c r="B59" s="44"/>
      <c r="C59" s="44"/>
      <c r="D59" s="44"/>
      <c r="E59" s="51"/>
      <c r="F59" s="51"/>
    </row>
    <row r="60" spans="2:6" ht="16.5" customHeight="1">
      <c r="B60" s="44"/>
      <c r="C60" s="44"/>
      <c r="D60" s="44"/>
      <c r="E60" s="51"/>
      <c r="F60" s="51"/>
    </row>
    <row r="61" spans="2:6" ht="16.5" customHeight="1">
      <c r="B61" s="44"/>
      <c r="C61" s="44"/>
      <c r="D61" s="44"/>
      <c r="E61" s="51"/>
      <c r="F61" s="51"/>
    </row>
    <row r="62" spans="2:6" ht="16.5" customHeight="1">
      <c r="B62" s="44"/>
      <c r="C62" s="44"/>
      <c r="D62" s="44"/>
      <c r="E62" s="51"/>
      <c r="F62" s="51"/>
    </row>
    <row r="63" spans="2:6" ht="16.5" customHeight="1">
      <c r="B63" s="44"/>
      <c r="C63" s="44"/>
      <c r="D63" s="44"/>
      <c r="E63" s="51"/>
      <c r="F63" s="51"/>
    </row>
    <row r="64" spans="2:6" ht="16.5" customHeight="1">
      <c r="B64" s="44"/>
      <c r="C64" s="44"/>
      <c r="D64" s="44"/>
      <c r="E64" s="51"/>
      <c r="F64" s="51"/>
    </row>
    <row r="65" spans="2:6" ht="16.5" customHeight="1">
      <c r="B65" s="44"/>
      <c r="C65" s="44"/>
      <c r="D65" s="44"/>
      <c r="E65" s="51"/>
      <c r="F65" s="51"/>
    </row>
    <row r="66" spans="2:6" ht="16.5" customHeight="1">
      <c r="B66" s="44"/>
      <c r="C66" s="44"/>
      <c r="D66" s="44"/>
      <c r="E66" s="51"/>
      <c r="F66" s="51"/>
    </row>
    <row r="67" spans="2:6" ht="16.5" customHeight="1">
      <c r="B67" s="44"/>
      <c r="C67" s="44"/>
      <c r="D67" s="44"/>
      <c r="E67" s="51"/>
      <c r="F67" s="51"/>
    </row>
    <row r="68" spans="2:6" ht="16.5" customHeight="1">
      <c r="B68" s="44"/>
      <c r="C68" s="44"/>
      <c r="D68" s="44"/>
      <c r="E68" s="51"/>
      <c r="F68" s="51"/>
    </row>
    <row r="69" spans="2:6" ht="16.5" customHeight="1">
      <c r="B69" s="44"/>
      <c r="C69" s="44"/>
      <c r="D69" s="44"/>
      <c r="E69" s="51"/>
      <c r="F69" s="51"/>
    </row>
    <row r="70" spans="2:6" ht="16.5" customHeight="1">
      <c r="B70" s="44"/>
      <c r="C70" s="44"/>
      <c r="D70" s="44"/>
      <c r="E70" s="51"/>
      <c r="F70" s="51"/>
    </row>
    <row r="71" spans="2:6" ht="16.5" customHeight="1">
      <c r="B71" s="44"/>
      <c r="C71" s="44"/>
      <c r="D71" s="44"/>
      <c r="E71" s="51"/>
      <c r="F71" s="51"/>
    </row>
    <row r="72" spans="2:6" ht="16.5" customHeight="1">
      <c r="B72" s="44"/>
      <c r="C72" s="44"/>
      <c r="D72" s="44"/>
      <c r="E72" s="51"/>
      <c r="F72" s="51"/>
    </row>
    <row r="73" spans="2:6" ht="16.5" customHeight="1">
      <c r="B73" s="44"/>
      <c r="C73" s="44"/>
      <c r="D73" s="44"/>
      <c r="E73" s="51"/>
      <c r="F73" s="51"/>
    </row>
    <row r="74" spans="2:6" ht="16.5" customHeight="1">
      <c r="B74" s="44"/>
      <c r="C74" s="44"/>
      <c r="D74" s="44"/>
      <c r="E74" s="51"/>
      <c r="F74" s="51"/>
    </row>
    <row r="75" spans="2:6" ht="16.5" customHeight="1">
      <c r="B75" s="44"/>
      <c r="C75" s="44"/>
      <c r="D75" s="44"/>
      <c r="E75" s="51"/>
      <c r="F75" s="51"/>
    </row>
    <row r="76" spans="2:6" ht="16.5" customHeight="1">
      <c r="B76" s="44"/>
      <c r="C76" s="44"/>
      <c r="D76" s="44"/>
      <c r="E76" s="51"/>
      <c r="F76" s="51"/>
    </row>
    <row r="77" spans="2:6" ht="16.5" customHeight="1">
      <c r="B77" s="44"/>
      <c r="C77" s="44"/>
      <c r="D77" s="44"/>
      <c r="E77" s="51"/>
      <c r="F77" s="51"/>
    </row>
    <row r="78" spans="2:6" ht="16.5" customHeight="1">
      <c r="B78" s="44"/>
      <c r="C78" s="44"/>
      <c r="D78" s="44"/>
      <c r="E78" s="51"/>
      <c r="F78" s="51"/>
    </row>
    <row r="79" spans="2:6" ht="16.5" customHeight="1">
      <c r="B79" s="44"/>
      <c r="C79" s="44"/>
      <c r="D79" s="44"/>
      <c r="E79" s="51"/>
      <c r="F79" s="51"/>
    </row>
    <row r="80" spans="2:6" ht="16.5" customHeight="1">
      <c r="B80" s="44"/>
      <c r="C80" s="44"/>
      <c r="D80" s="44"/>
      <c r="E80" s="51"/>
      <c r="F80" s="51"/>
    </row>
    <row r="81" spans="2:6" ht="16.5" customHeight="1">
      <c r="B81" s="44"/>
      <c r="C81" s="44"/>
      <c r="D81" s="44"/>
      <c r="E81" s="51"/>
      <c r="F81" s="51"/>
    </row>
    <row r="82" spans="2:6" ht="16.5" customHeight="1">
      <c r="B82" s="44"/>
      <c r="C82" s="44"/>
      <c r="D82" s="44"/>
      <c r="E82" s="51"/>
      <c r="F82" s="51"/>
    </row>
    <row r="83" spans="2:6" ht="16.5" customHeight="1">
      <c r="B83" s="44"/>
      <c r="C83" s="44"/>
      <c r="D83" s="44"/>
      <c r="E83" s="51"/>
      <c r="F83" s="51"/>
    </row>
    <row r="84" spans="2:6" ht="16.5" customHeight="1">
      <c r="B84" s="44"/>
      <c r="C84" s="44"/>
      <c r="D84" s="44"/>
      <c r="E84" s="51"/>
      <c r="F84" s="51"/>
    </row>
    <row r="85" spans="2:6" ht="16.5" customHeight="1">
      <c r="B85" s="44"/>
      <c r="C85" s="44"/>
      <c r="D85" s="44"/>
      <c r="E85" s="51"/>
      <c r="F85" s="51"/>
    </row>
    <row r="86" spans="2:6" ht="16.5" customHeight="1">
      <c r="B86" s="44"/>
      <c r="C86" s="44"/>
      <c r="D86" s="44"/>
      <c r="E86" s="51"/>
      <c r="F86" s="51"/>
    </row>
    <row r="87" spans="2:6" ht="16.5" customHeight="1">
      <c r="B87" s="44"/>
      <c r="C87" s="44"/>
      <c r="D87" s="44"/>
      <c r="E87" s="51"/>
      <c r="F87" s="51"/>
    </row>
    <row r="88" spans="2:6" ht="16.5" customHeight="1">
      <c r="B88" s="44"/>
      <c r="C88" s="44"/>
      <c r="D88" s="44"/>
      <c r="E88" s="51"/>
      <c r="F88" s="51"/>
    </row>
    <row r="89" spans="2:6" ht="16.5" customHeight="1">
      <c r="B89" s="44"/>
      <c r="C89" s="44"/>
      <c r="D89" s="44"/>
      <c r="E89" s="51"/>
      <c r="F89" s="51"/>
    </row>
    <row r="90" spans="2:6" ht="16.5" customHeight="1">
      <c r="B90" s="44"/>
      <c r="C90" s="44"/>
      <c r="D90" s="44"/>
      <c r="E90" s="51"/>
      <c r="F90" s="51"/>
    </row>
    <row r="91" spans="2:6" ht="16.5" customHeight="1">
      <c r="B91" s="44"/>
      <c r="C91" s="44"/>
      <c r="D91" s="44"/>
      <c r="E91" s="51"/>
      <c r="F91" s="51"/>
    </row>
    <row r="92" spans="2:6" ht="16.5" customHeight="1">
      <c r="B92" s="44"/>
      <c r="C92" s="44"/>
      <c r="D92" s="44"/>
      <c r="E92" s="51"/>
      <c r="F92" s="51"/>
    </row>
    <row r="93" spans="2:6" ht="16.5" customHeight="1">
      <c r="B93" s="44"/>
      <c r="C93" s="44"/>
      <c r="D93" s="44"/>
      <c r="E93" s="51"/>
      <c r="F93" s="51"/>
    </row>
    <row r="94" spans="2:6" ht="16.5" customHeight="1">
      <c r="B94" s="44"/>
      <c r="C94" s="44"/>
      <c r="D94" s="44"/>
      <c r="E94" s="51"/>
      <c r="F94" s="51"/>
    </row>
    <row r="95" spans="2:6" ht="16.5" customHeight="1">
      <c r="B95" s="44"/>
      <c r="C95" s="44"/>
      <c r="D95" s="44"/>
      <c r="E95" s="51"/>
      <c r="F95" s="51"/>
    </row>
    <row r="96" spans="2:6" ht="16.5" customHeight="1">
      <c r="B96" s="44"/>
      <c r="C96" s="44"/>
      <c r="D96" s="44"/>
      <c r="E96" s="51"/>
      <c r="F96" s="51"/>
    </row>
    <row r="97" spans="2:6" ht="16.5" customHeight="1">
      <c r="B97" s="44"/>
      <c r="C97" s="44"/>
      <c r="D97" s="44"/>
      <c r="E97" s="51"/>
      <c r="F97" s="51"/>
    </row>
    <row r="98" spans="2:6" ht="16.5" customHeight="1">
      <c r="B98" s="44"/>
      <c r="C98" s="44"/>
      <c r="D98" s="44"/>
      <c r="E98" s="51"/>
      <c r="F98" s="51"/>
    </row>
    <row r="99" spans="2:6" ht="16.5" customHeight="1">
      <c r="B99" s="44"/>
      <c r="C99" s="44"/>
      <c r="D99" s="44"/>
      <c r="E99" s="51"/>
      <c r="F99" s="51"/>
    </row>
    <row r="100" spans="2:6" ht="16.5" customHeight="1">
      <c r="B100" s="44"/>
      <c r="C100" s="44"/>
      <c r="D100" s="44"/>
      <c r="E100" s="51"/>
      <c r="F100" s="51"/>
    </row>
    <row r="101" spans="2:6" ht="16.5" customHeight="1">
      <c r="B101" s="44"/>
      <c r="C101" s="44"/>
      <c r="D101" s="44"/>
      <c r="E101" s="51"/>
      <c r="F101" s="51"/>
    </row>
    <row r="102" spans="2:6" ht="16.5" customHeight="1">
      <c r="B102" s="44"/>
      <c r="C102" s="44"/>
      <c r="D102" s="44"/>
      <c r="E102" s="51"/>
      <c r="F102" s="51"/>
    </row>
    <row r="103" spans="2:6" ht="16.5" customHeight="1">
      <c r="B103" s="44"/>
      <c r="C103" s="44"/>
      <c r="D103" s="44"/>
      <c r="E103" s="51"/>
      <c r="F103" s="51"/>
    </row>
    <row r="104" spans="2:6" ht="16.5" customHeight="1">
      <c r="B104" s="44"/>
      <c r="C104" s="44"/>
      <c r="D104" s="44"/>
      <c r="E104" s="51"/>
      <c r="F104" s="51"/>
    </row>
    <row r="105" spans="2:6" ht="16.5" customHeight="1">
      <c r="B105" s="44"/>
      <c r="C105" s="44"/>
      <c r="D105" s="44"/>
      <c r="E105" s="51"/>
      <c r="F105" s="51"/>
    </row>
    <row r="106" spans="2:6" ht="16.5" customHeight="1">
      <c r="B106" s="44"/>
      <c r="C106" s="44"/>
      <c r="D106" s="44"/>
      <c r="E106" s="51"/>
      <c r="F106" s="51"/>
    </row>
    <row r="107" spans="2:6" ht="16.5" customHeight="1">
      <c r="B107" s="44"/>
      <c r="C107" s="44"/>
      <c r="D107" s="44"/>
      <c r="E107" s="51"/>
      <c r="F107" s="51"/>
    </row>
    <row r="108" spans="2:6" ht="16.5" customHeight="1">
      <c r="B108" s="44"/>
      <c r="C108" s="44"/>
      <c r="D108" s="44"/>
      <c r="E108" s="51"/>
      <c r="F108" s="51"/>
    </row>
    <row r="109" spans="2:6" ht="16.5" customHeight="1">
      <c r="B109" s="44"/>
      <c r="C109" s="44"/>
      <c r="D109" s="44"/>
      <c r="E109" s="51"/>
      <c r="F109" s="51"/>
    </row>
    <row r="110" spans="2:6" ht="16.5" customHeight="1">
      <c r="B110" s="44"/>
      <c r="C110" s="44"/>
      <c r="D110" s="44"/>
      <c r="E110" s="51"/>
      <c r="F110" s="51"/>
    </row>
    <row r="111" spans="2:6" ht="16.5" customHeight="1">
      <c r="B111" s="44"/>
      <c r="C111" s="44"/>
      <c r="D111" s="44"/>
      <c r="E111" s="51"/>
      <c r="F111" s="51"/>
    </row>
    <row r="112" spans="2:6" ht="16.5" customHeight="1">
      <c r="B112" s="44"/>
      <c r="C112" s="44"/>
      <c r="D112" s="44"/>
      <c r="E112" s="51"/>
      <c r="F112" s="51"/>
    </row>
    <row r="113" spans="2:6" ht="16.5" customHeight="1">
      <c r="B113" s="44"/>
      <c r="C113" s="44"/>
      <c r="D113" s="44"/>
      <c r="E113" s="51"/>
      <c r="F113" s="51"/>
    </row>
    <row r="114" spans="2:6" ht="16.5" customHeight="1">
      <c r="B114" s="44"/>
      <c r="C114" s="44"/>
      <c r="D114" s="44"/>
      <c r="E114" s="51"/>
      <c r="F114" s="51"/>
    </row>
    <row r="115" spans="2:6" ht="16.5" customHeight="1">
      <c r="B115" s="44"/>
      <c r="C115" s="44"/>
      <c r="D115" s="44"/>
      <c r="E115" s="51"/>
      <c r="F115" s="51"/>
    </row>
    <row r="116" spans="2:6" ht="16.5" customHeight="1">
      <c r="B116" s="44"/>
      <c r="C116" s="44"/>
      <c r="D116" s="44"/>
      <c r="E116" s="51"/>
      <c r="F116" s="51"/>
    </row>
    <row r="117" spans="2:6" ht="16.5" customHeight="1">
      <c r="B117" s="44"/>
      <c r="C117" s="44"/>
      <c r="D117" s="44"/>
      <c r="E117" s="51"/>
      <c r="F117" s="51"/>
    </row>
    <row r="118" spans="2:6" ht="16.5" customHeight="1">
      <c r="B118" s="44"/>
      <c r="C118" s="44"/>
      <c r="D118" s="44"/>
      <c r="E118" s="51"/>
      <c r="F118" s="51"/>
    </row>
    <row r="119" spans="2:6" ht="16.5" customHeight="1">
      <c r="B119" s="44"/>
      <c r="C119" s="44"/>
      <c r="D119" s="44"/>
      <c r="E119" s="51"/>
      <c r="F119" s="51"/>
    </row>
    <row r="120" spans="2:6" ht="16.5" customHeight="1">
      <c r="B120" s="44"/>
      <c r="C120" s="44"/>
      <c r="D120" s="44"/>
      <c r="E120" s="51"/>
      <c r="F120" s="51"/>
    </row>
    <row r="121" spans="2:6" ht="16.5" customHeight="1">
      <c r="B121" s="44"/>
      <c r="C121" s="44"/>
      <c r="D121" s="44"/>
      <c r="E121" s="51"/>
      <c r="F121" s="51"/>
    </row>
    <row r="122" spans="2:6" ht="16.5" customHeight="1">
      <c r="B122" s="44"/>
      <c r="C122" s="44"/>
      <c r="D122" s="44"/>
      <c r="E122" s="51"/>
      <c r="F122" s="51"/>
    </row>
    <row r="123" spans="2:6" ht="16.5" customHeight="1">
      <c r="B123" s="44"/>
      <c r="C123" s="44"/>
      <c r="D123" s="44"/>
      <c r="E123" s="51"/>
      <c r="F123" s="51"/>
    </row>
    <row r="124" spans="2:6" ht="16.5" customHeight="1">
      <c r="B124" s="44"/>
      <c r="C124" s="44"/>
      <c r="D124" s="44"/>
      <c r="E124" s="51"/>
      <c r="F124" s="51"/>
    </row>
    <row r="125" spans="2:6" ht="16.5" customHeight="1">
      <c r="B125" s="44"/>
      <c r="C125" s="44"/>
      <c r="D125" s="44"/>
      <c r="E125" s="51"/>
      <c r="F125" s="51"/>
    </row>
    <row r="126" spans="2:6" ht="16.5" customHeight="1">
      <c r="B126" s="44"/>
      <c r="C126" s="44"/>
      <c r="D126" s="44"/>
      <c r="E126" s="51"/>
      <c r="F126" s="51"/>
    </row>
    <row r="127" spans="2:6" ht="16.5" customHeight="1">
      <c r="B127" s="44"/>
      <c r="C127" s="44"/>
      <c r="D127" s="44"/>
      <c r="E127" s="51"/>
      <c r="F127" s="51"/>
    </row>
    <row r="128" spans="2:6" ht="16.5" customHeight="1">
      <c r="B128" s="44"/>
      <c r="C128" s="44"/>
      <c r="D128" s="44"/>
      <c r="E128" s="51"/>
      <c r="F128" s="51"/>
    </row>
    <row r="129" spans="2:6" ht="16.5" customHeight="1">
      <c r="B129" s="44"/>
      <c r="C129" s="44"/>
      <c r="D129" s="44"/>
      <c r="E129" s="51"/>
      <c r="F129" s="51"/>
    </row>
    <row r="130" spans="2:6" ht="16.5" customHeight="1">
      <c r="B130" s="44"/>
      <c r="C130" s="44"/>
      <c r="D130" s="44"/>
      <c r="E130" s="51"/>
      <c r="F130" s="51"/>
    </row>
    <row r="131" spans="2:6" ht="16.5" customHeight="1">
      <c r="B131" s="44"/>
      <c r="C131" s="44"/>
      <c r="D131" s="44"/>
      <c r="E131" s="51"/>
      <c r="F131" s="51"/>
    </row>
    <row r="132" spans="2:6" ht="16.5" customHeight="1">
      <c r="B132" s="44"/>
      <c r="C132" s="44"/>
      <c r="D132" s="44"/>
      <c r="E132" s="51"/>
      <c r="F132" s="51"/>
    </row>
    <row r="133" spans="2:6" ht="16.5" customHeight="1">
      <c r="B133" s="44"/>
      <c r="C133" s="44"/>
      <c r="D133" s="44"/>
      <c r="E133" s="51"/>
      <c r="F133" s="51"/>
    </row>
    <row r="134" spans="2:6" ht="16.5" customHeight="1">
      <c r="B134" s="44"/>
      <c r="C134" s="44"/>
      <c r="D134" s="44"/>
      <c r="E134" s="51"/>
      <c r="F134" s="51"/>
    </row>
    <row r="135" spans="2:6" ht="16.5" customHeight="1">
      <c r="B135" s="44"/>
      <c r="C135" s="44"/>
      <c r="D135" s="44"/>
      <c r="E135" s="51"/>
      <c r="F135" s="51"/>
    </row>
    <row r="136" spans="2:6" ht="16.5" customHeight="1">
      <c r="B136" s="44"/>
      <c r="C136" s="44"/>
      <c r="D136" s="44"/>
      <c r="E136" s="51"/>
      <c r="F136" s="51"/>
    </row>
    <row r="137" spans="2:6" ht="16.5" customHeight="1">
      <c r="B137" s="44"/>
      <c r="C137" s="44"/>
      <c r="D137" s="44"/>
      <c r="E137" s="51"/>
      <c r="F137" s="51"/>
    </row>
    <row r="138" spans="2:6" ht="16.5" customHeight="1">
      <c r="B138" s="44"/>
      <c r="C138" s="44"/>
      <c r="D138" s="44"/>
      <c r="E138" s="51"/>
      <c r="F138" s="51"/>
    </row>
    <row r="139" spans="2:6" ht="16.5" customHeight="1">
      <c r="B139" s="44"/>
      <c r="C139" s="44"/>
      <c r="D139" s="44"/>
      <c r="E139" s="51"/>
      <c r="F139" s="51"/>
    </row>
    <row r="140" spans="2:6" ht="16.5" customHeight="1">
      <c r="B140" s="44"/>
      <c r="C140" s="44"/>
      <c r="D140" s="44"/>
      <c r="E140" s="51"/>
      <c r="F140" s="51"/>
    </row>
    <row r="141" spans="2:6" ht="16.5" customHeight="1">
      <c r="B141" s="44"/>
      <c r="C141" s="44"/>
      <c r="D141" s="44"/>
      <c r="E141" s="51"/>
      <c r="F141" s="51"/>
    </row>
    <row r="142" spans="2:6" ht="16.5" customHeight="1">
      <c r="B142" s="44"/>
      <c r="C142" s="44"/>
      <c r="D142" s="44"/>
      <c r="E142" s="51"/>
      <c r="F142" s="51"/>
    </row>
    <row r="143" spans="2:6" ht="16.5" customHeight="1">
      <c r="B143" s="44"/>
      <c r="C143" s="44"/>
      <c r="D143" s="44"/>
      <c r="E143" s="51"/>
      <c r="F143" s="51"/>
    </row>
    <row r="144" spans="2:6" ht="16.5" customHeight="1">
      <c r="B144" s="44"/>
      <c r="C144" s="44"/>
      <c r="D144" s="44"/>
      <c r="E144" s="51"/>
      <c r="F144" s="51"/>
    </row>
    <row r="145" spans="2:6" ht="16.5" customHeight="1">
      <c r="B145" s="44"/>
      <c r="C145" s="44"/>
      <c r="D145" s="44"/>
      <c r="E145" s="51"/>
      <c r="F145" s="51"/>
    </row>
    <row r="146" spans="2:6" ht="16.5" customHeight="1">
      <c r="B146" s="44"/>
      <c r="C146" s="44"/>
      <c r="D146" s="44"/>
      <c r="E146" s="51"/>
      <c r="F146" s="51"/>
    </row>
    <row r="147" spans="2:6" ht="16.5" customHeight="1">
      <c r="B147" s="44"/>
      <c r="C147" s="44"/>
      <c r="D147" s="44"/>
      <c r="E147" s="51"/>
      <c r="F147" s="51"/>
    </row>
    <row r="148" spans="2:6" ht="16.5" customHeight="1">
      <c r="B148" s="44"/>
      <c r="C148" s="44"/>
      <c r="D148" s="44"/>
      <c r="E148" s="51"/>
      <c r="F148" s="51"/>
    </row>
    <row r="149" spans="2:6" ht="16.5" customHeight="1">
      <c r="B149" s="44"/>
      <c r="C149" s="44"/>
      <c r="D149" s="44"/>
      <c r="E149" s="51"/>
      <c r="F149" s="51"/>
    </row>
    <row r="150" spans="2:6" ht="16.5" customHeight="1">
      <c r="B150" s="44"/>
      <c r="C150" s="44"/>
      <c r="D150" s="44"/>
      <c r="E150" s="51"/>
      <c r="F150" s="51"/>
    </row>
    <row r="151" spans="2:6" ht="16.5" customHeight="1">
      <c r="B151" s="44"/>
      <c r="C151" s="44"/>
      <c r="D151" s="44"/>
      <c r="E151" s="51"/>
      <c r="F151" s="51"/>
    </row>
    <row r="152" spans="2:6" ht="16.5" customHeight="1">
      <c r="B152" s="44"/>
      <c r="C152" s="44"/>
      <c r="D152" s="44"/>
      <c r="E152" s="51"/>
      <c r="F152" s="51"/>
    </row>
    <row r="153" spans="2:6" ht="16.5" customHeight="1">
      <c r="B153" s="44"/>
      <c r="C153" s="44"/>
      <c r="D153" s="44"/>
      <c r="E153" s="51"/>
      <c r="F153" s="51"/>
    </row>
    <row r="154" spans="2:6" ht="16.5" customHeight="1">
      <c r="B154" s="44"/>
      <c r="C154" s="44"/>
      <c r="D154" s="44"/>
      <c r="E154" s="51"/>
      <c r="F154" s="51"/>
    </row>
    <row r="155" spans="2:6" ht="16.5" customHeight="1">
      <c r="B155" s="44"/>
      <c r="C155" s="44"/>
      <c r="D155" s="44"/>
      <c r="E155" s="51"/>
      <c r="F155" s="51"/>
    </row>
    <row r="156" spans="2:6" ht="16.5" customHeight="1">
      <c r="B156" s="44"/>
      <c r="C156" s="44"/>
      <c r="D156" s="44"/>
      <c r="E156" s="51"/>
      <c r="F156" s="51"/>
    </row>
    <row r="157" spans="2:6" ht="16.5" customHeight="1">
      <c r="B157" s="44"/>
      <c r="C157" s="53"/>
      <c r="D157" s="44"/>
      <c r="E157" s="51"/>
      <c r="F157" s="51"/>
    </row>
    <row r="158" spans="2:6" ht="16.5" customHeight="1">
      <c r="B158" s="44"/>
      <c r="C158" s="53"/>
      <c r="D158" s="44"/>
      <c r="E158" s="51"/>
      <c r="F158" s="51"/>
    </row>
    <row r="159" spans="2:6" ht="16.5" customHeight="1">
      <c r="B159" s="44"/>
      <c r="C159" s="44"/>
      <c r="D159" s="44"/>
      <c r="E159" s="51"/>
      <c r="F159" s="51"/>
    </row>
    <row r="160" spans="2:6" ht="16.5" customHeight="1">
      <c r="B160" s="44"/>
      <c r="C160" s="44"/>
      <c r="D160" s="44"/>
      <c r="E160" s="51"/>
      <c r="F160" s="51"/>
    </row>
    <row r="161" spans="2:6" ht="16.5" customHeight="1">
      <c r="B161" s="44"/>
      <c r="C161" s="44"/>
      <c r="D161" s="44"/>
      <c r="E161" s="51"/>
      <c r="F161" s="51"/>
    </row>
    <row r="162" spans="2:6" ht="16.5" customHeight="1">
      <c r="B162" s="44"/>
      <c r="C162" s="44"/>
      <c r="D162" s="44"/>
      <c r="E162" s="51"/>
      <c r="F162" s="51"/>
    </row>
    <row r="163" spans="2:6" ht="16.5" customHeight="1">
      <c r="B163" s="44"/>
      <c r="C163" s="44"/>
      <c r="D163" s="44"/>
      <c r="E163" s="51"/>
      <c r="F163" s="51"/>
    </row>
    <row r="164" spans="2:6" ht="16.5" customHeight="1">
      <c r="B164" s="44"/>
      <c r="C164" s="53"/>
      <c r="D164" s="44"/>
      <c r="E164" s="51"/>
      <c r="F164" s="51"/>
    </row>
    <row r="165" spans="2:6" ht="16.5" customHeight="1">
      <c r="B165" s="44"/>
      <c r="C165" s="53"/>
      <c r="D165" s="44"/>
      <c r="E165" s="51"/>
      <c r="F165" s="51"/>
    </row>
    <row r="166" spans="2:6" ht="16.5" customHeight="1">
      <c r="B166" s="44"/>
      <c r="C166" s="53"/>
      <c r="D166" s="44"/>
      <c r="E166" s="51"/>
      <c r="F166" s="51"/>
    </row>
    <row r="167" spans="2:6" ht="16.5" customHeight="1">
      <c r="B167" s="44"/>
      <c r="C167" s="53"/>
      <c r="D167" s="44"/>
      <c r="E167" s="51"/>
      <c r="F167" s="51"/>
    </row>
    <row r="168" spans="2:6" ht="16.5" customHeight="1">
      <c r="B168" s="44"/>
      <c r="C168" s="44"/>
      <c r="D168" s="44"/>
      <c r="E168" s="51"/>
      <c r="F168" s="51"/>
    </row>
    <row r="169" spans="2:6" ht="16.5" customHeight="1">
      <c r="B169" s="44"/>
      <c r="C169" s="44"/>
      <c r="D169" s="44"/>
      <c r="E169" s="51"/>
      <c r="F169" s="51"/>
    </row>
    <row r="170" spans="2:6" ht="16.5" customHeight="1">
      <c r="B170" s="44"/>
      <c r="C170" s="44"/>
      <c r="D170" s="44"/>
      <c r="E170" s="51"/>
      <c r="F170" s="51"/>
    </row>
    <row r="171" spans="2:6" ht="16.5" customHeight="1">
      <c r="B171" s="44"/>
      <c r="C171" s="44"/>
      <c r="D171" s="44"/>
      <c r="E171" s="51"/>
      <c r="F171" s="51"/>
    </row>
    <row r="172" spans="2:6" ht="16.5" customHeight="1">
      <c r="B172" s="44"/>
      <c r="C172" s="53"/>
      <c r="D172" s="44"/>
      <c r="E172" s="51"/>
      <c r="F172" s="51"/>
    </row>
    <row r="173" spans="2:6" ht="16.5" customHeight="1">
      <c r="B173" s="44"/>
      <c r="C173" s="44"/>
      <c r="D173" s="44"/>
      <c r="E173" s="51"/>
      <c r="F173" s="51"/>
    </row>
    <row r="174" spans="2:6" ht="16.5" customHeight="1">
      <c r="B174" s="44"/>
      <c r="C174" s="44"/>
      <c r="D174" s="44"/>
      <c r="E174" s="51"/>
      <c r="F174" s="51"/>
    </row>
    <row r="175" spans="2:6" ht="16.5" customHeight="1">
      <c r="B175" s="44"/>
      <c r="C175" s="44"/>
      <c r="D175" s="44"/>
      <c r="E175" s="51"/>
      <c r="F175" s="51"/>
    </row>
    <row r="176" spans="2:6" ht="16.5" customHeight="1">
      <c r="B176" s="44"/>
      <c r="C176" s="44"/>
      <c r="D176" s="44"/>
      <c r="E176" s="51"/>
      <c r="F176" s="51"/>
    </row>
    <row r="177" spans="2:6" ht="16.5" customHeight="1">
      <c r="B177" s="44"/>
      <c r="C177" s="44"/>
      <c r="D177" s="44"/>
      <c r="E177" s="51"/>
      <c r="F177" s="51"/>
    </row>
    <row r="178" spans="2:6" ht="16.5" customHeight="1">
      <c r="B178" s="44"/>
      <c r="C178" s="44"/>
      <c r="D178" s="44"/>
      <c r="E178" s="51"/>
      <c r="F178" s="51"/>
    </row>
    <row r="179" spans="2:6" ht="16.5" customHeight="1">
      <c r="B179" s="44"/>
      <c r="C179" s="53"/>
      <c r="D179" s="44"/>
      <c r="E179" s="51"/>
      <c r="F179" s="51"/>
    </row>
    <row r="180" spans="2:6" ht="16.5" customHeight="1">
      <c r="B180" s="44"/>
      <c r="C180" s="53"/>
      <c r="D180" s="44"/>
      <c r="E180" s="51"/>
      <c r="F180" s="51"/>
    </row>
    <row r="181" spans="2:6" ht="16.5" customHeight="1">
      <c r="B181" s="44"/>
      <c r="C181" s="44"/>
      <c r="D181" s="44"/>
      <c r="E181" s="51"/>
      <c r="F181" s="51"/>
    </row>
    <row r="182" spans="2:6" ht="16.5" customHeight="1">
      <c r="B182" s="44"/>
      <c r="C182" s="53"/>
      <c r="D182" s="44"/>
      <c r="E182" s="51"/>
      <c r="F182" s="51"/>
    </row>
    <row r="183" spans="2:6" ht="16.5" customHeight="1">
      <c r="B183" s="44"/>
      <c r="C183" s="53"/>
      <c r="D183" s="44"/>
      <c r="E183" s="51"/>
      <c r="F183" s="51"/>
    </row>
    <row r="184" spans="2:6" ht="16.5" customHeight="1">
      <c r="B184" s="44"/>
      <c r="C184" s="44"/>
      <c r="D184" s="44"/>
      <c r="E184" s="51"/>
      <c r="F184" s="51"/>
    </row>
    <row r="185" spans="2:6" ht="16.5" customHeight="1">
      <c r="B185" s="44"/>
      <c r="C185" s="44"/>
      <c r="D185" s="44"/>
      <c r="E185" s="51"/>
      <c r="F185" s="51"/>
    </row>
    <row r="186" spans="2:6" ht="16.5" customHeight="1">
      <c r="B186" s="44"/>
      <c r="C186" s="44"/>
      <c r="D186" s="44"/>
      <c r="E186" s="51"/>
      <c r="F186" s="51"/>
    </row>
    <row r="187" spans="2:6" ht="16.5" customHeight="1">
      <c r="B187" s="44"/>
      <c r="C187" s="44"/>
      <c r="D187" s="44"/>
      <c r="E187" s="51"/>
      <c r="F187" s="51"/>
    </row>
    <row r="188" spans="2:6" ht="16.5" customHeight="1">
      <c r="B188" s="44"/>
      <c r="C188" s="44"/>
      <c r="D188" s="44"/>
      <c r="E188" s="51"/>
      <c r="F188" s="51"/>
    </row>
    <row r="189" spans="2:6" ht="16.5" customHeight="1">
      <c r="B189" s="44"/>
      <c r="C189" s="44"/>
      <c r="D189" s="44"/>
      <c r="E189" s="51"/>
      <c r="F189" s="51"/>
    </row>
    <row r="190" spans="2:6" ht="16.5" customHeight="1">
      <c r="B190" s="44"/>
      <c r="C190" s="53"/>
      <c r="D190" s="44"/>
      <c r="E190" s="51"/>
      <c r="F190" s="51"/>
    </row>
    <row r="191" spans="2:6" ht="16.5" customHeight="1">
      <c r="B191" s="44"/>
      <c r="C191" s="44"/>
      <c r="D191" s="44"/>
      <c r="E191" s="51"/>
      <c r="F191" s="51"/>
    </row>
    <row r="192" spans="2:6" ht="16.5" customHeight="1">
      <c r="B192" s="44"/>
      <c r="C192" s="53"/>
      <c r="D192" s="44"/>
      <c r="E192" s="51"/>
      <c r="F192" s="51"/>
    </row>
    <row r="193" spans="2:6" ht="16.5" customHeight="1">
      <c r="B193" s="44"/>
      <c r="C193" s="53"/>
      <c r="D193" s="44"/>
      <c r="E193" s="51"/>
      <c r="F193" s="51"/>
    </row>
    <row r="194" spans="2:6" ht="16.5" customHeight="1">
      <c r="B194" s="44"/>
      <c r="C194" s="53"/>
      <c r="D194" s="44"/>
      <c r="E194" s="51"/>
      <c r="F194" s="51"/>
    </row>
    <row r="195" spans="2:6" ht="16.5" customHeight="1">
      <c r="B195" s="44"/>
      <c r="C195" s="53"/>
      <c r="D195" s="44"/>
      <c r="E195" s="51"/>
      <c r="F195" s="51"/>
    </row>
    <row r="196" spans="2:6" ht="16.5" customHeight="1">
      <c r="B196" s="44"/>
      <c r="C196" s="53"/>
      <c r="D196" s="44"/>
      <c r="E196" s="51"/>
      <c r="F196" s="51"/>
    </row>
    <row r="197" spans="2:6" ht="16.5" customHeight="1">
      <c r="B197" s="44"/>
      <c r="C197" s="53"/>
      <c r="D197" s="44"/>
      <c r="E197" s="51"/>
      <c r="F197" s="51"/>
    </row>
    <row r="198" spans="2:6" ht="16.5" customHeight="1">
      <c r="B198" s="44"/>
      <c r="C198" s="53"/>
      <c r="D198" s="44"/>
      <c r="E198" s="51"/>
      <c r="F198" s="51"/>
    </row>
    <row r="199" spans="2:6" ht="16.5" customHeight="1">
      <c r="B199" s="44"/>
      <c r="C199" s="44"/>
      <c r="D199" s="44"/>
      <c r="E199" s="51"/>
      <c r="F199" s="51"/>
    </row>
    <row r="200" spans="2:6" ht="16.5" customHeight="1">
      <c r="B200" s="44"/>
      <c r="C200" s="53"/>
      <c r="D200" s="44"/>
      <c r="E200" s="51"/>
      <c r="F200" s="51"/>
    </row>
    <row r="201" spans="2:6" ht="16.5" customHeight="1">
      <c r="B201" s="44"/>
      <c r="C201" s="53"/>
      <c r="D201" s="44"/>
      <c r="E201" s="51"/>
      <c r="F201" s="51"/>
    </row>
    <row r="202" spans="2:6" ht="16.5" customHeight="1">
      <c r="B202" s="44"/>
      <c r="C202" s="53"/>
      <c r="D202" s="44"/>
      <c r="E202" s="51"/>
      <c r="F202" s="51"/>
    </row>
    <row r="203" spans="2:6" ht="16.5" customHeight="1">
      <c r="B203" s="44"/>
      <c r="C203" s="53"/>
      <c r="D203" s="44"/>
      <c r="E203" s="51"/>
      <c r="F203" s="51"/>
    </row>
    <row r="204" spans="2:6" ht="16.5" customHeight="1">
      <c r="B204" s="44"/>
      <c r="C204" s="53"/>
      <c r="D204" s="44"/>
      <c r="E204" s="51"/>
      <c r="F204" s="51"/>
    </row>
    <row r="205" spans="2:6" ht="16.5" customHeight="1">
      <c r="B205" s="44"/>
      <c r="C205" s="53"/>
      <c r="D205" s="44"/>
      <c r="E205" s="51"/>
      <c r="F205" s="51"/>
    </row>
    <row r="206" spans="2:6" ht="16.5" customHeight="1">
      <c r="B206" s="44"/>
      <c r="C206" s="53"/>
      <c r="D206" s="44"/>
      <c r="E206" s="51"/>
      <c r="F206" s="51"/>
    </row>
    <row r="207" spans="2:6" ht="16.5" customHeight="1">
      <c r="B207" s="44"/>
      <c r="C207" s="53"/>
      <c r="D207" s="44"/>
      <c r="E207" s="51"/>
      <c r="F207" s="51"/>
    </row>
    <row r="208" spans="2:6" ht="16.5" customHeight="1">
      <c r="B208" s="44"/>
      <c r="C208" s="44"/>
      <c r="D208" s="44"/>
      <c r="E208" s="51"/>
      <c r="F208" s="51"/>
    </row>
    <row r="209" spans="2:6" ht="16.5" customHeight="1">
      <c r="B209" s="44"/>
      <c r="C209" s="44"/>
      <c r="D209" s="44"/>
      <c r="E209" s="51"/>
      <c r="F209" s="51"/>
    </row>
    <row r="210" spans="2:6" ht="16.5" customHeight="1">
      <c r="B210" s="44"/>
      <c r="C210" s="44"/>
      <c r="D210" s="44"/>
      <c r="E210" s="51"/>
      <c r="F210" s="51"/>
    </row>
    <row r="211" spans="2:6" ht="16.5" customHeight="1">
      <c r="B211" s="44"/>
      <c r="C211" s="44"/>
      <c r="D211" s="44"/>
      <c r="E211" s="51"/>
      <c r="F211" s="51"/>
    </row>
    <row r="212" spans="2:6" ht="16.5" customHeight="1">
      <c r="B212" s="44"/>
      <c r="C212" s="44"/>
      <c r="D212" s="44"/>
      <c r="E212" s="51"/>
      <c r="F212" s="51"/>
    </row>
    <row r="213" spans="2:6" ht="16.5" customHeight="1">
      <c r="B213" s="44"/>
      <c r="C213" s="44"/>
      <c r="D213" s="44"/>
      <c r="E213" s="51"/>
      <c r="F213" s="51"/>
    </row>
    <row r="214" spans="2:6" ht="16.5" customHeight="1">
      <c r="B214" s="44"/>
      <c r="C214" s="44"/>
      <c r="D214" s="44"/>
      <c r="E214" s="51"/>
      <c r="F214" s="51"/>
    </row>
    <row r="215" spans="2:6" ht="16.5" customHeight="1">
      <c r="B215" s="44"/>
      <c r="C215" s="44"/>
      <c r="D215" s="44"/>
      <c r="E215" s="51"/>
      <c r="F215" s="51"/>
    </row>
    <row r="216" spans="2:6" ht="16.5" customHeight="1">
      <c r="B216" s="44"/>
      <c r="C216" s="44"/>
      <c r="D216" s="44"/>
      <c r="E216" s="51"/>
      <c r="F216" s="51"/>
    </row>
    <row r="217" spans="2:6" ht="16.5" customHeight="1">
      <c r="B217" s="44"/>
      <c r="C217" s="44"/>
      <c r="D217" s="44"/>
      <c r="E217" s="51"/>
      <c r="F217" s="51"/>
    </row>
    <row r="218" spans="2:6" ht="16.5" customHeight="1">
      <c r="B218" s="44"/>
      <c r="C218" s="44"/>
      <c r="D218" s="44"/>
      <c r="E218" s="51"/>
      <c r="F218" s="51"/>
    </row>
    <row r="219" spans="2:6" ht="16.5" customHeight="1">
      <c r="B219" s="44"/>
      <c r="C219" s="44"/>
      <c r="D219" s="44"/>
      <c r="E219" s="51"/>
      <c r="F219" s="51"/>
    </row>
    <row r="220" spans="2:6" ht="16.5" customHeight="1">
      <c r="B220" s="44"/>
      <c r="C220" s="44"/>
      <c r="D220" s="44"/>
      <c r="E220" s="51"/>
      <c r="F220" s="51"/>
    </row>
    <row r="221" spans="2:6" ht="16.5" customHeight="1">
      <c r="B221" s="44"/>
      <c r="C221" s="44"/>
      <c r="D221" s="44"/>
      <c r="E221" s="51"/>
      <c r="F221" s="51"/>
    </row>
    <row r="222" spans="2:6" ht="16.5" customHeight="1">
      <c r="B222" s="44"/>
      <c r="C222" s="44"/>
      <c r="D222" s="44"/>
      <c r="E222" s="51"/>
      <c r="F222" s="51"/>
    </row>
    <row r="223" spans="2:6" ht="16.5" customHeight="1">
      <c r="B223" s="44"/>
      <c r="C223" s="44"/>
      <c r="D223" s="44"/>
      <c r="E223" s="51"/>
      <c r="F223" s="51"/>
    </row>
    <row r="224" spans="2:6" ht="16.5" customHeight="1">
      <c r="B224" s="44"/>
      <c r="C224" s="44"/>
      <c r="D224" s="44"/>
      <c r="E224" s="51"/>
      <c r="F224" s="51"/>
    </row>
    <row r="225" spans="2:6" ht="16.5" customHeight="1">
      <c r="B225" s="44"/>
      <c r="C225" s="44"/>
      <c r="D225" s="44"/>
      <c r="E225" s="51"/>
      <c r="F225" s="51"/>
    </row>
    <row r="226" spans="2:6" ht="16.5" customHeight="1">
      <c r="B226" s="44"/>
      <c r="C226" s="44"/>
      <c r="D226" s="44"/>
      <c r="E226" s="51"/>
      <c r="F226" s="51"/>
    </row>
    <row r="227" spans="2:6" ht="16.5" customHeight="1">
      <c r="B227" s="44"/>
      <c r="C227" s="44"/>
      <c r="D227" s="44"/>
      <c r="E227" s="51"/>
      <c r="F227" s="51"/>
    </row>
    <row r="228" spans="2:6" ht="16.5" customHeight="1">
      <c r="B228" s="44"/>
      <c r="C228" s="44"/>
      <c r="D228" s="44"/>
      <c r="E228" s="51"/>
      <c r="F228" s="51"/>
    </row>
    <row r="229" spans="2:6" ht="16.5" customHeight="1">
      <c r="B229" s="44"/>
      <c r="C229" s="44"/>
      <c r="D229" s="44"/>
      <c r="E229" s="51"/>
      <c r="F229" s="51"/>
    </row>
    <row r="230" spans="2:6" ht="16.5" customHeight="1">
      <c r="B230" s="44"/>
      <c r="C230" s="44"/>
      <c r="D230" s="44"/>
      <c r="E230" s="51"/>
      <c r="F230" s="51"/>
    </row>
    <row r="231" spans="2:6" ht="16.5" customHeight="1">
      <c r="B231" s="44"/>
      <c r="C231" s="44"/>
      <c r="D231" s="44"/>
      <c r="E231" s="51"/>
      <c r="F231" s="51"/>
    </row>
    <row r="232" spans="2:6" ht="16.5" customHeight="1">
      <c r="B232" s="44"/>
      <c r="C232" s="44"/>
      <c r="D232" s="44"/>
      <c r="E232" s="51"/>
      <c r="F232" s="51"/>
    </row>
    <row r="233" spans="2:6" ht="16.5" customHeight="1">
      <c r="B233" s="44"/>
      <c r="C233" s="44"/>
      <c r="D233" s="44"/>
      <c r="E233" s="51"/>
      <c r="F233" s="51"/>
    </row>
    <row r="234" spans="2:6" ht="16.5" customHeight="1">
      <c r="B234" s="44"/>
      <c r="C234" s="44"/>
      <c r="D234" s="44"/>
      <c r="E234" s="51"/>
      <c r="F234" s="51"/>
    </row>
    <row r="235" spans="2:6" ht="16.5" customHeight="1">
      <c r="B235" s="44"/>
      <c r="C235" s="44"/>
      <c r="D235" s="44"/>
      <c r="E235" s="51"/>
      <c r="F235" s="51"/>
    </row>
    <row r="236" spans="2:6" ht="16.5" customHeight="1">
      <c r="B236" s="44"/>
      <c r="C236" s="44"/>
      <c r="D236" s="44"/>
      <c r="E236" s="51"/>
      <c r="F236" s="51"/>
    </row>
    <row r="237" spans="2:6" ht="16.5" customHeight="1">
      <c r="B237" s="44"/>
      <c r="C237" s="44"/>
      <c r="D237" s="44"/>
      <c r="E237" s="51"/>
      <c r="F237" s="51"/>
    </row>
    <row r="238" spans="2:6" ht="16.5" customHeight="1">
      <c r="B238" s="44"/>
      <c r="C238" s="44"/>
      <c r="D238" s="44"/>
      <c r="E238" s="51"/>
      <c r="F238" s="51"/>
    </row>
    <row r="239" spans="2:6" ht="16.5" customHeight="1">
      <c r="B239" s="44"/>
      <c r="C239" s="44"/>
      <c r="D239" s="44"/>
      <c r="E239" s="51"/>
      <c r="F239" s="51"/>
    </row>
    <row r="240" spans="2:6" ht="16.5" customHeight="1">
      <c r="B240" s="44"/>
      <c r="C240" s="44"/>
      <c r="D240" s="44"/>
      <c r="E240" s="51"/>
      <c r="F240" s="51"/>
    </row>
    <row r="241" spans="2:6" ht="16.5" customHeight="1">
      <c r="B241" s="44"/>
      <c r="C241" s="44"/>
      <c r="D241" s="44"/>
      <c r="E241" s="51"/>
      <c r="F241" s="51"/>
    </row>
    <row r="242" spans="2:6" ht="16.5" customHeight="1">
      <c r="B242" s="44"/>
      <c r="C242" s="44"/>
      <c r="D242" s="44"/>
      <c r="E242" s="51"/>
      <c r="F242" s="51"/>
    </row>
    <row r="243" spans="2:6" ht="16.5" customHeight="1">
      <c r="B243" s="44"/>
      <c r="C243" s="44"/>
      <c r="D243" s="44"/>
      <c r="E243" s="51"/>
      <c r="F243" s="51"/>
    </row>
    <row r="244" spans="2:6" ht="16.5" customHeight="1">
      <c r="B244" s="44"/>
      <c r="C244" s="44"/>
      <c r="D244" s="44"/>
      <c r="E244" s="51"/>
      <c r="F244" s="51"/>
    </row>
    <row r="245" spans="2:6" ht="16.5" customHeight="1">
      <c r="B245" s="44"/>
      <c r="C245" s="44"/>
      <c r="D245" s="44"/>
      <c r="E245" s="51"/>
      <c r="F245" s="51"/>
    </row>
    <row r="246" spans="2:6" ht="16.5" customHeight="1">
      <c r="B246" s="44"/>
      <c r="C246" s="44"/>
      <c r="D246" s="44"/>
      <c r="E246" s="51"/>
      <c r="F246" s="51"/>
    </row>
    <row r="247" spans="2:6" ht="16.5" customHeight="1">
      <c r="B247" s="44"/>
      <c r="C247" s="44"/>
      <c r="D247" s="44"/>
      <c r="E247" s="51"/>
      <c r="F247" s="51"/>
    </row>
    <row r="248" spans="2:6" ht="16.5" customHeight="1">
      <c r="B248" s="44"/>
      <c r="C248" s="44"/>
      <c r="D248" s="44"/>
      <c r="E248" s="51"/>
      <c r="F248" s="51"/>
    </row>
    <row r="249" spans="2:6" ht="16.5" customHeight="1">
      <c r="B249" s="44"/>
      <c r="C249" s="44"/>
      <c r="D249" s="44"/>
      <c r="E249" s="51"/>
      <c r="F249" s="51"/>
    </row>
    <row r="250" spans="2:6" ht="16.5" customHeight="1">
      <c r="B250" s="44"/>
      <c r="C250" s="44"/>
      <c r="D250" s="44"/>
      <c r="E250" s="51"/>
      <c r="F250" s="51"/>
    </row>
    <row r="251" spans="2:6" ht="16.5" customHeight="1">
      <c r="B251" s="44"/>
      <c r="C251" s="44"/>
      <c r="D251" s="44"/>
      <c r="E251" s="51"/>
      <c r="F251" s="51"/>
    </row>
    <row r="252" spans="2:6" ht="16.5" customHeight="1">
      <c r="B252" s="44"/>
      <c r="C252" s="44"/>
      <c r="D252" s="44"/>
      <c r="E252" s="51"/>
      <c r="F252" s="51"/>
    </row>
    <row r="253" spans="2:6" ht="16.5" customHeight="1">
      <c r="B253" s="44"/>
      <c r="C253" s="44"/>
      <c r="D253" s="44"/>
      <c r="E253" s="51"/>
      <c r="F253" s="51"/>
    </row>
    <row r="254" spans="2:6" ht="16.5" customHeight="1">
      <c r="B254" s="44"/>
      <c r="C254" s="44"/>
      <c r="D254" s="44"/>
      <c r="E254" s="51"/>
      <c r="F254" s="51"/>
    </row>
    <row r="255" spans="2:6" ht="16.5" customHeight="1">
      <c r="B255" s="44"/>
      <c r="C255" s="44"/>
      <c r="D255" s="44"/>
      <c r="E255" s="51"/>
      <c r="F255" s="51"/>
    </row>
    <row r="256" spans="2:6" ht="16.5" customHeight="1">
      <c r="B256" s="44"/>
      <c r="C256" s="44"/>
      <c r="D256" s="44"/>
      <c r="E256" s="51"/>
      <c r="F256" s="51"/>
    </row>
    <row r="257" spans="2:6" ht="16.5" customHeight="1">
      <c r="B257" s="44"/>
      <c r="C257" s="44"/>
      <c r="D257" s="44"/>
      <c r="E257" s="51"/>
      <c r="F257" s="51"/>
    </row>
    <row r="258" spans="2:6" ht="16.5" customHeight="1">
      <c r="B258" s="44"/>
      <c r="C258" s="44"/>
      <c r="D258" s="44"/>
      <c r="E258" s="51"/>
      <c r="F258" s="51"/>
    </row>
    <row r="259" spans="2:6" ht="16.5" customHeight="1">
      <c r="B259" s="44"/>
      <c r="C259" s="44"/>
      <c r="D259" s="44"/>
      <c r="E259" s="51"/>
      <c r="F259" s="51"/>
    </row>
    <row r="260" spans="2:6" ht="16.5" customHeight="1">
      <c r="B260" s="44"/>
      <c r="C260" s="44"/>
      <c r="D260" s="44"/>
      <c r="E260" s="51"/>
      <c r="F260" s="51"/>
    </row>
    <row r="261" spans="2:6" ht="16.5" customHeight="1">
      <c r="B261" s="44"/>
      <c r="C261" s="44"/>
      <c r="D261" s="44"/>
      <c r="E261" s="51"/>
      <c r="F261" s="51"/>
    </row>
    <row r="262" spans="2:6" ht="16.5" customHeight="1">
      <c r="B262" s="44"/>
      <c r="C262" s="44"/>
      <c r="D262" s="44"/>
      <c r="E262" s="51"/>
      <c r="F262" s="51"/>
    </row>
    <row r="263" spans="2:6" ht="16.5" customHeight="1">
      <c r="B263" s="44"/>
      <c r="C263" s="44"/>
      <c r="D263" s="44"/>
      <c r="E263" s="51"/>
      <c r="F263" s="51"/>
    </row>
    <row r="264" spans="2:6" ht="16.5" customHeight="1">
      <c r="B264" s="44"/>
      <c r="C264" s="44"/>
      <c r="D264" s="44"/>
      <c r="E264" s="51"/>
      <c r="F264" s="51"/>
    </row>
    <row r="265" spans="2:6" ht="16.5" customHeight="1">
      <c r="B265" s="44"/>
      <c r="C265" s="44"/>
      <c r="D265" s="44"/>
      <c r="E265" s="51"/>
      <c r="F265" s="51"/>
    </row>
    <row r="266" spans="2:6" ht="16.5" customHeight="1">
      <c r="B266" s="44"/>
      <c r="C266" s="44"/>
      <c r="D266" s="44"/>
      <c r="E266" s="51"/>
      <c r="F266" s="51"/>
    </row>
    <row r="267" spans="2:6" ht="16.5" customHeight="1">
      <c r="B267" s="44"/>
      <c r="C267" s="44"/>
      <c r="D267" s="44"/>
      <c r="E267" s="51"/>
      <c r="F267" s="51"/>
    </row>
    <row r="268" spans="2:6" ht="16.5" customHeight="1">
      <c r="B268" s="44"/>
      <c r="C268" s="44"/>
      <c r="D268" s="44"/>
      <c r="E268" s="51"/>
      <c r="F268" s="51"/>
    </row>
    <row r="269" spans="2:6" ht="16.5" customHeight="1">
      <c r="B269" s="44"/>
      <c r="C269" s="44"/>
      <c r="D269" s="44"/>
      <c r="E269" s="51"/>
      <c r="F269" s="51"/>
    </row>
    <row r="270" spans="2:6" ht="16.5" customHeight="1">
      <c r="B270" s="44"/>
      <c r="C270" s="44"/>
      <c r="D270" s="44"/>
      <c r="E270" s="51"/>
      <c r="F270" s="51"/>
    </row>
    <row r="271" spans="2:6" ht="16.5" customHeight="1">
      <c r="B271" s="44"/>
      <c r="C271" s="44"/>
      <c r="D271" s="44"/>
      <c r="E271" s="51"/>
      <c r="F271" s="51"/>
    </row>
    <row r="272" spans="2:6" ht="16.5" customHeight="1">
      <c r="B272" s="44"/>
      <c r="C272" s="44"/>
      <c r="D272" s="44"/>
      <c r="E272" s="51"/>
      <c r="F272" s="51"/>
    </row>
    <row r="273" spans="2:6" ht="16.5" customHeight="1">
      <c r="B273" s="44"/>
      <c r="C273" s="44"/>
      <c r="D273" s="44"/>
      <c r="E273" s="51"/>
      <c r="F273" s="51"/>
    </row>
    <row r="274" spans="2:6" ht="16.5" customHeight="1">
      <c r="B274" s="44"/>
      <c r="C274" s="44"/>
      <c r="D274" s="44"/>
      <c r="E274" s="51"/>
      <c r="F274" s="51"/>
    </row>
    <row r="275" spans="2:6" ht="16.5" customHeight="1">
      <c r="B275" s="44"/>
      <c r="C275" s="44"/>
      <c r="D275" s="44"/>
      <c r="E275" s="51"/>
      <c r="F275" s="51"/>
    </row>
    <row r="276" spans="2:6" ht="16.5" customHeight="1">
      <c r="B276" s="44"/>
      <c r="C276" s="44"/>
      <c r="D276" s="44"/>
      <c r="E276" s="51"/>
      <c r="F276" s="51"/>
    </row>
    <row r="277" spans="2:6" ht="16.5" customHeight="1">
      <c r="B277" s="44"/>
      <c r="C277" s="44"/>
      <c r="D277" s="44"/>
      <c r="E277" s="51"/>
      <c r="F277" s="51"/>
    </row>
    <row r="278" spans="2:6" ht="16.5" customHeight="1">
      <c r="B278" s="44"/>
      <c r="C278" s="44"/>
      <c r="D278" s="44"/>
      <c r="E278" s="51"/>
      <c r="F278" s="51"/>
    </row>
    <row r="279" spans="2:6" ht="16.5" customHeight="1">
      <c r="B279" s="44"/>
      <c r="C279" s="44"/>
      <c r="D279" s="44"/>
      <c r="E279" s="51"/>
      <c r="F279" s="51"/>
    </row>
    <row r="280" spans="2:6" ht="16.5" customHeight="1">
      <c r="B280" s="44"/>
      <c r="C280" s="44"/>
      <c r="D280" s="44"/>
      <c r="E280" s="51"/>
      <c r="F280" s="51"/>
    </row>
  </sheetData>
  <autoFilter ref="A2:F12" xr:uid="{00000000-0009-0000-0000-000004000000}"/>
  <mergeCells count="1">
    <mergeCell ref="A1:F1"/>
  </mergeCells>
  <phoneticPr fontId="3" type="noConversion"/>
  <conditionalFormatting sqref="G4">
    <cfRule type="expression" dxfId="7" priority="1">
      <formula>$Q4="공정불량"</formula>
    </cfRule>
    <cfRule type="expression" dxfId="6" priority="2">
      <formula>$Q4="공정불량"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0"/>
  </sheetPr>
  <dimension ref="A1:H87"/>
  <sheetViews>
    <sheetView showGridLines="0" topLeftCell="B1" workbookViewId="0">
      <pane ySplit="3" topLeftCell="A4" activePane="bottomLeft" state="frozen"/>
      <selection sqref="A1:F1"/>
      <selection pane="bottomLeft" sqref="A1:F1"/>
    </sheetView>
  </sheetViews>
  <sheetFormatPr defaultColWidth="9" defaultRowHeight="15"/>
  <cols>
    <col min="1" max="1" width="16.42578125" hidden="1" customWidth="1"/>
    <col min="2" max="2" width="41.42578125" bestFit="1" customWidth="1"/>
    <col min="4" max="4" width="4.42578125" bestFit="1" customWidth="1"/>
    <col min="6" max="6" width="12.5703125" bestFit="1" customWidth="1"/>
  </cols>
  <sheetData>
    <row r="1" spans="1:8" ht="18.75">
      <c r="A1" s="82" t="s">
        <v>0</v>
      </c>
      <c r="B1" s="83"/>
      <c r="C1" s="83"/>
      <c r="D1" s="83"/>
      <c r="E1" s="83"/>
      <c r="F1" s="83"/>
    </row>
    <row r="2" spans="1:8">
      <c r="A2" s="2" t="s">
        <v>1</v>
      </c>
      <c r="B2" s="1" t="s">
        <v>2</v>
      </c>
      <c r="C2" s="1" t="s">
        <v>3</v>
      </c>
      <c r="D2" s="1" t="s">
        <v>4</v>
      </c>
      <c r="E2" s="1" t="s">
        <v>46</v>
      </c>
      <c r="F2" s="1" t="s">
        <v>47</v>
      </c>
    </row>
    <row r="3" spans="1:8">
      <c r="A3" s="3" t="s">
        <v>5</v>
      </c>
      <c r="B3" s="30" t="s">
        <v>5</v>
      </c>
      <c r="C3" s="31"/>
      <c r="D3" s="40">
        <f>+SUM(D4:D87)</f>
        <v>738</v>
      </c>
      <c r="E3" s="40"/>
      <c r="F3" s="41">
        <f>+SUM(F4:F53)</f>
        <v>1053468</v>
      </c>
    </row>
    <row r="4" spans="1:8" ht="16.5" customHeight="1">
      <c r="A4" s="29"/>
      <c r="B4" s="42" t="s">
        <v>105</v>
      </c>
      <c r="C4" s="44" t="s">
        <v>70</v>
      </c>
      <c r="D4" s="43">
        <v>18</v>
      </c>
      <c r="E4" s="7">
        <v>3934</v>
      </c>
      <c r="F4" s="7">
        <f>+E4*D4</f>
        <v>70812</v>
      </c>
      <c r="H4" t="str">
        <f>+MID(C4,1,7)</f>
        <v>1987-00</v>
      </c>
    </row>
    <row r="5" spans="1:8" ht="16.5" customHeight="1">
      <c r="B5" s="42" t="s">
        <v>131</v>
      </c>
      <c r="C5" s="45" t="s">
        <v>72</v>
      </c>
      <c r="D5" s="43">
        <v>720</v>
      </c>
      <c r="E5" s="43">
        <f>853*1.6</f>
        <v>1364.8000000000002</v>
      </c>
      <c r="F5" s="7">
        <f>+E5*D5</f>
        <v>982656.00000000012</v>
      </c>
    </row>
    <row r="6" spans="1:8" ht="16.5" customHeight="1">
      <c r="B6" s="42"/>
      <c r="C6" s="45"/>
      <c r="D6" s="43"/>
      <c r="E6" s="43"/>
      <c r="F6" s="43"/>
    </row>
    <row r="7" spans="1:8" ht="16.5" customHeight="1">
      <c r="B7" s="42"/>
      <c r="C7" s="45"/>
      <c r="D7" s="43"/>
      <c r="E7" s="43"/>
      <c r="F7" s="43"/>
    </row>
    <row r="8" spans="1:8" ht="16.5" customHeight="1">
      <c r="B8" s="42"/>
      <c r="C8" s="45"/>
      <c r="D8" s="43"/>
      <c r="E8" s="43"/>
      <c r="F8" s="43"/>
    </row>
    <row r="9" spans="1:8" ht="16.5" customHeight="1">
      <c r="B9" s="42"/>
      <c r="C9" s="45"/>
      <c r="D9" s="43"/>
      <c r="E9" s="43"/>
      <c r="F9" s="43"/>
    </row>
    <row r="10" spans="1:8" ht="16.5" customHeight="1">
      <c r="B10" s="42"/>
      <c r="C10" s="45"/>
      <c r="D10" s="43"/>
      <c r="E10" s="43"/>
      <c r="F10" s="43"/>
    </row>
    <row r="11" spans="1:8" ht="16.5" customHeight="1">
      <c r="B11" s="42"/>
      <c r="C11" s="42"/>
      <c r="D11" s="43"/>
      <c r="E11" s="43"/>
      <c r="F11" s="43"/>
    </row>
    <row r="12" spans="1:8" ht="16.5" customHeight="1">
      <c r="B12" s="42"/>
      <c r="C12" s="42"/>
      <c r="D12" s="43"/>
      <c r="E12" s="43"/>
      <c r="F12" s="43"/>
    </row>
    <row r="13" spans="1:8" ht="16.5" customHeight="1">
      <c r="B13" s="42"/>
      <c r="C13" s="42"/>
      <c r="D13" s="43"/>
      <c r="E13" s="43"/>
      <c r="F13" s="43"/>
    </row>
    <row r="14" spans="1:8" ht="16.5" customHeight="1">
      <c r="B14" s="42"/>
      <c r="C14" s="42"/>
      <c r="D14" s="43"/>
      <c r="E14" s="43"/>
      <c r="F14" s="43"/>
    </row>
    <row r="15" spans="1:8" ht="16.5" customHeight="1">
      <c r="B15" s="42"/>
      <c r="C15" s="42"/>
      <c r="D15" s="43"/>
      <c r="E15" s="43"/>
      <c r="F15" s="43"/>
    </row>
    <row r="16" spans="1:8" ht="16.5" customHeight="1">
      <c r="B16" s="42"/>
      <c r="C16" s="42"/>
      <c r="D16" s="43"/>
      <c r="E16" s="43"/>
      <c r="F16" s="43"/>
    </row>
    <row r="17" spans="2:6" ht="16.5" customHeight="1">
      <c r="B17" s="42"/>
      <c r="C17" s="42"/>
      <c r="D17" s="43"/>
      <c r="E17" s="43"/>
      <c r="F17" s="43"/>
    </row>
    <row r="18" spans="2:6" ht="16.5" customHeight="1">
      <c r="B18" s="42"/>
      <c r="C18" s="42"/>
      <c r="D18" s="43"/>
      <c r="E18" s="43"/>
      <c r="F18" s="43"/>
    </row>
    <row r="19" spans="2:6" ht="16.5" customHeight="1">
      <c r="B19" s="42"/>
      <c r="C19" s="42"/>
      <c r="D19" s="43"/>
      <c r="E19" s="43"/>
      <c r="F19" s="43"/>
    </row>
    <row r="20" spans="2:6" ht="16.5" customHeight="1">
      <c r="B20" s="42"/>
      <c r="C20" s="42"/>
      <c r="D20" s="43"/>
      <c r="E20" s="43"/>
      <c r="F20" s="43"/>
    </row>
    <row r="21" spans="2:6" ht="16.5" customHeight="1">
      <c r="B21" s="44"/>
      <c r="C21" s="44"/>
      <c r="D21" s="44"/>
      <c r="E21" s="51"/>
      <c r="F21" s="51"/>
    </row>
    <row r="22" spans="2:6" ht="16.5" customHeight="1">
      <c r="B22" s="44"/>
      <c r="C22" s="44"/>
      <c r="D22" s="44"/>
      <c r="E22" s="51"/>
      <c r="F22" s="51"/>
    </row>
    <row r="23" spans="2:6" ht="16.5" customHeight="1">
      <c r="B23" s="44"/>
      <c r="C23" s="44"/>
      <c r="D23" s="44"/>
      <c r="E23" s="51"/>
      <c r="F23" s="51"/>
    </row>
    <row r="24" spans="2:6" ht="16.5" customHeight="1">
      <c r="B24" s="44"/>
      <c r="C24" s="44"/>
      <c r="D24" s="44"/>
      <c r="E24" s="51"/>
      <c r="F24" s="51"/>
    </row>
    <row r="25" spans="2:6" ht="16.5" customHeight="1">
      <c r="B25" s="44"/>
      <c r="C25" s="44"/>
      <c r="D25" s="44"/>
      <c r="E25" s="51"/>
      <c r="F25" s="51"/>
    </row>
    <row r="26" spans="2:6" ht="16.5" customHeight="1">
      <c r="B26" s="44"/>
      <c r="C26" s="44"/>
      <c r="D26" s="44"/>
      <c r="E26" s="51"/>
      <c r="F26" s="51"/>
    </row>
    <row r="27" spans="2:6" ht="16.5" customHeight="1">
      <c r="B27" s="44"/>
      <c r="C27" s="44"/>
      <c r="D27" s="44"/>
      <c r="E27" s="51"/>
      <c r="F27" s="51"/>
    </row>
    <row r="28" spans="2:6" ht="16.5" customHeight="1">
      <c r="B28" s="44"/>
      <c r="C28" s="44"/>
      <c r="D28" s="44"/>
      <c r="E28" s="51"/>
      <c r="F28" s="51"/>
    </row>
    <row r="29" spans="2:6" ht="16.5" customHeight="1">
      <c r="B29" s="44"/>
      <c r="C29" s="44"/>
      <c r="D29" s="44"/>
      <c r="E29" s="51"/>
      <c r="F29" s="51"/>
    </row>
    <row r="30" spans="2:6" ht="16.5" customHeight="1">
      <c r="B30" s="44"/>
      <c r="C30" s="44"/>
      <c r="D30" s="44"/>
      <c r="E30" s="51"/>
      <c r="F30" s="51"/>
    </row>
    <row r="31" spans="2:6" ht="16.5" customHeight="1">
      <c r="B31" s="44"/>
      <c r="C31" s="44"/>
      <c r="D31" s="44"/>
      <c r="E31" s="51"/>
      <c r="F31" s="51"/>
    </row>
    <row r="32" spans="2:6" ht="16.5" customHeight="1">
      <c r="B32" s="44"/>
      <c r="C32" s="44"/>
      <c r="D32" s="44"/>
      <c r="E32" s="51"/>
      <c r="F32" s="51"/>
    </row>
    <row r="33" spans="2:6" ht="16.5" customHeight="1">
      <c r="B33" s="44"/>
      <c r="C33" s="44"/>
      <c r="D33" s="44"/>
      <c r="E33" s="51"/>
      <c r="F33" s="51"/>
    </row>
    <row r="34" spans="2:6" ht="16.5" customHeight="1">
      <c r="B34" s="44"/>
      <c r="C34" s="44"/>
      <c r="D34" s="44"/>
      <c r="E34" s="51"/>
      <c r="F34" s="51"/>
    </row>
    <row r="35" spans="2:6" ht="16.5" customHeight="1">
      <c r="B35" s="44"/>
      <c r="C35" s="44"/>
      <c r="D35" s="44"/>
      <c r="E35" s="51"/>
      <c r="F35" s="51"/>
    </row>
    <row r="36" spans="2:6" ht="16.5" customHeight="1">
      <c r="B36" s="44"/>
      <c r="C36" s="44"/>
      <c r="D36" s="44"/>
      <c r="E36" s="51"/>
      <c r="F36" s="51"/>
    </row>
    <row r="37" spans="2:6" ht="16.5" customHeight="1">
      <c r="B37" s="44"/>
      <c r="C37" s="44"/>
      <c r="D37" s="44"/>
      <c r="E37" s="51"/>
      <c r="F37" s="51"/>
    </row>
    <row r="38" spans="2:6" ht="16.5" customHeight="1">
      <c r="B38" s="44"/>
      <c r="C38" s="44"/>
      <c r="D38" s="44"/>
      <c r="E38" s="51"/>
      <c r="F38" s="51"/>
    </row>
    <row r="39" spans="2:6" ht="16.5" customHeight="1">
      <c r="B39" s="44"/>
      <c r="C39" s="44"/>
      <c r="D39" s="44"/>
      <c r="E39" s="51"/>
      <c r="F39" s="51"/>
    </row>
    <row r="40" spans="2:6" ht="16.5" customHeight="1">
      <c r="B40" s="44"/>
      <c r="C40" s="44"/>
      <c r="D40" s="44"/>
      <c r="E40" s="51"/>
      <c r="F40" s="51"/>
    </row>
    <row r="41" spans="2:6" ht="16.5" customHeight="1">
      <c r="B41" s="44"/>
      <c r="C41" s="44"/>
      <c r="D41" s="44"/>
      <c r="E41" s="51"/>
      <c r="F41" s="51"/>
    </row>
    <row r="42" spans="2:6" ht="16.5" customHeight="1">
      <c r="B42" s="44"/>
      <c r="C42" s="44"/>
      <c r="D42" s="44"/>
      <c r="E42" s="51"/>
      <c r="F42" s="51"/>
    </row>
    <row r="43" spans="2:6" ht="16.5" customHeight="1">
      <c r="B43" s="44"/>
      <c r="C43" s="44"/>
      <c r="D43" s="44"/>
      <c r="E43" s="51"/>
      <c r="F43" s="51"/>
    </row>
    <row r="44" spans="2:6" ht="16.5" customHeight="1">
      <c r="B44" s="44"/>
      <c r="C44" s="44"/>
      <c r="D44" s="44"/>
      <c r="E44" s="51"/>
      <c r="F44" s="51"/>
    </row>
    <row r="45" spans="2:6" ht="16.5" customHeight="1">
      <c r="B45" s="44"/>
      <c r="C45" s="44"/>
      <c r="D45" s="44"/>
      <c r="E45" s="51"/>
      <c r="F45" s="51"/>
    </row>
    <row r="46" spans="2:6" ht="16.5" customHeight="1">
      <c r="B46" s="44"/>
      <c r="C46" s="44"/>
      <c r="D46" s="44"/>
      <c r="E46" s="51"/>
      <c r="F46" s="51"/>
    </row>
    <row r="47" spans="2:6" ht="16.5" customHeight="1">
      <c r="B47" s="44"/>
      <c r="C47" s="44"/>
      <c r="D47" s="44"/>
      <c r="E47" s="51"/>
      <c r="F47" s="51"/>
    </row>
    <row r="48" spans="2:6" ht="16.5" customHeight="1">
      <c r="B48" s="44"/>
      <c r="C48" s="53"/>
      <c r="D48" s="44"/>
      <c r="E48" s="51"/>
      <c r="F48" s="51"/>
    </row>
    <row r="49" spans="2:6" ht="16.5" customHeight="1">
      <c r="B49" s="44"/>
      <c r="C49" s="44"/>
      <c r="D49" s="44"/>
      <c r="E49" s="51"/>
      <c r="F49" s="51"/>
    </row>
    <row r="50" spans="2:6" ht="16.5" customHeight="1">
      <c r="B50" s="44"/>
      <c r="C50" s="44"/>
      <c r="D50" s="44"/>
      <c r="E50" s="51"/>
      <c r="F50" s="51"/>
    </row>
    <row r="51" spans="2:6" ht="16.5" customHeight="1">
      <c r="B51" s="44"/>
      <c r="C51" s="44"/>
      <c r="D51" s="44"/>
      <c r="E51" s="51"/>
      <c r="F51" s="51"/>
    </row>
    <row r="52" spans="2:6" ht="16.5" customHeight="1">
      <c r="B52" s="44"/>
      <c r="C52" s="44"/>
      <c r="D52" s="44"/>
      <c r="E52" s="51"/>
      <c r="F52" s="51"/>
    </row>
    <row r="53" spans="2:6" ht="16.5" customHeight="1">
      <c r="B53" s="44"/>
      <c r="C53" s="53"/>
      <c r="D53" s="44"/>
      <c r="E53" s="51"/>
      <c r="F53" s="51"/>
    </row>
    <row r="54" spans="2:6" ht="16.5" customHeight="1">
      <c r="B54" s="44"/>
      <c r="C54" s="53"/>
      <c r="D54" s="44"/>
      <c r="E54" s="51"/>
      <c r="F54" s="51"/>
    </row>
    <row r="55" spans="2:6" ht="16.5" customHeight="1">
      <c r="B55" s="44"/>
      <c r="C55" s="44"/>
      <c r="D55" s="44"/>
      <c r="E55" s="51"/>
      <c r="F55" s="51"/>
    </row>
    <row r="56" spans="2:6" ht="16.5" customHeight="1">
      <c r="B56" s="44"/>
      <c r="C56" s="44"/>
      <c r="D56" s="44"/>
      <c r="E56" s="51"/>
      <c r="F56" s="51"/>
    </row>
    <row r="57" spans="2:6" ht="16.5" customHeight="1">
      <c r="B57" s="44"/>
      <c r="C57" s="44"/>
      <c r="D57" s="44"/>
      <c r="E57" s="51"/>
      <c r="F57" s="51"/>
    </row>
    <row r="58" spans="2:6" ht="16.5" customHeight="1">
      <c r="B58" s="44"/>
      <c r="C58" s="44"/>
      <c r="D58" s="44"/>
      <c r="E58" s="51"/>
      <c r="F58" s="51"/>
    </row>
    <row r="59" spans="2:6" ht="16.5" customHeight="1">
      <c r="B59" s="44"/>
      <c r="C59" s="53"/>
      <c r="D59" s="44"/>
      <c r="E59" s="51"/>
      <c r="F59" s="51"/>
    </row>
    <row r="60" spans="2:6" ht="16.5" customHeight="1">
      <c r="B60" s="44"/>
      <c r="C60" s="44"/>
      <c r="D60" s="44"/>
      <c r="E60" s="51"/>
      <c r="F60" s="51"/>
    </row>
    <row r="61" spans="2:6" ht="16.5" customHeight="1">
      <c r="B61" s="44"/>
      <c r="C61" s="53"/>
      <c r="D61" s="44"/>
      <c r="E61" s="51"/>
      <c r="F61" s="51"/>
    </row>
    <row r="62" spans="2:6" ht="16.5" customHeight="1">
      <c r="B62" s="44"/>
      <c r="C62" s="44"/>
      <c r="D62" s="44"/>
      <c r="E62" s="51"/>
      <c r="F62" s="51"/>
    </row>
    <row r="63" spans="2:6" ht="16.5" customHeight="1">
      <c r="B63" s="44"/>
      <c r="C63" s="53"/>
      <c r="D63" s="44"/>
      <c r="E63" s="51"/>
      <c r="F63" s="51"/>
    </row>
    <row r="64" spans="2:6" ht="16.5" customHeight="1">
      <c r="B64" s="44"/>
      <c r="C64" s="53"/>
      <c r="D64" s="44"/>
      <c r="E64" s="51"/>
      <c r="F64" s="51"/>
    </row>
    <row r="65" spans="2:6" ht="16.5" customHeight="1">
      <c r="B65" s="44"/>
      <c r="C65" s="53"/>
      <c r="D65" s="44"/>
      <c r="E65" s="51"/>
      <c r="F65" s="51"/>
    </row>
    <row r="66" spans="2:6" ht="16.5" customHeight="1">
      <c r="B66" s="44"/>
      <c r="C66" s="53"/>
      <c r="D66" s="44"/>
      <c r="E66" s="51"/>
      <c r="F66" s="51"/>
    </row>
    <row r="67" spans="2:6" ht="16.5" customHeight="1">
      <c r="B67" s="44"/>
      <c r="C67" s="44"/>
      <c r="D67" s="44"/>
      <c r="E67" s="51"/>
      <c r="F67" s="51"/>
    </row>
    <row r="68" spans="2:6" ht="16.5" customHeight="1">
      <c r="B68" s="44"/>
      <c r="C68" s="44"/>
      <c r="D68" s="44"/>
      <c r="E68" s="51"/>
      <c r="F68" s="51"/>
    </row>
    <row r="69" spans="2:6" ht="16.5" customHeight="1">
      <c r="B69" s="44"/>
      <c r="C69" s="44"/>
      <c r="D69" s="44"/>
      <c r="E69" s="51"/>
      <c r="F69" s="51"/>
    </row>
    <row r="70" spans="2:6" ht="16.5" customHeight="1">
      <c r="B70" s="44"/>
      <c r="C70" s="44"/>
      <c r="D70" s="44"/>
      <c r="E70" s="51"/>
      <c r="F70" s="51"/>
    </row>
    <row r="71" spans="2:6" ht="16.5" customHeight="1">
      <c r="B71" s="44"/>
      <c r="C71" s="44"/>
      <c r="D71" s="44"/>
      <c r="E71" s="51"/>
      <c r="F71" s="51"/>
    </row>
    <row r="72" spans="2:6" ht="16.5" customHeight="1">
      <c r="B72" s="44"/>
      <c r="C72" s="44"/>
      <c r="D72" s="44"/>
      <c r="E72" s="51"/>
      <c r="F72" s="51"/>
    </row>
    <row r="73" spans="2:6" ht="16.5" customHeight="1">
      <c r="B73" s="44"/>
      <c r="C73" s="44"/>
      <c r="D73" s="44"/>
      <c r="E73" s="51"/>
      <c r="F73" s="51"/>
    </row>
    <row r="74" spans="2:6" ht="16.5" customHeight="1">
      <c r="B74" s="44"/>
      <c r="C74" s="44"/>
      <c r="D74" s="44"/>
      <c r="E74" s="51"/>
      <c r="F74" s="51"/>
    </row>
    <row r="75" spans="2:6" ht="16.5" customHeight="1">
      <c r="B75" s="44"/>
      <c r="C75" s="44"/>
      <c r="D75" s="44"/>
      <c r="E75" s="51"/>
      <c r="F75" s="51"/>
    </row>
    <row r="76" spans="2:6" ht="16.5" customHeight="1">
      <c r="B76" s="44"/>
      <c r="C76" s="44"/>
      <c r="D76" s="44"/>
      <c r="E76" s="51"/>
      <c r="F76" s="51"/>
    </row>
    <row r="77" spans="2:6" ht="16.5" customHeight="1">
      <c r="B77" s="44"/>
      <c r="C77" s="44"/>
      <c r="D77" s="44"/>
      <c r="E77" s="51"/>
      <c r="F77" s="51"/>
    </row>
    <row r="78" spans="2:6" ht="16.5" customHeight="1">
      <c r="B78" s="44"/>
      <c r="C78" s="44"/>
      <c r="D78" s="44"/>
      <c r="E78" s="51"/>
      <c r="F78" s="51"/>
    </row>
    <row r="79" spans="2:6" ht="16.5" customHeight="1">
      <c r="B79" s="44"/>
      <c r="C79" s="44"/>
      <c r="D79" s="44"/>
      <c r="E79" s="51"/>
      <c r="F79" s="51"/>
    </row>
    <row r="80" spans="2:6" ht="16.5" customHeight="1">
      <c r="B80" s="44"/>
      <c r="C80" s="44"/>
      <c r="D80" s="44"/>
      <c r="E80" s="51"/>
      <c r="F80" s="51"/>
    </row>
    <row r="81" spans="2:6" ht="16.5" customHeight="1">
      <c r="B81" s="44"/>
      <c r="C81" s="44"/>
      <c r="D81" s="44"/>
      <c r="E81" s="51"/>
      <c r="F81" s="51"/>
    </row>
    <row r="82" spans="2:6" ht="16.5" customHeight="1">
      <c r="B82" s="44"/>
      <c r="C82" s="44"/>
      <c r="D82" s="44"/>
      <c r="E82" s="51"/>
      <c r="F82" s="51"/>
    </row>
    <row r="83" spans="2:6" ht="16.5" customHeight="1">
      <c r="B83" s="44"/>
      <c r="C83" s="44"/>
      <c r="D83" s="44"/>
      <c r="E83" s="51"/>
      <c r="F83" s="51"/>
    </row>
    <row r="84" spans="2:6" ht="16.5" customHeight="1">
      <c r="B84" s="44"/>
      <c r="C84" s="44"/>
      <c r="D84" s="44"/>
      <c r="E84" s="51"/>
      <c r="F84" s="51"/>
    </row>
    <row r="85" spans="2:6" ht="16.5" customHeight="1">
      <c r="B85" s="44"/>
      <c r="C85" s="44"/>
      <c r="D85" s="44"/>
      <c r="E85" s="51"/>
      <c r="F85" s="51"/>
    </row>
    <row r="86" spans="2:6" ht="16.5" customHeight="1">
      <c r="B86" s="44"/>
      <c r="C86" s="44"/>
      <c r="D86" s="44"/>
      <c r="E86" s="51"/>
      <c r="F86" s="51"/>
    </row>
    <row r="87" spans="2:6" ht="16.5" customHeight="1">
      <c r="B87" s="44"/>
      <c r="C87" s="44"/>
      <c r="D87" s="44"/>
      <c r="E87" s="51"/>
      <c r="F87" s="51"/>
    </row>
  </sheetData>
  <autoFilter ref="A2:F5" xr:uid="{00000000-0009-0000-0000-000005000000}"/>
  <mergeCells count="1">
    <mergeCell ref="A1:F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94EC-4024-4CBC-ACC4-796CC9259946}">
  <sheetPr codeName="Sheet13">
    <tabColor theme="0"/>
  </sheetPr>
  <dimension ref="A1:H307"/>
  <sheetViews>
    <sheetView showGridLines="0" workbookViewId="0">
      <pane ySplit="3" topLeftCell="A4" activePane="bottomLeft" state="frozen"/>
      <selection sqref="A1:F1"/>
      <selection pane="bottomLeft" sqref="A1:F1"/>
    </sheetView>
  </sheetViews>
  <sheetFormatPr defaultRowHeight="15"/>
  <cols>
    <col min="1" max="1" width="14.5703125" hidden="1" customWidth="1"/>
    <col min="2" max="2" width="41.42578125" bestFit="1" customWidth="1"/>
    <col min="4" max="4" width="5.5703125" bestFit="1" customWidth="1"/>
    <col min="6" max="6" width="11.7109375" bestFit="1" customWidth="1"/>
  </cols>
  <sheetData>
    <row r="1" spans="1:6" ht="18.75" customHeight="1">
      <c r="A1" s="82" t="s">
        <v>0</v>
      </c>
      <c r="B1" s="83"/>
      <c r="C1" s="83"/>
      <c r="D1" s="83"/>
      <c r="E1" s="83"/>
      <c r="F1" s="83"/>
    </row>
    <row r="2" spans="1:6">
      <c r="A2" s="2" t="s">
        <v>1</v>
      </c>
      <c r="B2" s="1" t="s">
        <v>2</v>
      </c>
      <c r="C2" s="1" t="s">
        <v>3</v>
      </c>
      <c r="D2" s="1" t="s">
        <v>4</v>
      </c>
      <c r="E2" s="1" t="s">
        <v>46</v>
      </c>
      <c r="F2" s="1" t="s">
        <v>47</v>
      </c>
    </row>
    <row r="3" spans="1:6">
      <c r="A3" s="3" t="s">
        <v>5</v>
      </c>
      <c r="B3" s="5" t="s">
        <v>5</v>
      </c>
      <c r="C3" s="4"/>
      <c r="D3" s="8">
        <f>SUM(D4:D500)</f>
        <v>38</v>
      </c>
      <c r="E3" s="8"/>
      <c r="F3" s="16">
        <f>SUM(F4:F500)</f>
        <v>337736.39999999997</v>
      </c>
    </row>
    <row r="4" spans="1:6" s="54" customFormat="1" ht="16.5" customHeight="1">
      <c r="A4" s="3"/>
      <c r="B4" s="6" t="s">
        <v>62</v>
      </c>
      <c r="C4" s="6" t="s">
        <v>61</v>
      </c>
      <c r="D4" s="7">
        <v>38</v>
      </c>
      <c r="E4" s="7">
        <v>8887.7999999999993</v>
      </c>
      <c r="F4" s="7">
        <f>+D4*E4</f>
        <v>337736.39999999997</v>
      </c>
    </row>
    <row r="5" spans="1:6" s="54" customFormat="1" ht="16.5" customHeight="1">
      <c r="A5" s="3"/>
      <c r="B5" s="6" t="s">
        <v>59</v>
      </c>
      <c r="C5" s="6" t="s">
        <v>60</v>
      </c>
      <c r="D5" s="7">
        <v>0</v>
      </c>
      <c r="E5" s="7">
        <v>9128.4</v>
      </c>
      <c r="F5" s="7">
        <f>+D5*E5</f>
        <v>0</v>
      </c>
    </row>
    <row r="6" spans="1:6" s="54" customFormat="1" ht="16.5" customHeight="1">
      <c r="A6" s="3"/>
      <c r="B6" s="6"/>
      <c r="C6" s="6"/>
      <c r="D6" s="7"/>
      <c r="E6" s="7"/>
      <c r="F6" s="7"/>
    </row>
    <row r="7" spans="1:6" s="54" customFormat="1" ht="16.5" customHeight="1">
      <c r="A7" s="3"/>
      <c r="B7" s="6"/>
      <c r="C7" s="6"/>
      <c r="D7" s="7"/>
      <c r="E7" s="7"/>
      <c r="F7" s="7"/>
    </row>
    <row r="8" spans="1:6" s="54" customFormat="1" ht="16.5" customHeight="1">
      <c r="A8" s="3"/>
      <c r="B8" s="6"/>
      <c r="C8" s="6"/>
      <c r="D8" s="7"/>
      <c r="E8" s="7"/>
      <c r="F8" s="7"/>
    </row>
    <row r="9" spans="1:6" s="54" customFormat="1" ht="16.5" customHeight="1">
      <c r="A9" s="3"/>
      <c r="B9" s="6"/>
      <c r="C9" s="6"/>
      <c r="D9" s="7"/>
      <c r="E9" s="7"/>
      <c r="F9" s="7"/>
    </row>
    <row r="10" spans="1:6" s="54" customFormat="1" ht="16.5" customHeight="1">
      <c r="A10" s="3"/>
      <c r="B10" s="6"/>
      <c r="C10" s="6"/>
      <c r="D10" s="7"/>
      <c r="E10" s="7"/>
      <c r="F10" s="7"/>
    </row>
    <row r="11" spans="1:6" s="54" customFormat="1" ht="16.5" customHeight="1">
      <c r="A11" s="3"/>
      <c r="B11" s="6"/>
      <c r="C11" s="6"/>
      <c r="D11" s="7"/>
      <c r="E11" s="7"/>
      <c r="F11" s="7"/>
    </row>
    <row r="12" spans="1:6" s="54" customFormat="1" ht="16.5" customHeight="1">
      <c r="A12" s="3"/>
      <c r="B12" s="6"/>
      <c r="C12" s="6"/>
      <c r="D12" s="7"/>
      <c r="E12" s="7"/>
      <c r="F12" s="7"/>
    </row>
    <row r="13" spans="1:6" s="54" customFormat="1" ht="16.5" customHeight="1">
      <c r="A13" s="3"/>
      <c r="B13" s="6"/>
      <c r="C13" s="6"/>
      <c r="D13" s="7"/>
      <c r="E13" s="7"/>
      <c r="F13" s="7"/>
    </row>
    <row r="14" spans="1:6" s="54" customFormat="1" ht="16.5" customHeight="1">
      <c r="A14" s="3"/>
      <c r="B14" s="6"/>
      <c r="C14" s="6"/>
      <c r="D14" s="7"/>
      <c r="E14" s="7"/>
      <c r="F14" s="7"/>
    </row>
    <row r="15" spans="1:6" s="54" customFormat="1" ht="16.5" customHeight="1">
      <c r="A15" s="3"/>
      <c r="B15" s="6"/>
      <c r="C15" s="6"/>
      <c r="D15" s="7"/>
      <c r="E15" s="7"/>
      <c r="F15" s="7"/>
    </row>
    <row r="16" spans="1:6" s="54" customFormat="1" ht="16.5" customHeight="1">
      <c r="A16" s="3"/>
      <c r="B16" s="6"/>
      <c r="C16" s="6"/>
      <c r="D16" s="7"/>
      <c r="E16" s="7"/>
      <c r="F16" s="7"/>
    </row>
    <row r="17" spans="1:8" s="54" customFormat="1" ht="16.5" customHeight="1">
      <c r="A17" s="3"/>
      <c r="B17" s="6"/>
      <c r="C17" s="6"/>
      <c r="D17" s="7"/>
      <c r="E17" s="7"/>
      <c r="F17" s="7"/>
    </row>
    <row r="18" spans="1:8" s="54" customFormat="1" ht="16.5" customHeight="1">
      <c r="A18" s="3"/>
      <c r="B18" s="6"/>
      <c r="C18" s="6"/>
      <c r="D18" s="7"/>
      <c r="E18" s="7"/>
      <c r="F18" s="7"/>
    </row>
    <row r="19" spans="1:8" s="54" customFormat="1" ht="16.5" customHeight="1">
      <c r="A19" s="3"/>
      <c r="B19" s="6"/>
      <c r="C19" s="6"/>
      <c r="D19" s="7"/>
      <c r="E19" s="7"/>
      <c r="F19" s="7"/>
    </row>
    <row r="20" spans="1:8" s="54" customFormat="1" ht="16.5" customHeight="1">
      <c r="A20" s="3"/>
      <c r="B20" s="6"/>
      <c r="C20" s="6"/>
      <c r="D20" s="7"/>
      <c r="E20" s="7"/>
      <c r="F20" s="7"/>
    </row>
    <row r="21" spans="1:8" s="54" customFormat="1" ht="16.5" customHeight="1">
      <c r="B21" s="6"/>
      <c r="C21" s="6"/>
      <c r="D21" s="7"/>
      <c r="E21" s="7"/>
      <c r="F21" s="7"/>
    </row>
    <row r="22" spans="1:8" s="54" customFormat="1" ht="16.5" customHeight="1">
      <c r="B22" s="6"/>
      <c r="C22" s="6"/>
      <c r="D22" s="7"/>
      <c r="E22" s="7"/>
      <c r="F22" s="7"/>
    </row>
    <row r="23" spans="1:8" s="54" customFormat="1" ht="16.5" customHeight="1">
      <c r="B23" s="6"/>
      <c r="C23" s="6"/>
      <c r="D23" s="7"/>
      <c r="E23" s="7"/>
      <c r="F23" s="7"/>
    </row>
    <row r="24" spans="1:8" s="54" customFormat="1" ht="16.5" customHeight="1">
      <c r="B24" s="6"/>
      <c r="C24" s="6"/>
      <c r="D24" s="7"/>
      <c r="E24" s="7"/>
      <c r="F24" s="7"/>
    </row>
    <row r="25" spans="1:8" s="54" customFormat="1" ht="16.5" customHeight="1">
      <c r="B25" s="6"/>
      <c r="C25" s="6"/>
      <c r="D25" s="7"/>
      <c r="E25" s="7"/>
      <c r="F25" s="7"/>
      <c r="H25" s="54" t="s">
        <v>124</v>
      </c>
    </row>
    <row r="26" spans="1:8" s="54" customFormat="1" ht="16.5" customHeight="1">
      <c r="B26" s="6"/>
      <c r="C26" s="6"/>
      <c r="D26" s="7"/>
      <c r="E26" s="7"/>
      <c r="F26" s="7"/>
      <c r="H26" s="54" t="s">
        <v>124</v>
      </c>
    </row>
    <row r="27" spans="1:8" s="54" customFormat="1" ht="16.5" customHeight="1">
      <c r="B27" s="6"/>
      <c r="C27" s="6"/>
      <c r="D27" s="7"/>
      <c r="E27" s="7"/>
      <c r="F27" s="7"/>
      <c r="H27" s="54" t="s">
        <v>124</v>
      </c>
    </row>
    <row r="28" spans="1:8" s="54" customFormat="1" ht="16.5" customHeight="1">
      <c r="B28" s="42"/>
      <c r="C28" s="45"/>
      <c r="D28" s="43"/>
      <c r="E28" s="43"/>
      <c r="F28" s="43"/>
      <c r="G28"/>
    </row>
    <row r="29" spans="1:8" s="54" customFormat="1" ht="16.5" customHeight="1">
      <c r="B29" s="6"/>
      <c r="C29" s="6"/>
      <c r="D29" s="7"/>
      <c r="E29" s="7"/>
      <c r="F29" s="7"/>
    </row>
    <row r="30" spans="1:8" s="54" customFormat="1" ht="16.5" customHeight="1">
      <c r="B30" s="6"/>
      <c r="C30" s="6"/>
      <c r="D30" s="7"/>
      <c r="E30" s="7"/>
      <c r="F30" s="7"/>
    </row>
    <row r="31" spans="1:8" s="54" customFormat="1" ht="16.5" customHeight="1">
      <c r="B31" s="6"/>
      <c r="C31" s="6"/>
      <c r="D31" s="7"/>
      <c r="E31" s="7"/>
      <c r="F31" s="7"/>
    </row>
    <row r="32" spans="1:8" s="54" customFormat="1" ht="16.5" customHeight="1">
      <c r="B32" s="6"/>
      <c r="C32" s="6"/>
      <c r="D32" s="7"/>
      <c r="E32" s="7"/>
      <c r="F32" s="7"/>
      <c r="H32" s="54" t="s">
        <v>124</v>
      </c>
    </row>
    <row r="33" spans="2:8" s="54" customFormat="1" ht="16.5" customHeight="1">
      <c r="B33" s="6"/>
      <c r="C33" s="6"/>
      <c r="D33" s="7"/>
      <c r="E33" s="7"/>
      <c r="F33" s="7"/>
      <c r="H33" s="54" t="s">
        <v>124</v>
      </c>
    </row>
    <row r="34" spans="2:8" s="54" customFormat="1" ht="16.5" customHeight="1">
      <c r="B34" s="6"/>
      <c r="C34" s="6"/>
      <c r="D34" s="7"/>
      <c r="E34" s="7"/>
      <c r="F34" s="7"/>
      <c r="H34" s="54" t="s">
        <v>124</v>
      </c>
    </row>
    <row r="35" spans="2:8" s="54" customFormat="1" ht="16.5" customHeight="1">
      <c r="B35" s="6"/>
      <c r="C35" s="6"/>
      <c r="D35" s="7"/>
      <c r="E35" s="7"/>
      <c r="F35" s="7"/>
      <c r="H35" s="54" t="s">
        <v>124</v>
      </c>
    </row>
    <row r="36" spans="2:8" s="54" customFormat="1" ht="16.5" customHeight="1">
      <c r="B36" s="6"/>
      <c r="C36" s="6"/>
      <c r="D36" s="7"/>
      <c r="E36" s="7"/>
      <c r="F36" s="7"/>
    </row>
    <row r="37" spans="2:8" s="54" customFormat="1" ht="16.5" customHeight="1">
      <c r="B37" s="6"/>
      <c r="C37" s="6"/>
      <c r="D37" s="7"/>
      <c r="E37" s="7"/>
      <c r="F37" s="7"/>
    </row>
    <row r="38" spans="2:8" s="54" customFormat="1" ht="16.5" customHeight="1">
      <c r="B38" s="6"/>
      <c r="C38" s="6"/>
      <c r="D38" s="7"/>
      <c r="E38" s="7"/>
      <c r="F38" s="7"/>
    </row>
    <row r="39" spans="2:8" s="54" customFormat="1" ht="16.5" customHeight="1">
      <c r="B39" s="6"/>
      <c r="C39" s="6"/>
      <c r="D39" s="7"/>
      <c r="E39" s="7"/>
      <c r="F39" s="7"/>
    </row>
    <row r="40" spans="2:8" s="54" customFormat="1" ht="16.5" customHeight="1">
      <c r="B40" s="6"/>
      <c r="C40" s="6"/>
      <c r="D40" s="7"/>
      <c r="E40" s="7"/>
      <c r="F40" s="7"/>
    </row>
    <row r="41" spans="2:8" s="54" customFormat="1" ht="16.5" customHeight="1">
      <c r="B41" s="6"/>
      <c r="C41" s="6"/>
      <c r="D41" s="7"/>
      <c r="E41" s="7"/>
      <c r="F41" s="7"/>
    </row>
    <row r="42" spans="2:8" s="54" customFormat="1" ht="16.5" customHeight="1">
      <c r="B42" s="6"/>
      <c r="C42" s="6"/>
      <c r="D42" s="7"/>
      <c r="E42" s="7"/>
      <c r="F42" s="7"/>
    </row>
    <row r="43" spans="2:8" s="54" customFormat="1" ht="16.5" customHeight="1">
      <c r="B43" s="6"/>
      <c r="C43" s="6"/>
      <c r="D43" s="7"/>
      <c r="E43" s="7"/>
      <c r="F43" s="7"/>
    </row>
    <row r="44" spans="2:8" s="54" customFormat="1" ht="16.5" customHeight="1">
      <c r="B44" s="49"/>
      <c r="C44" s="49"/>
      <c r="D44" s="50"/>
      <c r="E44" s="50"/>
      <c r="F44" s="50"/>
    </row>
    <row r="45" spans="2:8" s="54" customFormat="1" ht="16.5" customHeight="1">
      <c r="B45" s="44"/>
      <c r="C45" s="44"/>
      <c r="D45" s="44"/>
      <c r="E45" s="44"/>
      <c r="F45" s="44"/>
    </row>
    <row r="46" spans="2:8" s="54" customFormat="1" ht="16.5" customHeight="1">
      <c r="B46" s="44"/>
      <c r="C46" s="44"/>
      <c r="D46" s="44"/>
      <c r="E46" s="44"/>
      <c r="F46" s="44"/>
    </row>
    <row r="47" spans="2:8" s="54" customFormat="1" ht="16.5" customHeight="1">
      <c r="B47" s="44"/>
      <c r="C47" s="44"/>
      <c r="D47" s="44"/>
      <c r="E47" s="44"/>
      <c r="F47" s="44"/>
    </row>
    <row r="48" spans="2:8" s="54" customFormat="1" ht="16.5" customHeight="1">
      <c r="B48" s="44"/>
      <c r="C48" s="44"/>
      <c r="D48" s="44"/>
      <c r="E48" s="44"/>
      <c r="F48" s="44"/>
    </row>
    <row r="49" spans="2:6" s="54" customFormat="1" ht="16.5" customHeight="1">
      <c r="B49" s="44"/>
      <c r="C49" s="44"/>
      <c r="D49" s="44"/>
      <c r="E49" s="44"/>
      <c r="F49" s="44"/>
    </row>
    <row r="50" spans="2:6" s="54" customFormat="1" ht="16.5" customHeight="1">
      <c r="B50" s="44"/>
      <c r="C50" s="44"/>
      <c r="D50" s="44"/>
      <c r="E50" s="44"/>
      <c r="F50" s="44"/>
    </row>
    <row r="51" spans="2:6" s="54" customFormat="1" ht="16.5" customHeight="1">
      <c r="B51" s="44"/>
      <c r="C51" s="44"/>
      <c r="D51" s="44"/>
      <c r="E51" s="44"/>
      <c r="F51" s="44"/>
    </row>
    <row r="52" spans="2:6" s="54" customFormat="1" ht="16.5" customHeight="1">
      <c r="B52" s="44"/>
      <c r="C52" s="44"/>
      <c r="D52" s="44"/>
      <c r="E52" s="44"/>
      <c r="F52" s="44"/>
    </row>
    <row r="53" spans="2:6" s="54" customFormat="1" ht="16.5" customHeight="1">
      <c r="B53" s="44"/>
      <c r="C53" s="44"/>
      <c r="D53" s="44"/>
      <c r="E53" s="44"/>
      <c r="F53" s="44"/>
    </row>
    <row r="54" spans="2:6" s="54" customFormat="1" ht="16.5" customHeight="1">
      <c r="B54" s="44"/>
      <c r="C54" s="44"/>
      <c r="D54" s="44"/>
      <c r="E54" s="44"/>
      <c r="F54" s="44"/>
    </row>
    <row r="55" spans="2:6" s="54" customFormat="1" ht="16.5" customHeight="1">
      <c r="B55" s="44"/>
      <c r="C55" s="44"/>
      <c r="D55" s="44"/>
      <c r="E55" s="44"/>
      <c r="F55" s="44"/>
    </row>
    <row r="56" spans="2:6" s="54" customFormat="1" ht="16.5" customHeight="1">
      <c r="B56" s="44"/>
      <c r="C56" s="44"/>
      <c r="D56" s="44"/>
      <c r="E56" s="44"/>
      <c r="F56" s="44"/>
    </row>
    <row r="57" spans="2:6" s="54" customFormat="1" ht="16.5" customHeight="1">
      <c r="B57" s="44"/>
      <c r="C57" s="44"/>
      <c r="D57" s="44"/>
      <c r="E57" s="44"/>
      <c r="F57" s="44"/>
    </row>
    <row r="58" spans="2:6" s="54" customFormat="1" ht="16.5" customHeight="1">
      <c r="B58" s="44"/>
      <c r="C58" s="44"/>
      <c r="D58" s="44"/>
      <c r="E58" s="44"/>
      <c r="F58" s="44"/>
    </row>
    <row r="59" spans="2:6" s="54" customFormat="1" ht="16.5" customHeight="1">
      <c r="B59" s="44"/>
      <c r="C59" s="44"/>
      <c r="D59" s="44"/>
      <c r="E59" s="44"/>
      <c r="F59" s="44"/>
    </row>
    <row r="60" spans="2:6" s="54" customFormat="1" ht="16.5" customHeight="1">
      <c r="B60" s="44"/>
      <c r="C60" s="44"/>
      <c r="D60" s="44"/>
      <c r="E60" s="44"/>
      <c r="F60" s="44"/>
    </row>
    <row r="61" spans="2:6" s="54" customFormat="1" ht="16.5" customHeight="1">
      <c r="B61" s="44"/>
      <c r="C61" s="44"/>
      <c r="D61" s="44"/>
      <c r="E61" s="44"/>
      <c r="F61" s="44"/>
    </row>
    <row r="62" spans="2:6" s="54" customFormat="1" ht="16.5" customHeight="1">
      <c r="B62" s="44"/>
      <c r="C62" s="44"/>
      <c r="D62" s="44"/>
      <c r="E62" s="44"/>
      <c r="F62" s="44"/>
    </row>
    <row r="63" spans="2:6" s="54" customFormat="1" ht="16.5" customHeight="1">
      <c r="B63" s="44"/>
      <c r="C63" s="44"/>
      <c r="D63" s="44"/>
      <c r="E63" s="44"/>
      <c r="F63" s="44"/>
    </row>
    <row r="64" spans="2:6" s="54" customFormat="1" ht="16.5" customHeight="1">
      <c r="B64" s="44"/>
      <c r="C64" s="44"/>
      <c r="D64" s="44"/>
      <c r="E64" s="44"/>
      <c r="F64" s="44"/>
    </row>
    <row r="65" spans="2:6" s="54" customFormat="1" ht="16.5" customHeight="1">
      <c r="B65" s="44"/>
      <c r="C65" s="44"/>
      <c r="D65" s="44"/>
      <c r="E65" s="44"/>
      <c r="F65" s="44"/>
    </row>
    <row r="66" spans="2:6" s="54" customFormat="1" ht="16.5" customHeight="1">
      <c r="B66" s="44"/>
      <c r="C66" s="44"/>
      <c r="D66" s="44"/>
      <c r="E66" s="44"/>
      <c r="F66" s="44"/>
    </row>
    <row r="67" spans="2:6" s="54" customFormat="1" ht="16.5" customHeight="1">
      <c r="B67" s="44"/>
      <c r="C67" s="44"/>
      <c r="D67" s="44"/>
      <c r="E67" s="44"/>
      <c r="F67" s="44"/>
    </row>
    <row r="68" spans="2:6" s="54" customFormat="1" ht="16.5" customHeight="1">
      <c r="B68" s="44"/>
      <c r="C68" s="44"/>
      <c r="D68" s="44"/>
      <c r="E68" s="44"/>
      <c r="F68" s="44"/>
    </row>
    <row r="69" spans="2:6" s="54" customFormat="1" ht="16.5" customHeight="1">
      <c r="B69" s="44"/>
      <c r="C69" s="44"/>
      <c r="D69" s="44"/>
      <c r="E69" s="44"/>
      <c r="F69" s="44"/>
    </row>
    <row r="70" spans="2:6" s="54" customFormat="1" ht="16.5" customHeight="1">
      <c r="B70" s="44"/>
      <c r="C70" s="44"/>
      <c r="D70" s="44"/>
      <c r="E70" s="44"/>
      <c r="F70" s="44"/>
    </row>
    <row r="71" spans="2:6" s="54" customFormat="1" ht="16.5" customHeight="1">
      <c r="B71" s="44"/>
      <c r="C71" s="44"/>
      <c r="D71" s="44"/>
      <c r="E71" s="44"/>
      <c r="F71" s="44"/>
    </row>
    <row r="72" spans="2:6" s="54" customFormat="1" ht="16.5" customHeight="1">
      <c r="B72" s="44"/>
      <c r="C72" s="44"/>
      <c r="D72" s="44"/>
      <c r="E72" s="44"/>
      <c r="F72" s="44"/>
    </row>
    <row r="73" spans="2:6" s="54" customFormat="1" ht="16.5" customHeight="1">
      <c r="B73" s="44"/>
      <c r="C73" s="44"/>
      <c r="D73" s="44"/>
      <c r="E73" s="44"/>
      <c r="F73" s="44"/>
    </row>
    <row r="74" spans="2:6" s="54" customFormat="1" ht="16.5" customHeight="1">
      <c r="B74" s="44"/>
      <c r="C74" s="44"/>
      <c r="D74" s="44"/>
      <c r="E74" s="44"/>
      <c r="F74" s="44"/>
    </row>
    <row r="75" spans="2:6" s="54" customFormat="1" ht="16.5" customHeight="1">
      <c r="B75" s="44"/>
      <c r="C75" s="44"/>
      <c r="D75" s="44"/>
      <c r="E75" s="44"/>
      <c r="F75" s="44"/>
    </row>
    <row r="76" spans="2:6" s="54" customFormat="1" ht="16.5" customHeight="1">
      <c r="B76" s="44"/>
      <c r="C76" s="44"/>
      <c r="D76" s="44"/>
      <c r="E76" s="44"/>
      <c r="F76" s="44"/>
    </row>
    <row r="77" spans="2:6" s="54" customFormat="1" ht="16.5" customHeight="1">
      <c r="B77" s="44"/>
      <c r="C77" s="44"/>
      <c r="D77" s="44"/>
      <c r="E77" s="44"/>
      <c r="F77" s="44"/>
    </row>
    <row r="78" spans="2:6" s="54" customFormat="1" ht="16.5" customHeight="1">
      <c r="B78" s="44"/>
      <c r="C78" s="44"/>
      <c r="D78" s="44"/>
      <c r="E78" s="44"/>
      <c r="F78" s="44"/>
    </row>
    <row r="79" spans="2:6" s="54" customFormat="1" ht="16.5" customHeight="1">
      <c r="B79" s="44"/>
      <c r="C79" s="44"/>
      <c r="D79" s="44"/>
      <c r="E79" s="44"/>
      <c r="F79" s="44"/>
    </row>
    <row r="80" spans="2:6" s="54" customFormat="1" ht="16.5" customHeight="1">
      <c r="B80" s="44"/>
      <c r="C80" s="44"/>
      <c r="D80" s="44"/>
      <c r="E80" s="44"/>
      <c r="F80" s="44"/>
    </row>
    <row r="81" spans="2:6" s="54" customFormat="1" ht="16.5" customHeight="1">
      <c r="B81" s="44"/>
      <c r="C81" s="44"/>
      <c r="D81" s="44"/>
      <c r="E81" s="44"/>
      <c r="F81" s="44"/>
    </row>
    <row r="82" spans="2:6" s="54" customFormat="1" ht="16.5" customHeight="1">
      <c r="B82" s="44"/>
      <c r="C82" s="44"/>
      <c r="D82" s="44"/>
      <c r="E82" s="44"/>
      <c r="F82" s="44"/>
    </row>
    <row r="83" spans="2:6" s="54" customFormat="1" ht="16.5" customHeight="1">
      <c r="B83" s="44"/>
      <c r="C83" s="44"/>
      <c r="D83" s="44"/>
      <c r="E83" s="44"/>
      <c r="F83" s="44"/>
    </row>
    <row r="84" spans="2:6" s="54" customFormat="1" ht="16.5" customHeight="1">
      <c r="B84" s="44"/>
      <c r="C84" s="44"/>
      <c r="D84" s="44"/>
      <c r="E84" s="44"/>
      <c r="F84" s="44"/>
    </row>
    <row r="85" spans="2:6" s="54" customFormat="1" ht="16.5" customHeight="1">
      <c r="B85" s="44"/>
      <c r="C85" s="44"/>
      <c r="D85" s="44"/>
      <c r="E85" s="44"/>
      <c r="F85" s="44"/>
    </row>
    <row r="86" spans="2:6" s="54" customFormat="1" ht="16.5" customHeight="1">
      <c r="B86" s="44"/>
      <c r="C86" s="44"/>
      <c r="D86" s="44"/>
      <c r="E86" s="44"/>
      <c r="F86" s="44"/>
    </row>
    <row r="87" spans="2:6" s="54" customFormat="1" ht="16.5" customHeight="1">
      <c r="B87" s="44"/>
      <c r="C87" s="44"/>
      <c r="D87" s="44"/>
      <c r="E87" s="44"/>
      <c r="F87" s="44"/>
    </row>
    <row r="88" spans="2:6" s="54" customFormat="1" ht="16.5" customHeight="1">
      <c r="B88" s="44"/>
      <c r="C88" s="44"/>
      <c r="D88" s="44"/>
      <c r="E88" s="44"/>
      <c r="F88" s="44"/>
    </row>
    <row r="89" spans="2:6" s="54" customFormat="1" ht="16.5" customHeight="1">
      <c r="B89" s="44"/>
      <c r="C89" s="44"/>
      <c r="D89" s="44"/>
      <c r="E89" s="44"/>
      <c r="F89" s="44"/>
    </row>
    <row r="90" spans="2:6" s="54" customFormat="1" ht="16.5" customHeight="1">
      <c r="B90" s="44"/>
      <c r="C90" s="44"/>
      <c r="D90" s="44"/>
      <c r="E90" s="44"/>
      <c r="F90" s="44"/>
    </row>
    <row r="91" spans="2:6" s="54" customFormat="1" ht="16.5" customHeight="1">
      <c r="B91" s="44"/>
      <c r="C91" s="44"/>
      <c r="D91" s="44"/>
      <c r="E91" s="44"/>
      <c r="F91" s="44"/>
    </row>
    <row r="92" spans="2:6" s="54" customFormat="1" ht="16.5" customHeight="1">
      <c r="B92" s="44"/>
      <c r="C92" s="44"/>
      <c r="D92" s="44"/>
      <c r="E92" s="44"/>
      <c r="F92" s="44"/>
    </row>
    <row r="93" spans="2:6" s="54" customFormat="1" ht="16.5" customHeight="1">
      <c r="B93" s="44"/>
      <c r="C93" s="44"/>
      <c r="D93" s="44"/>
      <c r="E93" s="44"/>
      <c r="F93" s="44"/>
    </row>
    <row r="94" spans="2:6" s="54" customFormat="1" ht="16.5" customHeight="1">
      <c r="B94" s="44"/>
      <c r="C94" s="44"/>
      <c r="D94" s="44"/>
      <c r="E94" s="44"/>
      <c r="F94" s="44"/>
    </row>
    <row r="95" spans="2:6" s="54" customFormat="1" ht="16.5" customHeight="1">
      <c r="B95" s="44"/>
      <c r="C95" s="44"/>
      <c r="D95" s="44"/>
      <c r="E95" s="44"/>
      <c r="F95" s="44"/>
    </row>
    <row r="96" spans="2:6" s="54" customFormat="1" ht="16.5" customHeight="1">
      <c r="B96" s="44"/>
      <c r="C96" s="44"/>
      <c r="D96" s="44"/>
      <c r="E96" s="44"/>
      <c r="F96" s="44"/>
    </row>
    <row r="97" spans="2:6" s="54" customFormat="1" ht="16.5" customHeight="1">
      <c r="B97" s="44"/>
      <c r="C97" s="44"/>
      <c r="D97" s="44"/>
      <c r="E97" s="44"/>
      <c r="F97" s="44"/>
    </row>
    <row r="98" spans="2:6" s="54" customFormat="1" ht="16.5" customHeight="1">
      <c r="B98" s="44"/>
      <c r="C98" s="44"/>
      <c r="D98" s="44"/>
      <c r="E98" s="44"/>
      <c r="F98" s="44"/>
    </row>
    <row r="99" spans="2:6" s="54" customFormat="1" ht="16.5" customHeight="1">
      <c r="B99" s="44"/>
      <c r="C99" s="44"/>
      <c r="D99" s="44"/>
      <c r="E99" s="44"/>
      <c r="F99" s="44"/>
    </row>
    <row r="100" spans="2:6" s="54" customFormat="1" ht="16.5" customHeight="1">
      <c r="B100" s="44"/>
      <c r="C100" s="44"/>
      <c r="D100" s="44"/>
      <c r="E100" s="44"/>
      <c r="F100" s="44"/>
    </row>
    <row r="101" spans="2:6" s="54" customFormat="1" ht="16.5" customHeight="1">
      <c r="B101" s="44"/>
      <c r="C101" s="44"/>
      <c r="D101" s="44"/>
      <c r="E101" s="44"/>
      <c r="F101" s="44"/>
    </row>
    <row r="102" spans="2:6" s="54" customFormat="1" ht="16.5" customHeight="1">
      <c r="B102" s="44"/>
      <c r="C102" s="44"/>
      <c r="D102" s="44"/>
      <c r="E102" s="44"/>
      <c r="F102" s="44"/>
    </row>
    <row r="103" spans="2:6" s="54" customFormat="1" ht="16.5" customHeight="1">
      <c r="B103" s="44"/>
      <c r="C103" s="44"/>
      <c r="D103" s="44"/>
      <c r="E103" s="44"/>
      <c r="F103" s="44"/>
    </row>
    <row r="104" spans="2:6" s="54" customFormat="1" ht="16.5" customHeight="1">
      <c r="B104" s="44"/>
      <c r="C104" s="44"/>
      <c r="D104" s="44"/>
      <c r="E104" s="44"/>
      <c r="F104" s="44"/>
    </row>
    <row r="105" spans="2:6" s="54" customFormat="1" ht="16.5" customHeight="1">
      <c r="B105" s="44"/>
      <c r="C105" s="44"/>
      <c r="D105" s="44"/>
      <c r="E105" s="44"/>
      <c r="F105" s="44"/>
    </row>
    <row r="106" spans="2:6" s="54" customFormat="1" ht="16.5" customHeight="1">
      <c r="B106" s="44"/>
      <c r="C106" s="44"/>
      <c r="D106" s="44"/>
      <c r="E106" s="44"/>
      <c r="F106" s="44"/>
    </row>
    <row r="107" spans="2:6" s="54" customFormat="1" ht="16.5" customHeight="1">
      <c r="B107" s="44"/>
      <c r="C107" s="44"/>
      <c r="D107" s="44"/>
      <c r="E107" s="44"/>
      <c r="F107" s="44"/>
    </row>
    <row r="108" spans="2:6" s="54" customFormat="1" ht="16.5" customHeight="1">
      <c r="B108" s="44"/>
      <c r="C108" s="44"/>
      <c r="D108" s="44"/>
      <c r="E108" s="44"/>
      <c r="F108" s="44"/>
    </row>
    <row r="109" spans="2:6" s="54" customFormat="1" ht="16.5" customHeight="1">
      <c r="B109" s="44"/>
      <c r="C109" s="44"/>
      <c r="D109" s="44"/>
      <c r="E109" s="44"/>
      <c r="F109" s="44"/>
    </row>
    <row r="110" spans="2:6" s="54" customFormat="1" ht="16.5" customHeight="1">
      <c r="B110" s="44"/>
      <c r="C110" s="44"/>
      <c r="D110" s="44"/>
      <c r="E110" s="44"/>
      <c r="F110" s="44"/>
    </row>
    <row r="111" spans="2:6" s="54" customFormat="1" ht="16.5" customHeight="1">
      <c r="B111" s="44"/>
      <c r="C111" s="44"/>
      <c r="D111" s="44"/>
      <c r="E111" s="44"/>
      <c r="F111" s="44"/>
    </row>
    <row r="112" spans="2:6" s="54" customFormat="1" ht="16.5" customHeight="1">
      <c r="B112" s="44"/>
      <c r="C112" s="44"/>
      <c r="D112" s="44"/>
      <c r="E112" s="44"/>
      <c r="F112" s="44"/>
    </row>
    <row r="113" spans="2:6" s="54" customFormat="1" ht="16.5" customHeight="1">
      <c r="B113" s="44"/>
      <c r="C113" s="44"/>
      <c r="D113" s="44"/>
      <c r="E113" s="44"/>
      <c r="F113" s="44"/>
    </row>
    <row r="114" spans="2:6" s="54" customFormat="1" ht="16.5" customHeight="1">
      <c r="B114" s="44"/>
      <c r="C114" s="44"/>
      <c r="D114" s="44"/>
      <c r="E114" s="44"/>
      <c r="F114" s="44"/>
    </row>
    <row r="115" spans="2:6" s="54" customFormat="1" ht="16.5" customHeight="1">
      <c r="B115" s="44"/>
      <c r="C115" s="44"/>
      <c r="D115" s="44"/>
      <c r="E115" s="44"/>
      <c r="F115" s="44"/>
    </row>
    <row r="116" spans="2:6" s="54" customFormat="1" ht="16.5" customHeight="1">
      <c r="B116" s="44"/>
      <c r="C116" s="44"/>
      <c r="D116" s="44"/>
      <c r="E116" s="44"/>
      <c r="F116" s="44"/>
    </row>
    <row r="117" spans="2:6" s="54" customFormat="1" ht="16.5" customHeight="1">
      <c r="B117" s="44"/>
      <c r="C117" s="44"/>
      <c r="D117" s="44"/>
      <c r="E117" s="44"/>
      <c r="F117" s="44"/>
    </row>
    <row r="118" spans="2:6" s="54" customFormat="1" ht="16.5" customHeight="1">
      <c r="B118" s="44"/>
      <c r="C118" s="44"/>
      <c r="D118" s="44"/>
      <c r="E118" s="44"/>
      <c r="F118" s="44"/>
    </row>
    <row r="119" spans="2:6" s="54" customFormat="1" ht="16.5" customHeight="1">
      <c r="B119" s="44"/>
      <c r="C119" s="44"/>
      <c r="D119" s="44"/>
      <c r="E119" s="44"/>
      <c r="F119" s="44"/>
    </row>
    <row r="120" spans="2:6" s="54" customFormat="1" ht="16.5" customHeight="1">
      <c r="B120" s="44"/>
      <c r="C120" s="44"/>
      <c r="D120" s="44"/>
      <c r="E120" s="44"/>
      <c r="F120" s="44"/>
    </row>
    <row r="121" spans="2:6" s="54" customFormat="1" ht="16.5" customHeight="1">
      <c r="B121" s="44"/>
      <c r="C121" s="44"/>
      <c r="D121" s="44"/>
      <c r="E121" s="44"/>
      <c r="F121" s="44"/>
    </row>
    <row r="122" spans="2:6" s="54" customFormat="1" ht="16.5" customHeight="1">
      <c r="B122" s="44"/>
      <c r="C122" s="44"/>
      <c r="D122" s="44"/>
      <c r="E122" s="44"/>
      <c r="F122" s="44"/>
    </row>
    <row r="123" spans="2:6" s="54" customFormat="1" ht="16.5" customHeight="1">
      <c r="B123" s="44"/>
      <c r="C123" s="44"/>
      <c r="D123" s="44"/>
      <c r="E123" s="44"/>
      <c r="F123" s="44"/>
    </row>
    <row r="124" spans="2:6" s="54" customFormat="1" ht="16.5" customHeight="1">
      <c r="B124" s="44"/>
      <c r="C124" s="44"/>
      <c r="D124" s="44"/>
      <c r="E124" s="44"/>
      <c r="F124" s="44"/>
    </row>
    <row r="125" spans="2:6" s="54" customFormat="1" ht="16.5" customHeight="1">
      <c r="B125" s="44"/>
      <c r="C125" s="44"/>
      <c r="D125" s="44"/>
      <c r="E125" s="44"/>
      <c r="F125" s="44"/>
    </row>
    <row r="126" spans="2:6" s="54" customFormat="1" ht="16.5" customHeight="1">
      <c r="B126" s="44"/>
      <c r="C126" s="44"/>
      <c r="D126" s="44"/>
      <c r="E126" s="44"/>
      <c r="F126" s="44"/>
    </row>
    <row r="127" spans="2:6" s="54" customFormat="1" ht="16.5" customHeight="1">
      <c r="B127" s="44"/>
      <c r="C127" s="44"/>
      <c r="D127" s="44"/>
      <c r="E127" s="44"/>
      <c r="F127" s="44"/>
    </row>
    <row r="128" spans="2:6" s="54" customFormat="1" ht="16.5" customHeight="1">
      <c r="B128" s="44"/>
      <c r="C128" s="44"/>
      <c r="D128" s="44"/>
      <c r="E128" s="44"/>
      <c r="F128" s="44"/>
    </row>
    <row r="129" spans="2:6" s="54" customFormat="1" ht="16.5" customHeight="1">
      <c r="B129" s="44"/>
      <c r="C129" s="44"/>
      <c r="D129" s="44"/>
      <c r="E129" s="44"/>
      <c r="F129" s="44"/>
    </row>
    <row r="130" spans="2:6" s="54" customFormat="1" ht="16.5" customHeight="1">
      <c r="B130" s="44"/>
      <c r="C130" s="44"/>
      <c r="D130" s="44"/>
      <c r="E130" s="44"/>
      <c r="F130" s="44"/>
    </row>
    <row r="131" spans="2:6" s="54" customFormat="1" ht="16.5" customHeight="1">
      <c r="B131" s="44"/>
      <c r="C131" s="44"/>
      <c r="D131" s="44"/>
      <c r="E131" s="44"/>
      <c r="F131" s="44"/>
    </row>
    <row r="132" spans="2:6" s="54" customFormat="1" ht="16.5" customHeight="1">
      <c r="B132" s="44"/>
      <c r="C132" s="44"/>
      <c r="D132" s="44"/>
      <c r="E132" s="44"/>
      <c r="F132" s="44"/>
    </row>
    <row r="133" spans="2:6" s="54" customFormat="1" ht="16.5" customHeight="1">
      <c r="B133" s="44"/>
      <c r="C133" s="44"/>
      <c r="D133" s="44"/>
      <c r="E133" s="44"/>
      <c r="F133" s="44"/>
    </row>
    <row r="134" spans="2:6" s="54" customFormat="1" ht="16.5" customHeight="1">
      <c r="B134" s="44"/>
      <c r="C134" s="44"/>
      <c r="D134" s="44"/>
      <c r="E134" s="44"/>
      <c r="F134" s="44"/>
    </row>
    <row r="135" spans="2:6" s="54" customFormat="1" ht="16.5" customHeight="1">
      <c r="B135" s="44"/>
      <c r="C135" s="44"/>
      <c r="D135" s="44"/>
      <c r="E135" s="44"/>
      <c r="F135" s="44"/>
    </row>
    <row r="136" spans="2:6" s="54" customFormat="1" ht="16.5" customHeight="1">
      <c r="B136" s="44"/>
      <c r="C136" s="44"/>
      <c r="D136" s="44"/>
      <c r="E136" s="44"/>
      <c r="F136" s="44"/>
    </row>
    <row r="137" spans="2:6" s="54" customFormat="1" ht="16.5" customHeight="1">
      <c r="B137" s="44"/>
      <c r="C137" s="44"/>
      <c r="D137" s="44"/>
      <c r="E137" s="44"/>
      <c r="F137" s="44"/>
    </row>
    <row r="138" spans="2:6" s="54" customFormat="1" ht="16.5" customHeight="1">
      <c r="B138" s="44"/>
      <c r="C138" s="44"/>
      <c r="D138" s="44"/>
      <c r="E138" s="44"/>
      <c r="F138" s="44"/>
    </row>
    <row r="139" spans="2:6" s="54" customFormat="1" ht="16.5" customHeight="1">
      <c r="B139" s="44"/>
      <c r="C139" s="44"/>
      <c r="D139" s="44"/>
      <c r="E139" s="44"/>
      <c r="F139" s="44"/>
    </row>
    <row r="140" spans="2:6" s="54" customFormat="1" ht="16.5" customHeight="1">
      <c r="B140" s="44"/>
      <c r="C140" s="44"/>
      <c r="D140" s="44"/>
      <c r="E140" s="44"/>
      <c r="F140" s="44"/>
    </row>
    <row r="141" spans="2:6" s="54" customFormat="1" ht="16.5" customHeight="1">
      <c r="B141" s="44"/>
      <c r="C141" s="44"/>
      <c r="D141" s="44"/>
      <c r="E141" s="44"/>
      <c r="F141" s="44"/>
    </row>
    <row r="142" spans="2:6" s="54" customFormat="1" ht="16.5" customHeight="1">
      <c r="B142" s="44"/>
      <c r="C142" s="44"/>
      <c r="D142" s="44"/>
      <c r="E142" s="44"/>
      <c r="F142" s="44"/>
    </row>
    <row r="143" spans="2:6" s="54" customFormat="1" ht="16.5" customHeight="1">
      <c r="B143" s="44"/>
      <c r="C143" s="44"/>
      <c r="D143" s="44"/>
      <c r="E143" s="44"/>
      <c r="F143" s="44"/>
    </row>
    <row r="144" spans="2:6" s="54" customFormat="1" ht="16.5" customHeight="1">
      <c r="B144" s="44"/>
      <c r="C144" s="44"/>
      <c r="D144" s="44"/>
      <c r="E144" s="44"/>
      <c r="F144" s="44"/>
    </row>
    <row r="145" spans="2:6" s="54" customFormat="1" ht="16.5" customHeight="1">
      <c r="B145" s="44"/>
      <c r="C145" s="44"/>
      <c r="D145" s="44"/>
      <c r="E145" s="44"/>
      <c r="F145" s="44"/>
    </row>
    <row r="146" spans="2:6" s="54" customFormat="1" ht="16.5" customHeight="1">
      <c r="B146" s="44"/>
      <c r="C146" s="44"/>
      <c r="D146" s="44"/>
      <c r="E146" s="44"/>
      <c r="F146" s="44"/>
    </row>
    <row r="147" spans="2:6" s="54" customFormat="1" ht="16.5" customHeight="1">
      <c r="B147" s="44"/>
      <c r="C147" s="44"/>
      <c r="D147" s="44"/>
      <c r="E147" s="44"/>
      <c r="F147" s="44"/>
    </row>
    <row r="148" spans="2:6" s="54" customFormat="1" ht="16.5" customHeight="1">
      <c r="B148" s="44"/>
      <c r="C148" s="44"/>
      <c r="D148" s="44"/>
      <c r="E148" s="44"/>
      <c r="F148" s="44"/>
    </row>
    <row r="149" spans="2:6" s="54" customFormat="1" ht="16.5" customHeight="1">
      <c r="B149" s="44"/>
      <c r="C149" s="44"/>
      <c r="D149" s="44"/>
      <c r="E149" s="44"/>
      <c r="F149" s="44"/>
    </row>
    <row r="150" spans="2:6" s="54" customFormat="1" ht="16.5" customHeight="1">
      <c r="B150" s="44"/>
      <c r="C150" s="44"/>
      <c r="D150" s="44"/>
      <c r="E150" s="44"/>
      <c r="F150" s="44"/>
    </row>
    <row r="151" spans="2:6" s="54" customFormat="1" ht="16.5" customHeight="1">
      <c r="B151" s="44"/>
      <c r="C151" s="44"/>
      <c r="D151" s="44"/>
      <c r="E151" s="44"/>
      <c r="F151" s="44"/>
    </row>
    <row r="152" spans="2:6" s="54" customFormat="1" ht="16.5" customHeight="1">
      <c r="B152" s="44"/>
      <c r="C152" s="44"/>
      <c r="D152" s="44"/>
      <c r="E152" s="44"/>
      <c r="F152" s="44"/>
    </row>
    <row r="153" spans="2:6" s="54" customFormat="1" ht="16.5" customHeight="1">
      <c r="B153" s="44"/>
      <c r="C153" s="44"/>
      <c r="D153" s="44"/>
      <c r="E153" s="44"/>
      <c r="F153" s="44"/>
    </row>
    <row r="154" spans="2:6" s="54" customFormat="1" ht="16.5" customHeight="1">
      <c r="B154" s="44"/>
      <c r="C154" s="44"/>
      <c r="D154" s="44"/>
      <c r="E154" s="44"/>
      <c r="F154" s="44"/>
    </row>
    <row r="155" spans="2:6" s="54" customFormat="1" ht="16.5" customHeight="1">
      <c r="B155" s="44"/>
      <c r="C155" s="44"/>
      <c r="D155" s="44"/>
      <c r="E155" s="44"/>
      <c r="F155" s="44"/>
    </row>
    <row r="156" spans="2:6" s="54" customFormat="1" ht="16.5" customHeight="1">
      <c r="B156" s="44"/>
      <c r="C156" s="44"/>
      <c r="D156" s="44"/>
      <c r="E156" s="44"/>
      <c r="F156" s="44"/>
    </row>
    <row r="157" spans="2:6" s="54" customFormat="1" ht="16.5" customHeight="1">
      <c r="B157" s="44"/>
      <c r="C157" s="44"/>
      <c r="D157" s="44"/>
      <c r="E157" s="44"/>
      <c r="F157" s="44"/>
    </row>
    <row r="158" spans="2:6" s="54" customFormat="1" ht="16.5" customHeight="1">
      <c r="B158" s="44"/>
      <c r="C158" s="44"/>
      <c r="D158" s="44"/>
      <c r="E158" s="44"/>
      <c r="F158" s="44"/>
    </row>
    <row r="159" spans="2:6" s="54" customFormat="1" ht="16.5" customHeight="1">
      <c r="B159" s="44"/>
      <c r="C159" s="44"/>
      <c r="D159" s="44"/>
      <c r="E159" s="44"/>
      <c r="F159" s="44"/>
    </row>
    <row r="160" spans="2:6" s="54" customFormat="1" ht="16.5" customHeight="1">
      <c r="B160" s="44"/>
      <c r="C160" s="44"/>
      <c r="D160" s="44"/>
      <c r="E160" s="44"/>
      <c r="F160" s="44"/>
    </row>
    <row r="161" spans="2:6" s="54" customFormat="1" ht="16.5" customHeight="1">
      <c r="B161" s="44"/>
      <c r="C161" s="44"/>
      <c r="D161" s="44"/>
      <c r="E161" s="44"/>
      <c r="F161" s="44"/>
    </row>
    <row r="162" spans="2:6" s="54" customFormat="1" ht="16.5" customHeight="1">
      <c r="B162" s="44"/>
      <c r="C162" s="44"/>
      <c r="D162" s="44"/>
      <c r="E162" s="44"/>
      <c r="F162" s="44"/>
    </row>
    <row r="163" spans="2:6" s="54" customFormat="1" ht="16.5" customHeight="1">
      <c r="B163" s="44"/>
      <c r="C163" s="44"/>
      <c r="D163" s="44"/>
      <c r="E163" s="44"/>
      <c r="F163" s="44"/>
    </row>
    <row r="164" spans="2:6" s="54" customFormat="1" ht="16.5" customHeight="1">
      <c r="B164" s="44"/>
      <c r="C164" s="44"/>
      <c r="D164" s="44"/>
      <c r="E164" s="44"/>
      <c r="F164" s="44"/>
    </row>
    <row r="165" spans="2:6" s="54" customFormat="1" ht="16.5" customHeight="1">
      <c r="B165" s="44"/>
      <c r="C165" s="44"/>
      <c r="D165" s="44"/>
      <c r="E165" s="44"/>
      <c r="F165" s="44"/>
    </row>
    <row r="166" spans="2:6" s="54" customFormat="1" ht="16.5" customHeight="1">
      <c r="B166" s="44"/>
      <c r="C166" s="44"/>
      <c r="D166" s="44"/>
      <c r="E166" s="44"/>
      <c r="F166" s="44"/>
    </row>
    <row r="167" spans="2:6" s="54" customFormat="1" ht="16.5" customHeight="1">
      <c r="B167" s="44"/>
      <c r="C167" s="53"/>
      <c r="D167" s="44"/>
      <c r="E167" s="44"/>
      <c r="F167" s="44"/>
    </row>
    <row r="168" spans="2:6" s="54" customFormat="1" ht="16.5" customHeight="1">
      <c r="B168" s="44"/>
      <c r="C168" s="44"/>
      <c r="D168" s="44"/>
      <c r="E168" s="44"/>
      <c r="F168" s="44"/>
    </row>
    <row r="169" spans="2:6" s="54" customFormat="1" ht="16.5" customHeight="1">
      <c r="B169" s="44"/>
      <c r="C169" s="53"/>
      <c r="D169" s="44"/>
      <c r="E169" s="44"/>
      <c r="F169" s="44"/>
    </row>
    <row r="170" spans="2:6" s="54" customFormat="1" ht="16.5" customHeight="1">
      <c r="B170" s="44"/>
      <c r="C170" s="44"/>
      <c r="D170" s="44"/>
      <c r="E170" s="44"/>
      <c r="F170" s="44"/>
    </row>
    <row r="171" spans="2:6" s="54" customFormat="1" ht="16.5" customHeight="1">
      <c r="B171" s="44"/>
      <c r="C171" s="44"/>
      <c r="D171" s="44"/>
      <c r="E171" s="44"/>
      <c r="F171" s="44"/>
    </row>
    <row r="172" spans="2:6" s="54" customFormat="1" ht="16.5" customHeight="1">
      <c r="B172" s="44"/>
      <c r="C172" s="44"/>
      <c r="D172" s="44"/>
      <c r="E172" s="44"/>
      <c r="F172" s="44"/>
    </row>
    <row r="173" spans="2:6" s="54" customFormat="1" ht="16.5" customHeight="1">
      <c r="B173" s="44"/>
      <c r="C173" s="44"/>
      <c r="D173" s="44"/>
      <c r="E173" s="44"/>
      <c r="F173" s="44"/>
    </row>
    <row r="174" spans="2:6" s="54" customFormat="1" ht="16.5" customHeight="1">
      <c r="B174" s="44"/>
      <c r="C174" s="44"/>
      <c r="D174" s="44"/>
      <c r="E174" s="44"/>
      <c r="F174" s="44"/>
    </row>
    <row r="175" spans="2:6" s="54" customFormat="1" ht="16.5" customHeight="1">
      <c r="B175" s="44"/>
      <c r="C175" s="53"/>
      <c r="D175" s="44"/>
      <c r="E175" s="44"/>
      <c r="F175" s="44"/>
    </row>
    <row r="176" spans="2:6" s="54" customFormat="1" ht="16.5" customHeight="1">
      <c r="B176" s="44"/>
      <c r="C176" s="53"/>
      <c r="D176" s="44"/>
      <c r="E176" s="44"/>
      <c r="F176" s="44"/>
    </row>
    <row r="177" spans="2:6" s="54" customFormat="1" ht="16.5" customHeight="1">
      <c r="B177" s="44"/>
      <c r="C177" s="53"/>
      <c r="D177" s="44"/>
      <c r="E177" s="44"/>
      <c r="F177" s="44"/>
    </row>
    <row r="178" spans="2:6" s="54" customFormat="1" ht="16.5" customHeight="1">
      <c r="B178" s="44"/>
      <c r="C178" s="44"/>
      <c r="D178" s="44"/>
      <c r="E178" s="44"/>
      <c r="F178" s="44"/>
    </row>
    <row r="179" spans="2:6" s="54" customFormat="1" ht="16.5" customHeight="1">
      <c r="B179" s="44"/>
      <c r="C179" s="53"/>
      <c r="D179" s="44"/>
      <c r="E179" s="44"/>
      <c r="F179" s="44"/>
    </row>
    <row r="180" spans="2:6" s="54" customFormat="1" ht="16.5" customHeight="1">
      <c r="B180" s="44"/>
      <c r="C180" s="53"/>
      <c r="D180" s="44"/>
      <c r="E180" s="44"/>
      <c r="F180" s="44"/>
    </row>
    <row r="181" spans="2:6" s="54" customFormat="1" ht="16.5" customHeight="1">
      <c r="B181" s="44"/>
      <c r="C181" s="53"/>
      <c r="D181" s="44"/>
      <c r="E181" s="44"/>
      <c r="F181" s="44"/>
    </row>
    <row r="182" spans="2:6" s="54" customFormat="1" ht="16.5" customHeight="1">
      <c r="B182" s="44"/>
      <c r="C182" s="44"/>
      <c r="D182" s="44"/>
      <c r="E182" s="44"/>
      <c r="F182" s="44"/>
    </row>
    <row r="183" spans="2:6" s="54" customFormat="1" ht="16.5" customHeight="1">
      <c r="B183" s="44"/>
      <c r="C183" s="44"/>
      <c r="D183" s="44"/>
      <c r="E183" s="44"/>
      <c r="F183" s="44"/>
    </row>
    <row r="184" spans="2:6" s="54" customFormat="1" ht="16.5" customHeight="1">
      <c r="B184" s="44"/>
      <c r="C184" s="44"/>
      <c r="D184" s="44"/>
      <c r="E184" s="44"/>
      <c r="F184" s="44"/>
    </row>
    <row r="185" spans="2:6" s="54" customFormat="1" ht="16.5" customHeight="1">
      <c r="B185" s="44"/>
      <c r="C185" s="44"/>
      <c r="D185" s="44"/>
      <c r="E185" s="44"/>
      <c r="F185" s="44"/>
    </row>
    <row r="186" spans="2:6" s="54" customFormat="1" ht="16.5" customHeight="1">
      <c r="B186" s="44"/>
      <c r="C186" s="53"/>
      <c r="D186" s="44"/>
      <c r="E186" s="44"/>
      <c r="F186" s="44"/>
    </row>
    <row r="187" spans="2:6" s="54" customFormat="1" ht="16.5" customHeight="1">
      <c r="B187" s="44"/>
      <c r="C187" s="44"/>
      <c r="D187" s="44"/>
      <c r="E187" s="44"/>
      <c r="F187" s="44"/>
    </row>
    <row r="188" spans="2:6" s="54" customFormat="1" ht="16.5" customHeight="1">
      <c r="B188" s="44"/>
      <c r="C188" s="44"/>
      <c r="D188" s="44"/>
      <c r="E188" s="44"/>
      <c r="F188" s="44"/>
    </row>
    <row r="189" spans="2:6" s="54" customFormat="1" ht="16.5" customHeight="1">
      <c r="B189" s="44"/>
      <c r="C189" s="44"/>
      <c r="D189" s="44"/>
      <c r="E189" s="44"/>
      <c r="F189" s="44"/>
    </row>
    <row r="190" spans="2:6" s="54" customFormat="1" ht="16.5" customHeight="1">
      <c r="B190" s="44"/>
      <c r="C190" s="44"/>
      <c r="D190" s="44"/>
      <c r="E190" s="44"/>
      <c r="F190" s="44"/>
    </row>
    <row r="191" spans="2:6" s="54" customFormat="1" ht="16.5" customHeight="1">
      <c r="B191" s="44"/>
      <c r="C191" s="44"/>
      <c r="D191" s="44"/>
      <c r="E191" s="44"/>
      <c r="F191" s="44"/>
    </row>
    <row r="192" spans="2:6" s="54" customFormat="1" ht="16.5" customHeight="1">
      <c r="B192" s="44"/>
      <c r="C192" s="44"/>
      <c r="D192" s="44"/>
      <c r="E192" s="44"/>
      <c r="F192" s="44"/>
    </row>
    <row r="193" spans="2:6" s="54" customFormat="1" ht="16.5" customHeight="1">
      <c r="B193" s="44"/>
      <c r="C193" s="44"/>
      <c r="D193" s="44"/>
      <c r="E193" s="44"/>
      <c r="F193" s="44"/>
    </row>
    <row r="194" spans="2:6" s="54" customFormat="1" ht="16.5" customHeight="1">
      <c r="B194" s="44"/>
      <c r="C194" s="44"/>
      <c r="D194" s="44"/>
      <c r="E194" s="44"/>
      <c r="F194" s="44"/>
    </row>
    <row r="195" spans="2:6" s="54" customFormat="1" ht="16.5" customHeight="1">
      <c r="B195" s="44"/>
      <c r="C195" s="44"/>
      <c r="D195" s="44"/>
      <c r="E195" s="44"/>
      <c r="F195" s="44"/>
    </row>
    <row r="196" spans="2:6" s="54" customFormat="1" ht="16.5" customHeight="1">
      <c r="B196" s="44"/>
      <c r="C196" s="44"/>
      <c r="D196" s="44"/>
      <c r="E196" s="44"/>
      <c r="F196" s="44"/>
    </row>
    <row r="197" spans="2:6" s="54" customFormat="1" ht="16.5" customHeight="1">
      <c r="B197" s="44"/>
      <c r="C197" s="44"/>
      <c r="D197" s="44"/>
      <c r="E197" s="44"/>
      <c r="F197" s="44"/>
    </row>
    <row r="198" spans="2:6" s="54" customFormat="1" ht="16.5" customHeight="1">
      <c r="B198" s="44"/>
      <c r="C198" s="53"/>
      <c r="D198" s="44"/>
      <c r="E198" s="44"/>
      <c r="F198" s="44"/>
    </row>
    <row r="199" spans="2:6" s="54" customFormat="1" ht="16.5" customHeight="1">
      <c r="B199" s="44"/>
      <c r="C199" s="44"/>
      <c r="D199" s="44"/>
      <c r="E199" s="44"/>
      <c r="F199" s="44"/>
    </row>
    <row r="200" spans="2:6" s="54" customFormat="1" ht="16.5" customHeight="1">
      <c r="B200" s="44"/>
      <c r="C200" s="44"/>
      <c r="D200" s="44"/>
      <c r="E200" s="44"/>
      <c r="F200" s="44"/>
    </row>
    <row r="201" spans="2:6" s="54" customFormat="1" ht="16.5" customHeight="1">
      <c r="B201" s="44"/>
      <c r="C201" s="44"/>
      <c r="D201" s="44"/>
      <c r="E201" s="44"/>
      <c r="F201" s="44"/>
    </row>
    <row r="202" spans="2:6" s="54" customFormat="1" ht="16.5" customHeight="1">
      <c r="B202" s="44"/>
      <c r="C202" s="44"/>
      <c r="D202" s="44"/>
      <c r="E202" s="44"/>
      <c r="F202" s="44"/>
    </row>
    <row r="203" spans="2:6" s="54" customFormat="1" ht="16.5" customHeight="1">
      <c r="B203" s="44"/>
      <c r="C203" s="53"/>
      <c r="D203" s="44"/>
      <c r="E203" s="44"/>
      <c r="F203" s="44"/>
    </row>
    <row r="204" spans="2:6" s="54" customFormat="1" ht="16.5" customHeight="1">
      <c r="B204" s="44"/>
      <c r="C204" s="44"/>
      <c r="D204" s="44"/>
      <c r="E204" s="44"/>
      <c r="F204" s="44"/>
    </row>
    <row r="205" spans="2:6" s="54" customFormat="1" ht="16.5" customHeight="1">
      <c r="B205" s="44"/>
      <c r="C205" s="44"/>
      <c r="D205" s="44"/>
      <c r="E205" s="44"/>
      <c r="F205" s="44"/>
    </row>
    <row r="206" spans="2:6" s="54" customFormat="1" ht="16.5" customHeight="1">
      <c r="B206" s="44"/>
      <c r="C206" s="44"/>
      <c r="D206" s="44"/>
      <c r="E206" s="44"/>
      <c r="F206" s="44"/>
    </row>
    <row r="207" spans="2:6" s="54" customFormat="1" ht="16.5" customHeight="1">
      <c r="B207" s="44"/>
      <c r="C207" s="53"/>
      <c r="D207" s="44"/>
      <c r="E207" s="44"/>
      <c r="F207" s="44"/>
    </row>
    <row r="208" spans="2:6" s="54" customFormat="1" ht="16.5" customHeight="1">
      <c r="B208" s="44"/>
      <c r="C208" s="44"/>
      <c r="D208" s="44"/>
      <c r="E208" s="44"/>
      <c r="F208" s="44"/>
    </row>
    <row r="209" spans="2:6" s="54" customFormat="1" ht="16.5" customHeight="1">
      <c r="B209" s="44"/>
      <c r="C209" s="53"/>
      <c r="D209" s="44"/>
      <c r="E209" s="44"/>
      <c r="F209" s="44"/>
    </row>
    <row r="210" spans="2:6" s="54" customFormat="1" ht="16.5" customHeight="1">
      <c r="B210" s="44"/>
      <c r="C210" s="53"/>
      <c r="D210" s="44"/>
      <c r="E210" s="44"/>
      <c r="F210" s="44"/>
    </row>
    <row r="211" spans="2:6" s="54" customFormat="1" ht="16.5" customHeight="1">
      <c r="B211" s="44"/>
      <c r="C211" s="53"/>
      <c r="D211" s="44"/>
      <c r="E211" s="44"/>
      <c r="F211" s="44"/>
    </row>
    <row r="212" spans="2:6" s="54" customFormat="1" ht="16.5" customHeight="1">
      <c r="B212" s="44"/>
      <c r="C212" s="53"/>
      <c r="D212" s="44"/>
      <c r="E212" s="44"/>
      <c r="F212" s="44"/>
    </row>
    <row r="213" spans="2:6" s="54" customFormat="1" ht="16.5" customHeight="1">
      <c r="B213" s="44"/>
      <c r="C213" s="44"/>
      <c r="D213" s="44"/>
      <c r="E213" s="44"/>
      <c r="F213" s="44"/>
    </row>
    <row r="214" spans="2:6" s="54" customFormat="1" ht="16.5" customHeight="1">
      <c r="B214" s="44"/>
      <c r="C214" s="44"/>
      <c r="D214" s="44"/>
      <c r="E214" s="44"/>
      <c r="F214" s="44"/>
    </row>
    <row r="215" spans="2:6" s="54" customFormat="1" ht="16.5" customHeight="1">
      <c r="B215" s="44"/>
      <c r="C215" s="53"/>
      <c r="D215" s="44"/>
      <c r="E215" s="44"/>
      <c r="F215" s="44"/>
    </row>
    <row r="216" spans="2:6" s="54" customFormat="1" ht="16.5" customHeight="1">
      <c r="B216" s="44"/>
      <c r="C216" s="53"/>
      <c r="D216" s="44"/>
      <c r="E216" s="44"/>
      <c r="F216" s="44"/>
    </row>
    <row r="217" spans="2:6" s="54" customFormat="1" ht="16.5" customHeight="1">
      <c r="B217" s="44"/>
      <c r="C217" s="53"/>
      <c r="D217" s="44"/>
      <c r="E217" s="44"/>
      <c r="F217" s="44"/>
    </row>
    <row r="218" spans="2:6" s="54" customFormat="1" ht="16.5" customHeight="1">
      <c r="B218" s="44"/>
      <c r="C218" s="53"/>
      <c r="D218" s="44"/>
      <c r="E218" s="44"/>
      <c r="F218" s="44"/>
    </row>
    <row r="219" spans="2:6" s="54" customFormat="1" ht="16.5" customHeight="1">
      <c r="B219" s="44"/>
      <c r="C219" s="53"/>
      <c r="D219" s="44"/>
      <c r="E219" s="44"/>
      <c r="F219" s="44"/>
    </row>
    <row r="220" spans="2:6" s="54" customFormat="1" ht="16.5" customHeight="1">
      <c r="B220" s="44"/>
      <c r="C220" s="44"/>
      <c r="D220" s="44"/>
      <c r="E220" s="44"/>
      <c r="F220" s="44"/>
    </row>
    <row r="221" spans="2:6" s="54" customFormat="1" ht="16.5" customHeight="1">
      <c r="B221" s="44"/>
      <c r="C221" s="44"/>
      <c r="D221" s="44"/>
      <c r="E221" s="44"/>
      <c r="F221" s="44"/>
    </row>
    <row r="222" spans="2:6" s="54" customFormat="1" ht="16.5" customHeight="1">
      <c r="B222" s="44"/>
      <c r="C222" s="44"/>
      <c r="D222" s="44"/>
      <c r="E222" s="44"/>
      <c r="F222" s="44"/>
    </row>
    <row r="223" spans="2:6" s="54" customFormat="1" ht="16.5" customHeight="1">
      <c r="B223" s="44"/>
      <c r="C223" s="44"/>
      <c r="D223" s="44"/>
      <c r="E223" s="44"/>
      <c r="F223" s="44"/>
    </row>
    <row r="224" spans="2:6" s="54" customFormat="1" ht="16.5" customHeight="1">
      <c r="B224" s="44"/>
      <c r="C224" s="53"/>
      <c r="D224" s="44"/>
      <c r="E224" s="44"/>
      <c r="F224" s="44"/>
    </row>
    <row r="225" spans="2:6" s="54" customFormat="1" ht="16.5" customHeight="1">
      <c r="B225" s="44"/>
      <c r="C225" s="53"/>
      <c r="D225" s="44"/>
      <c r="E225" s="44"/>
      <c r="F225" s="44"/>
    </row>
    <row r="226" spans="2:6" s="54" customFormat="1" ht="16.5" customHeight="1">
      <c r="B226" s="44"/>
      <c r="C226" s="44"/>
      <c r="D226" s="44"/>
      <c r="E226" s="44"/>
      <c r="F226" s="44"/>
    </row>
    <row r="227" spans="2:6" s="54" customFormat="1" ht="16.5" customHeight="1">
      <c r="B227" s="44"/>
      <c r="C227" s="53"/>
      <c r="D227" s="44"/>
      <c r="E227" s="44"/>
      <c r="F227" s="44"/>
    </row>
    <row r="228" spans="2:6" s="54" customFormat="1" ht="16.5" customHeight="1">
      <c r="B228" s="44"/>
      <c r="C228" s="44"/>
      <c r="D228" s="44"/>
      <c r="E228" s="44"/>
      <c r="F228" s="44"/>
    </row>
    <row r="229" spans="2:6" s="54" customFormat="1" ht="16.5" customHeight="1">
      <c r="B229" s="44"/>
      <c r="C229" s="53"/>
      <c r="D229" s="44"/>
      <c r="E229" s="44"/>
      <c r="F229" s="44"/>
    </row>
    <row r="230" spans="2:6" s="54" customFormat="1" ht="16.5" customHeight="1">
      <c r="B230" s="44"/>
      <c r="C230" s="53"/>
      <c r="D230" s="44"/>
      <c r="E230" s="44"/>
      <c r="F230" s="44"/>
    </row>
    <row r="231" spans="2:6" s="54" customFormat="1" ht="16.5" customHeight="1">
      <c r="B231" s="44"/>
      <c r="C231" s="53"/>
      <c r="D231" s="44"/>
      <c r="E231" s="44"/>
      <c r="F231" s="44"/>
    </row>
    <row r="232" spans="2:6" s="54" customFormat="1" ht="16.5" customHeight="1">
      <c r="B232" s="44"/>
      <c r="C232" s="44"/>
      <c r="D232" s="44"/>
      <c r="E232" s="44"/>
      <c r="F232" s="44"/>
    </row>
    <row r="233" spans="2:6" s="54" customFormat="1" ht="16.5" customHeight="1">
      <c r="B233" s="44"/>
      <c r="C233" s="53"/>
      <c r="D233" s="44"/>
      <c r="E233" s="44"/>
      <c r="F233" s="44"/>
    </row>
    <row r="234" spans="2:6" s="54" customFormat="1" ht="16.5" customHeight="1">
      <c r="B234" s="44"/>
      <c r="C234" s="53"/>
      <c r="D234" s="44"/>
      <c r="E234" s="44"/>
      <c r="F234" s="44"/>
    </row>
    <row r="235" spans="2:6" s="54" customFormat="1" ht="16.5" customHeight="1">
      <c r="B235" s="44"/>
      <c r="C235" s="53"/>
      <c r="D235" s="44"/>
      <c r="E235" s="44"/>
      <c r="F235" s="44"/>
    </row>
    <row r="236" spans="2:6" s="54" customFormat="1" ht="16.5" customHeight="1">
      <c r="B236" s="44"/>
      <c r="C236" s="44"/>
      <c r="D236" s="44"/>
      <c r="E236" s="44"/>
      <c r="F236" s="44"/>
    </row>
    <row r="237" spans="2:6" s="54" customFormat="1" ht="16.5" customHeight="1">
      <c r="B237" s="44"/>
      <c r="C237" s="44"/>
      <c r="D237" s="44"/>
      <c r="E237" s="44"/>
      <c r="F237" s="44"/>
    </row>
    <row r="238" spans="2:6" s="54" customFormat="1" ht="16.5" customHeight="1">
      <c r="B238" s="44"/>
      <c r="C238" s="44"/>
      <c r="D238" s="44"/>
      <c r="E238" s="44"/>
      <c r="F238" s="44"/>
    </row>
    <row r="239" spans="2:6" s="54" customFormat="1" ht="16.5" customHeight="1">
      <c r="B239" s="44"/>
      <c r="C239" s="44"/>
      <c r="D239" s="44"/>
      <c r="E239" s="44"/>
      <c r="F239" s="44"/>
    </row>
    <row r="240" spans="2:6" s="54" customFormat="1" ht="16.5" customHeight="1">
      <c r="B240" s="44"/>
      <c r="C240" s="44"/>
      <c r="D240" s="44"/>
      <c r="E240" s="44"/>
      <c r="F240" s="44"/>
    </row>
    <row r="241" spans="2:6" s="54" customFormat="1" ht="16.5" customHeight="1">
      <c r="B241" s="44"/>
      <c r="C241" s="44"/>
      <c r="D241" s="44"/>
      <c r="E241" s="44"/>
      <c r="F241" s="44"/>
    </row>
    <row r="242" spans="2:6" s="54" customFormat="1" ht="16.5" customHeight="1">
      <c r="B242" s="44"/>
      <c r="C242" s="44"/>
      <c r="D242" s="44"/>
      <c r="E242" s="44"/>
      <c r="F242" s="44"/>
    </row>
    <row r="243" spans="2:6" s="54" customFormat="1" ht="16.5" customHeight="1">
      <c r="B243" s="44"/>
      <c r="C243" s="44"/>
      <c r="D243" s="44"/>
      <c r="E243" s="44"/>
      <c r="F243" s="44"/>
    </row>
    <row r="244" spans="2:6" s="54" customFormat="1" ht="16.5" customHeight="1">
      <c r="B244" s="44"/>
      <c r="C244" s="44"/>
      <c r="D244" s="44"/>
      <c r="E244" s="44"/>
      <c r="F244" s="44"/>
    </row>
    <row r="245" spans="2:6" s="54" customFormat="1" ht="16.5" customHeight="1">
      <c r="B245" s="44"/>
      <c r="C245" s="44"/>
      <c r="D245" s="44"/>
      <c r="E245" s="44"/>
      <c r="F245" s="44"/>
    </row>
    <row r="246" spans="2:6" s="54" customFormat="1" ht="16.5" customHeight="1">
      <c r="B246" s="44"/>
      <c r="C246" s="44"/>
      <c r="D246" s="44"/>
      <c r="E246" s="44"/>
      <c r="F246" s="44"/>
    </row>
    <row r="247" spans="2:6" s="54" customFormat="1" ht="16.5" customHeight="1">
      <c r="B247" s="44"/>
      <c r="C247" s="44"/>
      <c r="D247" s="44"/>
      <c r="E247" s="44"/>
      <c r="F247" s="44"/>
    </row>
    <row r="248" spans="2:6" s="54" customFormat="1" ht="16.5" customHeight="1">
      <c r="B248" s="44"/>
      <c r="C248" s="44"/>
      <c r="D248" s="44"/>
      <c r="E248" s="44"/>
      <c r="F248" s="44"/>
    </row>
    <row r="249" spans="2:6" s="54" customFormat="1" ht="16.5" customHeight="1">
      <c r="B249" s="44"/>
      <c r="C249" s="44"/>
      <c r="D249" s="44"/>
      <c r="E249" s="44"/>
      <c r="F249" s="44"/>
    </row>
    <row r="250" spans="2:6" s="54" customFormat="1" ht="16.5" customHeight="1">
      <c r="B250" s="44"/>
      <c r="C250" s="44"/>
      <c r="D250" s="44"/>
      <c r="E250" s="44"/>
      <c r="F250" s="44"/>
    </row>
    <row r="251" spans="2:6" s="54" customFormat="1" ht="16.5" customHeight="1">
      <c r="B251" s="44"/>
      <c r="C251" s="44"/>
      <c r="D251" s="44"/>
      <c r="E251" s="44"/>
      <c r="F251" s="44"/>
    </row>
    <row r="252" spans="2:6" s="54" customFormat="1" ht="16.5" customHeight="1">
      <c r="B252" s="44"/>
      <c r="C252" s="44"/>
      <c r="D252" s="44"/>
      <c r="E252" s="44"/>
      <c r="F252" s="44"/>
    </row>
    <row r="253" spans="2:6" s="54" customFormat="1" ht="16.5" customHeight="1">
      <c r="B253" s="44"/>
      <c r="C253" s="44"/>
      <c r="D253" s="44"/>
      <c r="E253" s="44"/>
      <c r="F253" s="44"/>
    </row>
    <row r="254" spans="2:6" s="54" customFormat="1" ht="16.5" customHeight="1">
      <c r="B254" s="44"/>
      <c r="C254" s="44"/>
      <c r="D254" s="44"/>
      <c r="E254" s="44"/>
      <c r="F254" s="44"/>
    </row>
    <row r="255" spans="2:6" s="54" customFormat="1" ht="16.5" customHeight="1">
      <c r="B255" s="44"/>
      <c r="C255" s="44"/>
      <c r="D255" s="44"/>
      <c r="E255" s="44"/>
      <c r="F255" s="44"/>
    </row>
    <row r="256" spans="2:6" s="54" customFormat="1" ht="16.5" customHeight="1">
      <c r="B256" s="44"/>
      <c r="C256" s="44"/>
      <c r="D256" s="44"/>
      <c r="E256" s="44"/>
      <c r="F256" s="44"/>
    </row>
    <row r="257" spans="2:6" s="54" customFormat="1" ht="16.5" customHeight="1">
      <c r="B257" s="44"/>
      <c r="C257" s="44"/>
      <c r="D257" s="44"/>
      <c r="E257" s="44"/>
      <c r="F257" s="44"/>
    </row>
    <row r="258" spans="2:6" s="54" customFormat="1" ht="16.5" customHeight="1">
      <c r="B258" s="44"/>
      <c r="C258" s="44"/>
      <c r="D258" s="44"/>
      <c r="E258" s="44"/>
      <c r="F258" s="44"/>
    </row>
    <row r="259" spans="2:6" s="54" customFormat="1" ht="16.5" customHeight="1">
      <c r="B259" s="44"/>
      <c r="C259" s="44"/>
      <c r="D259" s="44"/>
      <c r="E259" s="44"/>
      <c r="F259" s="44"/>
    </row>
    <row r="260" spans="2:6" s="54" customFormat="1" ht="16.5" customHeight="1">
      <c r="B260" s="44"/>
      <c r="C260" s="44"/>
      <c r="D260" s="44"/>
      <c r="E260" s="44"/>
      <c r="F260" s="44"/>
    </row>
    <row r="261" spans="2:6" s="54" customFormat="1" ht="16.5" customHeight="1">
      <c r="B261" s="44"/>
      <c r="C261" s="44"/>
      <c r="D261" s="44"/>
      <c r="E261" s="44"/>
      <c r="F261" s="44"/>
    </row>
    <row r="262" spans="2:6" s="54" customFormat="1" ht="16.5" customHeight="1">
      <c r="B262" s="44"/>
      <c r="C262" s="44"/>
      <c r="D262" s="44"/>
      <c r="E262" s="44"/>
      <c r="F262" s="44"/>
    </row>
    <row r="263" spans="2:6" s="54" customFormat="1" ht="16.5" customHeight="1">
      <c r="B263" s="44"/>
      <c r="C263" s="44"/>
      <c r="D263" s="44"/>
      <c r="E263" s="44"/>
      <c r="F263" s="44"/>
    </row>
    <row r="264" spans="2:6" s="54" customFormat="1" ht="16.5" customHeight="1">
      <c r="B264" s="44"/>
      <c r="C264" s="44"/>
      <c r="D264" s="44"/>
      <c r="E264" s="44"/>
      <c r="F264" s="44"/>
    </row>
    <row r="265" spans="2:6" s="54" customFormat="1" ht="16.5" customHeight="1">
      <c r="B265" s="44"/>
      <c r="C265" s="44"/>
      <c r="D265" s="44"/>
      <c r="E265" s="44"/>
      <c r="F265" s="44"/>
    </row>
    <row r="266" spans="2:6" s="54" customFormat="1" ht="16.5" customHeight="1">
      <c r="B266" s="44"/>
      <c r="C266" s="44"/>
      <c r="D266" s="44"/>
      <c r="E266" s="44"/>
      <c r="F266" s="44"/>
    </row>
    <row r="267" spans="2:6" s="54" customFormat="1" ht="16.5" customHeight="1">
      <c r="B267" s="44"/>
      <c r="C267" s="44"/>
      <c r="D267" s="44"/>
      <c r="E267" s="44"/>
      <c r="F267" s="44"/>
    </row>
    <row r="268" spans="2:6" s="54" customFormat="1" ht="16.5" customHeight="1">
      <c r="B268" s="44"/>
      <c r="C268" s="44"/>
      <c r="D268" s="44"/>
      <c r="E268" s="44"/>
      <c r="F268" s="44"/>
    </row>
    <row r="269" spans="2:6" s="54" customFormat="1" ht="16.5" customHeight="1">
      <c r="B269" s="44"/>
      <c r="C269" s="44"/>
      <c r="D269" s="44"/>
      <c r="E269" s="44"/>
      <c r="F269" s="44"/>
    </row>
    <row r="270" spans="2:6" s="54" customFormat="1" ht="16.5" customHeight="1">
      <c r="B270" s="44"/>
      <c r="C270" s="44"/>
      <c r="D270" s="44"/>
      <c r="E270" s="44"/>
      <c r="F270" s="44"/>
    </row>
    <row r="271" spans="2:6" s="54" customFormat="1" ht="16.5" customHeight="1">
      <c r="B271" s="44"/>
      <c r="C271" s="44"/>
      <c r="D271" s="44"/>
      <c r="E271" s="44"/>
      <c r="F271" s="44"/>
    </row>
    <row r="272" spans="2:6" s="54" customFormat="1" ht="16.5" customHeight="1">
      <c r="B272" s="44"/>
      <c r="C272" s="44"/>
      <c r="D272" s="44"/>
      <c r="E272" s="44"/>
      <c r="F272" s="44"/>
    </row>
    <row r="273" spans="2:6" s="54" customFormat="1" ht="16.5" customHeight="1">
      <c r="B273" s="44"/>
      <c r="C273" s="44"/>
      <c r="D273" s="44"/>
      <c r="E273" s="44"/>
      <c r="F273" s="44"/>
    </row>
    <row r="274" spans="2:6" s="54" customFormat="1" ht="16.5" customHeight="1">
      <c r="B274" s="44"/>
      <c r="C274" s="44"/>
      <c r="D274" s="44"/>
      <c r="E274" s="44"/>
      <c r="F274" s="44"/>
    </row>
    <row r="275" spans="2:6" s="54" customFormat="1" ht="16.5" customHeight="1">
      <c r="B275" s="44"/>
      <c r="C275" s="44"/>
      <c r="D275" s="44"/>
      <c r="E275" s="44"/>
      <c r="F275" s="44"/>
    </row>
    <row r="276" spans="2:6" s="54" customFormat="1" ht="16.5" customHeight="1">
      <c r="B276" s="44"/>
      <c r="C276" s="44"/>
      <c r="D276" s="44"/>
      <c r="E276" s="44"/>
      <c r="F276" s="44"/>
    </row>
    <row r="277" spans="2:6" s="54" customFormat="1" ht="16.5" customHeight="1">
      <c r="B277" s="44"/>
      <c r="C277" s="44"/>
      <c r="D277" s="44"/>
      <c r="E277" s="44"/>
      <c r="F277" s="44"/>
    </row>
    <row r="278" spans="2:6" s="54" customFormat="1" ht="16.5" customHeight="1">
      <c r="B278" s="44"/>
      <c r="C278" s="44"/>
      <c r="D278" s="44"/>
      <c r="E278" s="44"/>
      <c r="F278" s="44"/>
    </row>
    <row r="279" spans="2:6" s="54" customFormat="1" ht="16.5" customHeight="1">
      <c r="B279" s="44"/>
      <c r="C279" s="44"/>
      <c r="D279" s="44"/>
      <c r="E279" s="44"/>
      <c r="F279" s="44"/>
    </row>
    <row r="280" spans="2:6" s="54" customFormat="1" ht="16.5" customHeight="1">
      <c r="B280" s="44"/>
      <c r="C280" s="44"/>
      <c r="D280" s="44"/>
      <c r="E280" s="44"/>
      <c r="F280" s="44"/>
    </row>
    <row r="281" spans="2:6" s="54" customFormat="1" ht="16.5" customHeight="1">
      <c r="B281" s="44"/>
      <c r="C281" s="44"/>
      <c r="D281" s="44"/>
      <c r="E281" s="44"/>
      <c r="F281" s="44"/>
    </row>
    <row r="282" spans="2:6" s="54" customFormat="1" ht="16.5" customHeight="1">
      <c r="B282" s="44"/>
      <c r="C282" s="44"/>
      <c r="D282" s="44"/>
      <c r="E282" s="44"/>
      <c r="F282" s="44"/>
    </row>
    <row r="283" spans="2:6" s="54" customFormat="1" ht="16.5" customHeight="1">
      <c r="B283" s="44"/>
      <c r="C283" s="44"/>
      <c r="D283" s="44"/>
      <c r="E283" s="44"/>
      <c r="F283" s="44"/>
    </row>
    <row r="284" spans="2:6" s="54" customFormat="1" ht="16.5" customHeight="1">
      <c r="B284" s="44"/>
      <c r="C284" s="44"/>
      <c r="D284" s="44"/>
      <c r="E284" s="44"/>
      <c r="F284" s="44"/>
    </row>
    <row r="285" spans="2:6" s="54" customFormat="1" ht="16.5" customHeight="1">
      <c r="B285" s="44"/>
      <c r="C285" s="44"/>
      <c r="D285" s="44"/>
      <c r="E285" s="44"/>
      <c r="F285" s="44"/>
    </row>
    <row r="286" spans="2:6" s="54" customFormat="1" ht="16.5" customHeight="1">
      <c r="B286" s="44"/>
      <c r="C286" s="44"/>
      <c r="D286" s="44"/>
      <c r="E286" s="44"/>
      <c r="F286" s="44"/>
    </row>
    <row r="287" spans="2:6" s="54" customFormat="1" ht="16.5" customHeight="1">
      <c r="B287" s="44"/>
      <c r="C287" s="44"/>
      <c r="D287" s="44"/>
      <c r="E287" s="44"/>
      <c r="F287" s="44"/>
    </row>
    <row r="288" spans="2:6" s="54" customFormat="1" ht="16.5" customHeight="1">
      <c r="B288" s="44"/>
      <c r="C288" s="44"/>
      <c r="D288" s="44"/>
      <c r="E288" s="44"/>
      <c r="F288" s="44"/>
    </row>
    <row r="289" spans="2:6" s="54" customFormat="1" ht="16.5" customHeight="1">
      <c r="B289" s="44"/>
      <c r="C289" s="44"/>
      <c r="D289" s="44"/>
      <c r="E289" s="44"/>
      <c r="F289" s="44"/>
    </row>
    <row r="290" spans="2:6" s="54" customFormat="1" ht="16.5" customHeight="1">
      <c r="B290" s="44"/>
      <c r="C290" s="44"/>
      <c r="D290" s="44"/>
      <c r="E290" s="44"/>
      <c r="F290" s="44"/>
    </row>
    <row r="291" spans="2:6" s="54" customFormat="1" ht="16.5" customHeight="1">
      <c r="B291" s="44"/>
      <c r="C291" s="44"/>
      <c r="D291" s="44"/>
      <c r="E291" s="44"/>
      <c r="F291" s="44"/>
    </row>
    <row r="292" spans="2:6" s="54" customFormat="1" ht="16.5" customHeight="1">
      <c r="B292" s="44"/>
      <c r="C292" s="44"/>
      <c r="D292" s="44"/>
      <c r="E292" s="44"/>
      <c r="F292" s="44"/>
    </row>
    <row r="293" spans="2:6" s="54" customFormat="1" ht="16.5" customHeight="1">
      <c r="B293" s="44"/>
      <c r="C293" s="44"/>
      <c r="D293" s="44"/>
      <c r="E293" s="44"/>
      <c r="F293" s="44"/>
    </row>
    <row r="294" spans="2:6" s="54" customFormat="1" ht="16.5" customHeight="1">
      <c r="B294" s="44"/>
      <c r="C294" s="44"/>
      <c r="D294" s="44"/>
      <c r="E294" s="44"/>
      <c r="F294" s="44"/>
    </row>
    <row r="295" spans="2:6" s="54" customFormat="1" ht="16.5" customHeight="1">
      <c r="B295" s="44"/>
      <c r="C295" s="44"/>
      <c r="D295" s="44"/>
      <c r="E295" s="44"/>
      <c r="F295" s="44"/>
    </row>
    <row r="296" spans="2:6" s="54" customFormat="1" ht="16.5" customHeight="1">
      <c r="B296" s="44"/>
      <c r="C296" s="44"/>
      <c r="D296" s="44"/>
      <c r="E296" s="44"/>
      <c r="F296" s="44"/>
    </row>
    <row r="297" spans="2:6" s="54" customFormat="1" ht="16.5" customHeight="1">
      <c r="B297" s="44"/>
      <c r="C297" s="44"/>
      <c r="D297" s="44"/>
      <c r="E297" s="44"/>
      <c r="F297" s="44"/>
    </row>
    <row r="298" spans="2:6" s="54" customFormat="1" ht="16.5" customHeight="1">
      <c r="B298" s="44"/>
      <c r="C298" s="44"/>
      <c r="D298" s="44"/>
      <c r="E298" s="44"/>
      <c r="F298" s="44"/>
    </row>
    <row r="299" spans="2:6" s="54" customFormat="1" ht="16.5" customHeight="1">
      <c r="B299" s="44"/>
      <c r="C299" s="44"/>
      <c r="D299" s="44"/>
      <c r="E299" s="44"/>
      <c r="F299" s="44"/>
    </row>
    <row r="300" spans="2:6" s="54" customFormat="1" ht="16.5" customHeight="1">
      <c r="B300" s="44"/>
      <c r="C300" s="44"/>
      <c r="D300" s="44"/>
      <c r="E300" s="44"/>
      <c r="F300" s="44"/>
    </row>
    <row r="301" spans="2:6" s="54" customFormat="1" ht="16.5" customHeight="1">
      <c r="B301" s="44"/>
      <c r="C301" s="44"/>
      <c r="D301" s="44"/>
      <c r="E301" s="44"/>
      <c r="F301" s="44"/>
    </row>
    <row r="302" spans="2:6" s="54" customFormat="1" ht="16.5" customHeight="1">
      <c r="B302" s="44"/>
      <c r="C302" s="44"/>
      <c r="D302" s="44"/>
      <c r="E302" s="44"/>
      <c r="F302" s="44"/>
    </row>
    <row r="303" spans="2:6" s="54" customFormat="1" ht="16.5" customHeight="1">
      <c r="B303" s="44"/>
      <c r="C303" s="44"/>
      <c r="D303" s="44"/>
      <c r="E303" s="44"/>
      <c r="F303" s="44"/>
    </row>
    <row r="304" spans="2:6" s="54" customFormat="1" ht="16.5" customHeight="1">
      <c r="B304" s="44"/>
      <c r="C304" s="44"/>
      <c r="D304" s="44"/>
      <c r="E304" s="44"/>
      <c r="F304" s="44"/>
    </row>
    <row r="305" spans="2:6" s="54" customFormat="1" ht="16.5" customHeight="1">
      <c r="B305" s="44"/>
      <c r="C305" s="44"/>
      <c r="D305" s="44"/>
      <c r="E305" s="44"/>
      <c r="F305" s="44"/>
    </row>
    <row r="306" spans="2:6" s="54" customFormat="1" ht="16.5" customHeight="1">
      <c r="B306" s="44"/>
      <c r="C306" s="44"/>
      <c r="D306" s="44"/>
      <c r="E306" s="44"/>
      <c r="F306" s="44"/>
    </row>
    <row r="307" spans="2:6" s="54" customFormat="1" ht="16.5" customHeight="1">
      <c r="B307" s="44"/>
      <c r="C307" s="44"/>
      <c r="D307" s="44"/>
      <c r="E307" s="44"/>
      <c r="F307" s="44"/>
    </row>
  </sheetData>
  <autoFilter ref="A2:F33" xr:uid="{00000000-0009-0000-0000-000006000000}"/>
  <mergeCells count="1">
    <mergeCell ref="A1:F1"/>
  </mergeCells>
  <phoneticPr fontId="3" type="noConversion"/>
  <conditionalFormatting sqref="G28">
    <cfRule type="expression" dxfId="5" priority="1">
      <formula>$Q28="공정불량"</formula>
    </cfRule>
    <cfRule type="expression" dxfId="4" priority="2">
      <formula>$Q28="공정불량"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FF00"/>
  </sheetPr>
  <dimension ref="A1:F24"/>
  <sheetViews>
    <sheetView showGridLines="0" topLeftCell="B1" workbookViewId="0">
      <selection activeCell="L23" sqref="L23"/>
    </sheetView>
  </sheetViews>
  <sheetFormatPr defaultColWidth="9" defaultRowHeight="15"/>
  <cols>
    <col min="1" max="1" width="16.5703125" hidden="1" customWidth="1"/>
    <col min="2" max="2" width="21.28515625" customWidth="1"/>
    <col min="3" max="3" width="8.42578125" bestFit="1" customWidth="1"/>
    <col min="4" max="4" width="14" customWidth="1"/>
    <col min="6" max="6" width="10.140625" bestFit="1" customWidth="1"/>
  </cols>
  <sheetData>
    <row r="1" spans="1:6" ht="18.75" customHeight="1">
      <c r="A1" s="82" t="s">
        <v>0</v>
      </c>
      <c r="B1" s="83"/>
      <c r="C1" s="83"/>
      <c r="D1" s="83"/>
    </row>
    <row r="2" spans="1:6">
      <c r="A2" s="2" t="s">
        <v>1</v>
      </c>
      <c r="B2" s="1" t="s">
        <v>2</v>
      </c>
      <c r="C2" s="1" t="s">
        <v>3</v>
      </c>
      <c r="D2" s="1" t="s">
        <v>4</v>
      </c>
      <c r="E2" s="1" t="s">
        <v>46</v>
      </c>
      <c r="F2" s="1" t="s">
        <v>47</v>
      </c>
    </row>
    <row r="3" spans="1:6">
      <c r="A3" s="3" t="s">
        <v>5</v>
      </c>
      <c r="B3" s="5" t="s">
        <v>5</v>
      </c>
      <c r="C3" s="4"/>
      <c r="D3" s="8">
        <f>+SUM(D4:D66)</f>
        <v>0</v>
      </c>
      <c r="E3" s="8"/>
      <c r="F3" s="16">
        <f>+SUM(F4:F27)</f>
        <v>0</v>
      </c>
    </row>
    <row r="4" spans="1:6" ht="22.5">
      <c r="A4" s="3" t="s">
        <v>6</v>
      </c>
      <c r="B4" s="6" t="s">
        <v>48</v>
      </c>
      <c r="C4" s="6" t="s">
        <v>49</v>
      </c>
      <c r="D4" s="7">
        <v>0</v>
      </c>
      <c r="E4" s="7">
        <v>4555</v>
      </c>
      <c r="F4" s="7">
        <f>+E4*D4</f>
        <v>0</v>
      </c>
    </row>
    <row r="5" spans="1:6">
      <c r="A5" s="3" t="s">
        <v>9</v>
      </c>
      <c r="B5" s="6"/>
      <c r="C5" s="6"/>
      <c r="D5" s="7"/>
    </row>
    <row r="6" spans="1:6">
      <c r="A6" s="3" t="s">
        <v>10</v>
      </c>
      <c r="B6" s="6"/>
      <c r="C6" s="6"/>
      <c r="D6" s="7"/>
    </row>
    <row r="7" spans="1:6">
      <c r="A7" s="3" t="s">
        <v>11</v>
      </c>
      <c r="B7" s="6"/>
      <c r="C7" s="6"/>
      <c r="D7" s="7"/>
    </row>
    <row r="8" spans="1:6">
      <c r="A8" s="3" t="s">
        <v>12</v>
      </c>
      <c r="B8" s="6"/>
      <c r="C8" s="6"/>
      <c r="D8" s="7"/>
    </row>
    <row r="9" spans="1:6">
      <c r="A9" s="3" t="s">
        <v>13</v>
      </c>
      <c r="B9" s="6"/>
      <c r="C9" s="6"/>
      <c r="D9" s="7"/>
    </row>
    <row r="10" spans="1:6">
      <c r="A10" s="3" t="s">
        <v>14</v>
      </c>
      <c r="B10" s="6"/>
      <c r="C10" s="6"/>
      <c r="D10" s="7"/>
    </row>
    <row r="11" spans="1:6">
      <c r="A11" s="3" t="s">
        <v>15</v>
      </c>
      <c r="B11" s="6"/>
      <c r="C11" s="6"/>
      <c r="D11" s="7"/>
    </row>
    <row r="12" spans="1:6">
      <c r="A12" s="3" t="s">
        <v>16</v>
      </c>
      <c r="B12" s="6"/>
      <c r="C12" s="6"/>
      <c r="D12" s="7"/>
    </row>
    <row r="13" spans="1:6">
      <c r="A13" s="3" t="s">
        <v>17</v>
      </c>
    </row>
    <row r="14" spans="1:6">
      <c r="A14" s="3" t="s">
        <v>18</v>
      </c>
    </row>
    <row r="15" spans="1:6">
      <c r="A15" s="3" t="s">
        <v>19</v>
      </c>
    </row>
    <row r="16" spans="1:6">
      <c r="A16" s="3" t="s">
        <v>20</v>
      </c>
    </row>
    <row r="17" spans="1:1">
      <c r="A17" s="3" t="s">
        <v>21</v>
      </c>
    </row>
    <row r="18" spans="1:1">
      <c r="A18" s="3" t="s">
        <v>22</v>
      </c>
    </row>
    <row r="19" spans="1:1">
      <c r="A19" s="3" t="s">
        <v>23</v>
      </c>
    </row>
    <row r="20" spans="1:1">
      <c r="A20" s="3" t="s">
        <v>24</v>
      </c>
    </row>
    <row r="21" spans="1:1">
      <c r="A21" s="3" t="s">
        <v>25</v>
      </c>
    </row>
    <row r="22" spans="1:1">
      <c r="A22" s="3" t="s">
        <v>26</v>
      </c>
    </row>
    <row r="23" spans="1:1">
      <c r="A23" s="3" t="s">
        <v>27</v>
      </c>
    </row>
    <row r="24" spans="1:1">
      <c r="A24" s="3" t="s">
        <v>28</v>
      </c>
    </row>
  </sheetData>
  <autoFilter ref="A2:D24" xr:uid="{00000000-0009-0000-0000-000007000000}"/>
  <mergeCells count="1">
    <mergeCell ref="A1:D1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B6E3-908B-4DD3-A326-BE1924558087}">
  <sheetPr codeName="Sheet12">
    <tabColor theme="0"/>
  </sheetPr>
  <dimension ref="A1:H307"/>
  <sheetViews>
    <sheetView showGridLines="0" topLeftCell="B1" workbookViewId="0">
      <pane ySplit="3" topLeftCell="A4" activePane="bottomLeft" state="frozen"/>
      <selection sqref="A1:F1"/>
      <selection pane="bottomLeft" sqref="A1:F1"/>
    </sheetView>
  </sheetViews>
  <sheetFormatPr defaultRowHeight="15"/>
  <cols>
    <col min="1" max="1" width="14.5703125" hidden="1" customWidth="1"/>
    <col min="2" max="2" width="41.42578125" bestFit="1" customWidth="1"/>
    <col min="4" max="4" width="5.5703125" bestFit="1" customWidth="1"/>
    <col min="6" max="6" width="11.7109375" bestFit="1" customWidth="1"/>
  </cols>
  <sheetData>
    <row r="1" spans="1:6" ht="18.75" customHeight="1">
      <c r="A1" s="82" t="s">
        <v>0</v>
      </c>
      <c r="B1" s="83"/>
      <c r="C1" s="83"/>
      <c r="D1" s="83"/>
      <c r="E1" s="83"/>
      <c r="F1" s="83"/>
    </row>
    <row r="2" spans="1:6">
      <c r="A2" s="2" t="s">
        <v>1</v>
      </c>
      <c r="B2" s="1" t="s">
        <v>2</v>
      </c>
      <c r="C2" s="1" t="s">
        <v>3</v>
      </c>
      <c r="D2" s="1" t="s">
        <v>4</v>
      </c>
      <c r="E2" s="1" t="s">
        <v>46</v>
      </c>
      <c r="F2" s="1" t="s">
        <v>47</v>
      </c>
    </row>
    <row r="3" spans="1:6">
      <c r="A3" s="3" t="s">
        <v>5</v>
      </c>
      <c r="B3" s="5" t="s">
        <v>5</v>
      </c>
      <c r="C3" s="4"/>
      <c r="D3" s="8">
        <f>SUM(D4:D500)</f>
        <v>41</v>
      </c>
      <c r="E3" s="8"/>
      <c r="F3" s="16">
        <f>SUM(F4:F500)</f>
        <v>364399.8</v>
      </c>
    </row>
    <row r="4" spans="1:6" s="54" customFormat="1" ht="16.5" customHeight="1">
      <c r="A4" s="3"/>
      <c r="B4" s="6" t="s">
        <v>62</v>
      </c>
      <c r="C4" s="6" t="s">
        <v>61</v>
      </c>
      <c r="D4" s="7">
        <v>41</v>
      </c>
      <c r="E4" s="7">
        <v>8887.7999999999993</v>
      </c>
      <c r="F4" s="7">
        <f>+D4*E4</f>
        <v>364399.8</v>
      </c>
    </row>
    <row r="5" spans="1:6" s="54" customFormat="1" ht="16.5" customHeight="1">
      <c r="A5" s="3"/>
      <c r="B5" s="6" t="s">
        <v>59</v>
      </c>
      <c r="C5" s="6" t="s">
        <v>60</v>
      </c>
      <c r="D5" s="7">
        <v>0</v>
      </c>
      <c r="E5" s="7">
        <v>9128.4</v>
      </c>
      <c r="F5" s="7">
        <f>+D5*E5</f>
        <v>0</v>
      </c>
    </row>
    <row r="6" spans="1:6" s="54" customFormat="1" ht="16.5" customHeight="1">
      <c r="A6" s="3"/>
      <c r="B6" s="6"/>
      <c r="C6" s="6"/>
      <c r="D6" s="7"/>
      <c r="E6" s="7"/>
      <c r="F6" s="7"/>
    </row>
    <row r="7" spans="1:6" s="54" customFormat="1" ht="16.5" customHeight="1">
      <c r="A7" s="3"/>
      <c r="B7" s="6"/>
      <c r="C7" s="6"/>
      <c r="D7" s="7"/>
      <c r="E7" s="7"/>
      <c r="F7" s="7"/>
    </row>
    <row r="8" spans="1:6" s="54" customFormat="1" ht="16.5" customHeight="1">
      <c r="A8" s="3"/>
      <c r="B8" s="6"/>
      <c r="C8" s="6"/>
      <c r="D8" s="7"/>
      <c r="E8" s="7"/>
      <c r="F8" s="7"/>
    </row>
    <row r="9" spans="1:6" s="54" customFormat="1" ht="16.5" customHeight="1">
      <c r="A9" s="3"/>
      <c r="B9" s="6"/>
      <c r="C9" s="6"/>
      <c r="D9" s="7"/>
      <c r="E9" s="7"/>
      <c r="F9" s="7"/>
    </row>
    <row r="10" spans="1:6" s="54" customFormat="1" ht="16.5" customHeight="1">
      <c r="A10" s="3"/>
      <c r="B10" s="6"/>
      <c r="C10" s="6"/>
      <c r="D10" s="7"/>
      <c r="E10" s="7"/>
      <c r="F10" s="7"/>
    </row>
    <row r="11" spans="1:6" s="54" customFormat="1" ht="16.5" customHeight="1">
      <c r="A11" s="3"/>
      <c r="B11" s="6"/>
      <c r="C11" s="6"/>
      <c r="D11" s="7"/>
      <c r="E11" s="7"/>
      <c r="F11" s="7"/>
    </row>
    <row r="12" spans="1:6" s="54" customFormat="1" ht="16.5" customHeight="1">
      <c r="A12" s="3"/>
      <c r="B12" s="6"/>
      <c r="C12" s="6"/>
      <c r="D12" s="7"/>
      <c r="E12" s="7"/>
      <c r="F12" s="7"/>
    </row>
    <row r="13" spans="1:6" s="54" customFormat="1" ht="16.5" customHeight="1">
      <c r="A13" s="3"/>
      <c r="B13" s="6"/>
      <c r="C13" s="6"/>
      <c r="D13" s="7"/>
      <c r="E13" s="7"/>
      <c r="F13" s="7"/>
    </row>
    <row r="14" spans="1:6" s="54" customFormat="1" ht="16.5" customHeight="1">
      <c r="A14" s="3"/>
      <c r="B14" s="6"/>
      <c r="C14" s="6"/>
      <c r="D14" s="7"/>
      <c r="E14" s="7"/>
      <c r="F14" s="7"/>
    </row>
    <row r="15" spans="1:6" s="54" customFormat="1" ht="16.5" customHeight="1">
      <c r="A15" s="3"/>
      <c r="B15" s="6"/>
      <c r="C15" s="6"/>
      <c r="D15" s="7"/>
      <c r="E15" s="7"/>
      <c r="F15" s="7"/>
    </row>
    <row r="16" spans="1:6" s="54" customFormat="1" ht="16.5" customHeight="1">
      <c r="A16" s="3"/>
      <c r="B16" s="6"/>
      <c r="C16" s="6"/>
      <c r="D16" s="7"/>
      <c r="E16" s="7"/>
      <c r="F16" s="7"/>
    </row>
    <row r="17" spans="1:8" s="54" customFormat="1" ht="16.5" customHeight="1">
      <c r="A17" s="3"/>
      <c r="B17" s="6"/>
      <c r="C17" s="6"/>
      <c r="D17" s="7"/>
      <c r="E17" s="7"/>
      <c r="F17" s="7"/>
    </row>
    <row r="18" spans="1:8" s="54" customFormat="1" ht="16.5" customHeight="1">
      <c r="A18" s="3"/>
      <c r="B18" s="6"/>
      <c r="C18" s="6"/>
      <c r="D18" s="7"/>
      <c r="E18" s="7"/>
      <c r="F18" s="7"/>
    </row>
    <row r="19" spans="1:8" s="54" customFormat="1" ht="16.5" customHeight="1">
      <c r="A19" s="3"/>
      <c r="B19" s="6"/>
      <c r="C19" s="6"/>
      <c r="D19" s="7"/>
      <c r="E19" s="7"/>
      <c r="F19" s="7"/>
    </row>
    <row r="20" spans="1:8" s="54" customFormat="1" ht="16.5" customHeight="1">
      <c r="A20" s="3"/>
      <c r="B20" s="6"/>
      <c r="C20" s="6"/>
      <c r="D20" s="7"/>
      <c r="E20" s="7"/>
      <c r="F20" s="7"/>
    </row>
    <row r="21" spans="1:8" s="54" customFormat="1" ht="16.5" customHeight="1">
      <c r="B21" s="6"/>
      <c r="C21" s="6"/>
      <c r="D21" s="7"/>
      <c r="E21" s="7"/>
      <c r="F21" s="7"/>
    </row>
    <row r="22" spans="1:8" s="54" customFormat="1" ht="16.5" customHeight="1">
      <c r="B22" s="6"/>
      <c r="C22" s="6"/>
      <c r="D22" s="7"/>
      <c r="E22" s="7"/>
      <c r="F22" s="7"/>
    </row>
    <row r="23" spans="1:8" s="54" customFormat="1" ht="16.5" customHeight="1">
      <c r="B23" s="6"/>
      <c r="C23" s="6"/>
      <c r="D23" s="7"/>
      <c r="E23" s="7"/>
      <c r="F23" s="7"/>
    </row>
    <row r="24" spans="1:8" s="54" customFormat="1" ht="16.5" customHeight="1">
      <c r="B24" s="6"/>
      <c r="C24" s="6"/>
      <c r="D24" s="7"/>
      <c r="E24" s="7"/>
      <c r="F24" s="7"/>
    </row>
    <row r="25" spans="1:8" s="54" customFormat="1" ht="16.5" customHeight="1">
      <c r="B25" s="6"/>
      <c r="C25" s="6"/>
      <c r="D25" s="7"/>
      <c r="E25" s="7"/>
      <c r="F25" s="7"/>
      <c r="H25" s="54" t="s">
        <v>124</v>
      </c>
    </row>
    <row r="26" spans="1:8" s="54" customFormat="1" ht="16.5" customHeight="1">
      <c r="B26" s="6"/>
      <c r="C26" s="6"/>
      <c r="D26" s="7"/>
      <c r="E26" s="7"/>
      <c r="F26" s="7"/>
      <c r="H26" s="54" t="s">
        <v>124</v>
      </c>
    </row>
    <row r="27" spans="1:8" s="54" customFormat="1" ht="16.5" customHeight="1">
      <c r="B27" s="6"/>
      <c r="C27" s="6"/>
      <c r="D27" s="7"/>
      <c r="E27" s="7"/>
      <c r="F27" s="7"/>
      <c r="H27" s="54" t="s">
        <v>124</v>
      </c>
    </row>
    <row r="28" spans="1:8" s="54" customFormat="1" ht="16.5" customHeight="1">
      <c r="B28" s="42"/>
      <c r="C28" s="45"/>
      <c r="D28" s="43"/>
      <c r="E28" s="43"/>
      <c r="F28" s="43"/>
      <c r="G28"/>
    </row>
    <row r="29" spans="1:8" s="54" customFormat="1" ht="16.5" customHeight="1">
      <c r="B29" s="6"/>
      <c r="C29" s="6"/>
      <c r="D29" s="7"/>
      <c r="E29" s="7"/>
      <c r="F29" s="7"/>
    </row>
    <row r="30" spans="1:8" s="54" customFormat="1" ht="16.5" customHeight="1">
      <c r="B30" s="6"/>
      <c r="C30" s="6"/>
      <c r="D30" s="7"/>
      <c r="E30" s="7"/>
      <c r="F30" s="7"/>
    </row>
    <row r="31" spans="1:8" s="54" customFormat="1" ht="16.5" customHeight="1">
      <c r="B31" s="6"/>
      <c r="C31" s="6"/>
      <c r="D31" s="7"/>
      <c r="E31" s="7"/>
      <c r="F31" s="7"/>
    </row>
    <row r="32" spans="1:8" s="54" customFormat="1" ht="16.5" customHeight="1">
      <c r="B32" s="6"/>
      <c r="C32" s="6"/>
      <c r="D32" s="7"/>
      <c r="E32" s="7"/>
      <c r="F32" s="7"/>
      <c r="H32" s="54" t="s">
        <v>124</v>
      </c>
    </row>
    <row r="33" spans="2:8" s="54" customFormat="1" ht="16.5" customHeight="1">
      <c r="B33" s="6"/>
      <c r="C33" s="6"/>
      <c r="D33" s="7"/>
      <c r="E33" s="7"/>
      <c r="F33" s="7"/>
      <c r="H33" s="54" t="s">
        <v>124</v>
      </c>
    </row>
    <row r="34" spans="2:8" s="54" customFormat="1" ht="16.5" customHeight="1">
      <c r="B34" s="6"/>
      <c r="C34" s="6"/>
      <c r="D34" s="7"/>
      <c r="E34" s="7"/>
      <c r="F34" s="7"/>
      <c r="H34" s="54" t="s">
        <v>124</v>
      </c>
    </row>
    <row r="35" spans="2:8" s="54" customFormat="1" ht="16.5" customHeight="1">
      <c r="B35" s="6"/>
      <c r="C35" s="6"/>
      <c r="D35" s="7"/>
      <c r="E35" s="7"/>
      <c r="F35" s="7"/>
      <c r="H35" s="54" t="s">
        <v>124</v>
      </c>
    </row>
    <row r="36" spans="2:8" s="54" customFormat="1" ht="16.5" customHeight="1">
      <c r="B36" s="6"/>
      <c r="C36" s="6"/>
      <c r="D36" s="7"/>
      <c r="E36" s="7"/>
      <c r="F36" s="7"/>
    </row>
    <row r="37" spans="2:8" s="54" customFormat="1" ht="16.5" customHeight="1">
      <c r="B37" s="6"/>
      <c r="C37" s="6"/>
      <c r="D37" s="7"/>
      <c r="E37" s="7"/>
      <c r="F37" s="7"/>
    </row>
    <row r="38" spans="2:8" s="54" customFormat="1" ht="16.5" customHeight="1">
      <c r="B38" s="6"/>
      <c r="C38" s="6"/>
      <c r="D38" s="7"/>
      <c r="E38" s="7"/>
      <c r="F38" s="7"/>
    </row>
    <row r="39" spans="2:8" s="54" customFormat="1" ht="16.5" customHeight="1">
      <c r="B39" s="6"/>
      <c r="C39" s="6"/>
      <c r="D39" s="7"/>
      <c r="E39" s="7"/>
      <c r="F39" s="7"/>
    </row>
    <row r="40" spans="2:8" s="54" customFormat="1" ht="16.5" customHeight="1">
      <c r="B40" s="6"/>
      <c r="C40" s="6"/>
      <c r="D40" s="7"/>
      <c r="E40" s="7"/>
      <c r="F40" s="7"/>
    </row>
    <row r="41" spans="2:8" s="54" customFormat="1" ht="16.5" customHeight="1">
      <c r="B41" s="6"/>
      <c r="C41" s="6"/>
      <c r="D41" s="7"/>
      <c r="E41" s="7"/>
      <c r="F41" s="7"/>
    </row>
    <row r="42" spans="2:8" s="54" customFormat="1" ht="16.5" customHeight="1">
      <c r="B42" s="6"/>
      <c r="C42" s="6"/>
      <c r="D42" s="7"/>
      <c r="E42" s="7"/>
      <c r="F42" s="7"/>
    </row>
    <row r="43" spans="2:8" s="54" customFormat="1" ht="16.5" customHeight="1">
      <c r="B43" s="6"/>
      <c r="C43" s="6"/>
      <c r="D43" s="7"/>
      <c r="E43" s="7"/>
      <c r="F43" s="7"/>
    </row>
    <row r="44" spans="2:8" s="54" customFormat="1" ht="16.5" customHeight="1">
      <c r="B44" s="49"/>
      <c r="C44" s="49"/>
      <c r="D44" s="50"/>
      <c r="E44" s="50"/>
      <c r="F44" s="50"/>
    </row>
    <row r="45" spans="2:8" s="54" customFormat="1" ht="16.5" customHeight="1">
      <c r="B45" s="44"/>
      <c r="C45" s="44"/>
      <c r="D45" s="44"/>
      <c r="E45" s="44"/>
      <c r="F45" s="44"/>
    </row>
    <row r="46" spans="2:8" s="54" customFormat="1" ht="16.5" customHeight="1">
      <c r="B46" s="44"/>
      <c r="C46" s="44"/>
      <c r="D46" s="44"/>
      <c r="E46" s="44"/>
      <c r="F46" s="44"/>
    </row>
    <row r="47" spans="2:8" s="54" customFormat="1" ht="16.5" customHeight="1">
      <c r="B47" s="44"/>
      <c r="C47" s="44"/>
      <c r="D47" s="44"/>
      <c r="E47" s="44"/>
      <c r="F47" s="44"/>
    </row>
    <row r="48" spans="2:8" s="54" customFormat="1" ht="16.5" customHeight="1">
      <c r="B48" s="44"/>
      <c r="C48" s="44"/>
      <c r="D48" s="44"/>
      <c r="E48" s="44"/>
      <c r="F48" s="44"/>
    </row>
    <row r="49" spans="2:6" s="54" customFormat="1" ht="16.5" customHeight="1">
      <c r="B49" s="44"/>
      <c r="C49" s="44"/>
      <c r="D49" s="44"/>
      <c r="E49" s="44"/>
      <c r="F49" s="44"/>
    </row>
    <row r="50" spans="2:6" s="54" customFormat="1" ht="16.5" customHeight="1">
      <c r="B50" s="44"/>
      <c r="C50" s="44"/>
      <c r="D50" s="44"/>
      <c r="E50" s="44"/>
      <c r="F50" s="44"/>
    </row>
    <row r="51" spans="2:6" s="54" customFormat="1" ht="16.5" customHeight="1">
      <c r="B51" s="44"/>
      <c r="C51" s="44"/>
      <c r="D51" s="44"/>
      <c r="E51" s="44"/>
      <c r="F51" s="44"/>
    </row>
    <row r="52" spans="2:6" s="54" customFormat="1" ht="16.5" customHeight="1">
      <c r="B52" s="44"/>
      <c r="C52" s="44"/>
      <c r="D52" s="44"/>
      <c r="E52" s="44"/>
      <c r="F52" s="44"/>
    </row>
    <row r="53" spans="2:6" s="54" customFormat="1" ht="16.5" customHeight="1">
      <c r="B53" s="44"/>
      <c r="C53" s="44"/>
      <c r="D53" s="44"/>
      <c r="E53" s="44"/>
      <c r="F53" s="44"/>
    </row>
    <row r="54" spans="2:6" s="54" customFormat="1" ht="16.5" customHeight="1">
      <c r="B54" s="44"/>
      <c r="C54" s="44"/>
      <c r="D54" s="44"/>
      <c r="E54" s="44"/>
      <c r="F54" s="44"/>
    </row>
    <row r="55" spans="2:6" s="54" customFormat="1" ht="16.5" customHeight="1">
      <c r="B55" s="44"/>
      <c r="C55" s="44"/>
      <c r="D55" s="44"/>
      <c r="E55" s="44"/>
      <c r="F55" s="44"/>
    </row>
    <row r="56" spans="2:6" s="54" customFormat="1" ht="16.5" customHeight="1">
      <c r="B56" s="44"/>
      <c r="C56" s="44"/>
      <c r="D56" s="44"/>
      <c r="E56" s="44"/>
      <c r="F56" s="44"/>
    </row>
    <row r="57" spans="2:6" s="54" customFormat="1" ht="16.5" customHeight="1">
      <c r="B57" s="44"/>
      <c r="C57" s="44"/>
      <c r="D57" s="44"/>
      <c r="E57" s="44"/>
      <c r="F57" s="44"/>
    </row>
    <row r="58" spans="2:6" s="54" customFormat="1" ht="16.5" customHeight="1">
      <c r="B58" s="44"/>
      <c r="C58" s="44"/>
      <c r="D58" s="44"/>
      <c r="E58" s="44"/>
      <c r="F58" s="44"/>
    </row>
    <row r="59" spans="2:6" s="54" customFormat="1" ht="16.5" customHeight="1">
      <c r="B59" s="44"/>
      <c r="C59" s="44"/>
      <c r="D59" s="44"/>
      <c r="E59" s="44"/>
      <c r="F59" s="44"/>
    </row>
    <row r="60" spans="2:6" s="54" customFormat="1" ht="16.5" customHeight="1">
      <c r="B60" s="44"/>
      <c r="C60" s="44"/>
      <c r="D60" s="44"/>
      <c r="E60" s="44"/>
      <c r="F60" s="44"/>
    </row>
    <row r="61" spans="2:6" s="54" customFormat="1" ht="16.5" customHeight="1">
      <c r="B61" s="44"/>
      <c r="C61" s="44"/>
      <c r="D61" s="44"/>
      <c r="E61" s="44"/>
      <c r="F61" s="44"/>
    </row>
    <row r="62" spans="2:6" s="54" customFormat="1" ht="16.5" customHeight="1">
      <c r="B62" s="44"/>
      <c r="C62" s="44"/>
      <c r="D62" s="44"/>
      <c r="E62" s="44"/>
      <c r="F62" s="44"/>
    </row>
    <row r="63" spans="2:6" s="54" customFormat="1" ht="16.5" customHeight="1">
      <c r="B63" s="44"/>
      <c r="C63" s="44"/>
      <c r="D63" s="44"/>
      <c r="E63" s="44"/>
      <c r="F63" s="44"/>
    </row>
    <row r="64" spans="2:6" s="54" customFormat="1" ht="16.5" customHeight="1">
      <c r="B64" s="44"/>
      <c r="C64" s="44"/>
      <c r="D64" s="44"/>
      <c r="E64" s="44"/>
      <c r="F64" s="44"/>
    </row>
    <row r="65" spans="2:6" s="54" customFormat="1" ht="16.5" customHeight="1">
      <c r="B65" s="44"/>
      <c r="C65" s="44"/>
      <c r="D65" s="44"/>
      <c r="E65" s="44"/>
      <c r="F65" s="44"/>
    </row>
    <row r="66" spans="2:6" s="54" customFormat="1" ht="16.5" customHeight="1">
      <c r="B66" s="44"/>
      <c r="C66" s="44"/>
      <c r="D66" s="44"/>
      <c r="E66" s="44"/>
      <c r="F66" s="44"/>
    </row>
    <row r="67" spans="2:6" s="54" customFormat="1" ht="16.5" customHeight="1">
      <c r="B67" s="44"/>
      <c r="C67" s="44"/>
      <c r="D67" s="44"/>
      <c r="E67" s="44"/>
      <c r="F67" s="44"/>
    </row>
    <row r="68" spans="2:6" s="54" customFormat="1" ht="16.5" customHeight="1">
      <c r="B68" s="44"/>
      <c r="C68" s="44"/>
      <c r="D68" s="44"/>
      <c r="E68" s="44"/>
      <c r="F68" s="44"/>
    </row>
    <row r="69" spans="2:6" s="54" customFormat="1" ht="16.5" customHeight="1">
      <c r="B69" s="44"/>
      <c r="C69" s="44"/>
      <c r="D69" s="44"/>
      <c r="E69" s="44"/>
      <c r="F69" s="44"/>
    </row>
    <row r="70" spans="2:6" s="54" customFormat="1" ht="16.5" customHeight="1">
      <c r="B70" s="44"/>
      <c r="C70" s="44"/>
      <c r="D70" s="44"/>
      <c r="E70" s="44"/>
      <c r="F70" s="44"/>
    </row>
    <row r="71" spans="2:6" s="54" customFormat="1" ht="16.5" customHeight="1">
      <c r="B71" s="44"/>
      <c r="C71" s="44"/>
      <c r="D71" s="44"/>
      <c r="E71" s="44"/>
      <c r="F71" s="44"/>
    </row>
    <row r="72" spans="2:6" s="54" customFormat="1" ht="16.5" customHeight="1">
      <c r="B72" s="44"/>
      <c r="C72" s="44"/>
      <c r="D72" s="44"/>
      <c r="E72" s="44"/>
      <c r="F72" s="44"/>
    </row>
    <row r="73" spans="2:6" s="54" customFormat="1" ht="16.5" customHeight="1">
      <c r="B73" s="44"/>
      <c r="C73" s="44"/>
      <c r="D73" s="44"/>
      <c r="E73" s="44"/>
      <c r="F73" s="44"/>
    </row>
    <row r="74" spans="2:6" s="54" customFormat="1" ht="16.5" customHeight="1">
      <c r="B74" s="44"/>
      <c r="C74" s="44"/>
      <c r="D74" s="44"/>
      <c r="E74" s="44"/>
      <c r="F74" s="44"/>
    </row>
    <row r="75" spans="2:6" s="54" customFormat="1" ht="16.5" customHeight="1">
      <c r="B75" s="44"/>
      <c r="C75" s="44"/>
      <c r="D75" s="44"/>
      <c r="E75" s="44"/>
      <c r="F75" s="44"/>
    </row>
    <row r="76" spans="2:6" s="54" customFormat="1" ht="16.5" customHeight="1">
      <c r="B76" s="44"/>
      <c r="C76" s="44"/>
      <c r="D76" s="44"/>
      <c r="E76" s="44"/>
      <c r="F76" s="44"/>
    </row>
    <row r="77" spans="2:6" s="54" customFormat="1" ht="16.5" customHeight="1">
      <c r="B77" s="44"/>
      <c r="C77" s="44"/>
      <c r="D77" s="44"/>
      <c r="E77" s="44"/>
      <c r="F77" s="44"/>
    </row>
    <row r="78" spans="2:6" s="54" customFormat="1" ht="16.5" customHeight="1">
      <c r="B78" s="44"/>
      <c r="C78" s="44"/>
      <c r="D78" s="44"/>
      <c r="E78" s="44"/>
      <c r="F78" s="44"/>
    </row>
    <row r="79" spans="2:6" s="54" customFormat="1" ht="16.5" customHeight="1">
      <c r="B79" s="44"/>
      <c r="C79" s="44"/>
      <c r="D79" s="44"/>
      <c r="E79" s="44"/>
      <c r="F79" s="44"/>
    </row>
    <row r="80" spans="2:6" s="54" customFormat="1" ht="16.5" customHeight="1">
      <c r="B80" s="44"/>
      <c r="C80" s="44"/>
      <c r="D80" s="44"/>
      <c r="E80" s="44"/>
      <c r="F80" s="44"/>
    </row>
    <row r="81" spans="2:6" s="54" customFormat="1" ht="16.5" customHeight="1">
      <c r="B81" s="44"/>
      <c r="C81" s="44"/>
      <c r="D81" s="44"/>
      <c r="E81" s="44"/>
      <c r="F81" s="44"/>
    </row>
    <row r="82" spans="2:6" s="54" customFormat="1" ht="16.5" customHeight="1">
      <c r="B82" s="44"/>
      <c r="C82" s="44"/>
      <c r="D82" s="44"/>
      <c r="E82" s="44"/>
      <c r="F82" s="44"/>
    </row>
    <row r="83" spans="2:6" s="54" customFormat="1" ht="16.5" customHeight="1">
      <c r="B83" s="44"/>
      <c r="C83" s="44"/>
      <c r="D83" s="44"/>
      <c r="E83" s="44"/>
      <c r="F83" s="44"/>
    </row>
    <row r="84" spans="2:6" s="54" customFormat="1" ht="16.5" customHeight="1">
      <c r="B84" s="44"/>
      <c r="C84" s="44"/>
      <c r="D84" s="44"/>
      <c r="E84" s="44"/>
      <c r="F84" s="44"/>
    </row>
    <row r="85" spans="2:6" s="54" customFormat="1" ht="16.5" customHeight="1">
      <c r="B85" s="44"/>
      <c r="C85" s="44"/>
      <c r="D85" s="44"/>
      <c r="E85" s="44"/>
      <c r="F85" s="44"/>
    </row>
    <row r="86" spans="2:6" s="54" customFormat="1" ht="16.5" customHeight="1">
      <c r="B86" s="44"/>
      <c r="C86" s="44"/>
      <c r="D86" s="44"/>
      <c r="E86" s="44"/>
      <c r="F86" s="44"/>
    </row>
    <row r="87" spans="2:6" s="54" customFormat="1" ht="16.5" customHeight="1">
      <c r="B87" s="44"/>
      <c r="C87" s="44"/>
      <c r="D87" s="44"/>
      <c r="E87" s="44"/>
      <c r="F87" s="44"/>
    </row>
    <row r="88" spans="2:6" s="54" customFormat="1" ht="16.5" customHeight="1">
      <c r="B88" s="44"/>
      <c r="C88" s="44"/>
      <c r="D88" s="44"/>
      <c r="E88" s="44"/>
      <c r="F88" s="44"/>
    </row>
    <row r="89" spans="2:6" s="54" customFormat="1" ht="16.5" customHeight="1">
      <c r="B89" s="44"/>
      <c r="C89" s="44"/>
      <c r="D89" s="44"/>
      <c r="E89" s="44"/>
      <c r="F89" s="44"/>
    </row>
    <row r="90" spans="2:6" s="54" customFormat="1" ht="16.5" customHeight="1">
      <c r="B90" s="44"/>
      <c r="C90" s="44"/>
      <c r="D90" s="44"/>
      <c r="E90" s="44"/>
      <c r="F90" s="44"/>
    </row>
    <row r="91" spans="2:6" s="54" customFormat="1" ht="16.5" customHeight="1">
      <c r="B91" s="44"/>
      <c r="C91" s="44"/>
      <c r="D91" s="44"/>
      <c r="E91" s="44"/>
      <c r="F91" s="44"/>
    </row>
    <row r="92" spans="2:6" s="54" customFormat="1" ht="16.5" customHeight="1">
      <c r="B92" s="44"/>
      <c r="C92" s="44"/>
      <c r="D92" s="44"/>
      <c r="E92" s="44"/>
      <c r="F92" s="44"/>
    </row>
    <row r="93" spans="2:6" s="54" customFormat="1" ht="16.5" customHeight="1">
      <c r="B93" s="44"/>
      <c r="C93" s="44"/>
      <c r="D93" s="44"/>
      <c r="E93" s="44"/>
      <c r="F93" s="44"/>
    </row>
    <row r="94" spans="2:6" s="54" customFormat="1" ht="16.5" customHeight="1">
      <c r="B94" s="44"/>
      <c r="C94" s="44"/>
      <c r="D94" s="44"/>
      <c r="E94" s="44"/>
      <c r="F94" s="44"/>
    </row>
    <row r="95" spans="2:6" s="54" customFormat="1" ht="16.5" customHeight="1">
      <c r="B95" s="44"/>
      <c r="C95" s="44"/>
      <c r="D95" s="44"/>
      <c r="E95" s="44"/>
      <c r="F95" s="44"/>
    </row>
    <row r="96" spans="2:6" s="54" customFormat="1" ht="16.5" customHeight="1">
      <c r="B96" s="44"/>
      <c r="C96" s="44"/>
      <c r="D96" s="44"/>
      <c r="E96" s="44"/>
      <c r="F96" s="44"/>
    </row>
    <row r="97" spans="2:6" s="54" customFormat="1" ht="16.5" customHeight="1">
      <c r="B97" s="44"/>
      <c r="C97" s="44"/>
      <c r="D97" s="44"/>
      <c r="E97" s="44"/>
      <c r="F97" s="44"/>
    </row>
    <row r="98" spans="2:6" s="54" customFormat="1" ht="16.5" customHeight="1">
      <c r="B98" s="44"/>
      <c r="C98" s="44"/>
      <c r="D98" s="44"/>
      <c r="E98" s="44"/>
      <c r="F98" s="44"/>
    </row>
    <row r="99" spans="2:6" s="54" customFormat="1" ht="16.5" customHeight="1">
      <c r="B99" s="44"/>
      <c r="C99" s="44"/>
      <c r="D99" s="44"/>
      <c r="E99" s="44"/>
      <c r="F99" s="44"/>
    </row>
    <row r="100" spans="2:6" s="54" customFormat="1" ht="16.5" customHeight="1">
      <c r="B100" s="44"/>
      <c r="C100" s="44"/>
      <c r="D100" s="44"/>
      <c r="E100" s="44"/>
      <c r="F100" s="44"/>
    </row>
    <row r="101" spans="2:6" s="54" customFormat="1" ht="16.5" customHeight="1">
      <c r="B101" s="44"/>
      <c r="C101" s="44"/>
      <c r="D101" s="44"/>
      <c r="E101" s="44"/>
      <c r="F101" s="44"/>
    </row>
    <row r="102" spans="2:6" s="54" customFormat="1" ht="16.5" customHeight="1">
      <c r="B102" s="44"/>
      <c r="C102" s="44"/>
      <c r="D102" s="44"/>
      <c r="E102" s="44"/>
      <c r="F102" s="44"/>
    </row>
    <row r="103" spans="2:6" s="54" customFormat="1" ht="16.5" customHeight="1">
      <c r="B103" s="44"/>
      <c r="C103" s="44"/>
      <c r="D103" s="44"/>
      <c r="E103" s="44"/>
      <c r="F103" s="44"/>
    </row>
    <row r="104" spans="2:6" s="54" customFormat="1" ht="16.5" customHeight="1">
      <c r="B104" s="44"/>
      <c r="C104" s="44"/>
      <c r="D104" s="44"/>
      <c r="E104" s="44"/>
      <c r="F104" s="44"/>
    </row>
    <row r="105" spans="2:6" s="54" customFormat="1" ht="16.5" customHeight="1">
      <c r="B105" s="44"/>
      <c r="C105" s="44"/>
      <c r="D105" s="44"/>
      <c r="E105" s="44"/>
      <c r="F105" s="44"/>
    </row>
    <row r="106" spans="2:6" s="54" customFormat="1" ht="16.5" customHeight="1">
      <c r="B106" s="44"/>
      <c r="C106" s="44"/>
      <c r="D106" s="44"/>
      <c r="E106" s="44"/>
      <c r="F106" s="44"/>
    </row>
    <row r="107" spans="2:6" s="54" customFormat="1" ht="16.5" customHeight="1">
      <c r="B107" s="44"/>
      <c r="C107" s="44"/>
      <c r="D107" s="44"/>
      <c r="E107" s="44"/>
      <c r="F107" s="44"/>
    </row>
    <row r="108" spans="2:6" s="54" customFormat="1" ht="16.5" customHeight="1">
      <c r="B108" s="44"/>
      <c r="C108" s="44"/>
      <c r="D108" s="44"/>
      <c r="E108" s="44"/>
      <c r="F108" s="44"/>
    </row>
    <row r="109" spans="2:6" s="54" customFormat="1" ht="16.5" customHeight="1">
      <c r="B109" s="44"/>
      <c r="C109" s="44"/>
      <c r="D109" s="44"/>
      <c r="E109" s="44"/>
      <c r="F109" s="44"/>
    </row>
    <row r="110" spans="2:6" s="54" customFormat="1" ht="16.5" customHeight="1">
      <c r="B110" s="44"/>
      <c r="C110" s="44"/>
      <c r="D110" s="44"/>
      <c r="E110" s="44"/>
      <c r="F110" s="44"/>
    </row>
    <row r="111" spans="2:6" s="54" customFormat="1" ht="16.5" customHeight="1">
      <c r="B111" s="44"/>
      <c r="C111" s="44"/>
      <c r="D111" s="44"/>
      <c r="E111" s="44"/>
      <c r="F111" s="44"/>
    </row>
    <row r="112" spans="2:6" s="54" customFormat="1" ht="16.5" customHeight="1">
      <c r="B112" s="44"/>
      <c r="C112" s="44"/>
      <c r="D112" s="44"/>
      <c r="E112" s="44"/>
      <c r="F112" s="44"/>
    </row>
    <row r="113" spans="2:6" s="54" customFormat="1" ht="16.5" customHeight="1">
      <c r="B113" s="44"/>
      <c r="C113" s="44"/>
      <c r="D113" s="44"/>
      <c r="E113" s="44"/>
      <c r="F113" s="44"/>
    </row>
    <row r="114" spans="2:6" s="54" customFormat="1" ht="16.5" customHeight="1">
      <c r="B114" s="44"/>
      <c r="C114" s="44"/>
      <c r="D114" s="44"/>
      <c r="E114" s="44"/>
      <c r="F114" s="44"/>
    </row>
    <row r="115" spans="2:6" s="54" customFormat="1" ht="16.5" customHeight="1">
      <c r="B115" s="44"/>
      <c r="C115" s="44"/>
      <c r="D115" s="44"/>
      <c r="E115" s="44"/>
      <c r="F115" s="44"/>
    </row>
    <row r="116" spans="2:6" s="54" customFormat="1" ht="16.5" customHeight="1">
      <c r="B116" s="44"/>
      <c r="C116" s="44"/>
      <c r="D116" s="44"/>
      <c r="E116" s="44"/>
      <c r="F116" s="44"/>
    </row>
    <row r="117" spans="2:6" s="54" customFormat="1" ht="16.5" customHeight="1">
      <c r="B117" s="44"/>
      <c r="C117" s="44"/>
      <c r="D117" s="44"/>
      <c r="E117" s="44"/>
      <c r="F117" s="44"/>
    </row>
    <row r="118" spans="2:6" s="54" customFormat="1" ht="16.5" customHeight="1">
      <c r="B118" s="44"/>
      <c r="C118" s="44"/>
      <c r="D118" s="44"/>
      <c r="E118" s="44"/>
      <c r="F118" s="44"/>
    </row>
    <row r="119" spans="2:6" s="54" customFormat="1" ht="16.5" customHeight="1">
      <c r="B119" s="44"/>
      <c r="C119" s="44"/>
      <c r="D119" s="44"/>
      <c r="E119" s="44"/>
      <c r="F119" s="44"/>
    </row>
    <row r="120" spans="2:6" s="54" customFormat="1" ht="16.5" customHeight="1">
      <c r="B120" s="44"/>
      <c r="C120" s="44"/>
      <c r="D120" s="44"/>
      <c r="E120" s="44"/>
      <c r="F120" s="44"/>
    </row>
    <row r="121" spans="2:6" s="54" customFormat="1" ht="16.5" customHeight="1">
      <c r="B121" s="44"/>
      <c r="C121" s="44"/>
      <c r="D121" s="44"/>
      <c r="E121" s="44"/>
      <c r="F121" s="44"/>
    </row>
    <row r="122" spans="2:6" s="54" customFormat="1" ht="16.5" customHeight="1">
      <c r="B122" s="44"/>
      <c r="C122" s="44"/>
      <c r="D122" s="44"/>
      <c r="E122" s="44"/>
      <c r="F122" s="44"/>
    </row>
    <row r="123" spans="2:6" s="54" customFormat="1" ht="16.5" customHeight="1">
      <c r="B123" s="44"/>
      <c r="C123" s="44"/>
      <c r="D123" s="44"/>
      <c r="E123" s="44"/>
      <c r="F123" s="44"/>
    </row>
    <row r="124" spans="2:6" s="54" customFormat="1" ht="16.5" customHeight="1">
      <c r="B124" s="44"/>
      <c r="C124" s="44"/>
      <c r="D124" s="44"/>
      <c r="E124" s="44"/>
      <c r="F124" s="44"/>
    </row>
    <row r="125" spans="2:6" s="54" customFormat="1" ht="16.5" customHeight="1">
      <c r="B125" s="44"/>
      <c r="C125" s="44"/>
      <c r="D125" s="44"/>
      <c r="E125" s="44"/>
      <c r="F125" s="44"/>
    </row>
    <row r="126" spans="2:6" s="54" customFormat="1" ht="16.5" customHeight="1">
      <c r="B126" s="44"/>
      <c r="C126" s="44"/>
      <c r="D126" s="44"/>
      <c r="E126" s="44"/>
      <c r="F126" s="44"/>
    </row>
    <row r="127" spans="2:6" s="54" customFormat="1" ht="16.5" customHeight="1">
      <c r="B127" s="44"/>
      <c r="C127" s="44"/>
      <c r="D127" s="44"/>
      <c r="E127" s="44"/>
      <c r="F127" s="44"/>
    </row>
    <row r="128" spans="2:6" s="54" customFormat="1" ht="16.5" customHeight="1">
      <c r="B128" s="44"/>
      <c r="C128" s="44"/>
      <c r="D128" s="44"/>
      <c r="E128" s="44"/>
      <c r="F128" s="44"/>
    </row>
    <row r="129" spans="2:6" s="54" customFormat="1" ht="16.5" customHeight="1">
      <c r="B129" s="44"/>
      <c r="C129" s="44"/>
      <c r="D129" s="44"/>
      <c r="E129" s="44"/>
      <c r="F129" s="44"/>
    </row>
    <row r="130" spans="2:6" s="54" customFormat="1" ht="16.5" customHeight="1">
      <c r="B130" s="44"/>
      <c r="C130" s="44"/>
      <c r="D130" s="44"/>
      <c r="E130" s="44"/>
      <c r="F130" s="44"/>
    </row>
    <row r="131" spans="2:6" s="54" customFormat="1" ht="16.5" customHeight="1">
      <c r="B131" s="44"/>
      <c r="C131" s="44"/>
      <c r="D131" s="44"/>
      <c r="E131" s="44"/>
      <c r="F131" s="44"/>
    </row>
    <row r="132" spans="2:6" s="54" customFormat="1" ht="16.5" customHeight="1">
      <c r="B132" s="44"/>
      <c r="C132" s="44"/>
      <c r="D132" s="44"/>
      <c r="E132" s="44"/>
      <c r="F132" s="44"/>
    </row>
    <row r="133" spans="2:6" s="54" customFormat="1" ht="16.5" customHeight="1">
      <c r="B133" s="44"/>
      <c r="C133" s="44"/>
      <c r="D133" s="44"/>
      <c r="E133" s="44"/>
      <c r="F133" s="44"/>
    </row>
    <row r="134" spans="2:6" s="54" customFormat="1" ht="16.5" customHeight="1">
      <c r="B134" s="44"/>
      <c r="C134" s="44"/>
      <c r="D134" s="44"/>
      <c r="E134" s="44"/>
      <c r="F134" s="44"/>
    </row>
    <row r="135" spans="2:6" s="54" customFormat="1" ht="16.5" customHeight="1">
      <c r="B135" s="44"/>
      <c r="C135" s="44"/>
      <c r="D135" s="44"/>
      <c r="E135" s="44"/>
      <c r="F135" s="44"/>
    </row>
    <row r="136" spans="2:6" s="54" customFormat="1" ht="16.5" customHeight="1">
      <c r="B136" s="44"/>
      <c r="C136" s="44"/>
      <c r="D136" s="44"/>
      <c r="E136" s="44"/>
      <c r="F136" s="44"/>
    </row>
    <row r="137" spans="2:6" s="54" customFormat="1" ht="16.5" customHeight="1">
      <c r="B137" s="44"/>
      <c r="C137" s="44"/>
      <c r="D137" s="44"/>
      <c r="E137" s="44"/>
      <c r="F137" s="44"/>
    </row>
    <row r="138" spans="2:6" s="54" customFormat="1" ht="16.5" customHeight="1">
      <c r="B138" s="44"/>
      <c r="C138" s="44"/>
      <c r="D138" s="44"/>
      <c r="E138" s="44"/>
      <c r="F138" s="44"/>
    </row>
    <row r="139" spans="2:6" s="54" customFormat="1" ht="16.5" customHeight="1">
      <c r="B139" s="44"/>
      <c r="C139" s="44"/>
      <c r="D139" s="44"/>
      <c r="E139" s="44"/>
      <c r="F139" s="44"/>
    </row>
    <row r="140" spans="2:6" s="54" customFormat="1" ht="16.5" customHeight="1">
      <c r="B140" s="44"/>
      <c r="C140" s="44"/>
      <c r="D140" s="44"/>
      <c r="E140" s="44"/>
      <c r="F140" s="44"/>
    </row>
    <row r="141" spans="2:6" s="54" customFormat="1" ht="16.5" customHeight="1">
      <c r="B141" s="44"/>
      <c r="C141" s="44"/>
      <c r="D141" s="44"/>
      <c r="E141" s="44"/>
      <c r="F141" s="44"/>
    </row>
    <row r="142" spans="2:6" s="54" customFormat="1" ht="16.5" customHeight="1">
      <c r="B142" s="44"/>
      <c r="C142" s="44"/>
      <c r="D142" s="44"/>
      <c r="E142" s="44"/>
      <c r="F142" s="44"/>
    </row>
    <row r="143" spans="2:6" s="54" customFormat="1" ht="16.5" customHeight="1">
      <c r="B143" s="44"/>
      <c r="C143" s="44"/>
      <c r="D143" s="44"/>
      <c r="E143" s="44"/>
      <c r="F143" s="44"/>
    </row>
    <row r="144" spans="2:6" s="54" customFormat="1" ht="16.5" customHeight="1">
      <c r="B144" s="44"/>
      <c r="C144" s="44"/>
      <c r="D144" s="44"/>
      <c r="E144" s="44"/>
      <c r="F144" s="44"/>
    </row>
    <row r="145" spans="2:6" s="54" customFormat="1" ht="16.5" customHeight="1">
      <c r="B145" s="44"/>
      <c r="C145" s="44"/>
      <c r="D145" s="44"/>
      <c r="E145" s="44"/>
      <c r="F145" s="44"/>
    </row>
    <row r="146" spans="2:6" s="54" customFormat="1" ht="16.5" customHeight="1">
      <c r="B146" s="44"/>
      <c r="C146" s="44"/>
      <c r="D146" s="44"/>
      <c r="E146" s="44"/>
      <c r="F146" s="44"/>
    </row>
    <row r="147" spans="2:6" s="54" customFormat="1" ht="16.5" customHeight="1">
      <c r="B147" s="44"/>
      <c r="C147" s="44"/>
      <c r="D147" s="44"/>
      <c r="E147" s="44"/>
      <c r="F147" s="44"/>
    </row>
    <row r="148" spans="2:6" s="54" customFormat="1" ht="16.5" customHeight="1">
      <c r="B148" s="44"/>
      <c r="C148" s="44"/>
      <c r="D148" s="44"/>
      <c r="E148" s="44"/>
      <c r="F148" s="44"/>
    </row>
    <row r="149" spans="2:6" s="54" customFormat="1" ht="16.5" customHeight="1">
      <c r="B149" s="44"/>
      <c r="C149" s="44"/>
      <c r="D149" s="44"/>
      <c r="E149" s="44"/>
      <c r="F149" s="44"/>
    </row>
    <row r="150" spans="2:6" s="54" customFormat="1" ht="16.5" customHeight="1">
      <c r="B150" s="44"/>
      <c r="C150" s="44"/>
      <c r="D150" s="44"/>
      <c r="E150" s="44"/>
      <c r="F150" s="44"/>
    </row>
    <row r="151" spans="2:6" s="54" customFormat="1" ht="16.5" customHeight="1">
      <c r="B151" s="44"/>
      <c r="C151" s="44"/>
      <c r="D151" s="44"/>
      <c r="E151" s="44"/>
      <c r="F151" s="44"/>
    </row>
    <row r="152" spans="2:6" s="54" customFormat="1" ht="16.5" customHeight="1">
      <c r="B152" s="44"/>
      <c r="C152" s="44"/>
      <c r="D152" s="44"/>
      <c r="E152" s="44"/>
      <c r="F152" s="44"/>
    </row>
    <row r="153" spans="2:6" s="54" customFormat="1" ht="16.5" customHeight="1">
      <c r="B153" s="44"/>
      <c r="C153" s="44"/>
      <c r="D153" s="44"/>
      <c r="E153" s="44"/>
      <c r="F153" s="44"/>
    </row>
    <row r="154" spans="2:6" s="54" customFormat="1" ht="16.5" customHeight="1">
      <c r="B154" s="44"/>
      <c r="C154" s="44"/>
      <c r="D154" s="44"/>
      <c r="E154" s="44"/>
      <c r="F154" s="44"/>
    </row>
    <row r="155" spans="2:6" s="54" customFormat="1" ht="16.5" customHeight="1">
      <c r="B155" s="44"/>
      <c r="C155" s="44"/>
      <c r="D155" s="44"/>
      <c r="E155" s="44"/>
      <c r="F155" s="44"/>
    </row>
    <row r="156" spans="2:6" s="54" customFormat="1" ht="16.5" customHeight="1">
      <c r="B156" s="44"/>
      <c r="C156" s="44"/>
      <c r="D156" s="44"/>
      <c r="E156" s="44"/>
      <c r="F156" s="44"/>
    </row>
    <row r="157" spans="2:6" s="54" customFormat="1" ht="16.5" customHeight="1">
      <c r="B157" s="44"/>
      <c r="C157" s="44"/>
      <c r="D157" s="44"/>
      <c r="E157" s="44"/>
      <c r="F157" s="44"/>
    </row>
    <row r="158" spans="2:6" s="54" customFormat="1" ht="16.5" customHeight="1">
      <c r="B158" s="44"/>
      <c r="C158" s="44"/>
      <c r="D158" s="44"/>
      <c r="E158" s="44"/>
      <c r="F158" s="44"/>
    </row>
    <row r="159" spans="2:6" s="54" customFormat="1" ht="16.5" customHeight="1">
      <c r="B159" s="44"/>
      <c r="C159" s="44"/>
      <c r="D159" s="44"/>
      <c r="E159" s="44"/>
      <c r="F159" s="44"/>
    </row>
    <row r="160" spans="2:6" s="54" customFormat="1" ht="16.5" customHeight="1">
      <c r="B160" s="44"/>
      <c r="C160" s="44"/>
      <c r="D160" s="44"/>
      <c r="E160" s="44"/>
      <c r="F160" s="44"/>
    </row>
    <row r="161" spans="2:6" s="54" customFormat="1" ht="16.5" customHeight="1">
      <c r="B161" s="44"/>
      <c r="C161" s="44"/>
      <c r="D161" s="44"/>
      <c r="E161" s="44"/>
      <c r="F161" s="44"/>
    </row>
    <row r="162" spans="2:6" s="54" customFormat="1" ht="16.5" customHeight="1">
      <c r="B162" s="44"/>
      <c r="C162" s="44"/>
      <c r="D162" s="44"/>
      <c r="E162" s="44"/>
      <c r="F162" s="44"/>
    </row>
    <row r="163" spans="2:6" s="54" customFormat="1" ht="16.5" customHeight="1">
      <c r="B163" s="44"/>
      <c r="C163" s="44"/>
      <c r="D163" s="44"/>
      <c r="E163" s="44"/>
      <c r="F163" s="44"/>
    </row>
    <row r="164" spans="2:6" s="54" customFormat="1" ht="16.5" customHeight="1">
      <c r="B164" s="44"/>
      <c r="C164" s="44"/>
      <c r="D164" s="44"/>
      <c r="E164" s="44"/>
      <c r="F164" s="44"/>
    </row>
    <row r="165" spans="2:6" s="54" customFormat="1" ht="16.5" customHeight="1">
      <c r="B165" s="44"/>
      <c r="C165" s="44"/>
      <c r="D165" s="44"/>
      <c r="E165" s="44"/>
      <c r="F165" s="44"/>
    </row>
    <row r="166" spans="2:6" s="54" customFormat="1" ht="16.5" customHeight="1">
      <c r="B166" s="44"/>
      <c r="C166" s="44"/>
      <c r="D166" s="44"/>
      <c r="E166" s="44"/>
      <c r="F166" s="44"/>
    </row>
    <row r="167" spans="2:6" s="54" customFormat="1" ht="16.5" customHeight="1">
      <c r="B167" s="44"/>
      <c r="C167" s="53"/>
      <c r="D167" s="44"/>
      <c r="E167" s="44"/>
      <c r="F167" s="44"/>
    </row>
    <row r="168" spans="2:6" s="54" customFormat="1" ht="16.5" customHeight="1">
      <c r="B168" s="44"/>
      <c r="C168" s="44"/>
      <c r="D168" s="44"/>
      <c r="E168" s="44"/>
      <c r="F168" s="44"/>
    </row>
    <row r="169" spans="2:6" s="54" customFormat="1" ht="16.5" customHeight="1">
      <c r="B169" s="44"/>
      <c r="C169" s="53"/>
      <c r="D169" s="44"/>
      <c r="E169" s="44"/>
      <c r="F169" s="44"/>
    </row>
    <row r="170" spans="2:6" s="54" customFormat="1" ht="16.5" customHeight="1">
      <c r="B170" s="44"/>
      <c r="C170" s="44"/>
      <c r="D170" s="44"/>
      <c r="E170" s="44"/>
      <c r="F170" s="44"/>
    </row>
    <row r="171" spans="2:6" s="54" customFormat="1" ht="16.5" customHeight="1">
      <c r="B171" s="44"/>
      <c r="C171" s="44"/>
      <c r="D171" s="44"/>
      <c r="E171" s="44"/>
      <c r="F171" s="44"/>
    </row>
    <row r="172" spans="2:6" s="54" customFormat="1" ht="16.5" customHeight="1">
      <c r="B172" s="44"/>
      <c r="C172" s="44"/>
      <c r="D172" s="44"/>
      <c r="E172" s="44"/>
      <c r="F172" s="44"/>
    </row>
    <row r="173" spans="2:6" s="54" customFormat="1" ht="16.5" customHeight="1">
      <c r="B173" s="44"/>
      <c r="C173" s="44"/>
      <c r="D173" s="44"/>
      <c r="E173" s="44"/>
      <c r="F173" s="44"/>
    </row>
    <row r="174" spans="2:6" s="54" customFormat="1" ht="16.5" customHeight="1">
      <c r="B174" s="44"/>
      <c r="C174" s="44"/>
      <c r="D174" s="44"/>
      <c r="E174" s="44"/>
      <c r="F174" s="44"/>
    </row>
    <row r="175" spans="2:6" s="54" customFormat="1" ht="16.5" customHeight="1">
      <c r="B175" s="44"/>
      <c r="C175" s="53"/>
      <c r="D175" s="44"/>
      <c r="E175" s="44"/>
      <c r="F175" s="44"/>
    </row>
    <row r="176" spans="2:6" s="54" customFormat="1" ht="16.5" customHeight="1">
      <c r="B176" s="44"/>
      <c r="C176" s="53"/>
      <c r="D176" s="44"/>
      <c r="E176" s="44"/>
      <c r="F176" s="44"/>
    </row>
    <row r="177" spans="2:6" s="54" customFormat="1" ht="16.5" customHeight="1">
      <c r="B177" s="44"/>
      <c r="C177" s="53"/>
      <c r="D177" s="44"/>
      <c r="E177" s="44"/>
      <c r="F177" s="44"/>
    </row>
    <row r="178" spans="2:6" s="54" customFormat="1" ht="16.5" customHeight="1">
      <c r="B178" s="44"/>
      <c r="C178" s="44"/>
      <c r="D178" s="44"/>
      <c r="E178" s="44"/>
      <c r="F178" s="44"/>
    </row>
    <row r="179" spans="2:6" s="54" customFormat="1" ht="16.5" customHeight="1">
      <c r="B179" s="44"/>
      <c r="C179" s="53"/>
      <c r="D179" s="44"/>
      <c r="E179" s="44"/>
      <c r="F179" s="44"/>
    </row>
    <row r="180" spans="2:6" s="54" customFormat="1" ht="16.5" customHeight="1">
      <c r="B180" s="44"/>
      <c r="C180" s="53"/>
      <c r="D180" s="44"/>
      <c r="E180" s="44"/>
      <c r="F180" s="44"/>
    </row>
    <row r="181" spans="2:6" s="54" customFormat="1" ht="16.5" customHeight="1">
      <c r="B181" s="44"/>
      <c r="C181" s="53"/>
      <c r="D181" s="44"/>
      <c r="E181" s="44"/>
      <c r="F181" s="44"/>
    </row>
    <row r="182" spans="2:6" s="54" customFormat="1" ht="16.5" customHeight="1">
      <c r="B182" s="44"/>
      <c r="C182" s="44"/>
      <c r="D182" s="44"/>
      <c r="E182" s="44"/>
      <c r="F182" s="44"/>
    </row>
    <row r="183" spans="2:6" s="54" customFormat="1" ht="16.5" customHeight="1">
      <c r="B183" s="44"/>
      <c r="C183" s="44"/>
      <c r="D183" s="44"/>
      <c r="E183" s="44"/>
      <c r="F183" s="44"/>
    </row>
    <row r="184" spans="2:6" s="54" customFormat="1" ht="16.5" customHeight="1">
      <c r="B184" s="44"/>
      <c r="C184" s="44"/>
      <c r="D184" s="44"/>
      <c r="E184" s="44"/>
      <c r="F184" s="44"/>
    </row>
    <row r="185" spans="2:6" s="54" customFormat="1" ht="16.5" customHeight="1">
      <c r="B185" s="44"/>
      <c r="C185" s="44"/>
      <c r="D185" s="44"/>
      <c r="E185" s="44"/>
      <c r="F185" s="44"/>
    </row>
    <row r="186" spans="2:6" s="54" customFormat="1" ht="16.5" customHeight="1">
      <c r="B186" s="44"/>
      <c r="C186" s="53"/>
      <c r="D186" s="44"/>
      <c r="E186" s="44"/>
      <c r="F186" s="44"/>
    </row>
    <row r="187" spans="2:6" s="54" customFormat="1" ht="16.5" customHeight="1">
      <c r="B187" s="44"/>
      <c r="C187" s="44"/>
      <c r="D187" s="44"/>
      <c r="E187" s="44"/>
      <c r="F187" s="44"/>
    </row>
    <row r="188" spans="2:6" s="54" customFormat="1" ht="16.5" customHeight="1">
      <c r="B188" s="44"/>
      <c r="C188" s="44"/>
      <c r="D188" s="44"/>
      <c r="E188" s="44"/>
      <c r="F188" s="44"/>
    </row>
    <row r="189" spans="2:6" s="54" customFormat="1" ht="16.5" customHeight="1">
      <c r="B189" s="44"/>
      <c r="C189" s="44"/>
      <c r="D189" s="44"/>
      <c r="E189" s="44"/>
      <c r="F189" s="44"/>
    </row>
    <row r="190" spans="2:6" s="54" customFormat="1" ht="16.5" customHeight="1">
      <c r="B190" s="44"/>
      <c r="C190" s="44"/>
      <c r="D190" s="44"/>
      <c r="E190" s="44"/>
      <c r="F190" s="44"/>
    </row>
    <row r="191" spans="2:6" s="54" customFormat="1" ht="16.5" customHeight="1">
      <c r="B191" s="44"/>
      <c r="C191" s="44"/>
      <c r="D191" s="44"/>
      <c r="E191" s="44"/>
      <c r="F191" s="44"/>
    </row>
    <row r="192" spans="2:6" s="54" customFormat="1" ht="16.5" customHeight="1">
      <c r="B192" s="44"/>
      <c r="C192" s="44"/>
      <c r="D192" s="44"/>
      <c r="E192" s="44"/>
      <c r="F192" s="44"/>
    </row>
    <row r="193" spans="2:6" s="54" customFormat="1" ht="16.5" customHeight="1">
      <c r="B193" s="44"/>
      <c r="C193" s="44"/>
      <c r="D193" s="44"/>
      <c r="E193" s="44"/>
      <c r="F193" s="44"/>
    </row>
    <row r="194" spans="2:6" s="54" customFormat="1" ht="16.5" customHeight="1">
      <c r="B194" s="44"/>
      <c r="C194" s="44"/>
      <c r="D194" s="44"/>
      <c r="E194" s="44"/>
      <c r="F194" s="44"/>
    </row>
    <row r="195" spans="2:6" s="54" customFormat="1" ht="16.5" customHeight="1">
      <c r="B195" s="44"/>
      <c r="C195" s="44"/>
      <c r="D195" s="44"/>
      <c r="E195" s="44"/>
      <c r="F195" s="44"/>
    </row>
    <row r="196" spans="2:6" s="54" customFormat="1" ht="16.5" customHeight="1">
      <c r="B196" s="44"/>
      <c r="C196" s="44"/>
      <c r="D196" s="44"/>
      <c r="E196" s="44"/>
      <c r="F196" s="44"/>
    </row>
    <row r="197" spans="2:6" s="54" customFormat="1" ht="16.5" customHeight="1">
      <c r="B197" s="44"/>
      <c r="C197" s="44"/>
      <c r="D197" s="44"/>
      <c r="E197" s="44"/>
      <c r="F197" s="44"/>
    </row>
    <row r="198" spans="2:6" s="54" customFormat="1" ht="16.5" customHeight="1">
      <c r="B198" s="44"/>
      <c r="C198" s="53"/>
      <c r="D198" s="44"/>
      <c r="E198" s="44"/>
      <c r="F198" s="44"/>
    </row>
    <row r="199" spans="2:6" s="54" customFormat="1" ht="16.5" customHeight="1">
      <c r="B199" s="44"/>
      <c r="C199" s="44"/>
      <c r="D199" s="44"/>
      <c r="E199" s="44"/>
      <c r="F199" s="44"/>
    </row>
    <row r="200" spans="2:6" s="54" customFormat="1" ht="16.5" customHeight="1">
      <c r="B200" s="44"/>
      <c r="C200" s="44"/>
      <c r="D200" s="44"/>
      <c r="E200" s="44"/>
      <c r="F200" s="44"/>
    </row>
    <row r="201" spans="2:6" s="54" customFormat="1" ht="16.5" customHeight="1">
      <c r="B201" s="44"/>
      <c r="C201" s="44"/>
      <c r="D201" s="44"/>
      <c r="E201" s="44"/>
      <c r="F201" s="44"/>
    </row>
    <row r="202" spans="2:6" s="54" customFormat="1" ht="16.5" customHeight="1">
      <c r="B202" s="44"/>
      <c r="C202" s="44"/>
      <c r="D202" s="44"/>
      <c r="E202" s="44"/>
      <c r="F202" s="44"/>
    </row>
    <row r="203" spans="2:6" s="54" customFormat="1" ht="16.5" customHeight="1">
      <c r="B203" s="44"/>
      <c r="C203" s="53"/>
      <c r="D203" s="44"/>
      <c r="E203" s="44"/>
      <c r="F203" s="44"/>
    </row>
    <row r="204" spans="2:6" s="54" customFormat="1" ht="16.5" customHeight="1">
      <c r="B204" s="44"/>
      <c r="C204" s="44"/>
      <c r="D204" s="44"/>
      <c r="E204" s="44"/>
      <c r="F204" s="44"/>
    </row>
    <row r="205" spans="2:6" s="54" customFormat="1" ht="16.5" customHeight="1">
      <c r="B205" s="44"/>
      <c r="C205" s="44"/>
      <c r="D205" s="44"/>
      <c r="E205" s="44"/>
      <c r="F205" s="44"/>
    </row>
    <row r="206" spans="2:6" s="54" customFormat="1" ht="16.5" customHeight="1">
      <c r="B206" s="44"/>
      <c r="C206" s="44"/>
      <c r="D206" s="44"/>
      <c r="E206" s="44"/>
      <c r="F206" s="44"/>
    </row>
    <row r="207" spans="2:6" s="54" customFormat="1" ht="16.5" customHeight="1">
      <c r="B207" s="44"/>
      <c r="C207" s="53"/>
      <c r="D207" s="44"/>
      <c r="E207" s="44"/>
      <c r="F207" s="44"/>
    </row>
    <row r="208" spans="2:6" s="54" customFormat="1" ht="16.5" customHeight="1">
      <c r="B208" s="44"/>
      <c r="C208" s="44"/>
      <c r="D208" s="44"/>
      <c r="E208" s="44"/>
      <c r="F208" s="44"/>
    </row>
    <row r="209" spans="2:6" s="54" customFormat="1" ht="16.5" customHeight="1">
      <c r="B209" s="44"/>
      <c r="C209" s="53"/>
      <c r="D209" s="44"/>
      <c r="E209" s="44"/>
      <c r="F209" s="44"/>
    </row>
    <row r="210" spans="2:6" s="54" customFormat="1" ht="16.5" customHeight="1">
      <c r="B210" s="44"/>
      <c r="C210" s="53"/>
      <c r="D210" s="44"/>
      <c r="E210" s="44"/>
      <c r="F210" s="44"/>
    </row>
    <row r="211" spans="2:6" s="54" customFormat="1" ht="16.5" customHeight="1">
      <c r="B211" s="44"/>
      <c r="C211" s="53"/>
      <c r="D211" s="44"/>
      <c r="E211" s="44"/>
      <c r="F211" s="44"/>
    </row>
    <row r="212" spans="2:6" s="54" customFormat="1" ht="16.5" customHeight="1">
      <c r="B212" s="44"/>
      <c r="C212" s="53"/>
      <c r="D212" s="44"/>
      <c r="E212" s="44"/>
      <c r="F212" s="44"/>
    </row>
    <row r="213" spans="2:6" s="54" customFormat="1" ht="16.5" customHeight="1">
      <c r="B213" s="44"/>
      <c r="C213" s="44"/>
      <c r="D213" s="44"/>
      <c r="E213" s="44"/>
      <c r="F213" s="44"/>
    </row>
    <row r="214" spans="2:6" s="54" customFormat="1" ht="16.5" customHeight="1">
      <c r="B214" s="44"/>
      <c r="C214" s="44"/>
      <c r="D214" s="44"/>
      <c r="E214" s="44"/>
      <c r="F214" s="44"/>
    </row>
    <row r="215" spans="2:6" s="54" customFormat="1" ht="16.5" customHeight="1">
      <c r="B215" s="44"/>
      <c r="C215" s="53"/>
      <c r="D215" s="44"/>
      <c r="E215" s="44"/>
      <c r="F215" s="44"/>
    </row>
    <row r="216" spans="2:6" s="54" customFormat="1" ht="16.5" customHeight="1">
      <c r="B216" s="44"/>
      <c r="C216" s="53"/>
      <c r="D216" s="44"/>
      <c r="E216" s="44"/>
      <c r="F216" s="44"/>
    </row>
    <row r="217" spans="2:6" s="54" customFormat="1" ht="16.5" customHeight="1">
      <c r="B217" s="44"/>
      <c r="C217" s="53"/>
      <c r="D217" s="44"/>
      <c r="E217" s="44"/>
      <c r="F217" s="44"/>
    </row>
    <row r="218" spans="2:6" s="54" customFormat="1" ht="16.5" customHeight="1">
      <c r="B218" s="44"/>
      <c r="C218" s="53"/>
      <c r="D218" s="44"/>
      <c r="E218" s="44"/>
      <c r="F218" s="44"/>
    </row>
    <row r="219" spans="2:6" s="54" customFormat="1" ht="16.5" customHeight="1">
      <c r="B219" s="44"/>
      <c r="C219" s="53"/>
      <c r="D219" s="44"/>
      <c r="E219" s="44"/>
      <c r="F219" s="44"/>
    </row>
    <row r="220" spans="2:6" s="54" customFormat="1" ht="16.5" customHeight="1">
      <c r="B220" s="44"/>
      <c r="C220" s="44"/>
      <c r="D220" s="44"/>
      <c r="E220" s="44"/>
      <c r="F220" s="44"/>
    </row>
    <row r="221" spans="2:6" s="54" customFormat="1" ht="16.5" customHeight="1">
      <c r="B221" s="44"/>
      <c r="C221" s="44"/>
      <c r="D221" s="44"/>
      <c r="E221" s="44"/>
      <c r="F221" s="44"/>
    </row>
    <row r="222" spans="2:6" s="54" customFormat="1" ht="16.5" customHeight="1">
      <c r="B222" s="44"/>
      <c r="C222" s="44"/>
      <c r="D222" s="44"/>
      <c r="E222" s="44"/>
      <c r="F222" s="44"/>
    </row>
    <row r="223" spans="2:6" s="54" customFormat="1" ht="16.5" customHeight="1">
      <c r="B223" s="44"/>
      <c r="C223" s="44"/>
      <c r="D223" s="44"/>
      <c r="E223" s="44"/>
      <c r="F223" s="44"/>
    </row>
    <row r="224" spans="2:6" s="54" customFormat="1" ht="16.5" customHeight="1">
      <c r="B224" s="44"/>
      <c r="C224" s="53"/>
      <c r="D224" s="44"/>
      <c r="E224" s="44"/>
      <c r="F224" s="44"/>
    </row>
    <row r="225" spans="2:6" s="54" customFormat="1" ht="16.5" customHeight="1">
      <c r="B225" s="44"/>
      <c r="C225" s="53"/>
      <c r="D225" s="44"/>
      <c r="E225" s="44"/>
      <c r="F225" s="44"/>
    </row>
    <row r="226" spans="2:6" s="54" customFormat="1" ht="16.5" customHeight="1">
      <c r="B226" s="44"/>
      <c r="C226" s="44"/>
      <c r="D226" s="44"/>
      <c r="E226" s="44"/>
      <c r="F226" s="44"/>
    </row>
    <row r="227" spans="2:6" s="54" customFormat="1" ht="16.5" customHeight="1">
      <c r="B227" s="44"/>
      <c r="C227" s="53"/>
      <c r="D227" s="44"/>
      <c r="E227" s="44"/>
      <c r="F227" s="44"/>
    </row>
    <row r="228" spans="2:6" s="54" customFormat="1" ht="16.5" customHeight="1">
      <c r="B228" s="44"/>
      <c r="C228" s="44"/>
      <c r="D228" s="44"/>
      <c r="E228" s="44"/>
      <c r="F228" s="44"/>
    </row>
    <row r="229" spans="2:6" s="54" customFormat="1" ht="16.5" customHeight="1">
      <c r="B229" s="44"/>
      <c r="C229" s="53"/>
      <c r="D229" s="44"/>
      <c r="E229" s="44"/>
      <c r="F229" s="44"/>
    </row>
    <row r="230" spans="2:6" s="54" customFormat="1" ht="16.5" customHeight="1">
      <c r="B230" s="44"/>
      <c r="C230" s="53"/>
      <c r="D230" s="44"/>
      <c r="E230" s="44"/>
      <c r="F230" s="44"/>
    </row>
    <row r="231" spans="2:6" s="54" customFormat="1" ht="16.5" customHeight="1">
      <c r="B231" s="44"/>
      <c r="C231" s="53"/>
      <c r="D231" s="44"/>
      <c r="E231" s="44"/>
      <c r="F231" s="44"/>
    </row>
    <row r="232" spans="2:6" s="54" customFormat="1" ht="16.5" customHeight="1">
      <c r="B232" s="44"/>
      <c r="C232" s="44"/>
      <c r="D232" s="44"/>
      <c r="E232" s="44"/>
      <c r="F232" s="44"/>
    </row>
    <row r="233" spans="2:6" s="54" customFormat="1" ht="16.5" customHeight="1">
      <c r="B233" s="44"/>
      <c r="C233" s="53"/>
      <c r="D233" s="44"/>
      <c r="E233" s="44"/>
      <c r="F233" s="44"/>
    </row>
    <row r="234" spans="2:6" s="54" customFormat="1" ht="16.5" customHeight="1">
      <c r="B234" s="44"/>
      <c r="C234" s="53"/>
      <c r="D234" s="44"/>
      <c r="E234" s="44"/>
      <c r="F234" s="44"/>
    </row>
    <row r="235" spans="2:6" s="54" customFormat="1" ht="16.5" customHeight="1">
      <c r="B235" s="44"/>
      <c r="C235" s="53"/>
      <c r="D235" s="44"/>
      <c r="E235" s="44"/>
      <c r="F235" s="44"/>
    </row>
    <row r="236" spans="2:6" s="54" customFormat="1" ht="16.5" customHeight="1">
      <c r="B236" s="44"/>
      <c r="C236" s="44"/>
      <c r="D236" s="44"/>
      <c r="E236" s="44"/>
      <c r="F236" s="44"/>
    </row>
    <row r="237" spans="2:6" s="54" customFormat="1" ht="16.5" customHeight="1">
      <c r="B237" s="44"/>
      <c r="C237" s="44"/>
      <c r="D237" s="44"/>
      <c r="E237" s="44"/>
      <c r="F237" s="44"/>
    </row>
    <row r="238" spans="2:6" s="54" customFormat="1" ht="16.5" customHeight="1">
      <c r="B238" s="44"/>
      <c r="C238" s="44"/>
      <c r="D238" s="44"/>
      <c r="E238" s="44"/>
      <c r="F238" s="44"/>
    </row>
    <row r="239" spans="2:6" s="54" customFormat="1" ht="16.5" customHeight="1">
      <c r="B239" s="44"/>
      <c r="C239" s="44"/>
      <c r="D239" s="44"/>
      <c r="E239" s="44"/>
      <c r="F239" s="44"/>
    </row>
    <row r="240" spans="2:6" s="54" customFormat="1" ht="16.5" customHeight="1">
      <c r="B240" s="44"/>
      <c r="C240" s="44"/>
      <c r="D240" s="44"/>
      <c r="E240" s="44"/>
      <c r="F240" s="44"/>
    </row>
    <row r="241" spans="2:6" s="54" customFormat="1" ht="16.5" customHeight="1">
      <c r="B241" s="44"/>
      <c r="C241" s="44"/>
      <c r="D241" s="44"/>
      <c r="E241" s="44"/>
      <c r="F241" s="44"/>
    </row>
    <row r="242" spans="2:6" s="54" customFormat="1" ht="16.5" customHeight="1">
      <c r="B242" s="44"/>
      <c r="C242" s="44"/>
      <c r="D242" s="44"/>
      <c r="E242" s="44"/>
      <c r="F242" s="44"/>
    </row>
    <row r="243" spans="2:6" s="54" customFormat="1" ht="16.5" customHeight="1">
      <c r="B243" s="44"/>
      <c r="C243" s="44"/>
      <c r="D243" s="44"/>
      <c r="E243" s="44"/>
      <c r="F243" s="44"/>
    </row>
    <row r="244" spans="2:6" s="54" customFormat="1" ht="16.5" customHeight="1">
      <c r="B244" s="44"/>
      <c r="C244" s="44"/>
      <c r="D244" s="44"/>
      <c r="E244" s="44"/>
      <c r="F244" s="44"/>
    </row>
    <row r="245" spans="2:6" s="54" customFormat="1" ht="16.5" customHeight="1">
      <c r="B245" s="44"/>
      <c r="C245" s="44"/>
      <c r="D245" s="44"/>
      <c r="E245" s="44"/>
      <c r="F245" s="44"/>
    </row>
    <row r="246" spans="2:6" s="54" customFormat="1" ht="16.5" customHeight="1">
      <c r="B246" s="44"/>
      <c r="C246" s="44"/>
      <c r="D246" s="44"/>
      <c r="E246" s="44"/>
      <c r="F246" s="44"/>
    </row>
    <row r="247" spans="2:6" s="54" customFormat="1" ht="16.5" customHeight="1">
      <c r="B247" s="44"/>
      <c r="C247" s="44"/>
      <c r="D247" s="44"/>
      <c r="E247" s="44"/>
      <c r="F247" s="44"/>
    </row>
    <row r="248" spans="2:6" s="54" customFormat="1" ht="16.5" customHeight="1">
      <c r="B248" s="44"/>
      <c r="C248" s="44"/>
      <c r="D248" s="44"/>
      <c r="E248" s="44"/>
      <c r="F248" s="44"/>
    </row>
    <row r="249" spans="2:6" s="54" customFormat="1" ht="16.5" customHeight="1">
      <c r="B249" s="44"/>
      <c r="C249" s="44"/>
      <c r="D249" s="44"/>
      <c r="E249" s="44"/>
      <c r="F249" s="44"/>
    </row>
    <row r="250" spans="2:6" s="54" customFormat="1" ht="16.5" customHeight="1">
      <c r="B250" s="44"/>
      <c r="C250" s="44"/>
      <c r="D250" s="44"/>
      <c r="E250" s="44"/>
      <c r="F250" s="44"/>
    </row>
    <row r="251" spans="2:6" s="54" customFormat="1" ht="16.5" customHeight="1">
      <c r="B251" s="44"/>
      <c r="C251" s="44"/>
      <c r="D251" s="44"/>
      <c r="E251" s="44"/>
      <c r="F251" s="44"/>
    </row>
    <row r="252" spans="2:6" s="54" customFormat="1" ht="16.5" customHeight="1">
      <c r="B252" s="44"/>
      <c r="C252" s="44"/>
      <c r="D252" s="44"/>
      <c r="E252" s="44"/>
      <c r="F252" s="44"/>
    </row>
    <row r="253" spans="2:6" s="54" customFormat="1" ht="16.5" customHeight="1">
      <c r="B253" s="44"/>
      <c r="C253" s="44"/>
      <c r="D253" s="44"/>
      <c r="E253" s="44"/>
      <c r="F253" s="44"/>
    </row>
    <row r="254" spans="2:6" s="54" customFormat="1" ht="16.5" customHeight="1">
      <c r="B254" s="44"/>
      <c r="C254" s="44"/>
      <c r="D254" s="44"/>
      <c r="E254" s="44"/>
      <c r="F254" s="44"/>
    </row>
    <row r="255" spans="2:6" s="54" customFormat="1" ht="16.5" customHeight="1">
      <c r="B255" s="44"/>
      <c r="C255" s="44"/>
      <c r="D255" s="44"/>
      <c r="E255" s="44"/>
      <c r="F255" s="44"/>
    </row>
    <row r="256" spans="2:6" s="54" customFormat="1" ht="16.5" customHeight="1">
      <c r="B256" s="44"/>
      <c r="C256" s="44"/>
      <c r="D256" s="44"/>
      <c r="E256" s="44"/>
      <c r="F256" s="44"/>
    </row>
    <row r="257" spans="2:6" s="54" customFormat="1" ht="16.5" customHeight="1">
      <c r="B257" s="44"/>
      <c r="C257" s="44"/>
      <c r="D257" s="44"/>
      <c r="E257" s="44"/>
      <c r="F257" s="44"/>
    </row>
    <row r="258" spans="2:6" s="54" customFormat="1" ht="16.5" customHeight="1">
      <c r="B258" s="44"/>
      <c r="C258" s="44"/>
      <c r="D258" s="44"/>
      <c r="E258" s="44"/>
      <c r="F258" s="44"/>
    </row>
    <row r="259" spans="2:6" s="54" customFormat="1" ht="16.5" customHeight="1">
      <c r="B259" s="44"/>
      <c r="C259" s="44"/>
      <c r="D259" s="44"/>
      <c r="E259" s="44"/>
      <c r="F259" s="44"/>
    </row>
    <row r="260" spans="2:6" s="54" customFormat="1" ht="16.5" customHeight="1">
      <c r="B260" s="44"/>
      <c r="C260" s="44"/>
      <c r="D260" s="44"/>
      <c r="E260" s="44"/>
      <c r="F260" s="44"/>
    </row>
    <row r="261" spans="2:6" s="54" customFormat="1" ht="16.5" customHeight="1">
      <c r="B261" s="44"/>
      <c r="C261" s="44"/>
      <c r="D261" s="44"/>
      <c r="E261" s="44"/>
      <c r="F261" s="44"/>
    </row>
    <row r="262" spans="2:6" s="54" customFormat="1" ht="16.5" customHeight="1">
      <c r="B262" s="44"/>
      <c r="C262" s="44"/>
      <c r="D262" s="44"/>
      <c r="E262" s="44"/>
      <c r="F262" s="44"/>
    </row>
    <row r="263" spans="2:6" s="54" customFormat="1" ht="16.5" customHeight="1">
      <c r="B263" s="44"/>
      <c r="C263" s="44"/>
      <c r="D263" s="44"/>
      <c r="E263" s="44"/>
      <c r="F263" s="44"/>
    </row>
    <row r="264" spans="2:6" s="54" customFormat="1" ht="16.5" customHeight="1">
      <c r="B264" s="44"/>
      <c r="C264" s="44"/>
      <c r="D264" s="44"/>
      <c r="E264" s="44"/>
      <c r="F264" s="44"/>
    </row>
    <row r="265" spans="2:6" s="54" customFormat="1" ht="16.5" customHeight="1">
      <c r="B265" s="44"/>
      <c r="C265" s="44"/>
      <c r="D265" s="44"/>
      <c r="E265" s="44"/>
      <c r="F265" s="44"/>
    </row>
    <row r="266" spans="2:6" s="54" customFormat="1" ht="16.5" customHeight="1">
      <c r="B266" s="44"/>
      <c r="C266" s="44"/>
      <c r="D266" s="44"/>
      <c r="E266" s="44"/>
      <c r="F266" s="44"/>
    </row>
    <row r="267" spans="2:6" s="54" customFormat="1" ht="16.5" customHeight="1">
      <c r="B267" s="44"/>
      <c r="C267" s="44"/>
      <c r="D267" s="44"/>
      <c r="E267" s="44"/>
      <c r="F267" s="44"/>
    </row>
    <row r="268" spans="2:6" s="54" customFormat="1" ht="16.5" customHeight="1">
      <c r="B268" s="44"/>
      <c r="C268" s="44"/>
      <c r="D268" s="44"/>
      <c r="E268" s="44"/>
      <c r="F268" s="44"/>
    </row>
    <row r="269" spans="2:6" s="54" customFormat="1" ht="16.5" customHeight="1">
      <c r="B269" s="44"/>
      <c r="C269" s="44"/>
      <c r="D269" s="44"/>
      <c r="E269" s="44"/>
      <c r="F269" s="44"/>
    </row>
    <row r="270" spans="2:6" s="54" customFormat="1" ht="16.5" customHeight="1">
      <c r="B270" s="44"/>
      <c r="C270" s="44"/>
      <c r="D270" s="44"/>
      <c r="E270" s="44"/>
      <c r="F270" s="44"/>
    </row>
    <row r="271" spans="2:6" s="54" customFormat="1" ht="16.5" customHeight="1">
      <c r="B271" s="44"/>
      <c r="C271" s="44"/>
      <c r="D271" s="44"/>
      <c r="E271" s="44"/>
      <c r="F271" s="44"/>
    </row>
    <row r="272" spans="2:6" s="54" customFormat="1" ht="16.5" customHeight="1">
      <c r="B272" s="44"/>
      <c r="C272" s="44"/>
      <c r="D272" s="44"/>
      <c r="E272" s="44"/>
      <c r="F272" s="44"/>
    </row>
    <row r="273" spans="2:6" s="54" customFormat="1" ht="16.5" customHeight="1">
      <c r="B273" s="44"/>
      <c r="C273" s="44"/>
      <c r="D273" s="44"/>
      <c r="E273" s="44"/>
      <c r="F273" s="44"/>
    </row>
    <row r="274" spans="2:6" s="54" customFormat="1" ht="16.5" customHeight="1">
      <c r="B274" s="44"/>
      <c r="C274" s="44"/>
      <c r="D274" s="44"/>
      <c r="E274" s="44"/>
      <c r="F274" s="44"/>
    </row>
    <row r="275" spans="2:6" s="54" customFormat="1" ht="16.5" customHeight="1">
      <c r="B275" s="44"/>
      <c r="C275" s="44"/>
      <c r="D275" s="44"/>
      <c r="E275" s="44"/>
      <c r="F275" s="44"/>
    </row>
    <row r="276" spans="2:6" s="54" customFormat="1" ht="16.5" customHeight="1">
      <c r="B276" s="44"/>
      <c r="C276" s="44"/>
      <c r="D276" s="44"/>
      <c r="E276" s="44"/>
      <c r="F276" s="44"/>
    </row>
    <row r="277" spans="2:6" s="54" customFormat="1" ht="16.5" customHeight="1">
      <c r="B277" s="44"/>
      <c r="C277" s="44"/>
      <c r="D277" s="44"/>
      <c r="E277" s="44"/>
      <c r="F277" s="44"/>
    </row>
    <row r="278" spans="2:6" s="54" customFormat="1" ht="16.5" customHeight="1">
      <c r="B278" s="44"/>
      <c r="C278" s="44"/>
      <c r="D278" s="44"/>
      <c r="E278" s="44"/>
      <c r="F278" s="44"/>
    </row>
    <row r="279" spans="2:6" s="54" customFormat="1" ht="16.5" customHeight="1">
      <c r="B279" s="44"/>
      <c r="C279" s="44"/>
      <c r="D279" s="44"/>
      <c r="E279" s="44"/>
      <c r="F279" s="44"/>
    </row>
    <row r="280" spans="2:6" s="54" customFormat="1" ht="16.5" customHeight="1">
      <c r="B280" s="44"/>
      <c r="C280" s="44"/>
      <c r="D280" s="44"/>
      <c r="E280" s="44"/>
      <c r="F280" s="44"/>
    </row>
    <row r="281" spans="2:6" s="54" customFormat="1" ht="16.5" customHeight="1">
      <c r="B281" s="44"/>
      <c r="C281" s="44"/>
      <c r="D281" s="44"/>
      <c r="E281" s="44"/>
      <c r="F281" s="44"/>
    </row>
    <row r="282" spans="2:6" s="54" customFormat="1" ht="16.5" customHeight="1">
      <c r="B282" s="44"/>
      <c r="C282" s="44"/>
      <c r="D282" s="44"/>
      <c r="E282" s="44"/>
      <c r="F282" s="44"/>
    </row>
    <row r="283" spans="2:6" s="54" customFormat="1" ht="16.5" customHeight="1">
      <c r="B283" s="44"/>
      <c r="C283" s="44"/>
      <c r="D283" s="44"/>
      <c r="E283" s="44"/>
      <c r="F283" s="44"/>
    </row>
    <row r="284" spans="2:6" s="54" customFormat="1" ht="16.5" customHeight="1">
      <c r="B284" s="44"/>
      <c r="C284" s="44"/>
      <c r="D284" s="44"/>
      <c r="E284" s="44"/>
      <c r="F284" s="44"/>
    </row>
    <row r="285" spans="2:6" s="54" customFormat="1" ht="16.5" customHeight="1">
      <c r="B285" s="44"/>
      <c r="C285" s="44"/>
      <c r="D285" s="44"/>
      <c r="E285" s="44"/>
      <c r="F285" s="44"/>
    </row>
    <row r="286" spans="2:6" s="54" customFormat="1" ht="16.5" customHeight="1">
      <c r="B286" s="44"/>
      <c r="C286" s="44"/>
      <c r="D286" s="44"/>
      <c r="E286" s="44"/>
      <c r="F286" s="44"/>
    </row>
    <row r="287" spans="2:6" s="54" customFormat="1" ht="16.5" customHeight="1">
      <c r="B287" s="44"/>
      <c r="C287" s="44"/>
      <c r="D287" s="44"/>
      <c r="E287" s="44"/>
      <c r="F287" s="44"/>
    </row>
    <row r="288" spans="2:6" s="54" customFormat="1" ht="16.5" customHeight="1">
      <c r="B288" s="44"/>
      <c r="C288" s="44"/>
      <c r="D288" s="44"/>
      <c r="E288" s="44"/>
      <c r="F288" s="44"/>
    </row>
    <row r="289" spans="2:6" s="54" customFormat="1" ht="16.5" customHeight="1">
      <c r="B289" s="44"/>
      <c r="C289" s="44"/>
      <c r="D289" s="44"/>
      <c r="E289" s="44"/>
      <c r="F289" s="44"/>
    </row>
    <row r="290" spans="2:6" s="54" customFormat="1" ht="16.5" customHeight="1">
      <c r="B290" s="44"/>
      <c r="C290" s="44"/>
      <c r="D290" s="44"/>
      <c r="E290" s="44"/>
      <c r="F290" s="44"/>
    </row>
    <row r="291" spans="2:6" s="54" customFormat="1" ht="16.5" customHeight="1">
      <c r="B291" s="44"/>
      <c r="C291" s="44"/>
      <c r="D291" s="44"/>
      <c r="E291" s="44"/>
      <c r="F291" s="44"/>
    </row>
    <row r="292" spans="2:6" s="54" customFormat="1" ht="16.5" customHeight="1">
      <c r="B292" s="44"/>
      <c r="C292" s="44"/>
      <c r="D292" s="44"/>
      <c r="E292" s="44"/>
      <c r="F292" s="44"/>
    </row>
    <row r="293" spans="2:6" s="54" customFormat="1" ht="16.5" customHeight="1">
      <c r="B293" s="44"/>
      <c r="C293" s="44"/>
      <c r="D293" s="44"/>
      <c r="E293" s="44"/>
      <c r="F293" s="44"/>
    </row>
    <row r="294" spans="2:6" s="54" customFormat="1" ht="16.5" customHeight="1">
      <c r="B294" s="44"/>
      <c r="C294" s="44"/>
      <c r="D294" s="44"/>
      <c r="E294" s="44"/>
      <c r="F294" s="44"/>
    </row>
    <row r="295" spans="2:6" s="54" customFormat="1" ht="16.5" customHeight="1">
      <c r="B295" s="44"/>
      <c r="C295" s="44"/>
      <c r="D295" s="44"/>
      <c r="E295" s="44"/>
      <c r="F295" s="44"/>
    </row>
    <row r="296" spans="2:6" s="54" customFormat="1" ht="16.5" customHeight="1">
      <c r="B296" s="44"/>
      <c r="C296" s="44"/>
      <c r="D296" s="44"/>
      <c r="E296" s="44"/>
      <c r="F296" s="44"/>
    </row>
    <row r="297" spans="2:6" s="54" customFormat="1" ht="16.5" customHeight="1">
      <c r="B297" s="44"/>
      <c r="C297" s="44"/>
      <c r="D297" s="44"/>
      <c r="E297" s="44"/>
      <c r="F297" s="44"/>
    </row>
    <row r="298" spans="2:6" s="54" customFormat="1" ht="16.5" customHeight="1">
      <c r="B298" s="44"/>
      <c r="C298" s="44"/>
      <c r="D298" s="44"/>
      <c r="E298" s="44"/>
      <c r="F298" s="44"/>
    </row>
    <row r="299" spans="2:6" s="54" customFormat="1" ht="16.5" customHeight="1">
      <c r="B299" s="44"/>
      <c r="C299" s="44"/>
      <c r="D299" s="44"/>
      <c r="E299" s="44"/>
      <c r="F299" s="44"/>
    </row>
    <row r="300" spans="2:6" s="54" customFormat="1" ht="16.5" customHeight="1">
      <c r="B300" s="44"/>
      <c r="C300" s="44"/>
      <c r="D300" s="44"/>
      <c r="E300" s="44"/>
      <c r="F300" s="44"/>
    </row>
    <row r="301" spans="2:6" s="54" customFormat="1" ht="16.5" customHeight="1">
      <c r="B301" s="44"/>
      <c r="C301" s="44"/>
      <c r="D301" s="44"/>
      <c r="E301" s="44"/>
      <c r="F301" s="44"/>
    </row>
    <row r="302" spans="2:6" s="54" customFormat="1" ht="16.5" customHeight="1">
      <c r="B302" s="44"/>
      <c r="C302" s="44"/>
      <c r="D302" s="44"/>
      <c r="E302" s="44"/>
      <c r="F302" s="44"/>
    </row>
    <row r="303" spans="2:6" s="54" customFormat="1" ht="16.5" customHeight="1">
      <c r="B303" s="44"/>
      <c r="C303" s="44"/>
      <c r="D303" s="44"/>
      <c r="E303" s="44"/>
      <c r="F303" s="44"/>
    </row>
    <row r="304" spans="2:6" s="54" customFormat="1" ht="16.5" customHeight="1">
      <c r="B304" s="44"/>
      <c r="C304" s="44"/>
      <c r="D304" s="44"/>
      <c r="E304" s="44"/>
      <c r="F304" s="44"/>
    </row>
    <row r="305" spans="2:6" s="54" customFormat="1" ht="16.5" customHeight="1">
      <c r="B305" s="44"/>
      <c r="C305" s="44"/>
      <c r="D305" s="44"/>
      <c r="E305" s="44"/>
      <c r="F305" s="44"/>
    </row>
    <row r="306" spans="2:6" s="54" customFormat="1" ht="16.5" customHeight="1">
      <c r="B306" s="44"/>
      <c r="C306" s="44"/>
      <c r="D306" s="44"/>
      <c r="E306" s="44"/>
      <c r="F306" s="44"/>
    </row>
    <row r="307" spans="2:6" s="54" customFormat="1" ht="16.5" customHeight="1">
      <c r="B307" s="44"/>
      <c r="C307" s="44"/>
      <c r="D307" s="44"/>
      <c r="E307" s="44"/>
      <c r="F307" s="44"/>
    </row>
  </sheetData>
  <autoFilter ref="A2:F33" xr:uid="{00000000-0009-0000-0000-000006000000}"/>
  <mergeCells count="1">
    <mergeCell ref="A1:F1"/>
  </mergeCells>
  <phoneticPr fontId="3" type="noConversion"/>
  <conditionalFormatting sqref="G28">
    <cfRule type="expression" dxfId="3" priority="1">
      <formula>$Q28="공정불량"</formula>
    </cfRule>
    <cfRule type="expression" dxfId="2" priority="2">
      <formula>$Q28="공정불량"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0"/>
  </sheetPr>
  <dimension ref="A1:I358"/>
  <sheetViews>
    <sheetView showGridLines="0" workbookViewId="0">
      <pane ySplit="3" topLeftCell="A4" activePane="bottomLeft" state="frozen"/>
      <selection sqref="A1:F1"/>
      <selection pane="bottomLeft" sqref="A1:F1"/>
    </sheetView>
  </sheetViews>
  <sheetFormatPr defaultRowHeight="15"/>
  <cols>
    <col min="1" max="1" width="14.5703125" hidden="1" customWidth="1"/>
    <col min="2" max="2" width="41.42578125" bestFit="1" customWidth="1"/>
    <col min="4" max="4" width="5.5703125" bestFit="1" customWidth="1"/>
    <col min="6" max="6" width="13.5703125" customWidth="1"/>
  </cols>
  <sheetData>
    <row r="1" spans="1:9" ht="18.75" customHeight="1">
      <c r="A1" s="82" t="s">
        <v>0</v>
      </c>
      <c r="B1" s="83"/>
      <c r="C1" s="83"/>
      <c r="D1" s="83"/>
      <c r="E1" s="83"/>
      <c r="F1" s="83"/>
    </row>
    <row r="2" spans="1:9">
      <c r="A2" s="2" t="s">
        <v>1</v>
      </c>
      <c r="B2" s="1" t="s">
        <v>2</v>
      </c>
      <c r="C2" s="1" t="s">
        <v>3</v>
      </c>
      <c r="D2" s="1" t="s">
        <v>4</v>
      </c>
      <c r="E2" s="1" t="s">
        <v>46</v>
      </c>
      <c r="F2" s="1" t="s">
        <v>47</v>
      </c>
    </row>
    <row r="3" spans="1:9">
      <c r="A3" s="3" t="s">
        <v>5</v>
      </c>
      <c r="B3" s="5" t="s">
        <v>5</v>
      </c>
      <c r="C3" s="4"/>
      <c r="D3" s="8">
        <f>SUM(D4:D500)</f>
        <v>270</v>
      </c>
      <c r="E3" s="8"/>
      <c r="F3" s="16">
        <f>SUM(F4:F500)</f>
        <v>1512456</v>
      </c>
    </row>
    <row r="4" spans="1:9" s="54" customFormat="1" ht="16.5" customHeight="1">
      <c r="A4" s="3"/>
      <c r="B4" s="6" t="s">
        <v>103</v>
      </c>
      <c r="C4" s="48" t="s">
        <v>157</v>
      </c>
      <c r="D4" s="7">
        <v>2</v>
      </c>
      <c r="E4" s="7">
        <f>VLOOKUP(C4,[1]단가산출!$N:$P,3,FALSE)</f>
        <v>1468</v>
      </c>
      <c r="F4" s="7">
        <f>+D4*E4</f>
        <v>2936</v>
      </c>
      <c r="I4" t="s">
        <v>101</v>
      </c>
    </row>
    <row r="5" spans="1:9" s="54" customFormat="1" ht="16.5" customHeight="1">
      <c r="A5" s="3"/>
      <c r="B5" s="6" t="s">
        <v>139</v>
      </c>
      <c r="C5" s="48" t="s">
        <v>101</v>
      </c>
      <c r="D5" s="7">
        <v>8</v>
      </c>
      <c r="E5" s="7">
        <f>VLOOKUP(C5,[1]단가산출!$N:$P,3,FALSE)</f>
        <v>3161</v>
      </c>
      <c r="F5" s="7">
        <f t="shared" ref="F5:F28" si="0">+D5*E5</f>
        <v>25288</v>
      </c>
      <c r="I5" t="s">
        <v>140</v>
      </c>
    </row>
    <row r="6" spans="1:9" s="54" customFormat="1" ht="16.5" customHeight="1">
      <c r="A6" s="3"/>
      <c r="B6" s="6" t="s">
        <v>104</v>
      </c>
      <c r="C6" s="48" t="s">
        <v>65</v>
      </c>
      <c r="D6" s="7">
        <v>6</v>
      </c>
      <c r="E6" s="7">
        <f>VLOOKUP(C6,[1]단가산출!$N:$P,3,FALSE)</f>
        <v>2867</v>
      </c>
      <c r="F6" s="7">
        <f t="shared" si="0"/>
        <v>17202</v>
      </c>
      <c r="I6" t="s">
        <v>65</v>
      </c>
    </row>
    <row r="7" spans="1:9" s="54" customFormat="1" ht="16.5" customHeight="1">
      <c r="A7" s="3"/>
      <c r="B7" s="6" t="s">
        <v>103</v>
      </c>
      <c r="C7" s="48" t="s">
        <v>66</v>
      </c>
      <c r="D7" s="7">
        <v>1</v>
      </c>
      <c r="E7" s="7">
        <f>VLOOKUP(C7,[1]단가산출!$N:$P,3,FALSE)</f>
        <v>1856</v>
      </c>
      <c r="F7" s="7">
        <f t="shared" si="0"/>
        <v>1856</v>
      </c>
      <c r="I7" t="s">
        <v>67</v>
      </c>
    </row>
    <row r="8" spans="1:9" s="54" customFormat="1" ht="16.5" customHeight="1">
      <c r="A8" s="3"/>
      <c r="B8" s="6" t="s">
        <v>103</v>
      </c>
      <c r="C8" s="48" t="s">
        <v>67</v>
      </c>
      <c r="D8" s="7">
        <v>10</v>
      </c>
      <c r="E8" s="7">
        <f>VLOOKUP(C8,[1]단가산출!$N:$P,3,FALSE)</f>
        <v>2351</v>
      </c>
      <c r="F8" s="7">
        <f t="shared" si="0"/>
        <v>23510</v>
      </c>
      <c r="I8" t="s">
        <v>128</v>
      </c>
    </row>
    <row r="9" spans="1:9" s="54" customFormat="1" ht="16.5" customHeight="1">
      <c r="A9" s="3"/>
      <c r="B9" s="6" t="s">
        <v>103</v>
      </c>
      <c r="C9" s="48" t="s">
        <v>129</v>
      </c>
      <c r="D9" s="7">
        <v>2</v>
      </c>
      <c r="E9" s="7">
        <f>VLOOKUP(C9,[1]단가산출!$N:$P,3,FALSE)</f>
        <v>1615</v>
      </c>
      <c r="F9" s="7">
        <f t="shared" si="0"/>
        <v>3230</v>
      </c>
      <c r="I9" t="s">
        <v>129</v>
      </c>
    </row>
    <row r="10" spans="1:9" s="54" customFormat="1" ht="16.5" customHeight="1">
      <c r="A10" s="3"/>
      <c r="B10" s="6" t="s">
        <v>105</v>
      </c>
      <c r="C10" s="48" t="s">
        <v>69</v>
      </c>
      <c r="D10" s="7">
        <v>3</v>
      </c>
      <c r="E10" s="7">
        <f>VLOOKUP(C10,[1]단가산출!$N:$P,3,FALSE)</f>
        <v>4497</v>
      </c>
      <c r="F10" s="7">
        <f t="shared" si="0"/>
        <v>13491</v>
      </c>
      <c r="I10" t="s">
        <v>69</v>
      </c>
    </row>
    <row r="11" spans="1:9" s="54" customFormat="1" ht="16.5" customHeight="1">
      <c r="A11" s="3"/>
      <c r="B11" s="6" t="s">
        <v>105</v>
      </c>
      <c r="C11" s="64" t="s">
        <v>70</v>
      </c>
      <c r="D11" s="7">
        <v>1</v>
      </c>
      <c r="E11" s="7">
        <f>VLOOKUP(C11,[1]단가산출!$N:$P,3,FALSE)</f>
        <v>4918</v>
      </c>
      <c r="F11" s="7">
        <f t="shared" si="0"/>
        <v>4918</v>
      </c>
      <c r="I11" t="s">
        <v>70</v>
      </c>
    </row>
    <row r="12" spans="1:9" s="54" customFormat="1" ht="16.5" customHeight="1">
      <c r="A12" s="3"/>
      <c r="B12" s="6" t="s">
        <v>105</v>
      </c>
      <c r="C12" s="64" t="s">
        <v>127</v>
      </c>
      <c r="D12" s="7">
        <v>4</v>
      </c>
      <c r="E12" s="7">
        <f>VLOOKUP(C12,[1]단가산출!$N:$P,3,FALSE)</f>
        <v>5216</v>
      </c>
      <c r="F12" s="7">
        <f t="shared" si="0"/>
        <v>20864</v>
      </c>
      <c r="I12" t="s">
        <v>127</v>
      </c>
    </row>
    <row r="13" spans="1:9" s="54" customFormat="1" ht="16.5" customHeight="1">
      <c r="A13" s="3"/>
      <c r="B13" s="6" t="s">
        <v>152</v>
      </c>
      <c r="C13" s="64" t="s">
        <v>72</v>
      </c>
      <c r="D13" s="7">
        <v>3</v>
      </c>
      <c r="E13" s="7">
        <v>1706</v>
      </c>
      <c r="F13" s="7">
        <f t="shared" si="0"/>
        <v>5118</v>
      </c>
      <c r="I13" t="s">
        <v>71</v>
      </c>
    </row>
    <row r="14" spans="1:9" s="54" customFormat="1" ht="16.5" customHeight="1">
      <c r="A14" s="3"/>
      <c r="B14" s="6" t="s">
        <v>106</v>
      </c>
      <c r="C14" s="48" t="s">
        <v>74</v>
      </c>
      <c r="D14" s="7">
        <v>24</v>
      </c>
      <c r="E14" s="7">
        <f>VLOOKUP(C14,[1]단가산출!$N:$P,3,FALSE)</f>
        <v>3596</v>
      </c>
      <c r="F14" s="7">
        <f t="shared" si="0"/>
        <v>86304</v>
      </c>
      <c r="I14" t="s">
        <v>72</v>
      </c>
    </row>
    <row r="15" spans="1:9" s="54" customFormat="1" ht="16.5" customHeight="1">
      <c r="A15" s="3"/>
      <c r="B15" s="6" t="s">
        <v>107</v>
      </c>
      <c r="C15" s="48" t="s">
        <v>75</v>
      </c>
      <c r="D15" s="7">
        <v>48</v>
      </c>
      <c r="E15" s="7">
        <f>VLOOKUP(C15,[1]단가산출!$N:$P,3,FALSE)</f>
        <v>2846</v>
      </c>
      <c r="F15" s="7">
        <f t="shared" si="0"/>
        <v>136608</v>
      </c>
      <c r="I15" t="s">
        <v>74</v>
      </c>
    </row>
    <row r="16" spans="1:9" s="54" customFormat="1" ht="16.5" customHeight="1">
      <c r="A16" s="3"/>
      <c r="B16" s="6" t="s">
        <v>141</v>
      </c>
      <c r="C16" s="48" t="s">
        <v>77</v>
      </c>
      <c r="D16" s="7">
        <v>1</v>
      </c>
      <c r="E16" s="7">
        <f>VLOOKUP(C16,[1]단가산출!$N:$P,3,FALSE)</f>
        <v>4371</v>
      </c>
      <c r="F16" s="7">
        <f t="shared" si="0"/>
        <v>4371</v>
      </c>
      <c r="I16" t="s">
        <v>75</v>
      </c>
    </row>
    <row r="17" spans="1:9" s="54" customFormat="1" ht="16.5" customHeight="1">
      <c r="A17" s="3"/>
      <c r="B17" s="6" t="s">
        <v>107</v>
      </c>
      <c r="C17" s="48" t="s">
        <v>79</v>
      </c>
      <c r="D17" s="7">
        <v>17</v>
      </c>
      <c r="E17" s="7">
        <f>VLOOKUP(C17,[1]단가산출!$N:$P,3,FALSE)</f>
        <v>2572</v>
      </c>
      <c r="F17" s="7">
        <f t="shared" si="0"/>
        <v>43724</v>
      </c>
      <c r="I17" t="s">
        <v>77</v>
      </c>
    </row>
    <row r="18" spans="1:9" s="54" customFormat="1" ht="16.5" customHeight="1">
      <c r="A18" s="3"/>
      <c r="B18" s="6" t="s">
        <v>142</v>
      </c>
      <c r="C18" s="48" t="s">
        <v>81</v>
      </c>
      <c r="D18" s="7">
        <v>26</v>
      </c>
      <c r="E18" s="7">
        <f>VLOOKUP(C18,[1]단가산출!$N:$P,3,FALSE)</f>
        <v>4525</v>
      </c>
      <c r="F18" s="7">
        <f t="shared" si="0"/>
        <v>117650</v>
      </c>
      <c r="I18" t="s">
        <v>79</v>
      </c>
    </row>
    <row r="19" spans="1:9" s="54" customFormat="1" ht="16.5" customHeight="1">
      <c r="A19" s="3"/>
      <c r="B19" s="6" t="s">
        <v>108</v>
      </c>
      <c r="C19" s="48" t="s">
        <v>113</v>
      </c>
      <c r="D19" s="7">
        <v>39</v>
      </c>
      <c r="E19" s="7">
        <f>VLOOKUP(C19,[1]단가산출!$N:$P,3,FALSE)</f>
        <v>7338</v>
      </c>
      <c r="F19" s="7">
        <f t="shared" si="0"/>
        <v>286182</v>
      </c>
      <c r="I19" t="s">
        <v>81</v>
      </c>
    </row>
    <row r="20" spans="1:9" s="54" customFormat="1" ht="16.5" customHeight="1">
      <c r="A20" s="3"/>
      <c r="B20" s="6" t="s">
        <v>109</v>
      </c>
      <c r="C20" s="48" t="s">
        <v>114</v>
      </c>
      <c r="D20" s="7">
        <v>17</v>
      </c>
      <c r="E20" s="7">
        <f>VLOOKUP(C20,[1]단가산출!$N:$P,3,FALSE)</f>
        <v>6195</v>
      </c>
      <c r="F20" s="7">
        <f t="shared" si="0"/>
        <v>105315</v>
      </c>
      <c r="I20" t="s">
        <v>113</v>
      </c>
    </row>
    <row r="21" spans="1:9" s="54" customFormat="1" ht="16.5" customHeight="1">
      <c r="B21" s="6" t="s">
        <v>110</v>
      </c>
      <c r="C21" s="48" t="s">
        <v>115</v>
      </c>
      <c r="D21" s="7">
        <v>8</v>
      </c>
      <c r="E21" s="7">
        <f>VLOOKUP(C21,[1]단가산출!$N:$P,3,FALSE)</f>
        <v>6112</v>
      </c>
      <c r="F21" s="7">
        <f t="shared" si="0"/>
        <v>48896</v>
      </c>
      <c r="I21" t="s">
        <v>114</v>
      </c>
    </row>
    <row r="22" spans="1:9" s="54" customFormat="1" ht="16.5" customHeight="1">
      <c r="B22" s="6" t="s">
        <v>162</v>
      </c>
      <c r="C22" s="48" t="s">
        <v>116</v>
      </c>
      <c r="D22" s="7">
        <v>5</v>
      </c>
      <c r="E22" s="7">
        <f>VLOOKUP(C22,[1]단가산출!$N:$P,3,FALSE)</f>
        <v>4247</v>
      </c>
      <c r="F22" s="7">
        <f t="shared" si="0"/>
        <v>21235</v>
      </c>
      <c r="I22" t="s">
        <v>115</v>
      </c>
    </row>
    <row r="23" spans="1:9" s="54" customFormat="1" ht="16.5" customHeight="1">
      <c r="B23" s="6" t="s">
        <v>111</v>
      </c>
      <c r="C23" s="48" t="s">
        <v>55</v>
      </c>
      <c r="D23" s="7">
        <v>7</v>
      </c>
      <c r="E23" s="7">
        <f>VLOOKUP(C23,[1]단가산출!$N:$P,3,FALSE)</f>
        <v>14813</v>
      </c>
      <c r="F23" s="7">
        <f t="shared" si="0"/>
        <v>103691</v>
      </c>
      <c r="I23" t="s">
        <v>116</v>
      </c>
    </row>
    <row r="24" spans="1:9" s="54" customFormat="1" ht="16.5" customHeight="1">
      <c r="B24" s="6" t="s">
        <v>112</v>
      </c>
      <c r="C24" s="48" t="s">
        <v>125</v>
      </c>
      <c r="D24" s="7">
        <v>12</v>
      </c>
      <c r="E24" s="7">
        <f>VLOOKUP(C24,[1]단가산출!$N:$P,3,FALSE)</f>
        <v>9714</v>
      </c>
      <c r="F24" s="7">
        <f t="shared" si="0"/>
        <v>116568</v>
      </c>
      <c r="I24" t="s">
        <v>55</v>
      </c>
    </row>
    <row r="25" spans="1:9" s="54" customFormat="1" ht="16.5" customHeight="1">
      <c r="B25" s="6" t="s">
        <v>111</v>
      </c>
      <c r="C25" s="48" t="s">
        <v>117</v>
      </c>
      <c r="D25" s="7">
        <v>14</v>
      </c>
      <c r="E25" s="7">
        <f>VLOOKUP(C25,[1]단가산출!$N:$P,3,FALSE)</f>
        <v>13305</v>
      </c>
      <c r="F25" s="7">
        <f t="shared" si="0"/>
        <v>186270</v>
      </c>
      <c r="I25" t="s">
        <v>125</v>
      </c>
    </row>
    <row r="26" spans="1:9" s="54" customFormat="1" ht="16.5" customHeight="1">
      <c r="B26" s="6" t="s">
        <v>111</v>
      </c>
      <c r="C26" s="64" t="s">
        <v>126</v>
      </c>
      <c r="D26" s="7">
        <v>2</v>
      </c>
      <c r="E26" s="7">
        <f>VLOOKUP(C26,[1]단가산출!$N:$P,3,FALSE)</f>
        <v>14868</v>
      </c>
      <c r="F26" s="7">
        <f t="shared" si="0"/>
        <v>29736</v>
      </c>
      <c r="I26" t="s">
        <v>117</v>
      </c>
    </row>
    <row r="27" spans="1:9" s="54" customFormat="1" ht="16.5" customHeight="1">
      <c r="B27" s="6" t="s">
        <v>112</v>
      </c>
      <c r="C27" s="64" t="s">
        <v>148</v>
      </c>
      <c r="D27" s="7">
        <v>7</v>
      </c>
      <c r="E27" s="7">
        <f>VLOOKUP(C27,[1]단가산출!$N:$P,3,FALSE)</f>
        <v>9048</v>
      </c>
      <c r="F27" s="7">
        <f t="shared" si="0"/>
        <v>63336</v>
      </c>
      <c r="I27" t="s">
        <v>126</v>
      </c>
    </row>
    <row r="28" spans="1:9" s="54" customFormat="1" ht="16.5" customHeight="1">
      <c r="B28" s="42" t="s">
        <v>111</v>
      </c>
      <c r="C28" s="62" t="s">
        <v>118</v>
      </c>
      <c r="D28" s="43">
        <v>3</v>
      </c>
      <c r="E28" s="7">
        <f>VLOOKUP(C28,[1]단가산출!$N:$P,3,FALSE)</f>
        <v>14719</v>
      </c>
      <c r="F28" s="7">
        <f t="shared" si="0"/>
        <v>44157</v>
      </c>
      <c r="G28"/>
      <c r="I28" t="s">
        <v>148</v>
      </c>
    </row>
    <row r="29" spans="1:9" s="54" customFormat="1" ht="16.5" customHeight="1">
      <c r="B29" s="6"/>
      <c r="C29" s="6"/>
      <c r="D29" s="7"/>
      <c r="E29" s="7"/>
      <c r="F29" s="7"/>
      <c r="I29" t="s">
        <v>118</v>
      </c>
    </row>
    <row r="30" spans="1:9" s="54" customFormat="1" ht="16.5" customHeight="1">
      <c r="B30" s="6"/>
      <c r="C30" s="6"/>
      <c r="D30" s="7"/>
      <c r="E30" s="7"/>
      <c r="F30" s="7"/>
      <c r="I30" t="e">
        <v>#VALUE!</v>
      </c>
    </row>
    <row r="31" spans="1:9" s="54" customFormat="1" ht="16.5" customHeight="1">
      <c r="B31" s="6"/>
      <c r="C31" s="6"/>
      <c r="D31" s="7"/>
      <c r="E31" s="7"/>
      <c r="F31" s="7"/>
      <c r="I31" t="e">
        <v>#VALUE!</v>
      </c>
    </row>
    <row r="32" spans="1:9" s="54" customFormat="1" ht="16.5" customHeight="1">
      <c r="B32" s="6"/>
      <c r="C32" s="6"/>
      <c r="D32" s="7"/>
      <c r="E32" s="7"/>
      <c r="F32" s="7"/>
      <c r="I32" t="e">
        <v>#VALUE!</v>
      </c>
    </row>
    <row r="33" spans="2:9" s="54" customFormat="1" ht="16.5" customHeight="1">
      <c r="B33" s="6"/>
      <c r="C33" s="6"/>
      <c r="D33" s="7"/>
      <c r="E33" s="7"/>
      <c r="F33" s="7"/>
      <c r="I33" t="e">
        <v>#VALUE!</v>
      </c>
    </row>
    <row r="34" spans="2:9" s="54" customFormat="1" ht="16.5" customHeight="1">
      <c r="B34" s="6"/>
      <c r="C34" s="6"/>
      <c r="D34" s="7"/>
      <c r="E34" s="7"/>
      <c r="F34" s="7"/>
      <c r="I34" t="e">
        <v>#VALUE!</v>
      </c>
    </row>
    <row r="35" spans="2:9" s="54" customFormat="1" ht="16.5" customHeight="1">
      <c r="B35" s="6"/>
      <c r="C35" s="6"/>
      <c r="D35" s="7"/>
      <c r="E35" s="7"/>
      <c r="F35" s="7"/>
      <c r="I35" t="e">
        <v>#VALUE!</v>
      </c>
    </row>
    <row r="36" spans="2:9" s="54" customFormat="1" ht="16.5" customHeight="1">
      <c r="B36" s="6"/>
      <c r="C36" s="6"/>
      <c r="D36" s="7"/>
      <c r="E36" s="7"/>
      <c r="F36" s="7"/>
      <c r="I36" t="e">
        <v>#VALUE!</v>
      </c>
    </row>
    <row r="37" spans="2:9" s="54" customFormat="1" ht="16.5" customHeight="1">
      <c r="B37" s="6"/>
      <c r="C37" s="6"/>
      <c r="D37" s="7"/>
      <c r="E37" s="7"/>
      <c r="F37" s="7"/>
      <c r="I37" t="e">
        <v>#VALUE!</v>
      </c>
    </row>
    <row r="38" spans="2:9" s="54" customFormat="1" ht="16.5" customHeight="1">
      <c r="B38" s="6"/>
      <c r="C38" s="6"/>
      <c r="D38" s="7"/>
      <c r="E38" s="7"/>
      <c r="F38" s="7"/>
      <c r="I38" t="e">
        <v>#VALUE!</v>
      </c>
    </row>
    <row r="39" spans="2:9" s="54" customFormat="1" ht="16.5" customHeight="1">
      <c r="B39" s="6"/>
      <c r="C39" s="6"/>
      <c r="D39" s="7"/>
      <c r="E39" s="7"/>
      <c r="F39" s="7"/>
      <c r="I39" t="e">
        <v>#VALUE!</v>
      </c>
    </row>
    <row r="40" spans="2:9" s="54" customFormat="1" ht="16.5" customHeight="1">
      <c r="B40" s="6"/>
      <c r="C40" s="6"/>
      <c r="D40" s="7"/>
      <c r="E40" s="7"/>
      <c r="F40" s="7"/>
      <c r="I40" t="e">
        <v>#VALUE!</v>
      </c>
    </row>
    <row r="41" spans="2:9" s="54" customFormat="1" ht="16.5" customHeight="1">
      <c r="B41" s="6"/>
      <c r="C41" s="6"/>
      <c r="D41" s="7"/>
      <c r="E41" s="7"/>
      <c r="F41" s="7"/>
      <c r="I41" t="e">
        <v>#VALUE!</v>
      </c>
    </row>
    <row r="42" spans="2:9" s="54" customFormat="1" ht="16.5" customHeight="1">
      <c r="B42" s="6"/>
      <c r="C42" s="6"/>
      <c r="D42" s="7"/>
      <c r="E42" s="7"/>
      <c r="F42" s="7"/>
      <c r="I42" t="e">
        <v>#VALUE!</v>
      </c>
    </row>
    <row r="43" spans="2:9" s="54" customFormat="1" ht="16.5" customHeight="1">
      <c r="B43" s="6"/>
      <c r="C43" s="6"/>
      <c r="D43" s="7"/>
      <c r="E43" s="7"/>
      <c r="F43" s="7"/>
      <c r="I43"/>
    </row>
    <row r="44" spans="2:9" s="54" customFormat="1" ht="16.5" customHeight="1">
      <c r="B44" s="49"/>
      <c r="C44" s="49"/>
      <c r="D44" s="50"/>
      <c r="E44" s="50"/>
      <c r="F44" s="50"/>
      <c r="I44"/>
    </row>
    <row r="45" spans="2:9" s="54" customFormat="1" ht="16.5" customHeight="1">
      <c r="B45" s="44"/>
      <c r="C45" s="44"/>
      <c r="D45" s="44"/>
      <c r="E45" s="44"/>
      <c r="F45" s="44"/>
      <c r="I45"/>
    </row>
    <row r="46" spans="2:9" s="54" customFormat="1" ht="16.5" customHeight="1">
      <c r="B46" s="44"/>
      <c r="C46" s="44"/>
      <c r="D46" s="44"/>
      <c r="E46" s="44"/>
      <c r="F46" s="44"/>
      <c r="I46"/>
    </row>
    <row r="47" spans="2:9" s="54" customFormat="1" ht="16.5" customHeight="1">
      <c r="B47" s="44"/>
      <c r="C47" s="44"/>
      <c r="D47" s="44"/>
      <c r="E47" s="44"/>
      <c r="F47" s="44"/>
      <c r="I47"/>
    </row>
    <row r="48" spans="2:9" s="54" customFormat="1" ht="16.5" customHeight="1">
      <c r="B48" s="44"/>
      <c r="C48" s="44"/>
      <c r="D48" s="44"/>
      <c r="E48" s="44"/>
      <c r="F48" s="44"/>
      <c r="I48"/>
    </row>
    <row r="49" spans="2:9" s="54" customFormat="1" ht="16.5" customHeight="1">
      <c r="B49" s="44"/>
      <c r="C49" s="44"/>
      <c r="D49" s="44"/>
      <c r="E49" s="44"/>
      <c r="F49" s="44"/>
      <c r="I49" s="52"/>
    </row>
    <row r="50" spans="2:9" s="54" customFormat="1" ht="16.5" customHeight="1">
      <c r="B50" s="44"/>
      <c r="C50" s="44"/>
      <c r="D50" s="44"/>
      <c r="E50" s="44"/>
      <c r="F50" s="44"/>
      <c r="I50" s="52"/>
    </row>
    <row r="51" spans="2:9" s="54" customFormat="1" ht="16.5" customHeight="1">
      <c r="B51" s="44"/>
      <c r="C51" s="44"/>
      <c r="D51" s="44"/>
      <c r="E51" s="44"/>
      <c r="F51" s="44"/>
      <c r="I51" s="52"/>
    </row>
    <row r="52" spans="2:9" s="54" customFormat="1" ht="16.5" customHeight="1">
      <c r="B52" s="44"/>
      <c r="C52" s="44"/>
      <c r="D52" s="44"/>
      <c r="E52" s="44"/>
      <c r="F52" s="44"/>
      <c r="I52" s="52"/>
    </row>
    <row r="53" spans="2:9" s="54" customFormat="1" ht="16.5" customHeight="1">
      <c r="B53" s="44"/>
      <c r="C53" s="44"/>
      <c r="D53" s="44"/>
      <c r="E53" s="44"/>
      <c r="F53" s="44"/>
      <c r="I53" s="52"/>
    </row>
    <row r="54" spans="2:9" s="54" customFormat="1" ht="16.5" customHeight="1">
      <c r="B54" s="44"/>
      <c r="C54" s="44"/>
      <c r="D54" s="44"/>
      <c r="E54" s="44"/>
      <c r="F54" s="44"/>
      <c r="I54" s="52"/>
    </row>
    <row r="55" spans="2:9" s="54" customFormat="1" ht="16.5" customHeight="1">
      <c r="B55" s="44"/>
      <c r="C55" s="44"/>
      <c r="D55" s="44"/>
      <c r="E55" s="44"/>
      <c r="F55" s="44"/>
      <c r="I55" s="52"/>
    </row>
    <row r="56" spans="2:9" s="54" customFormat="1" ht="16.5" customHeight="1">
      <c r="B56" s="44"/>
      <c r="C56" s="44"/>
      <c r="D56" s="44"/>
      <c r="E56" s="44"/>
      <c r="F56" s="44"/>
      <c r="I56" s="52"/>
    </row>
    <row r="57" spans="2:9" s="54" customFormat="1" ht="16.5" customHeight="1">
      <c r="B57" s="44"/>
      <c r="C57" s="44"/>
      <c r="D57" s="44"/>
      <c r="E57" s="44"/>
      <c r="F57" s="44"/>
      <c r="I57" s="52"/>
    </row>
    <row r="58" spans="2:9" s="54" customFormat="1" ht="16.5" customHeight="1">
      <c r="B58" s="44"/>
      <c r="C58" s="44"/>
      <c r="D58" s="44"/>
      <c r="E58" s="44"/>
      <c r="F58" s="44"/>
      <c r="I58" s="52"/>
    </row>
    <row r="59" spans="2:9" s="54" customFormat="1" ht="16.5" customHeight="1">
      <c r="B59" s="44"/>
      <c r="C59" s="44"/>
      <c r="D59" s="44"/>
      <c r="E59" s="44"/>
      <c r="F59" s="44"/>
      <c r="I59" s="52"/>
    </row>
    <row r="60" spans="2:9" s="54" customFormat="1" ht="16.5" customHeight="1">
      <c r="B60" s="44"/>
      <c r="C60" s="44"/>
      <c r="D60" s="44"/>
      <c r="E60" s="44"/>
      <c r="F60" s="44"/>
      <c r="I60" s="52"/>
    </row>
    <row r="61" spans="2:9" s="54" customFormat="1" ht="16.5" customHeight="1">
      <c r="B61" s="44"/>
      <c r="C61" s="44"/>
      <c r="D61" s="44"/>
      <c r="E61" s="44"/>
      <c r="F61" s="44"/>
      <c r="I61" s="52"/>
    </row>
    <row r="62" spans="2:9" s="54" customFormat="1" ht="16.5" customHeight="1">
      <c r="B62" s="44"/>
      <c r="C62" s="44"/>
      <c r="D62" s="44"/>
      <c r="E62" s="44"/>
      <c r="F62" s="44"/>
      <c r="I62" s="52"/>
    </row>
    <row r="63" spans="2:9" s="54" customFormat="1" ht="16.5" customHeight="1">
      <c r="B63" s="44"/>
      <c r="C63" s="44"/>
      <c r="D63" s="44"/>
      <c r="E63" s="44"/>
      <c r="F63" s="44"/>
      <c r="I63" s="52"/>
    </row>
    <row r="64" spans="2:9" s="54" customFormat="1" ht="16.5" customHeight="1">
      <c r="B64" s="44"/>
      <c r="C64" s="44"/>
      <c r="D64" s="44"/>
      <c r="E64" s="44"/>
      <c r="F64" s="44"/>
      <c r="I64" s="52"/>
    </row>
    <row r="65" spans="2:9" s="54" customFormat="1" ht="16.5" customHeight="1">
      <c r="B65" s="44"/>
      <c r="C65" s="44"/>
      <c r="D65" s="44"/>
      <c r="E65" s="44"/>
      <c r="F65" s="44"/>
      <c r="I65" s="52"/>
    </row>
    <row r="66" spans="2:9" s="54" customFormat="1" ht="16.5" customHeight="1">
      <c r="B66" s="44"/>
      <c r="C66" s="44"/>
      <c r="D66" s="44"/>
      <c r="E66" s="44"/>
      <c r="F66" s="44"/>
      <c r="I66" s="52"/>
    </row>
    <row r="67" spans="2:9" s="54" customFormat="1" ht="16.5" customHeight="1">
      <c r="B67" s="44"/>
      <c r="C67" s="44"/>
      <c r="D67" s="44"/>
      <c r="E67" s="44"/>
      <c r="F67" s="44"/>
      <c r="I67" s="52"/>
    </row>
    <row r="68" spans="2:9" s="54" customFormat="1" ht="16.5" customHeight="1">
      <c r="B68" s="44"/>
      <c r="C68" s="44"/>
      <c r="D68" s="44"/>
      <c r="E68" s="44"/>
      <c r="F68" s="44"/>
      <c r="I68" s="52"/>
    </row>
    <row r="69" spans="2:9" s="54" customFormat="1" ht="16.5" customHeight="1">
      <c r="B69" s="44"/>
      <c r="C69" s="44"/>
      <c r="D69" s="44"/>
      <c r="E69" s="44"/>
      <c r="F69" s="44"/>
      <c r="I69" s="52"/>
    </row>
    <row r="70" spans="2:9" s="54" customFormat="1" ht="16.5" customHeight="1">
      <c r="B70" s="44"/>
      <c r="C70" s="44"/>
      <c r="D70" s="44"/>
      <c r="E70" s="44"/>
      <c r="F70" s="44"/>
      <c r="I70" s="52"/>
    </row>
    <row r="71" spans="2:9" s="54" customFormat="1" ht="16.5" customHeight="1">
      <c r="B71" s="44"/>
      <c r="C71" s="44"/>
      <c r="D71" s="44"/>
      <c r="E71" s="44"/>
      <c r="F71" s="44"/>
      <c r="I71" s="52"/>
    </row>
    <row r="72" spans="2:9" s="54" customFormat="1" ht="16.5" customHeight="1">
      <c r="B72" s="44"/>
      <c r="C72" s="44"/>
      <c r="D72" s="44"/>
      <c r="E72" s="44"/>
      <c r="F72" s="44"/>
      <c r="I72" s="52"/>
    </row>
    <row r="73" spans="2:9" s="54" customFormat="1" ht="16.5" customHeight="1">
      <c r="B73" s="44"/>
      <c r="C73" s="44"/>
      <c r="D73" s="44"/>
      <c r="E73" s="44"/>
      <c r="F73" s="44"/>
      <c r="I73" s="52"/>
    </row>
    <row r="74" spans="2:9" s="54" customFormat="1" ht="16.5" customHeight="1">
      <c r="B74" s="44"/>
      <c r="C74" s="44"/>
      <c r="D74" s="44"/>
      <c r="E74" s="44"/>
      <c r="F74" s="44"/>
      <c r="I74" s="52"/>
    </row>
    <row r="75" spans="2:9" s="54" customFormat="1" ht="16.5" customHeight="1">
      <c r="B75" s="44"/>
      <c r="C75" s="44"/>
      <c r="D75" s="44"/>
      <c r="E75" s="44"/>
      <c r="F75" s="44"/>
      <c r="I75" s="52"/>
    </row>
    <row r="76" spans="2:9" s="54" customFormat="1" ht="16.5" customHeight="1">
      <c r="B76" s="44"/>
      <c r="C76" s="44"/>
      <c r="D76" s="44"/>
      <c r="E76" s="44"/>
      <c r="F76" s="44"/>
      <c r="I76" s="52"/>
    </row>
    <row r="77" spans="2:9" s="54" customFormat="1" ht="16.5" customHeight="1">
      <c r="B77" s="44"/>
      <c r="C77" s="44"/>
      <c r="D77" s="44"/>
      <c r="E77" s="44"/>
      <c r="F77" s="44"/>
      <c r="I77" s="52"/>
    </row>
    <row r="78" spans="2:9" s="54" customFormat="1" ht="16.5" customHeight="1">
      <c r="B78" s="44"/>
      <c r="C78" s="44"/>
      <c r="D78" s="44"/>
      <c r="E78" s="44"/>
      <c r="F78" s="44"/>
      <c r="I78" s="52"/>
    </row>
    <row r="79" spans="2:9" s="54" customFormat="1" ht="16.5" customHeight="1">
      <c r="B79" s="44"/>
      <c r="C79" s="44"/>
      <c r="D79" s="44"/>
      <c r="E79" s="44"/>
      <c r="F79" s="44"/>
      <c r="I79" s="52"/>
    </row>
    <row r="80" spans="2:9" s="54" customFormat="1" ht="16.5" customHeight="1">
      <c r="B80" s="44"/>
      <c r="C80" s="44"/>
      <c r="D80" s="44"/>
      <c r="E80" s="44"/>
      <c r="F80" s="44"/>
      <c r="I80" s="52"/>
    </row>
    <row r="81" spans="2:9" s="54" customFormat="1" ht="16.5" customHeight="1">
      <c r="B81" s="44"/>
      <c r="C81" s="44"/>
      <c r="D81" s="44"/>
      <c r="E81" s="44"/>
      <c r="F81" s="44"/>
      <c r="I81" s="52"/>
    </row>
    <row r="82" spans="2:9" s="54" customFormat="1" ht="16.5" customHeight="1">
      <c r="B82" s="44"/>
      <c r="C82" s="44"/>
      <c r="D82" s="44"/>
      <c r="E82" s="44"/>
      <c r="F82" s="44"/>
      <c r="I82" s="52"/>
    </row>
    <row r="83" spans="2:9" s="54" customFormat="1" ht="16.5" customHeight="1">
      <c r="B83" s="44"/>
      <c r="C83" s="44"/>
      <c r="D83" s="44"/>
      <c r="E83" s="44"/>
      <c r="F83" s="44"/>
      <c r="I83" s="52"/>
    </row>
    <row r="84" spans="2:9" s="54" customFormat="1" ht="16.5" customHeight="1">
      <c r="B84" s="44"/>
      <c r="C84" s="44"/>
      <c r="D84" s="44"/>
      <c r="E84" s="44"/>
      <c r="F84" s="44"/>
      <c r="I84" s="52"/>
    </row>
    <row r="85" spans="2:9" s="54" customFormat="1" ht="16.5" customHeight="1">
      <c r="B85" s="44"/>
      <c r="C85" s="44"/>
      <c r="D85" s="44"/>
      <c r="E85" s="44"/>
      <c r="F85" s="44"/>
      <c r="I85" s="52"/>
    </row>
    <row r="86" spans="2:9" s="54" customFormat="1" ht="16.5" customHeight="1">
      <c r="B86" s="44"/>
      <c r="C86" s="44"/>
      <c r="D86" s="44"/>
      <c r="E86" s="44"/>
      <c r="F86" s="44"/>
      <c r="I86" s="52"/>
    </row>
    <row r="87" spans="2:9" s="54" customFormat="1" ht="16.5" customHeight="1">
      <c r="B87" s="44"/>
      <c r="C87" s="44"/>
      <c r="D87" s="44"/>
      <c r="E87" s="44"/>
      <c r="F87" s="44"/>
      <c r="I87" s="52"/>
    </row>
    <row r="88" spans="2:9" s="54" customFormat="1" ht="16.5" customHeight="1">
      <c r="B88" s="44"/>
      <c r="C88" s="44"/>
      <c r="D88" s="44"/>
      <c r="E88" s="44"/>
      <c r="F88" s="44"/>
      <c r="I88" s="52"/>
    </row>
    <row r="89" spans="2:9" s="54" customFormat="1" ht="16.5" customHeight="1">
      <c r="B89" s="44"/>
      <c r="C89" s="44"/>
      <c r="D89" s="44"/>
      <c r="E89" s="44"/>
      <c r="F89" s="44"/>
      <c r="I89" s="52"/>
    </row>
    <row r="90" spans="2:9" s="54" customFormat="1" ht="16.5" customHeight="1">
      <c r="B90" s="44"/>
      <c r="C90" s="44"/>
      <c r="D90" s="44"/>
      <c r="E90" s="44"/>
      <c r="F90" s="44"/>
      <c r="I90" s="52"/>
    </row>
    <row r="91" spans="2:9" s="54" customFormat="1" ht="16.5" customHeight="1">
      <c r="B91" s="44"/>
      <c r="C91" s="44"/>
      <c r="D91" s="44"/>
      <c r="E91" s="44"/>
      <c r="F91" s="44"/>
      <c r="I91" s="52"/>
    </row>
    <row r="92" spans="2:9" s="54" customFormat="1" ht="16.5" customHeight="1">
      <c r="B92" s="44"/>
      <c r="C92" s="44"/>
      <c r="D92" s="44"/>
      <c r="E92" s="44"/>
      <c r="F92" s="44"/>
      <c r="I92" s="52"/>
    </row>
    <row r="93" spans="2:9" s="54" customFormat="1" ht="16.5" customHeight="1">
      <c r="B93" s="44"/>
      <c r="C93" s="44"/>
      <c r="D93" s="44"/>
      <c r="E93" s="44"/>
      <c r="F93" s="44"/>
      <c r="I93" s="52"/>
    </row>
    <row r="94" spans="2:9" s="54" customFormat="1" ht="16.5" customHeight="1">
      <c r="B94" s="44"/>
      <c r="C94" s="44"/>
      <c r="D94" s="44"/>
      <c r="E94" s="44"/>
      <c r="F94" s="44"/>
      <c r="I94" s="52"/>
    </row>
    <row r="95" spans="2:9" s="54" customFormat="1" ht="16.5" customHeight="1">
      <c r="B95" s="44"/>
      <c r="C95" s="44"/>
      <c r="D95" s="44"/>
      <c r="E95" s="44"/>
      <c r="F95" s="44"/>
      <c r="I95" s="52"/>
    </row>
    <row r="96" spans="2:9" s="54" customFormat="1" ht="16.5" customHeight="1">
      <c r="B96" s="44"/>
      <c r="C96" s="44"/>
      <c r="D96" s="44"/>
      <c r="E96" s="44"/>
      <c r="F96" s="44"/>
      <c r="I96" s="52"/>
    </row>
    <row r="97" spans="2:9" s="54" customFormat="1" ht="16.5" customHeight="1">
      <c r="B97" s="44"/>
      <c r="C97" s="44"/>
      <c r="D97" s="44"/>
      <c r="E97" s="44"/>
      <c r="F97" s="44"/>
      <c r="I97" s="52"/>
    </row>
    <row r="98" spans="2:9" s="54" customFormat="1" ht="16.5" customHeight="1">
      <c r="B98" s="44"/>
      <c r="C98" s="44"/>
      <c r="D98" s="44"/>
      <c r="E98" s="44"/>
      <c r="F98" s="44"/>
      <c r="I98" s="52"/>
    </row>
    <row r="99" spans="2:9" s="54" customFormat="1" ht="16.5" customHeight="1">
      <c r="B99" s="44"/>
      <c r="C99" s="44"/>
      <c r="D99" s="44"/>
      <c r="E99" s="44"/>
      <c r="F99" s="44"/>
      <c r="I99" s="52"/>
    </row>
    <row r="100" spans="2:9" s="54" customFormat="1" ht="16.5" customHeight="1">
      <c r="B100" s="44"/>
      <c r="C100" s="44"/>
      <c r="D100" s="44"/>
      <c r="E100" s="44"/>
      <c r="F100" s="44"/>
      <c r="I100" s="52"/>
    </row>
    <row r="101" spans="2:9" s="54" customFormat="1" ht="16.5" customHeight="1">
      <c r="B101" s="44"/>
      <c r="C101" s="44"/>
      <c r="D101" s="44"/>
      <c r="E101" s="44"/>
      <c r="F101" s="44"/>
      <c r="I101" s="52"/>
    </row>
    <row r="102" spans="2:9" s="54" customFormat="1" ht="16.5" customHeight="1">
      <c r="B102" s="44"/>
      <c r="C102" s="44"/>
      <c r="D102" s="44"/>
      <c r="E102" s="44"/>
      <c r="F102" s="44"/>
      <c r="I102" s="52"/>
    </row>
    <row r="103" spans="2:9" s="54" customFormat="1" ht="16.5" customHeight="1">
      <c r="B103" s="44"/>
      <c r="C103" s="44"/>
      <c r="D103" s="44"/>
      <c r="E103" s="44"/>
      <c r="F103" s="44"/>
      <c r="I103" s="52"/>
    </row>
    <row r="104" spans="2:9" s="54" customFormat="1" ht="16.5" customHeight="1">
      <c r="B104" s="44"/>
      <c r="C104" s="44"/>
      <c r="D104" s="44"/>
      <c r="E104" s="44"/>
      <c r="F104" s="44"/>
      <c r="I104" s="52"/>
    </row>
    <row r="105" spans="2:9" s="54" customFormat="1" ht="16.5" customHeight="1">
      <c r="B105" s="44"/>
      <c r="C105" s="44"/>
      <c r="D105" s="44"/>
      <c r="E105" s="44"/>
      <c r="F105" s="44"/>
      <c r="I105" s="52"/>
    </row>
    <row r="106" spans="2:9" s="54" customFormat="1" ht="16.5" customHeight="1">
      <c r="B106" s="44"/>
      <c r="C106" s="44"/>
      <c r="D106" s="44"/>
      <c r="E106" s="44"/>
      <c r="F106" s="44"/>
      <c r="I106" s="52"/>
    </row>
    <row r="107" spans="2:9" s="54" customFormat="1" ht="16.5" customHeight="1">
      <c r="B107" s="44"/>
      <c r="C107" s="44"/>
      <c r="D107" s="44"/>
      <c r="E107" s="44"/>
      <c r="F107" s="44"/>
      <c r="I107" s="52"/>
    </row>
    <row r="108" spans="2:9" s="54" customFormat="1" ht="16.5" customHeight="1">
      <c r="B108" s="44"/>
      <c r="C108" s="44"/>
      <c r="D108" s="44"/>
      <c r="E108" s="44"/>
      <c r="F108" s="44"/>
      <c r="I108" s="52"/>
    </row>
    <row r="109" spans="2:9" s="54" customFormat="1" ht="16.5" customHeight="1">
      <c r="B109" s="44"/>
      <c r="C109" s="44"/>
      <c r="D109" s="44"/>
      <c r="E109" s="44"/>
      <c r="F109" s="44"/>
      <c r="I109" s="52"/>
    </row>
    <row r="110" spans="2:9" s="54" customFormat="1" ht="16.5" customHeight="1">
      <c r="B110" s="44"/>
      <c r="C110" s="44"/>
      <c r="D110" s="44"/>
      <c r="E110" s="44"/>
      <c r="F110" s="44"/>
      <c r="I110" s="52"/>
    </row>
    <row r="111" spans="2:9" s="54" customFormat="1" ht="16.5" customHeight="1">
      <c r="B111" s="44"/>
      <c r="C111" s="44"/>
      <c r="D111" s="44"/>
      <c r="E111" s="44"/>
      <c r="F111" s="44"/>
      <c r="I111" s="52"/>
    </row>
    <row r="112" spans="2:9" s="54" customFormat="1" ht="16.5" customHeight="1">
      <c r="B112" s="44"/>
      <c r="C112" s="44"/>
      <c r="D112" s="44"/>
      <c r="E112" s="44"/>
      <c r="F112" s="44"/>
      <c r="I112" s="52"/>
    </row>
    <row r="113" spans="2:9" s="54" customFormat="1" ht="16.5" customHeight="1">
      <c r="B113" s="44"/>
      <c r="C113" s="44"/>
      <c r="D113" s="44"/>
      <c r="E113" s="44"/>
      <c r="F113" s="44"/>
      <c r="I113" s="52"/>
    </row>
    <row r="114" spans="2:9" s="54" customFormat="1" ht="16.5" customHeight="1">
      <c r="B114" s="44"/>
      <c r="C114" s="44"/>
      <c r="D114" s="44"/>
      <c r="E114" s="44"/>
      <c r="F114" s="44"/>
      <c r="I114" s="52"/>
    </row>
    <row r="115" spans="2:9" s="54" customFormat="1" ht="16.5" customHeight="1">
      <c r="B115" s="44"/>
      <c r="C115" s="44"/>
      <c r="D115" s="44"/>
      <c r="E115" s="44"/>
      <c r="F115" s="44"/>
      <c r="I115" s="52"/>
    </row>
    <row r="116" spans="2:9" s="54" customFormat="1" ht="16.5" customHeight="1">
      <c r="B116" s="44"/>
      <c r="C116" s="44"/>
      <c r="D116" s="44"/>
      <c r="E116" s="44"/>
      <c r="F116" s="44"/>
      <c r="I116" s="52"/>
    </row>
    <row r="117" spans="2:9" s="54" customFormat="1" ht="16.5" customHeight="1">
      <c r="B117" s="44"/>
      <c r="C117" s="44"/>
      <c r="D117" s="44"/>
      <c r="E117" s="44"/>
      <c r="F117" s="44"/>
      <c r="I117" s="52"/>
    </row>
    <row r="118" spans="2:9" s="54" customFormat="1" ht="16.5" customHeight="1">
      <c r="B118" s="44"/>
      <c r="C118" s="44"/>
      <c r="D118" s="44"/>
      <c r="E118" s="44"/>
      <c r="F118" s="44"/>
      <c r="I118" s="52"/>
    </row>
    <row r="119" spans="2:9" s="54" customFormat="1" ht="16.5" customHeight="1">
      <c r="B119" s="44"/>
      <c r="C119" s="44"/>
      <c r="D119" s="44"/>
      <c r="E119" s="44"/>
      <c r="F119" s="44"/>
      <c r="I119" s="52"/>
    </row>
    <row r="120" spans="2:9" s="54" customFormat="1" ht="16.5" customHeight="1">
      <c r="B120" s="44"/>
      <c r="C120" s="44"/>
      <c r="D120" s="44"/>
      <c r="E120" s="44"/>
      <c r="F120" s="44"/>
      <c r="I120" s="52"/>
    </row>
    <row r="121" spans="2:9" s="54" customFormat="1" ht="16.5" customHeight="1">
      <c r="B121" s="44"/>
      <c r="C121" s="44"/>
      <c r="D121" s="44"/>
      <c r="E121" s="44"/>
      <c r="F121" s="44"/>
      <c r="I121" s="52"/>
    </row>
    <row r="122" spans="2:9" s="54" customFormat="1" ht="16.5" customHeight="1">
      <c r="B122" s="44"/>
      <c r="C122" s="44"/>
      <c r="D122" s="44"/>
      <c r="E122" s="44"/>
      <c r="F122" s="44"/>
      <c r="I122" s="52"/>
    </row>
    <row r="123" spans="2:9" s="54" customFormat="1" ht="16.5" customHeight="1">
      <c r="B123" s="44"/>
      <c r="C123" s="44"/>
      <c r="D123" s="44"/>
      <c r="E123" s="44"/>
      <c r="F123" s="44"/>
      <c r="I123" s="52"/>
    </row>
    <row r="124" spans="2:9" s="54" customFormat="1" ht="16.5" customHeight="1">
      <c r="B124" s="44"/>
      <c r="C124" s="44"/>
      <c r="D124" s="44"/>
      <c r="E124" s="44"/>
      <c r="F124" s="44"/>
      <c r="I124" s="52"/>
    </row>
    <row r="125" spans="2:9" s="54" customFormat="1" ht="16.5" customHeight="1">
      <c r="B125" s="44"/>
      <c r="C125" s="44"/>
      <c r="D125" s="44"/>
      <c r="E125" s="44"/>
      <c r="F125" s="44"/>
      <c r="I125" s="52"/>
    </row>
    <row r="126" spans="2:9" s="54" customFormat="1" ht="16.5" customHeight="1">
      <c r="B126" s="44"/>
      <c r="C126" s="44"/>
      <c r="D126" s="44"/>
      <c r="E126" s="44"/>
      <c r="F126" s="44"/>
      <c r="I126" s="52"/>
    </row>
    <row r="127" spans="2:9" s="54" customFormat="1" ht="16.5" customHeight="1">
      <c r="B127" s="44"/>
      <c r="C127" s="44"/>
      <c r="D127" s="44"/>
      <c r="E127" s="44"/>
      <c r="F127" s="44"/>
      <c r="I127" s="52"/>
    </row>
    <row r="128" spans="2:9" s="54" customFormat="1" ht="16.5" customHeight="1">
      <c r="B128" s="44"/>
      <c r="C128" s="44"/>
      <c r="D128" s="44"/>
      <c r="E128" s="44"/>
      <c r="F128" s="44"/>
      <c r="I128" s="52"/>
    </row>
    <row r="129" spans="2:9" s="54" customFormat="1" ht="16.5" customHeight="1">
      <c r="B129" s="44"/>
      <c r="C129" s="44"/>
      <c r="D129" s="44"/>
      <c r="E129" s="44"/>
      <c r="F129" s="44"/>
      <c r="I129" s="52"/>
    </row>
    <row r="130" spans="2:9" s="54" customFormat="1" ht="16.5" customHeight="1">
      <c r="B130" s="44"/>
      <c r="C130" s="44"/>
      <c r="D130" s="44"/>
      <c r="E130" s="44"/>
      <c r="F130" s="44"/>
      <c r="I130" s="52"/>
    </row>
    <row r="131" spans="2:9" s="54" customFormat="1" ht="16.5" customHeight="1">
      <c r="B131" s="44"/>
      <c r="C131" s="44"/>
      <c r="D131" s="44"/>
      <c r="E131" s="44"/>
      <c r="F131" s="44"/>
      <c r="I131" s="52"/>
    </row>
    <row r="132" spans="2:9" s="54" customFormat="1" ht="16.5" customHeight="1">
      <c r="B132" s="44"/>
      <c r="C132" s="44"/>
      <c r="D132" s="44"/>
      <c r="E132" s="44"/>
      <c r="F132" s="44"/>
      <c r="I132" s="52"/>
    </row>
    <row r="133" spans="2:9" s="54" customFormat="1" ht="16.5" customHeight="1">
      <c r="B133" s="44"/>
      <c r="C133" s="44"/>
      <c r="D133" s="44"/>
      <c r="E133" s="44"/>
      <c r="F133" s="44"/>
      <c r="I133" s="52"/>
    </row>
    <row r="134" spans="2:9" s="54" customFormat="1" ht="16.5" customHeight="1">
      <c r="B134" s="44"/>
      <c r="C134" s="44"/>
      <c r="D134" s="44"/>
      <c r="E134" s="44"/>
      <c r="F134" s="44"/>
      <c r="I134" s="52"/>
    </row>
    <row r="135" spans="2:9" s="54" customFormat="1" ht="16.5" customHeight="1">
      <c r="B135" s="44"/>
      <c r="C135" s="44"/>
      <c r="D135" s="44"/>
      <c r="E135" s="44"/>
      <c r="F135" s="44"/>
      <c r="I135" s="52"/>
    </row>
    <row r="136" spans="2:9" s="54" customFormat="1" ht="16.5" customHeight="1">
      <c r="B136" s="44"/>
      <c r="C136" s="44"/>
      <c r="D136" s="44"/>
      <c r="E136" s="44"/>
      <c r="F136" s="44"/>
      <c r="I136" s="52"/>
    </row>
    <row r="137" spans="2:9" s="54" customFormat="1" ht="16.5" customHeight="1">
      <c r="B137" s="44"/>
      <c r="C137" s="44"/>
      <c r="D137" s="44"/>
      <c r="E137" s="44"/>
      <c r="F137" s="44"/>
      <c r="I137" s="52"/>
    </row>
    <row r="138" spans="2:9" s="54" customFormat="1" ht="16.5" customHeight="1">
      <c r="B138" s="44"/>
      <c r="C138" s="44"/>
      <c r="D138" s="44"/>
      <c r="E138" s="44"/>
      <c r="F138" s="44"/>
      <c r="I138" s="52"/>
    </row>
    <row r="139" spans="2:9" s="54" customFormat="1" ht="16.5" customHeight="1">
      <c r="B139" s="44"/>
      <c r="C139" s="44"/>
      <c r="D139" s="44"/>
      <c r="E139" s="44"/>
      <c r="F139" s="44"/>
      <c r="I139" s="52"/>
    </row>
    <row r="140" spans="2:9" s="54" customFormat="1" ht="16.5" customHeight="1">
      <c r="B140" s="44"/>
      <c r="C140" s="44"/>
      <c r="D140" s="44"/>
      <c r="E140" s="44"/>
      <c r="F140" s="44"/>
      <c r="I140" s="52"/>
    </row>
    <row r="141" spans="2:9" s="54" customFormat="1" ht="16.5" customHeight="1">
      <c r="B141" s="44"/>
      <c r="C141" s="44"/>
      <c r="D141" s="44"/>
      <c r="E141" s="44"/>
      <c r="F141" s="44"/>
      <c r="I141" s="52"/>
    </row>
    <row r="142" spans="2:9" s="54" customFormat="1" ht="16.5" customHeight="1">
      <c r="B142" s="44"/>
      <c r="C142" s="44"/>
      <c r="D142" s="44"/>
      <c r="E142" s="44"/>
      <c r="F142" s="44"/>
      <c r="I142" s="52"/>
    </row>
    <row r="143" spans="2:9" s="54" customFormat="1" ht="16.5" customHeight="1">
      <c r="B143" s="44"/>
      <c r="C143" s="44"/>
      <c r="D143" s="44"/>
      <c r="E143" s="44"/>
      <c r="F143" s="44"/>
      <c r="I143" s="52"/>
    </row>
    <row r="144" spans="2:9" s="54" customFormat="1" ht="16.5" customHeight="1">
      <c r="B144" s="44"/>
      <c r="C144" s="44"/>
      <c r="D144" s="44"/>
      <c r="E144" s="44"/>
      <c r="F144" s="44"/>
      <c r="I144" s="52"/>
    </row>
    <row r="145" spans="2:9" s="54" customFormat="1" ht="16.5" customHeight="1">
      <c r="B145" s="44"/>
      <c r="C145" s="44"/>
      <c r="D145" s="44"/>
      <c r="E145" s="44"/>
      <c r="F145" s="44"/>
      <c r="I145" s="52"/>
    </row>
    <row r="146" spans="2:9" s="54" customFormat="1" ht="16.5" customHeight="1">
      <c r="B146" s="44"/>
      <c r="C146" s="44"/>
      <c r="D146" s="44"/>
      <c r="E146" s="44"/>
      <c r="F146" s="44"/>
      <c r="I146" s="52"/>
    </row>
    <row r="147" spans="2:9" s="54" customFormat="1" ht="16.5" customHeight="1">
      <c r="B147" s="44"/>
      <c r="C147" s="44"/>
      <c r="D147" s="44"/>
      <c r="E147" s="44"/>
      <c r="F147" s="44"/>
      <c r="I147" s="52"/>
    </row>
    <row r="148" spans="2:9" s="54" customFormat="1" ht="16.5" customHeight="1">
      <c r="B148" s="44"/>
      <c r="C148" s="44"/>
      <c r="D148" s="44"/>
      <c r="E148" s="44"/>
      <c r="F148" s="44"/>
      <c r="I148" s="52"/>
    </row>
    <row r="149" spans="2:9" s="54" customFormat="1" ht="16.5" customHeight="1">
      <c r="B149" s="44"/>
      <c r="C149" s="44"/>
      <c r="D149" s="44"/>
      <c r="E149" s="44"/>
      <c r="F149" s="44"/>
      <c r="I149" s="52"/>
    </row>
    <row r="150" spans="2:9" s="54" customFormat="1" ht="16.5" customHeight="1">
      <c r="B150" s="44"/>
      <c r="C150" s="44"/>
      <c r="D150" s="44"/>
      <c r="E150" s="44"/>
      <c r="F150" s="44"/>
      <c r="I150" s="52"/>
    </row>
    <row r="151" spans="2:9" s="54" customFormat="1" ht="16.5" customHeight="1">
      <c r="B151" s="44"/>
      <c r="C151" s="44"/>
      <c r="D151" s="44"/>
      <c r="E151" s="44"/>
      <c r="F151" s="44"/>
      <c r="I151" s="52"/>
    </row>
    <row r="152" spans="2:9" s="54" customFormat="1" ht="16.5" customHeight="1">
      <c r="B152" s="44"/>
      <c r="C152" s="44"/>
      <c r="D152" s="44"/>
      <c r="E152" s="44"/>
      <c r="F152" s="44"/>
      <c r="I152" s="52"/>
    </row>
    <row r="153" spans="2:9" s="54" customFormat="1" ht="16.5" customHeight="1">
      <c r="B153" s="44"/>
      <c r="C153" s="44"/>
      <c r="D153" s="44"/>
      <c r="E153" s="44"/>
      <c r="F153" s="44"/>
      <c r="I153" s="52"/>
    </row>
    <row r="154" spans="2:9" s="54" customFormat="1" ht="16.5" customHeight="1">
      <c r="B154" s="44"/>
      <c r="C154" s="44"/>
      <c r="D154" s="44"/>
      <c r="E154" s="44"/>
      <c r="F154" s="44"/>
      <c r="I154" s="52"/>
    </row>
    <row r="155" spans="2:9" s="54" customFormat="1" ht="16.5" customHeight="1">
      <c r="B155" s="44"/>
      <c r="C155" s="44"/>
      <c r="D155" s="44"/>
      <c r="E155" s="44"/>
      <c r="F155" s="44"/>
      <c r="I155" s="52"/>
    </row>
    <row r="156" spans="2:9" s="54" customFormat="1" ht="16.5" customHeight="1">
      <c r="B156" s="44"/>
      <c r="C156" s="44"/>
      <c r="D156" s="44"/>
      <c r="E156" s="44"/>
      <c r="F156" s="44"/>
      <c r="I156" s="52"/>
    </row>
    <row r="157" spans="2:9" s="54" customFormat="1" ht="16.5" customHeight="1">
      <c r="B157" s="44"/>
      <c r="C157" s="44"/>
      <c r="D157" s="44"/>
      <c r="E157" s="44"/>
      <c r="F157" s="44"/>
      <c r="I157" s="52"/>
    </row>
    <row r="158" spans="2:9" s="54" customFormat="1" ht="16.5" customHeight="1">
      <c r="B158" s="44"/>
      <c r="C158" s="44"/>
      <c r="D158" s="44"/>
      <c r="E158" s="44"/>
      <c r="F158" s="44"/>
      <c r="I158" s="52"/>
    </row>
    <row r="159" spans="2:9" s="54" customFormat="1" ht="16.5" customHeight="1">
      <c r="B159" s="44"/>
      <c r="C159" s="44"/>
      <c r="D159" s="44"/>
      <c r="E159" s="44"/>
      <c r="F159" s="44"/>
      <c r="I159" s="52"/>
    </row>
    <row r="160" spans="2:9" s="54" customFormat="1" ht="16.5" customHeight="1">
      <c r="B160" s="44"/>
      <c r="C160" s="44"/>
      <c r="D160" s="44"/>
      <c r="E160" s="44"/>
      <c r="F160" s="44"/>
      <c r="I160" s="52"/>
    </row>
    <row r="161" spans="2:9" s="54" customFormat="1" ht="16.5" customHeight="1">
      <c r="B161" s="44"/>
      <c r="C161" s="44"/>
      <c r="D161" s="44"/>
      <c r="E161" s="44"/>
      <c r="F161" s="44"/>
      <c r="I161" s="52"/>
    </row>
    <row r="162" spans="2:9" s="54" customFormat="1" ht="16.5" customHeight="1">
      <c r="B162" s="44"/>
      <c r="C162" s="44"/>
      <c r="D162" s="44"/>
      <c r="E162" s="44"/>
      <c r="F162" s="44"/>
      <c r="I162" s="52"/>
    </row>
    <row r="163" spans="2:9" s="54" customFormat="1" ht="16.5" customHeight="1">
      <c r="B163" s="44"/>
      <c r="C163" s="44"/>
      <c r="D163" s="44"/>
      <c r="E163" s="44"/>
      <c r="F163" s="44"/>
      <c r="I163" s="52"/>
    </row>
    <row r="164" spans="2:9" s="54" customFormat="1" ht="16.5" customHeight="1">
      <c r="B164" s="44"/>
      <c r="C164" s="44"/>
      <c r="D164" s="44"/>
      <c r="E164" s="44"/>
      <c r="F164" s="44"/>
      <c r="I164" s="52"/>
    </row>
    <row r="165" spans="2:9" s="54" customFormat="1" ht="16.5" customHeight="1">
      <c r="B165" s="44"/>
      <c r="C165" s="44"/>
      <c r="D165" s="44"/>
      <c r="E165" s="44"/>
      <c r="F165" s="44"/>
      <c r="I165" s="52"/>
    </row>
    <row r="166" spans="2:9" s="54" customFormat="1" ht="16.5" customHeight="1">
      <c r="B166" s="44"/>
      <c r="C166" s="44"/>
      <c r="D166" s="44"/>
      <c r="E166" s="44"/>
      <c r="F166" s="44"/>
      <c r="I166" s="52"/>
    </row>
    <row r="167" spans="2:9" s="54" customFormat="1" ht="16.5" customHeight="1">
      <c r="B167" s="44"/>
      <c r="C167" s="53"/>
      <c r="D167" s="44"/>
      <c r="E167" s="44"/>
      <c r="F167" s="44"/>
      <c r="I167" s="52"/>
    </row>
    <row r="168" spans="2:9" s="54" customFormat="1" ht="16.5" customHeight="1">
      <c r="B168" s="44"/>
      <c r="C168" s="44"/>
      <c r="D168" s="44"/>
      <c r="E168" s="44"/>
      <c r="F168" s="44"/>
      <c r="I168" s="52"/>
    </row>
    <row r="169" spans="2:9" s="54" customFormat="1" ht="16.5" customHeight="1">
      <c r="B169" s="44"/>
      <c r="C169" s="53"/>
      <c r="D169" s="44"/>
      <c r="E169" s="44"/>
      <c r="F169" s="44"/>
      <c r="I169" s="52"/>
    </row>
    <row r="170" spans="2:9" s="54" customFormat="1" ht="16.5" customHeight="1">
      <c r="B170" s="44"/>
      <c r="C170" s="44"/>
      <c r="D170" s="44"/>
      <c r="E170" s="44"/>
      <c r="F170" s="44"/>
      <c r="I170" s="52"/>
    </row>
    <row r="171" spans="2:9" s="54" customFormat="1" ht="16.5" customHeight="1">
      <c r="B171" s="44"/>
      <c r="C171" s="44"/>
      <c r="D171" s="44"/>
      <c r="E171" s="44"/>
      <c r="F171" s="44"/>
      <c r="I171" s="52"/>
    </row>
    <row r="172" spans="2:9" s="54" customFormat="1" ht="16.5" customHeight="1">
      <c r="B172" s="44"/>
      <c r="C172" s="44"/>
      <c r="D172" s="44"/>
      <c r="E172" s="44"/>
      <c r="F172" s="44"/>
      <c r="I172" s="52"/>
    </row>
    <row r="173" spans="2:9" s="54" customFormat="1" ht="16.5" customHeight="1">
      <c r="B173" s="44"/>
      <c r="C173" s="44"/>
      <c r="D173" s="44"/>
      <c r="E173" s="44"/>
      <c r="F173" s="44"/>
      <c r="I173" s="52"/>
    </row>
    <row r="174" spans="2:9" s="54" customFormat="1" ht="16.5" customHeight="1">
      <c r="B174" s="44"/>
      <c r="C174" s="44"/>
      <c r="D174" s="44"/>
      <c r="E174" s="44"/>
      <c r="F174" s="44"/>
      <c r="I174" s="52"/>
    </row>
    <row r="175" spans="2:9" s="54" customFormat="1" ht="16.5" customHeight="1">
      <c r="B175" s="44"/>
      <c r="C175" s="53"/>
      <c r="D175" s="44"/>
      <c r="E175" s="44"/>
      <c r="F175" s="44"/>
      <c r="I175" s="52"/>
    </row>
    <row r="176" spans="2:9" s="54" customFormat="1" ht="16.5" customHeight="1">
      <c r="B176" s="44"/>
      <c r="C176" s="53"/>
      <c r="D176" s="44"/>
      <c r="E176" s="44"/>
      <c r="F176" s="44"/>
      <c r="I176" s="52"/>
    </row>
    <row r="177" spans="2:9" s="54" customFormat="1" ht="16.5" customHeight="1">
      <c r="B177" s="44"/>
      <c r="C177" s="53"/>
      <c r="D177" s="44"/>
      <c r="E177" s="44"/>
      <c r="F177" s="44"/>
      <c r="I177" s="52"/>
    </row>
    <row r="178" spans="2:9" s="54" customFormat="1" ht="16.5" customHeight="1">
      <c r="B178" s="44"/>
      <c r="C178" s="44"/>
      <c r="D178" s="44"/>
      <c r="E178" s="44"/>
      <c r="F178" s="44"/>
      <c r="I178" s="52"/>
    </row>
    <row r="179" spans="2:9" s="54" customFormat="1" ht="16.5" customHeight="1">
      <c r="B179" s="44"/>
      <c r="C179" s="53"/>
      <c r="D179" s="44"/>
      <c r="E179" s="44"/>
      <c r="F179" s="44"/>
      <c r="I179" s="52"/>
    </row>
    <row r="180" spans="2:9" s="54" customFormat="1" ht="16.5" customHeight="1">
      <c r="B180" s="44"/>
      <c r="C180" s="53"/>
      <c r="D180" s="44"/>
      <c r="E180" s="44"/>
      <c r="F180" s="44"/>
      <c r="I180" s="52"/>
    </row>
    <row r="181" spans="2:9" s="54" customFormat="1" ht="16.5" customHeight="1">
      <c r="B181" s="44"/>
      <c r="C181" s="53"/>
      <c r="D181" s="44"/>
      <c r="E181" s="44"/>
      <c r="F181" s="44"/>
      <c r="I181" s="52"/>
    </row>
    <row r="182" spans="2:9" s="54" customFormat="1" ht="16.5" customHeight="1">
      <c r="B182" s="44"/>
      <c r="C182" s="44"/>
      <c r="D182" s="44"/>
      <c r="E182" s="44"/>
      <c r="F182" s="44"/>
      <c r="I182" s="52"/>
    </row>
    <row r="183" spans="2:9" s="54" customFormat="1" ht="16.5" customHeight="1">
      <c r="B183" s="44"/>
      <c r="C183" s="44"/>
      <c r="D183" s="44"/>
      <c r="E183" s="44"/>
      <c r="F183" s="44"/>
      <c r="I183" s="52"/>
    </row>
    <row r="184" spans="2:9" s="54" customFormat="1" ht="16.5" customHeight="1">
      <c r="B184" s="44"/>
      <c r="C184" s="44"/>
      <c r="D184" s="44"/>
      <c r="E184" s="44"/>
      <c r="F184" s="44"/>
      <c r="I184" s="52"/>
    </row>
    <row r="185" spans="2:9" s="54" customFormat="1" ht="16.5" customHeight="1">
      <c r="B185" s="44"/>
      <c r="C185" s="44"/>
      <c r="D185" s="44"/>
      <c r="E185" s="44"/>
      <c r="F185" s="44"/>
      <c r="I185" s="52"/>
    </row>
    <row r="186" spans="2:9" s="54" customFormat="1" ht="16.5" customHeight="1">
      <c r="B186" s="44"/>
      <c r="C186" s="53"/>
      <c r="D186" s="44"/>
      <c r="E186" s="44"/>
      <c r="F186" s="44"/>
      <c r="I186" s="52"/>
    </row>
    <row r="187" spans="2:9" s="54" customFormat="1" ht="16.5" customHeight="1">
      <c r="B187" s="44"/>
      <c r="C187" s="44"/>
      <c r="D187" s="44"/>
      <c r="E187" s="44"/>
      <c r="F187" s="44"/>
      <c r="I187" s="52"/>
    </row>
    <row r="188" spans="2:9" s="54" customFormat="1" ht="16.5" customHeight="1">
      <c r="B188" s="44"/>
      <c r="C188" s="44"/>
      <c r="D188" s="44"/>
      <c r="E188" s="44"/>
      <c r="F188" s="44"/>
      <c r="I188" s="52"/>
    </row>
    <row r="189" spans="2:9" s="54" customFormat="1" ht="16.5" customHeight="1">
      <c r="B189" s="44"/>
      <c r="C189" s="44"/>
      <c r="D189" s="44"/>
      <c r="E189" s="44"/>
      <c r="F189" s="44"/>
      <c r="I189" s="52"/>
    </row>
    <row r="190" spans="2:9" s="54" customFormat="1" ht="16.5" customHeight="1">
      <c r="B190" s="44"/>
      <c r="C190" s="44"/>
      <c r="D190" s="44"/>
      <c r="E190" s="44"/>
      <c r="F190" s="44"/>
      <c r="I190" s="52"/>
    </row>
    <row r="191" spans="2:9" s="54" customFormat="1" ht="16.5" customHeight="1">
      <c r="B191" s="44"/>
      <c r="C191" s="44"/>
      <c r="D191" s="44"/>
      <c r="E191" s="44"/>
      <c r="F191" s="44"/>
      <c r="I191" s="52"/>
    </row>
    <row r="192" spans="2:9" s="54" customFormat="1" ht="16.5" customHeight="1">
      <c r="B192" s="44"/>
      <c r="C192" s="44"/>
      <c r="D192" s="44"/>
      <c r="E192" s="44"/>
      <c r="F192" s="44"/>
      <c r="I192" s="52"/>
    </row>
    <row r="193" spans="2:9" s="54" customFormat="1" ht="16.5" customHeight="1">
      <c r="B193" s="44"/>
      <c r="C193" s="44"/>
      <c r="D193" s="44"/>
      <c r="E193" s="44"/>
      <c r="F193" s="44"/>
      <c r="I193" s="52"/>
    </row>
    <row r="194" spans="2:9" s="54" customFormat="1" ht="16.5" customHeight="1">
      <c r="B194" s="44"/>
      <c r="C194" s="44"/>
      <c r="D194" s="44"/>
      <c r="E194" s="44"/>
      <c r="F194" s="44"/>
      <c r="I194" s="52"/>
    </row>
    <row r="195" spans="2:9" s="54" customFormat="1" ht="16.5" customHeight="1">
      <c r="B195" s="44"/>
      <c r="C195" s="44"/>
      <c r="D195" s="44"/>
      <c r="E195" s="44"/>
      <c r="F195" s="44"/>
      <c r="I195" s="52"/>
    </row>
    <row r="196" spans="2:9" s="54" customFormat="1" ht="16.5" customHeight="1">
      <c r="B196" s="44"/>
      <c r="C196" s="44"/>
      <c r="D196" s="44"/>
      <c r="E196" s="44"/>
      <c r="F196" s="44"/>
      <c r="I196" s="52"/>
    </row>
    <row r="197" spans="2:9" s="54" customFormat="1" ht="16.5" customHeight="1">
      <c r="B197" s="44"/>
      <c r="C197" s="44"/>
      <c r="D197" s="44"/>
      <c r="E197" s="44"/>
      <c r="F197" s="44"/>
      <c r="I197" s="52"/>
    </row>
    <row r="198" spans="2:9" s="54" customFormat="1" ht="16.5" customHeight="1">
      <c r="B198" s="44"/>
      <c r="C198" s="53"/>
      <c r="D198" s="44"/>
      <c r="E198" s="44"/>
      <c r="F198" s="44"/>
      <c r="I198" s="52"/>
    </row>
    <row r="199" spans="2:9" s="54" customFormat="1" ht="16.5" customHeight="1">
      <c r="B199" s="44"/>
      <c r="C199" s="44"/>
      <c r="D199" s="44"/>
      <c r="E199" s="44"/>
      <c r="F199" s="44"/>
      <c r="I199" s="52"/>
    </row>
    <row r="200" spans="2:9" s="54" customFormat="1" ht="16.5" customHeight="1">
      <c r="B200" s="44"/>
      <c r="C200" s="44"/>
      <c r="D200" s="44"/>
      <c r="E200" s="44"/>
      <c r="F200" s="44"/>
      <c r="I200" s="52"/>
    </row>
    <row r="201" spans="2:9" s="54" customFormat="1" ht="16.5" customHeight="1">
      <c r="B201" s="44"/>
      <c r="C201" s="44"/>
      <c r="D201" s="44"/>
      <c r="E201" s="44"/>
      <c r="F201" s="44"/>
      <c r="I201" s="52"/>
    </row>
    <row r="202" spans="2:9" s="54" customFormat="1" ht="16.5" customHeight="1">
      <c r="B202" s="44"/>
      <c r="C202" s="44"/>
      <c r="D202" s="44"/>
      <c r="E202" s="44"/>
      <c r="F202" s="44"/>
      <c r="I202" s="52"/>
    </row>
    <row r="203" spans="2:9" s="54" customFormat="1" ht="16.5" customHeight="1">
      <c r="B203" s="44"/>
      <c r="C203" s="53"/>
      <c r="D203" s="44"/>
      <c r="E203" s="44"/>
      <c r="F203" s="44"/>
      <c r="I203" s="52"/>
    </row>
    <row r="204" spans="2:9" s="54" customFormat="1" ht="16.5" customHeight="1">
      <c r="B204" s="44"/>
      <c r="C204" s="44"/>
      <c r="D204" s="44"/>
      <c r="E204" s="44"/>
      <c r="F204" s="44"/>
      <c r="I204" s="52"/>
    </row>
    <row r="205" spans="2:9" s="54" customFormat="1" ht="16.5" customHeight="1">
      <c r="B205" s="44"/>
      <c r="C205" s="44"/>
      <c r="D205" s="44"/>
      <c r="E205" s="44"/>
      <c r="F205" s="44"/>
      <c r="I205" s="52"/>
    </row>
    <row r="206" spans="2:9" s="54" customFormat="1" ht="16.5" customHeight="1">
      <c r="B206" s="44"/>
      <c r="C206" s="44"/>
      <c r="D206" s="44"/>
      <c r="E206" s="44"/>
      <c r="F206" s="44"/>
      <c r="I206" s="52"/>
    </row>
    <row r="207" spans="2:9" s="54" customFormat="1" ht="16.5" customHeight="1">
      <c r="B207" s="44"/>
      <c r="C207" s="53"/>
      <c r="D207" s="44"/>
      <c r="E207" s="44"/>
      <c r="F207" s="44"/>
      <c r="I207" s="52"/>
    </row>
    <row r="208" spans="2:9" s="54" customFormat="1" ht="16.5" customHeight="1">
      <c r="B208" s="44"/>
      <c r="C208" s="44"/>
      <c r="D208" s="44"/>
      <c r="E208" s="44"/>
      <c r="F208" s="44"/>
      <c r="I208" s="52"/>
    </row>
    <row r="209" spans="2:9" s="54" customFormat="1" ht="16.5" customHeight="1">
      <c r="B209" s="44"/>
      <c r="C209" s="53"/>
      <c r="D209" s="44"/>
      <c r="E209" s="44"/>
      <c r="F209" s="44"/>
      <c r="I209" s="52"/>
    </row>
    <row r="210" spans="2:9" s="54" customFormat="1" ht="16.5" customHeight="1">
      <c r="B210" s="44"/>
      <c r="C210" s="53"/>
      <c r="D210" s="44"/>
      <c r="E210" s="44"/>
      <c r="F210" s="44"/>
      <c r="I210" s="52"/>
    </row>
    <row r="211" spans="2:9" s="54" customFormat="1" ht="16.5" customHeight="1">
      <c r="B211" s="44"/>
      <c r="C211" s="53"/>
      <c r="D211" s="44"/>
      <c r="E211" s="44"/>
      <c r="F211" s="44"/>
      <c r="I211" s="52"/>
    </row>
    <row r="212" spans="2:9" s="54" customFormat="1" ht="16.5" customHeight="1">
      <c r="B212" s="44"/>
      <c r="C212" s="53"/>
      <c r="D212" s="44"/>
      <c r="E212" s="44"/>
      <c r="F212" s="44"/>
      <c r="I212" s="52"/>
    </row>
    <row r="213" spans="2:9" s="54" customFormat="1" ht="16.5" customHeight="1">
      <c r="B213" s="44"/>
      <c r="C213" s="44"/>
      <c r="D213" s="44"/>
      <c r="E213" s="44"/>
      <c r="F213" s="44"/>
      <c r="I213" s="52"/>
    </row>
    <row r="214" spans="2:9" s="54" customFormat="1" ht="16.5" customHeight="1">
      <c r="B214" s="44"/>
      <c r="C214" s="44"/>
      <c r="D214" s="44"/>
      <c r="E214" s="44"/>
      <c r="F214" s="44"/>
      <c r="I214" s="52"/>
    </row>
    <row r="215" spans="2:9" s="54" customFormat="1" ht="16.5" customHeight="1">
      <c r="B215" s="44"/>
      <c r="C215" s="53"/>
      <c r="D215" s="44"/>
      <c r="E215" s="44"/>
      <c r="F215" s="44"/>
      <c r="I215" s="52"/>
    </row>
    <row r="216" spans="2:9" s="54" customFormat="1" ht="16.5" customHeight="1">
      <c r="B216" s="44"/>
      <c r="C216" s="53"/>
      <c r="D216" s="44"/>
      <c r="E216" s="44"/>
      <c r="F216" s="44"/>
      <c r="I216" s="52"/>
    </row>
    <row r="217" spans="2:9" s="54" customFormat="1" ht="16.5" customHeight="1">
      <c r="B217" s="44"/>
      <c r="C217" s="53"/>
      <c r="D217" s="44"/>
      <c r="E217" s="44"/>
      <c r="F217" s="44"/>
      <c r="I217" s="52"/>
    </row>
    <row r="218" spans="2:9" s="54" customFormat="1" ht="16.5" customHeight="1">
      <c r="B218" s="44"/>
      <c r="C218" s="53"/>
      <c r="D218" s="44"/>
      <c r="E218" s="44"/>
      <c r="F218" s="44"/>
      <c r="I218" s="52"/>
    </row>
    <row r="219" spans="2:9" s="54" customFormat="1" ht="16.5" customHeight="1">
      <c r="B219" s="44"/>
      <c r="C219" s="53"/>
      <c r="D219" s="44"/>
      <c r="E219" s="44"/>
      <c r="F219" s="44"/>
      <c r="I219" s="52"/>
    </row>
    <row r="220" spans="2:9" s="54" customFormat="1" ht="16.5" customHeight="1">
      <c r="B220" s="44"/>
      <c r="C220" s="44"/>
      <c r="D220" s="44"/>
      <c r="E220" s="44"/>
      <c r="F220" s="44"/>
      <c r="I220" s="52"/>
    </row>
    <row r="221" spans="2:9" s="54" customFormat="1" ht="16.5" customHeight="1">
      <c r="B221" s="44"/>
      <c r="C221" s="44"/>
      <c r="D221" s="44"/>
      <c r="E221" s="44"/>
      <c r="F221" s="44"/>
      <c r="I221" s="52"/>
    </row>
    <row r="222" spans="2:9" s="54" customFormat="1" ht="16.5" customHeight="1">
      <c r="B222" s="44"/>
      <c r="C222" s="44"/>
      <c r="D222" s="44"/>
      <c r="E222" s="44"/>
      <c r="F222" s="44"/>
      <c r="I222" s="52"/>
    </row>
    <row r="223" spans="2:9" s="54" customFormat="1" ht="16.5" customHeight="1">
      <c r="B223" s="44"/>
      <c r="C223" s="44"/>
      <c r="D223" s="44"/>
      <c r="E223" s="44"/>
      <c r="F223" s="44"/>
      <c r="I223" s="52"/>
    </row>
    <row r="224" spans="2:9" s="54" customFormat="1" ht="16.5" customHeight="1">
      <c r="B224" s="44"/>
      <c r="C224" s="53"/>
      <c r="D224" s="44"/>
      <c r="E224" s="44"/>
      <c r="F224" s="44"/>
      <c r="I224" s="52"/>
    </row>
    <row r="225" spans="2:9" s="54" customFormat="1" ht="16.5" customHeight="1">
      <c r="B225" s="44"/>
      <c r="C225" s="53"/>
      <c r="D225" s="44"/>
      <c r="E225" s="44"/>
      <c r="F225" s="44"/>
      <c r="I225" s="52"/>
    </row>
    <row r="226" spans="2:9" s="54" customFormat="1" ht="16.5" customHeight="1">
      <c r="B226" s="44"/>
      <c r="C226" s="44"/>
      <c r="D226" s="44"/>
      <c r="E226" s="44"/>
      <c r="F226" s="44"/>
      <c r="I226" s="52"/>
    </row>
    <row r="227" spans="2:9" s="54" customFormat="1" ht="16.5" customHeight="1">
      <c r="B227" s="44"/>
      <c r="C227" s="53"/>
      <c r="D227" s="44"/>
      <c r="E227" s="44"/>
      <c r="F227" s="44"/>
      <c r="I227" s="52"/>
    </row>
    <row r="228" spans="2:9" s="54" customFormat="1" ht="16.5" customHeight="1">
      <c r="B228" s="44"/>
      <c r="C228" s="44"/>
      <c r="D228" s="44"/>
      <c r="E228" s="44"/>
      <c r="F228" s="44"/>
      <c r="I228" s="52"/>
    </row>
    <row r="229" spans="2:9" s="54" customFormat="1" ht="16.5" customHeight="1">
      <c r="B229" s="44"/>
      <c r="C229" s="53"/>
      <c r="D229" s="44"/>
      <c r="E229" s="44"/>
      <c r="F229" s="44"/>
      <c r="I229" s="52"/>
    </row>
    <row r="230" spans="2:9" s="54" customFormat="1" ht="16.5" customHeight="1">
      <c r="B230" s="44"/>
      <c r="C230" s="53"/>
      <c r="D230" s="44"/>
      <c r="E230" s="44"/>
      <c r="F230" s="44"/>
      <c r="I230" s="52"/>
    </row>
    <row r="231" spans="2:9" s="54" customFormat="1" ht="16.5" customHeight="1">
      <c r="B231" s="44"/>
      <c r="C231" s="53"/>
      <c r="D231" s="44"/>
      <c r="E231" s="44"/>
      <c r="F231" s="44"/>
      <c r="I231" s="52"/>
    </row>
    <row r="232" spans="2:9" s="54" customFormat="1" ht="16.5" customHeight="1">
      <c r="B232" s="44"/>
      <c r="C232" s="44"/>
      <c r="D232" s="44"/>
      <c r="E232" s="44"/>
      <c r="F232" s="44"/>
      <c r="I232" s="52"/>
    </row>
    <row r="233" spans="2:9" s="54" customFormat="1" ht="16.5" customHeight="1">
      <c r="B233" s="44"/>
      <c r="C233" s="53"/>
      <c r="D233" s="44"/>
      <c r="E233" s="44"/>
      <c r="F233" s="44"/>
      <c r="I233" s="52"/>
    </row>
    <row r="234" spans="2:9" s="54" customFormat="1" ht="16.5" customHeight="1">
      <c r="B234" s="44"/>
      <c r="C234" s="53"/>
      <c r="D234" s="44"/>
      <c r="E234" s="44"/>
      <c r="F234" s="44"/>
      <c r="I234" s="52"/>
    </row>
    <row r="235" spans="2:9" s="54" customFormat="1" ht="16.5" customHeight="1">
      <c r="B235" s="44"/>
      <c r="C235" s="53"/>
      <c r="D235" s="44"/>
      <c r="E235" s="44"/>
      <c r="F235" s="44"/>
      <c r="I235" s="52"/>
    </row>
    <row r="236" spans="2:9" s="54" customFormat="1" ht="16.5" customHeight="1">
      <c r="B236" s="44"/>
      <c r="C236" s="44"/>
      <c r="D236" s="44"/>
      <c r="E236" s="44"/>
      <c r="F236" s="44"/>
      <c r="I236" s="52"/>
    </row>
    <row r="237" spans="2:9" s="54" customFormat="1" ht="16.5" customHeight="1">
      <c r="B237" s="44"/>
      <c r="C237" s="44"/>
      <c r="D237" s="44"/>
      <c r="E237" s="44"/>
      <c r="F237" s="44"/>
      <c r="I237" s="52"/>
    </row>
    <row r="238" spans="2:9" s="54" customFormat="1" ht="16.5" customHeight="1">
      <c r="B238" s="44"/>
      <c r="C238" s="44"/>
      <c r="D238" s="44"/>
      <c r="E238" s="44"/>
      <c r="F238" s="44"/>
      <c r="I238" s="52"/>
    </row>
    <row r="239" spans="2:9" s="54" customFormat="1" ht="16.5" customHeight="1">
      <c r="B239" s="44"/>
      <c r="C239" s="44"/>
      <c r="D239" s="44"/>
      <c r="E239" s="44"/>
      <c r="F239" s="44"/>
      <c r="I239" s="52"/>
    </row>
    <row r="240" spans="2:9" s="54" customFormat="1" ht="16.5" customHeight="1">
      <c r="B240" s="44"/>
      <c r="C240" s="44"/>
      <c r="D240" s="44"/>
      <c r="E240" s="44"/>
      <c r="F240" s="44"/>
      <c r="I240" s="52"/>
    </row>
    <row r="241" spans="2:9" s="54" customFormat="1" ht="16.5" customHeight="1">
      <c r="B241" s="44"/>
      <c r="C241" s="44"/>
      <c r="D241" s="44"/>
      <c r="E241" s="44"/>
      <c r="F241" s="44"/>
      <c r="I241" s="52"/>
    </row>
    <row r="242" spans="2:9" s="54" customFormat="1" ht="16.5" customHeight="1">
      <c r="B242" s="44"/>
      <c r="C242" s="44"/>
      <c r="D242" s="44"/>
      <c r="E242" s="44"/>
      <c r="F242" s="44"/>
      <c r="I242" s="52"/>
    </row>
    <row r="243" spans="2:9" s="54" customFormat="1" ht="16.5" customHeight="1">
      <c r="B243" s="44"/>
      <c r="C243" s="44"/>
      <c r="D243" s="44"/>
      <c r="E243" s="44"/>
      <c r="F243" s="44"/>
      <c r="I243" s="52"/>
    </row>
    <row r="244" spans="2:9" s="54" customFormat="1" ht="16.5" customHeight="1">
      <c r="B244" s="44"/>
      <c r="C244" s="44"/>
      <c r="D244" s="44"/>
      <c r="E244" s="44"/>
      <c r="F244" s="44"/>
      <c r="I244" s="52"/>
    </row>
    <row r="245" spans="2:9" s="54" customFormat="1" ht="16.5" customHeight="1">
      <c r="B245" s="44"/>
      <c r="C245" s="44"/>
      <c r="D245" s="44"/>
      <c r="E245" s="44"/>
      <c r="F245" s="44"/>
      <c r="I245" s="52"/>
    </row>
    <row r="246" spans="2:9" s="54" customFormat="1" ht="16.5" customHeight="1">
      <c r="B246" s="44"/>
      <c r="C246" s="44"/>
      <c r="D246" s="44"/>
      <c r="E246" s="44"/>
      <c r="F246" s="44"/>
      <c r="I246" s="52"/>
    </row>
    <row r="247" spans="2:9" s="54" customFormat="1" ht="16.5" customHeight="1">
      <c r="B247" s="44"/>
      <c r="C247" s="44"/>
      <c r="D247" s="44"/>
      <c r="E247" s="44"/>
      <c r="F247" s="44"/>
      <c r="I247" s="52"/>
    </row>
    <row r="248" spans="2:9" s="54" customFormat="1" ht="16.5" customHeight="1">
      <c r="B248" s="44"/>
      <c r="C248" s="44"/>
      <c r="D248" s="44"/>
      <c r="E248" s="44"/>
      <c r="F248" s="44"/>
      <c r="I248" s="52"/>
    </row>
    <row r="249" spans="2:9" s="54" customFormat="1" ht="16.5" customHeight="1">
      <c r="B249" s="44"/>
      <c r="C249" s="44"/>
      <c r="D249" s="44"/>
      <c r="E249" s="44"/>
      <c r="F249" s="44"/>
      <c r="I249" s="52"/>
    </row>
    <row r="250" spans="2:9" s="54" customFormat="1" ht="16.5" customHeight="1">
      <c r="B250" s="44"/>
      <c r="C250" s="44"/>
      <c r="D250" s="44"/>
      <c r="E250" s="44"/>
      <c r="F250" s="44"/>
      <c r="I250" s="52"/>
    </row>
    <row r="251" spans="2:9" s="54" customFormat="1" ht="16.5" customHeight="1">
      <c r="B251" s="44"/>
      <c r="C251" s="44"/>
      <c r="D251" s="44"/>
      <c r="E251" s="44"/>
      <c r="F251" s="44"/>
      <c r="I251" s="52"/>
    </row>
    <row r="252" spans="2:9" s="54" customFormat="1" ht="16.5" customHeight="1">
      <c r="B252" s="44"/>
      <c r="C252" s="44"/>
      <c r="D252" s="44"/>
      <c r="E252" s="44"/>
      <c r="F252" s="44"/>
      <c r="I252" s="52"/>
    </row>
    <row r="253" spans="2:9" s="54" customFormat="1" ht="16.5" customHeight="1">
      <c r="B253" s="44"/>
      <c r="C253" s="44"/>
      <c r="D253" s="44"/>
      <c r="E253" s="44"/>
      <c r="F253" s="44"/>
      <c r="I253" s="52"/>
    </row>
    <row r="254" spans="2:9" s="54" customFormat="1" ht="16.5" customHeight="1">
      <c r="B254" s="44"/>
      <c r="C254" s="44"/>
      <c r="D254" s="44"/>
      <c r="E254" s="44"/>
      <c r="F254" s="44"/>
      <c r="I254" s="52"/>
    </row>
    <row r="255" spans="2:9" s="54" customFormat="1" ht="16.5" customHeight="1">
      <c r="B255" s="44"/>
      <c r="C255" s="44"/>
      <c r="D255" s="44"/>
      <c r="E255" s="44"/>
      <c r="F255" s="44"/>
      <c r="I255" s="52"/>
    </row>
    <row r="256" spans="2:9" s="54" customFormat="1" ht="16.5" customHeight="1">
      <c r="B256" s="44"/>
      <c r="C256" s="44"/>
      <c r="D256" s="44"/>
      <c r="E256" s="44"/>
      <c r="F256" s="44"/>
      <c r="I256" s="52"/>
    </row>
    <row r="257" spans="2:9" s="54" customFormat="1" ht="16.5" customHeight="1">
      <c r="B257" s="44"/>
      <c r="C257" s="44"/>
      <c r="D257" s="44"/>
      <c r="E257" s="44"/>
      <c r="F257" s="44"/>
      <c r="I257" s="52"/>
    </row>
    <row r="258" spans="2:9" s="54" customFormat="1" ht="16.5" customHeight="1">
      <c r="B258" s="44"/>
      <c r="C258" s="44"/>
      <c r="D258" s="44"/>
      <c r="E258" s="44"/>
      <c r="F258" s="44"/>
      <c r="I258" s="52"/>
    </row>
    <row r="259" spans="2:9" s="54" customFormat="1" ht="16.5" customHeight="1">
      <c r="B259" s="44"/>
      <c r="C259" s="44"/>
      <c r="D259" s="44"/>
      <c r="E259" s="44"/>
      <c r="F259" s="44"/>
      <c r="I259" s="52"/>
    </row>
    <row r="260" spans="2:9" s="54" customFormat="1" ht="16.5" customHeight="1">
      <c r="B260" s="44"/>
      <c r="C260" s="44"/>
      <c r="D260" s="44"/>
      <c r="E260" s="44"/>
      <c r="F260" s="44"/>
      <c r="I260" s="52"/>
    </row>
    <row r="261" spans="2:9" s="54" customFormat="1" ht="16.5" customHeight="1">
      <c r="B261" s="44"/>
      <c r="C261" s="44"/>
      <c r="D261" s="44"/>
      <c r="E261" s="44"/>
      <c r="F261" s="44"/>
      <c r="I261" s="52"/>
    </row>
    <row r="262" spans="2:9" s="54" customFormat="1" ht="16.5" customHeight="1">
      <c r="B262" s="44"/>
      <c r="C262" s="44"/>
      <c r="D262" s="44"/>
      <c r="E262" s="44"/>
      <c r="F262" s="44"/>
      <c r="I262" s="52"/>
    </row>
    <row r="263" spans="2:9" s="54" customFormat="1" ht="16.5" customHeight="1">
      <c r="B263" s="44"/>
      <c r="C263" s="44"/>
      <c r="D263" s="44"/>
      <c r="E263" s="44"/>
      <c r="F263" s="44"/>
      <c r="I263" s="52"/>
    </row>
    <row r="264" spans="2:9" s="54" customFormat="1" ht="16.5" customHeight="1">
      <c r="B264" s="44"/>
      <c r="C264" s="44"/>
      <c r="D264" s="44"/>
      <c r="E264" s="44"/>
      <c r="F264" s="44"/>
      <c r="I264" s="52"/>
    </row>
    <row r="265" spans="2:9" s="54" customFormat="1" ht="16.5" customHeight="1">
      <c r="B265" s="44"/>
      <c r="C265" s="44"/>
      <c r="D265" s="44"/>
      <c r="E265" s="44"/>
      <c r="F265" s="44"/>
      <c r="I265" s="52"/>
    </row>
    <row r="266" spans="2:9" s="54" customFormat="1" ht="16.5" customHeight="1">
      <c r="B266" s="44"/>
      <c r="C266" s="44"/>
      <c r="D266" s="44"/>
      <c r="E266" s="44"/>
      <c r="F266" s="44"/>
      <c r="I266" s="52"/>
    </row>
    <row r="267" spans="2:9" s="54" customFormat="1" ht="16.5" customHeight="1">
      <c r="B267" s="44"/>
      <c r="C267" s="44"/>
      <c r="D267" s="44"/>
      <c r="E267" s="44"/>
      <c r="F267" s="44"/>
      <c r="I267" s="52"/>
    </row>
    <row r="268" spans="2:9" s="54" customFormat="1" ht="16.5" customHeight="1">
      <c r="B268" s="44"/>
      <c r="C268" s="44"/>
      <c r="D268" s="44"/>
      <c r="E268" s="44"/>
      <c r="F268" s="44"/>
      <c r="I268" s="52"/>
    </row>
    <row r="269" spans="2:9" s="54" customFormat="1" ht="16.5" customHeight="1">
      <c r="B269" s="44"/>
      <c r="C269" s="44"/>
      <c r="D269" s="44"/>
      <c r="E269" s="44"/>
      <c r="F269" s="44"/>
      <c r="I269" s="52"/>
    </row>
    <row r="270" spans="2:9" s="54" customFormat="1" ht="16.5" customHeight="1">
      <c r="B270" s="44"/>
      <c r="C270" s="44"/>
      <c r="D270" s="44"/>
      <c r="E270" s="44"/>
      <c r="F270" s="44"/>
      <c r="I270" s="52"/>
    </row>
    <row r="271" spans="2:9" s="54" customFormat="1" ht="16.5" customHeight="1">
      <c r="B271" s="44"/>
      <c r="C271" s="44"/>
      <c r="D271" s="44"/>
      <c r="E271" s="44"/>
      <c r="F271" s="44"/>
      <c r="I271" s="52"/>
    </row>
    <row r="272" spans="2:9" s="54" customFormat="1" ht="16.5" customHeight="1">
      <c r="B272" s="44"/>
      <c r="C272" s="44"/>
      <c r="D272" s="44"/>
      <c r="E272" s="44"/>
      <c r="F272" s="44"/>
      <c r="I272" s="52"/>
    </row>
    <row r="273" spans="2:9" s="54" customFormat="1" ht="16.5" customHeight="1">
      <c r="B273" s="44"/>
      <c r="C273" s="44"/>
      <c r="D273" s="44"/>
      <c r="E273" s="44"/>
      <c r="F273" s="44"/>
      <c r="I273" s="52"/>
    </row>
    <row r="274" spans="2:9" s="54" customFormat="1" ht="16.5" customHeight="1">
      <c r="B274" s="44"/>
      <c r="C274" s="44"/>
      <c r="D274" s="44"/>
      <c r="E274" s="44"/>
      <c r="F274" s="44"/>
      <c r="I274" s="52"/>
    </row>
    <row r="275" spans="2:9" s="54" customFormat="1" ht="16.5" customHeight="1">
      <c r="B275" s="44"/>
      <c r="C275" s="44"/>
      <c r="D275" s="44"/>
      <c r="E275" s="44"/>
      <c r="F275" s="44"/>
      <c r="I275" s="52"/>
    </row>
    <row r="276" spans="2:9" s="54" customFormat="1" ht="16.5" customHeight="1">
      <c r="B276" s="44"/>
      <c r="C276" s="44"/>
      <c r="D276" s="44"/>
      <c r="E276" s="44"/>
      <c r="F276" s="44"/>
      <c r="I276" s="52"/>
    </row>
    <row r="277" spans="2:9" s="54" customFormat="1" ht="16.5" customHeight="1">
      <c r="B277" s="44"/>
      <c r="C277" s="44"/>
      <c r="D277" s="44"/>
      <c r="E277" s="44"/>
      <c r="F277" s="44"/>
      <c r="I277" s="52"/>
    </row>
    <row r="278" spans="2:9" s="54" customFormat="1" ht="16.5" customHeight="1">
      <c r="B278" s="44"/>
      <c r="C278" s="44"/>
      <c r="D278" s="44"/>
      <c r="E278" s="44"/>
      <c r="F278" s="44"/>
      <c r="I278" s="52"/>
    </row>
    <row r="279" spans="2:9" s="54" customFormat="1" ht="16.5" customHeight="1">
      <c r="B279" s="44"/>
      <c r="C279" s="44"/>
      <c r="D279" s="44"/>
      <c r="E279" s="44"/>
      <c r="F279" s="44"/>
      <c r="I279" s="52"/>
    </row>
    <row r="280" spans="2:9" s="54" customFormat="1" ht="16.5" customHeight="1">
      <c r="B280" s="44"/>
      <c r="C280" s="44"/>
      <c r="D280" s="44"/>
      <c r="E280" s="44"/>
      <c r="F280" s="44"/>
      <c r="I280" s="52"/>
    </row>
    <row r="281" spans="2:9" s="54" customFormat="1" ht="16.5" customHeight="1">
      <c r="B281" s="44"/>
      <c r="C281" s="44"/>
      <c r="D281" s="44"/>
      <c r="E281" s="44"/>
      <c r="F281" s="44"/>
      <c r="I281" s="52"/>
    </row>
    <row r="282" spans="2:9" s="54" customFormat="1" ht="16.5" customHeight="1">
      <c r="B282" s="44"/>
      <c r="C282" s="44"/>
      <c r="D282" s="44"/>
      <c r="E282" s="44"/>
      <c r="F282" s="44"/>
      <c r="I282" s="52"/>
    </row>
    <row r="283" spans="2:9" s="54" customFormat="1" ht="16.5" customHeight="1">
      <c r="B283" s="44"/>
      <c r="C283" s="44"/>
      <c r="D283" s="44"/>
      <c r="E283" s="44"/>
      <c r="F283" s="44"/>
      <c r="I283" s="52"/>
    </row>
    <row r="284" spans="2:9" s="54" customFormat="1" ht="16.5" customHeight="1">
      <c r="B284" s="44"/>
      <c r="C284" s="44"/>
      <c r="D284" s="44"/>
      <c r="E284" s="44"/>
      <c r="F284" s="44"/>
      <c r="I284" s="52"/>
    </row>
    <row r="285" spans="2:9" s="54" customFormat="1" ht="16.5" customHeight="1">
      <c r="B285" s="44"/>
      <c r="C285" s="44"/>
      <c r="D285" s="44"/>
      <c r="E285" s="44"/>
      <c r="F285" s="44"/>
      <c r="I285" s="52"/>
    </row>
    <row r="286" spans="2:9" s="54" customFormat="1" ht="16.5" customHeight="1">
      <c r="B286" s="44"/>
      <c r="C286" s="44"/>
      <c r="D286" s="44"/>
      <c r="E286" s="44"/>
      <c r="F286" s="44"/>
      <c r="I286" s="52"/>
    </row>
    <row r="287" spans="2:9" s="54" customFormat="1" ht="16.5" customHeight="1">
      <c r="B287" s="44"/>
      <c r="C287" s="44"/>
      <c r="D287" s="44"/>
      <c r="E287" s="44"/>
      <c r="F287" s="44"/>
      <c r="I287" s="52"/>
    </row>
    <row r="288" spans="2:9" s="54" customFormat="1" ht="16.5" customHeight="1">
      <c r="B288" s="44"/>
      <c r="C288" s="44"/>
      <c r="D288" s="44"/>
      <c r="E288" s="44"/>
      <c r="F288" s="44"/>
      <c r="I288" s="52"/>
    </row>
    <row r="289" spans="2:9" s="54" customFormat="1" ht="16.5" customHeight="1">
      <c r="B289" s="44"/>
      <c r="C289" s="44"/>
      <c r="D289" s="44"/>
      <c r="E289" s="44"/>
      <c r="F289" s="44"/>
      <c r="I289" s="52"/>
    </row>
    <row r="290" spans="2:9" s="54" customFormat="1" ht="16.5" customHeight="1">
      <c r="B290" s="44"/>
      <c r="C290" s="44"/>
      <c r="D290" s="44"/>
      <c r="E290" s="44"/>
      <c r="F290" s="44"/>
      <c r="I290" s="52"/>
    </row>
    <row r="291" spans="2:9" s="54" customFormat="1" ht="16.5" customHeight="1">
      <c r="B291" s="44"/>
      <c r="C291" s="44"/>
      <c r="D291" s="44"/>
      <c r="E291" s="44"/>
      <c r="F291" s="44"/>
      <c r="I291" s="52"/>
    </row>
    <row r="292" spans="2:9" s="54" customFormat="1" ht="16.5" customHeight="1">
      <c r="B292" s="44"/>
      <c r="C292" s="44"/>
      <c r="D292" s="44"/>
      <c r="E292" s="44"/>
      <c r="F292" s="44"/>
      <c r="I292" s="52"/>
    </row>
    <row r="293" spans="2:9" s="54" customFormat="1" ht="16.5" customHeight="1">
      <c r="B293" s="44"/>
      <c r="C293" s="44"/>
      <c r="D293" s="44"/>
      <c r="E293" s="44"/>
      <c r="F293" s="44"/>
      <c r="I293" s="52"/>
    </row>
    <row r="294" spans="2:9" s="54" customFormat="1" ht="16.5" customHeight="1">
      <c r="B294" s="44"/>
      <c r="C294" s="44"/>
      <c r="D294" s="44"/>
      <c r="E294" s="44"/>
      <c r="F294" s="44"/>
      <c r="I294" s="52"/>
    </row>
    <row r="295" spans="2:9" s="54" customFormat="1" ht="16.5" customHeight="1">
      <c r="B295" s="44"/>
      <c r="C295" s="44"/>
      <c r="D295" s="44"/>
      <c r="E295" s="44"/>
      <c r="F295" s="44"/>
      <c r="I295" s="52"/>
    </row>
    <row r="296" spans="2:9" s="54" customFormat="1" ht="16.5" customHeight="1">
      <c r="B296" s="44"/>
      <c r="C296" s="44"/>
      <c r="D296" s="44"/>
      <c r="E296" s="44"/>
      <c r="F296" s="44"/>
      <c r="I296" s="52"/>
    </row>
    <row r="297" spans="2:9" s="54" customFormat="1" ht="16.5" customHeight="1">
      <c r="B297" s="44"/>
      <c r="C297" s="44"/>
      <c r="D297" s="44"/>
      <c r="E297" s="44"/>
      <c r="F297" s="44"/>
      <c r="I297" s="52"/>
    </row>
    <row r="298" spans="2:9" s="54" customFormat="1" ht="16.5" customHeight="1">
      <c r="B298" s="44"/>
      <c r="C298" s="44"/>
      <c r="D298" s="44"/>
      <c r="E298" s="44"/>
      <c r="F298" s="44"/>
      <c r="I298" s="52"/>
    </row>
    <row r="299" spans="2:9" s="54" customFormat="1" ht="16.5" customHeight="1">
      <c r="B299" s="44"/>
      <c r="C299" s="44"/>
      <c r="D299" s="44"/>
      <c r="E299" s="44"/>
      <c r="F299" s="44"/>
      <c r="I299" s="52"/>
    </row>
    <row r="300" spans="2:9" s="54" customFormat="1" ht="16.5" customHeight="1">
      <c r="B300" s="44"/>
      <c r="C300" s="44"/>
      <c r="D300" s="44"/>
      <c r="E300" s="44"/>
      <c r="F300" s="44"/>
      <c r="I300" s="52"/>
    </row>
    <row r="301" spans="2:9" s="54" customFormat="1" ht="16.5" customHeight="1">
      <c r="B301" s="44"/>
      <c r="C301" s="44"/>
      <c r="D301" s="44"/>
      <c r="E301" s="44"/>
      <c r="F301" s="44"/>
      <c r="I301" s="52"/>
    </row>
    <row r="302" spans="2:9" s="54" customFormat="1" ht="16.5" customHeight="1">
      <c r="B302" s="44"/>
      <c r="C302" s="44"/>
      <c r="D302" s="44"/>
      <c r="E302" s="44"/>
      <c r="F302" s="44"/>
      <c r="I302" s="52"/>
    </row>
    <row r="303" spans="2:9" s="54" customFormat="1" ht="16.5" customHeight="1">
      <c r="B303" s="44"/>
      <c r="C303" s="44"/>
      <c r="D303" s="44"/>
      <c r="E303" s="44"/>
      <c r="F303" s="44"/>
      <c r="I303" s="52"/>
    </row>
    <row r="304" spans="2:9" s="54" customFormat="1" ht="16.5" customHeight="1">
      <c r="B304" s="44"/>
      <c r="C304" s="44"/>
      <c r="D304" s="44"/>
      <c r="E304" s="44"/>
      <c r="F304" s="44"/>
      <c r="I304" s="52"/>
    </row>
    <row r="305" spans="2:9" s="54" customFormat="1" ht="16.5" customHeight="1">
      <c r="B305" s="44"/>
      <c r="C305" s="44"/>
      <c r="D305" s="44"/>
      <c r="E305" s="44"/>
      <c r="F305" s="44"/>
      <c r="I305" s="52"/>
    </row>
    <row r="306" spans="2:9" s="54" customFormat="1" ht="16.5" customHeight="1">
      <c r="B306" s="44"/>
      <c r="C306" s="44"/>
      <c r="D306" s="44"/>
      <c r="E306" s="44"/>
      <c r="F306" s="44"/>
      <c r="I306" s="52"/>
    </row>
    <row r="307" spans="2:9" s="54" customFormat="1" ht="16.5" customHeight="1">
      <c r="B307" s="44"/>
      <c r="C307" s="44"/>
      <c r="D307" s="44"/>
      <c r="E307" s="44"/>
      <c r="F307" s="44"/>
      <c r="I307" s="52"/>
    </row>
    <row r="308" spans="2:9">
      <c r="I308" s="52"/>
    </row>
    <row r="309" spans="2:9">
      <c r="I309" s="52"/>
    </row>
    <row r="310" spans="2:9">
      <c r="I310" s="52"/>
    </row>
    <row r="311" spans="2:9">
      <c r="I311" s="52"/>
    </row>
    <row r="312" spans="2:9">
      <c r="I312" s="52"/>
    </row>
    <row r="313" spans="2:9">
      <c r="I313" s="52"/>
    </row>
    <row r="314" spans="2:9">
      <c r="I314" s="52"/>
    </row>
    <row r="315" spans="2:9">
      <c r="I315" s="52"/>
    </row>
    <row r="316" spans="2:9">
      <c r="I316" s="52"/>
    </row>
    <row r="317" spans="2:9">
      <c r="I317" s="52"/>
    </row>
    <row r="318" spans="2:9">
      <c r="I318" s="52"/>
    </row>
    <row r="319" spans="2:9">
      <c r="I319" s="52"/>
    </row>
    <row r="320" spans="2:9">
      <c r="I320" s="52"/>
    </row>
    <row r="321" spans="9:9">
      <c r="I321" s="52"/>
    </row>
    <row r="322" spans="9:9">
      <c r="I322" s="52"/>
    </row>
    <row r="323" spans="9:9">
      <c r="I323" s="52"/>
    </row>
    <row r="324" spans="9:9">
      <c r="I324" s="52"/>
    </row>
    <row r="325" spans="9:9">
      <c r="I325" s="52"/>
    </row>
    <row r="326" spans="9:9">
      <c r="I326" s="52"/>
    </row>
    <row r="327" spans="9:9">
      <c r="I327" s="52"/>
    </row>
    <row r="328" spans="9:9">
      <c r="I328" s="52"/>
    </row>
    <row r="329" spans="9:9">
      <c r="I329" s="52"/>
    </row>
    <row r="330" spans="9:9">
      <c r="I330" s="52"/>
    </row>
    <row r="331" spans="9:9">
      <c r="I331" s="52"/>
    </row>
    <row r="332" spans="9:9">
      <c r="I332" s="52"/>
    </row>
    <row r="333" spans="9:9">
      <c r="I333" s="52"/>
    </row>
    <row r="334" spans="9:9">
      <c r="I334" s="52"/>
    </row>
    <row r="335" spans="9:9">
      <c r="I335" s="52"/>
    </row>
    <row r="336" spans="9:9">
      <c r="I336" s="52"/>
    </row>
    <row r="337" spans="9:9">
      <c r="I337" s="52"/>
    </row>
    <row r="338" spans="9:9">
      <c r="I338" s="52"/>
    </row>
    <row r="339" spans="9:9">
      <c r="I339" s="52"/>
    </row>
    <row r="340" spans="9:9">
      <c r="I340" s="52"/>
    </row>
    <row r="341" spans="9:9">
      <c r="I341" s="52"/>
    </row>
    <row r="342" spans="9:9">
      <c r="I342" s="52"/>
    </row>
    <row r="343" spans="9:9">
      <c r="I343" s="52"/>
    </row>
    <row r="344" spans="9:9">
      <c r="I344" s="52"/>
    </row>
    <row r="345" spans="9:9">
      <c r="I345" s="52"/>
    </row>
    <row r="346" spans="9:9">
      <c r="I346" s="52"/>
    </row>
    <row r="347" spans="9:9">
      <c r="I347" s="52"/>
    </row>
    <row r="348" spans="9:9">
      <c r="I348" s="52"/>
    </row>
    <row r="349" spans="9:9">
      <c r="I349" s="52"/>
    </row>
    <row r="350" spans="9:9">
      <c r="I350" s="52"/>
    </row>
    <row r="351" spans="9:9">
      <c r="I351" s="52"/>
    </row>
    <row r="352" spans="9:9">
      <c r="I352" s="52"/>
    </row>
    <row r="353" spans="9:9">
      <c r="I353" s="52"/>
    </row>
    <row r="354" spans="9:9">
      <c r="I354" s="52"/>
    </row>
    <row r="355" spans="9:9">
      <c r="I355" s="52"/>
    </row>
    <row r="356" spans="9:9">
      <c r="I356" s="52"/>
    </row>
    <row r="357" spans="9:9">
      <c r="I357" s="52"/>
    </row>
    <row r="358" spans="9:9">
      <c r="I358" s="52"/>
    </row>
  </sheetData>
  <autoFilter ref="A2:F33" xr:uid="{00000000-0009-0000-0000-000006000000}"/>
  <mergeCells count="1">
    <mergeCell ref="A1:F1"/>
  </mergeCells>
  <phoneticPr fontId="3" type="noConversion"/>
  <conditionalFormatting sqref="G28">
    <cfRule type="expression" dxfId="1" priority="1">
      <formula>$Q28="공정불량"</formula>
    </cfRule>
    <cfRule type="expression" dxfId="0" priority="2">
      <formula>$Q28="공정불량"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0"/>
    <pageSetUpPr fitToPage="1"/>
  </sheetPr>
  <dimension ref="A1:J340"/>
  <sheetViews>
    <sheetView showGridLines="0" topLeftCell="B1" workbookViewId="0">
      <pane ySplit="3" topLeftCell="A4" activePane="bottomLeft" state="frozen"/>
      <selection sqref="A1:F1"/>
      <selection pane="bottomLeft" sqref="A1:F1"/>
    </sheetView>
  </sheetViews>
  <sheetFormatPr defaultColWidth="9" defaultRowHeight="16.5" customHeight="1"/>
  <cols>
    <col min="1" max="1" width="16.5703125" style="54" hidden="1" customWidth="1"/>
    <col min="2" max="2" width="21.28515625" style="44" customWidth="1"/>
    <col min="3" max="3" width="9.7109375" style="44" bestFit="1" customWidth="1"/>
    <col min="4" max="4" width="14" style="44" customWidth="1"/>
    <col min="5" max="5" width="9" style="44"/>
    <col min="6" max="6" width="12.5703125" style="44" bestFit="1" customWidth="1"/>
    <col min="7" max="8" width="9" style="54"/>
    <col min="10" max="16384" width="9" style="54"/>
  </cols>
  <sheetData>
    <row r="1" spans="1:10" ht="25.5" customHeight="1">
      <c r="A1" s="84" t="s">
        <v>0</v>
      </c>
      <c r="B1" s="85"/>
      <c r="C1" s="85"/>
      <c r="D1" s="85"/>
      <c r="E1" s="85"/>
      <c r="F1" s="86"/>
    </row>
    <row r="2" spans="1:10" ht="16.5" customHeight="1">
      <c r="A2" s="34" t="s">
        <v>1</v>
      </c>
      <c r="B2" s="65" t="s">
        <v>2</v>
      </c>
      <c r="C2" s="65" t="s">
        <v>3</v>
      </c>
      <c r="D2" s="65" t="s">
        <v>4</v>
      </c>
      <c r="E2" s="65" t="s">
        <v>46</v>
      </c>
      <c r="F2" s="65" t="s">
        <v>47</v>
      </c>
    </row>
    <row r="3" spans="1:10" ht="16.5" customHeight="1">
      <c r="A3" s="29" t="s">
        <v>5</v>
      </c>
      <c r="B3" s="36" t="s">
        <v>5</v>
      </c>
      <c r="C3" s="36"/>
      <c r="D3" s="8">
        <f>SUM(D4:D500)</f>
        <v>190</v>
      </c>
      <c r="E3" s="8"/>
      <c r="F3" s="16">
        <f>SUM(F4:F500)</f>
        <v>2592390</v>
      </c>
    </row>
    <row r="4" spans="1:10" ht="16.5" customHeight="1">
      <c r="A4" s="29"/>
      <c r="B4" s="6" t="s">
        <v>134</v>
      </c>
      <c r="C4" s="66" t="s">
        <v>93</v>
      </c>
      <c r="D4" s="7">
        <v>2</v>
      </c>
      <c r="E4" s="7">
        <f>VLOOKUP(C4,[1]단가산출!$N:$P,3,FALSE)</f>
        <v>8884</v>
      </c>
      <c r="F4" s="7">
        <f>+D4*E4</f>
        <v>17768</v>
      </c>
      <c r="I4" t="s">
        <v>126</v>
      </c>
      <c r="J4" s="55"/>
    </row>
    <row r="5" spans="1:10" ht="16.5" customHeight="1">
      <c r="A5" s="29"/>
      <c r="B5" s="6" t="s">
        <v>111</v>
      </c>
      <c r="C5" s="66" t="s">
        <v>126</v>
      </c>
      <c r="D5" s="7">
        <v>19</v>
      </c>
      <c r="E5" s="7">
        <f>VLOOKUP(C5,[1]단가산출!$N:$P,3,FALSE)</f>
        <v>14868</v>
      </c>
      <c r="F5" s="7">
        <f t="shared" ref="F5:F22" si="0">+D5*E5</f>
        <v>282492</v>
      </c>
      <c r="I5" t="s">
        <v>126</v>
      </c>
      <c r="J5" s="55"/>
    </row>
    <row r="6" spans="1:10" ht="16.5" customHeight="1">
      <c r="A6" s="29"/>
      <c r="B6" s="6" t="s">
        <v>111</v>
      </c>
      <c r="C6" s="66" t="s">
        <v>126</v>
      </c>
      <c r="D6" s="7">
        <v>9</v>
      </c>
      <c r="E6" s="7">
        <f>VLOOKUP(C6,[1]단가산출!$N:$P,3,FALSE)</f>
        <v>14868</v>
      </c>
      <c r="F6" s="7">
        <f t="shared" si="0"/>
        <v>133812</v>
      </c>
      <c r="I6" t="s">
        <v>126</v>
      </c>
      <c r="J6" s="55"/>
    </row>
    <row r="7" spans="1:10" ht="16.5" customHeight="1">
      <c r="B7" s="6" t="s">
        <v>135</v>
      </c>
      <c r="C7" s="66" t="s">
        <v>81</v>
      </c>
      <c r="D7" s="7">
        <v>1</v>
      </c>
      <c r="E7" s="7">
        <f>VLOOKUP(C7,[1]단가산출!$N:$P,3,FALSE)</f>
        <v>4525</v>
      </c>
      <c r="F7" s="7">
        <f t="shared" si="0"/>
        <v>4525</v>
      </c>
      <c r="I7" t="s">
        <v>126</v>
      </c>
      <c r="J7" s="55"/>
    </row>
    <row r="8" spans="1:10" ht="16.5" customHeight="1">
      <c r="B8" s="6" t="s">
        <v>111</v>
      </c>
      <c r="C8" s="66" t="s">
        <v>126</v>
      </c>
      <c r="D8" s="7">
        <v>17</v>
      </c>
      <c r="E8" s="7">
        <f>VLOOKUP(C8,[1]단가산출!$N:$P,3,FALSE)</f>
        <v>14868</v>
      </c>
      <c r="F8" s="7">
        <f t="shared" si="0"/>
        <v>252756</v>
      </c>
      <c r="I8" t="s">
        <v>93</v>
      </c>
      <c r="J8" s="55"/>
    </row>
    <row r="9" spans="1:10" ht="16.5" customHeight="1">
      <c r="B9" s="6" t="s">
        <v>111</v>
      </c>
      <c r="C9" s="66" t="s">
        <v>126</v>
      </c>
      <c r="D9" s="7">
        <v>3</v>
      </c>
      <c r="E9" s="7">
        <f>VLOOKUP(C9,[1]단가산출!$N:$P,3,FALSE)</f>
        <v>14868</v>
      </c>
      <c r="F9" s="7">
        <f t="shared" si="0"/>
        <v>44604</v>
      </c>
      <c r="H9" s="54" t="s">
        <v>124</v>
      </c>
      <c r="I9" t="s">
        <v>77</v>
      </c>
      <c r="J9" s="55"/>
    </row>
    <row r="10" spans="1:10" ht="16.5" customHeight="1">
      <c r="B10" s="6" t="s">
        <v>135</v>
      </c>
      <c r="C10" s="66" t="s">
        <v>81</v>
      </c>
      <c r="D10" s="7">
        <v>1</v>
      </c>
      <c r="E10" s="7">
        <f>VLOOKUP(C10,[1]단가산출!$N:$P,3,FALSE)</f>
        <v>4525</v>
      </c>
      <c r="F10" s="7">
        <f t="shared" si="0"/>
        <v>4525</v>
      </c>
      <c r="H10" s="54" t="s">
        <v>124</v>
      </c>
      <c r="I10" t="s">
        <v>81</v>
      </c>
      <c r="J10" s="55"/>
    </row>
    <row r="11" spans="1:10" ht="16.5" customHeight="1">
      <c r="B11" s="6" t="s">
        <v>135</v>
      </c>
      <c r="C11" s="66" t="s">
        <v>81</v>
      </c>
      <c r="D11" s="7">
        <v>6</v>
      </c>
      <c r="E11" s="7">
        <f>VLOOKUP(C11,[1]단가산출!$N:$P,3,FALSE)</f>
        <v>4525</v>
      </c>
      <c r="F11" s="7">
        <f t="shared" si="0"/>
        <v>27150</v>
      </c>
      <c r="H11" s="54" t="s">
        <v>124</v>
      </c>
      <c r="I11" t="s">
        <v>125</v>
      </c>
      <c r="J11" s="55"/>
    </row>
    <row r="12" spans="1:10" ht="16.5" customHeight="1">
      <c r="B12" s="6" t="s">
        <v>135</v>
      </c>
      <c r="C12" s="66" t="s">
        <v>77</v>
      </c>
      <c r="D12" s="7">
        <v>2</v>
      </c>
      <c r="E12" s="7">
        <f>VLOOKUP(C12,[1]단가산출!$N:$P,3,FALSE)</f>
        <v>4371</v>
      </c>
      <c r="F12" s="7">
        <f t="shared" si="0"/>
        <v>8742</v>
      </c>
      <c r="H12" s="54" t="s">
        <v>124</v>
      </c>
      <c r="I12" t="s">
        <v>93</v>
      </c>
      <c r="J12" s="55"/>
    </row>
    <row r="13" spans="1:10" ht="16.5" customHeight="1">
      <c r="B13" s="6" t="s">
        <v>111</v>
      </c>
      <c r="C13" s="66" t="s">
        <v>126</v>
      </c>
      <c r="D13" s="7">
        <v>21</v>
      </c>
      <c r="E13" s="7">
        <f>VLOOKUP(C13,[1]단가산출!$N:$P,3,FALSE)</f>
        <v>14868</v>
      </c>
      <c r="F13" s="7">
        <f t="shared" si="0"/>
        <v>312228</v>
      </c>
      <c r="H13" s="54" t="s">
        <v>124</v>
      </c>
      <c r="I13" t="s">
        <v>126</v>
      </c>
      <c r="J13" s="55"/>
    </row>
    <row r="14" spans="1:10" ht="16.5" customHeight="1">
      <c r="B14" s="6" t="s">
        <v>111</v>
      </c>
      <c r="C14" s="66" t="s">
        <v>126</v>
      </c>
      <c r="D14" s="7">
        <v>47</v>
      </c>
      <c r="E14" s="7">
        <f>VLOOKUP(C14,[1]단가산출!$N:$P,3,FALSE)</f>
        <v>14868</v>
      </c>
      <c r="F14" s="7">
        <f t="shared" si="0"/>
        <v>698796</v>
      </c>
      <c r="H14" s="54" t="s">
        <v>124</v>
      </c>
      <c r="I14" t="s">
        <v>125</v>
      </c>
      <c r="J14" s="55"/>
    </row>
    <row r="15" spans="1:10" ht="16.5" customHeight="1">
      <c r="B15" s="6" t="s">
        <v>111</v>
      </c>
      <c r="C15" s="66" t="s">
        <v>126</v>
      </c>
      <c r="D15" s="7">
        <v>3</v>
      </c>
      <c r="E15" s="7">
        <f>VLOOKUP(C15,[1]단가산출!$N:$P,3,FALSE)</f>
        <v>14868</v>
      </c>
      <c r="F15" s="7">
        <f t="shared" si="0"/>
        <v>44604</v>
      </c>
      <c r="H15" s="54" t="s">
        <v>124</v>
      </c>
      <c r="I15" t="s">
        <v>126</v>
      </c>
      <c r="J15" s="55"/>
    </row>
    <row r="16" spans="1:10" ht="16.5" customHeight="1">
      <c r="B16" s="6" t="s">
        <v>134</v>
      </c>
      <c r="C16" s="66" t="s">
        <v>93</v>
      </c>
      <c r="D16" s="7">
        <v>1</v>
      </c>
      <c r="E16" s="7">
        <f>VLOOKUP(C16,[1]단가산출!$N:$P,3,FALSE)</f>
        <v>8884</v>
      </c>
      <c r="F16" s="7">
        <f t="shared" si="0"/>
        <v>8884</v>
      </c>
      <c r="H16" s="54" t="s">
        <v>124</v>
      </c>
      <c r="I16" t="s">
        <v>126</v>
      </c>
      <c r="J16" s="55"/>
    </row>
    <row r="17" spans="2:10" ht="16.5" customHeight="1">
      <c r="B17" s="6" t="s">
        <v>111</v>
      </c>
      <c r="C17" s="66" t="s">
        <v>126</v>
      </c>
      <c r="D17" s="7">
        <v>21</v>
      </c>
      <c r="E17" s="7">
        <f>VLOOKUP(C17,[1]단가산출!$N:$P,3,FALSE)</f>
        <v>14868</v>
      </c>
      <c r="F17" s="7">
        <f t="shared" si="0"/>
        <v>312228</v>
      </c>
      <c r="H17" s="54" t="s">
        <v>124</v>
      </c>
      <c r="I17" t="s">
        <v>93</v>
      </c>
      <c r="J17" s="55"/>
    </row>
    <row r="18" spans="2:10" ht="16.5" customHeight="1">
      <c r="B18" s="6" t="s">
        <v>111</v>
      </c>
      <c r="C18" s="66" t="s">
        <v>126</v>
      </c>
      <c r="D18" s="7">
        <v>9</v>
      </c>
      <c r="E18" s="7">
        <f>VLOOKUP(C18,[1]단가산출!$N:$P,3,FALSE)</f>
        <v>14868</v>
      </c>
      <c r="F18" s="7">
        <f t="shared" si="0"/>
        <v>133812</v>
      </c>
      <c r="H18" s="54" t="s">
        <v>124</v>
      </c>
      <c r="I18" t="s">
        <v>65</v>
      </c>
      <c r="J18" s="55"/>
    </row>
    <row r="19" spans="2:10" ht="16.5" customHeight="1">
      <c r="B19" s="6" t="s">
        <v>135</v>
      </c>
      <c r="C19" s="66" t="s">
        <v>81</v>
      </c>
      <c r="D19" s="7">
        <v>1</v>
      </c>
      <c r="E19" s="7">
        <f>VLOOKUP(C19,[1]단가산출!$N:$P,3,FALSE)</f>
        <v>4525</v>
      </c>
      <c r="F19" s="7">
        <f t="shared" si="0"/>
        <v>4525</v>
      </c>
      <c r="H19" s="54" t="s">
        <v>124</v>
      </c>
      <c r="I19" t="s">
        <v>70</v>
      </c>
      <c r="J19" s="55"/>
    </row>
    <row r="20" spans="2:10" ht="16.5" customHeight="1">
      <c r="B20" s="6" t="s">
        <v>135</v>
      </c>
      <c r="C20" s="66" t="s">
        <v>77</v>
      </c>
      <c r="D20" s="7">
        <v>7</v>
      </c>
      <c r="E20" s="7">
        <f>VLOOKUP(C20,[1]단가산출!$N:$P,3,FALSE)</f>
        <v>4371</v>
      </c>
      <c r="F20" s="7">
        <f t="shared" si="0"/>
        <v>30597</v>
      </c>
      <c r="H20" s="54" t="s">
        <v>124</v>
      </c>
      <c r="I20" t="s">
        <v>126</v>
      </c>
      <c r="J20" s="55"/>
    </row>
    <row r="21" spans="2:10" ht="16.5" customHeight="1">
      <c r="B21" s="6" t="s">
        <v>144</v>
      </c>
      <c r="C21" s="66" t="s">
        <v>117</v>
      </c>
      <c r="D21" s="7">
        <v>17</v>
      </c>
      <c r="E21" s="7">
        <f>VLOOKUP(C21,[1]단가산출!$N:$P,3,FALSE)</f>
        <v>13305</v>
      </c>
      <c r="F21" s="7">
        <f t="shared" si="0"/>
        <v>226185</v>
      </c>
      <c r="H21" s="54" t="s">
        <v>124</v>
      </c>
      <c r="I21" t="s">
        <v>126</v>
      </c>
      <c r="J21" s="55"/>
    </row>
    <row r="22" spans="2:10" ht="16.5" customHeight="1">
      <c r="B22" s="6" t="s">
        <v>144</v>
      </c>
      <c r="C22" s="66" t="s">
        <v>118</v>
      </c>
      <c r="D22" s="7">
        <v>3</v>
      </c>
      <c r="E22" s="7">
        <f>VLOOKUP(C22,[1]단가산출!$N:$P,3,FALSE)</f>
        <v>14719</v>
      </c>
      <c r="F22" s="7">
        <f t="shared" si="0"/>
        <v>44157</v>
      </c>
      <c r="H22" s="54" t="s">
        <v>124</v>
      </c>
      <c r="I22" t="s">
        <v>117</v>
      </c>
      <c r="J22" s="55"/>
    </row>
    <row r="23" spans="2:10" ht="16.5" customHeight="1">
      <c r="B23" s="6"/>
      <c r="C23" s="66"/>
      <c r="D23" s="7"/>
      <c r="E23" s="7"/>
      <c r="F23" s="7"/>
      <c r="H23" s="54" t="s">
        <v>124</v>
      </c>
      <c r="I23" t="s">
        <v>118</v>
      </c>
    </row>
    <row r="24" spans="2:10" ht="16.5" customHeight="1">
      <c r="B24" s="39"/>
      <c r="C24" s="32"/>
      <c r="D24" s="33"/>
      <c r="E24" s="7"/>
      <c r="F24" s="7"/>
      <c r="H24" s="54" t="s">
        <v>124</v>
      </c>
      <c r="I24" t="e">
        <v>#VALUE!</v>
      </c>
    </row>
    <row r="25" spans="2:10" ht="16.5" customHeight="1">
      <c r="B25" s="39"/>
      <c r="C25" s="32"/>
      <c r="D25" s="33"/>
      <c r="E25" s="7"/>
      <c r="F25" s="7"/>
      <c r="H25" s="54" t="s">
        <v>124</v>
      </c>
      <c r="I25" t="e">
        <v>#VALUE!</v>
      </c>
    </row>
    <row r="26" spans="2:10" ht="16.5" customHeight="1">
      <c r="E26" s="7"/>
      <c r="F26" s="7"/>
      <c r="H26" s="54" t="s">
        <v>124</v>
      </c>
      <c r="I26" t="e">
        <v>#VALUE!</v>
      </c>
    </row>
    <row r="27" spans="2:10" ht="16.5" customHeight="1">
      <c r="E27" s="7"/>
      <c r="F27" s="7"/>
      <c r="H27" s="54" t="s">
        <v>124</v>
      </c>
      <c r="I27" t="e">
        <v>#VALUE!</v>
      </c>
    </row>
    <row r="28" spans="2:10" ht="16.5" customHeight="1">
      <c r="E28" s="7"/>
      <c r="F28" s="7"/>
      <c r="H28" s="54" t="s">
        <v>124</v>
      </c>
      <c r="I28" t="e">
        <v>#VALUE!</v>
      </c>
    </row>
    <row r="29" spans="2:10" ht="16.5" customHeight="1">
      <c r="E29" s="7"/>
      <c r="F29" s="7"/>
      <c r="H29" s="54" t="s">
        <v>124</v>
      </c>
      <c r="I29" t="e">
        <v>#VALUE!</v>
      </c>
    </row>
    <row r="30" spans="2:10" ht="16.5" customHeight="1">
      <c r="E30" s="7"/>
      <c r="F30" s="7"/>
      <c r="H30" s="54" t="s">
        <v>124</v>
      </c>
      <c r="I30" t="e">
        <v>#VALUE!</v>
      </c>
    </row>
    <row r="31" spans="2:10" ht="16.5" customHeight="1">
      <c r="C31" s="70"/>
      <c r="E31" s="7"/>
      <c r="F31" s="7"/>
      <c r="H31" s="54" t="s">
        <v>124</v>
      </c>
      <c r="I31" t="e">
        <v>#VALUE!</v>
      </c>
    </row>
    <row r="32" spans="2:10" ht="16.5" customHeight="1">
      <c r="C32" s="70"/>
      <c r="E32" s="7"/>
      <c r="F32" s="7"/>
      <c r="H32" s="54" t="s">
        <v>124</v>
      </c>
      <c r="I32" t="e">
        <v>#VALUE!</v>
      </c>
    </row>
    <row r="33" spans="5:9" ht="16.5" customHeight="1">
      <c r="E33" s="7"/>
      <c r="F33" s="7"/>
      <c r="H33" s="54" t="s">
        <v>124</v>
      </c>
      <c r="I33" s="52"/>
    </row>
    <row r="34" spans="5:9" ht="16.5" customHeight="1">
      <c r="E34" s="43"/>
      <c r="F34" s="43"/>
      <c r="H34" s="54" t="s">
        <v>124</v>
      </c>
      <c r="I34" s="52"/>
    </row>
    <row r="35" spans="5:9" ht="16.5" customHeight="1">
      <c r="I35" s="52"/>
    </row>
    <row r="36" spans="5:9" ht="16.5" customHeight="1">
      <c r="I36" s="52"/>
    </row>
    <row r="37" spans="5:9" ht="16.5" customHeight="1">
      <c r="I37" s="52"/>
    </row>
    <row r="38" spans="5:9" ht="16.5" customHeight="1">
      <c r="I38" s="52"/>
    </row>
    <row r="39" spans="5:9" ht="16.5" customHeight="1">
      <c r="I39" s="52"/>
    </row>
    <row r="40" spans="5:9" ht="16.5" customHeight="1">
      <c r="I40" s="52"/>
    </row>
    <row r="41" spans="5:9" ht="16.5" customHeight="1">
      <c r="I41" s="52"/>
    </row>
    <row r="42" spans="5:9" ht="16.5" customHeight="1">
      <c r="I42" s="52"/>
    </row>
    <row r="43" spans="5:9" ht="16.5" customHeight="1">
      <c r="I43" s="52"/>
    </row>
    <row r="44" spans="5:9" ht="16.5" customHeight="1">
      <c r="I44" s="52"/>
    </row>
    <row r="45" spans="5:9" ht="16.5" customHeight="1">
      <c r="I45" s="52"/>
    </row>
    <row r="46" spans="5:9" ht="16.5" customHeight="1">
      <c r="I46" s="52"/>
    </row>
    <row r="47" spans="5:9" ht="16.5" customHeight="1">
      <c r="I47" s="52"/>
    </row>
    <row r="48" spans="5:9" ht="16.5" customHeight="1">
      <c r="I48" s="52"/>
    </row>
    <row r="49" spans="9:9" ht="16.5" customHeight="1">
      <c r="I49" s="52"/>
    </row>
    <row r="50" spans="9:9" ht="16.5" customHeight="1">
      <c r="I50" s="52"/>
    </row>
    <row r="51" spans="9:9" ht="16.5" customHeight="1">
      <c r="I51" s="52"/>
    </row>
    <row r="52" spans="9:9" ht="16.5" customHeight="1">
      <c r="I52" s="52"/>
    </row>
    <row r="53" spans="9:9" ht="16.5" customHeight="1">
      <c r="I53" s="52"/>
    </row>
    <row r="54" spans="9:9" ht="16.5" customHeight="1">
      <c r="I54" s="52"/>
    </row>
    <row r="55" spans="9:9" ht="16.5" customHeight="1">
      <c r="I55" s="52"/>
    </row>
    <row r="56" spans="9:9" ht="16.5" customHeight="1">
      <c r="I56" s="52"/>
    </row>
    <row r="57" spans="9:9" ht="16.5" customHeight="1">
      <c r="I57" s="52"/>
    </row>
    <row r="58" spans="9:9" ht="16.5" customHeight="1">
      <c r="I58" s="52"/>
    </row>
    <row r="59" spans="9:9" ht="16.5" customHeight="1">
      <c r="I59" s="52"/>
    </row>
    <row r="60" spans="9:9" ht="16.5" customHeight="1">
      <c r="I60" s="52"/>
    </row>
    <row r="61" spans="9:9" ht="16.5" customHeight="1">
      <c r="I61" s="52"/>
    </row>
    <row r="62" spans="9:9" ht="16.5" customHeight="1">
      <c r="I62" s="52"/>
    </row>
    <row r="63" spans="9:9" ht="16.5" customHeight="1">
      <c r="I63" s="52"/>
    </row>
    <row r="64" spans="9:9" ht="16.5" customHeight="1">
      <c r="I64" s="52"/>
    </row>
    <row r="65" spans="9:9" ht="16.5" customHeight="1">
      <c r="I65" s="52"/>
    </row>
    <row r="66" spans="9:9" ht="16.5" customHeight="1">
      <c r="I66" s="52"/>
    </row>
    <row r="67" spans="9:9" ht="16.5" customHeight="1">
      <c r="I67" s="52"/>
    </row>
    <row r="68" spans="9:9" ht="16.5" customHeight="1">
      <c r="I68" s="52"/>
    </row>
    <row r="69" spans="9:9" ht="16.5" customHeight="1">
      <c r="I69" s="52"/>
    </row>
    <row r="70" spans="9:9" ht="16.5" customHeight="1">
      <c r="I70" s="52"/>
    </row>
    <row r="71" spans="9:9" ht="16.5" customHeight="1">
      <c r="I71" s="52"/>
    </row>
    <row r="72" spans="9:9" ht="16.5" customHeight="1">
      <c r="I72" s="52"/>
    </row>
    <row r="73" spans="9:9" ht="16.5" customHeight="1">
      <c r="I73" s="52"/>
    </row>
    <row r="74" spans="9:9" ht="16.5" customHeight="1">
      <c r="I74" s="52"/>
    </row>
    <row r="75" spans="9:9" ht="16.5" customHeight="1">
      <c r="I75" s="52"/>
    </row>
    <row r="76" spans="9:9" ht="16.5" customHeight="1">
      <c r="I76" s="52"/>
    </row>
    <row r="77" spans="9:9" ht="16.5" customHeight="1">
      <c r="I77" s="52"/>
    </row>
    <row r="78" spans="9:9" ht="16.5" customHeight="1">
      <c r="I78" s="52"/>
    </row>
    <row r="79" spans="9:9" ht="16.5" customHeight="1">
      <c r="I79" s="52"/>
    </row>
    <row r="80" spans="9:9" ht="16.5" customHeight="1">
      <c r="I80" s="52"/>
    </row>
    <row r="81" spans="9:9" ht="16.5" customHeight="1">
      <c r="I81" s="52"/>
    </row>
    <row r="82" spans="9:9" ht="16.5" customHeight="1">
      <c r="I82" s="52"/>
    </row>
    <row r="83" spans="9:9" ht="16.5" customHeight="1">
      <c r="I83" s="52"/>
    </row>
    <row r="84" spans="9:9" ht="16.5" customHeight="1">
      <c r="I84" s="52"/>
    </row>
    <row r="85" spans="9:9" ht="16.5" customHeight="1">
      <c r="I85" s="52"/>
    </row>
    <row r="86" spans="9:9" ht="16.5" customHeight="1">
      <c r="I86" s="52"/>
    </row>
    <row r="87" spans="9:9" ht="16.5" customHeight="1">
      <c r="I87" s="52"/>
    </row>
    <row r="88" spans="9:9" ht="16.5" customHeight="1">
      <c r="I88" s="52"/>
    </row>
    <row r="89" spans="9:9" ht="16.5" customHeight="1">
      <c r="I89" s="52"/>
    </row>
    <row r="90" spans="9:9" ht="16.5" customHeight="1">
      <c r="I90" s="52"/>
    </row>
    <row r="91" spans="9:9" ht="16.5" customHeight="1">
      <c r="I91" s="52"/>
    </row>
    <row r="92" spans="9:9" ht="16.5" customHeight="1">
      <c r="I92" s="52"/>
    </row>
    <row r="93" spans="9:9" ht="16.5" customHeight="1">
      <c r="I93" s="52"/>
    </row>
    <row r="94" spans="9:9" ht="16.5" customHeight="1">
      <c r="I94" s="52"/>
    </row>
    <row r="95" spans="9:9" ht="16.5" customHeight="1">
      <c r="I95" s="52"/>
    </row>
    <row r="96" spans="9:9" ht="16.5" customHeight="1">
      <c r="I96" s="52"/>
    </row>
    <row r="97" spans="9:9" ht="16.5" customHeight="1">
      <c r="I97" s="52"/>
    </row>
    <row r="98" spans="9:9" ht="16.5" customHeight="1">
      <c r="I98" s="52"/>
    </row>
    <row r="99" spans="9:9" ht="16.5" customHeight="1">
      <c r="I99" s="52"/>
    </row>
    <row r="100" spans="9:9" ht="16.5" customHeight="1">
      <c r="I100" s="52"/>
    </row>
    <row r="101" spans="9:9" ht="16.5" customHeight="1">
      <c r="I101" s="52"/>
    </row>
    <row r="102" spans="9:9" ht="16.5" customHeight="1">
      <c r="I102" s="52"/>
    </row>
    <row r="103" spans="9:9" ht="16.5" customHeight="1">
      <c r="I103" s="52"/>
    </row>
    <row r="104" spans="9:9" ht="16.5" customHeight="1">
      <c r="I104" s="52"/>
    </row>
    <row r="105" spans="9:9" ht="16.5" customHeight="1">
      <c r="I105" s="52"/>
    </row>
    <row r="106" spans="9:9" ht="16.5" customHeight="1">
      <c r="I106" s="52"/>
    </row>
    <row r="107" spans="9:9" ht="16.5" customHeight="1">
      <c r="I107" s="52"/>
    </row>
    <row r="108" spans="9:9" ht="16.5" customHeight="1">
      <c r="I108" s="52"/>
    </row>
    <row r="109" spans="9:9" ht="16.5" customHeight="1">
      <c r="I109" s="52"/>
    </row>
    <row r="110" spans="9:9" ht="16.5" customHeight="1">
      <c r="I110" s="52"/>
    </row>
    <row r="111" spans="9:9" ht="16.5" customHeight="1">
      <c r="I111" s="52"/>
    </row>
    <row r="112" spans="9:9" ht="16.5" customHeight="1">
      <c r="I112" s="52"/>
    </row>
    <row r="113" spans="9:9" ht="16.5" customHeight="1">
      <c r="I113" s="52"/>
    </row>
    <row r="114" spans="9:9" ht="16.5" customHeight="1">
      <c r="I114" s="52"/>
    </row>
    <row r="115" spans="9:9" ht="16.5" customHeight="1">
      <c r="I115" s="52"/>
    </row>
    <row r="116" spans="9:9" ht="16.5" customHeight="1">
      <c r="I116" s="52"/>
    </row>
    <row r="117" spans="9:9" ht="16.5" customHeight="1">
      <c r="I117" s="52"/>
    </row>
    <row r="118" spans="9:9" ht="16.5" customHeight="1">
      <c r="I118" s="52"/>
    </row>
    <row r="119" spans="9:9" ht="16.5" customHeight="1">
      <c r="I119" s="52"/>
    </row>
    <row r="120" spans="9:9" ht="16.5" customHeight="1">
      <c r="I120" s="52"/>
    </row>
    <row r="121" spans="9:9" ht="16.5" customHeight="1">
      <c r="I121" s="52"/>
    </row>
    <row r="122" spans="9:9" ht="16.5" customHeight="1">
      <c r="I122" s="52"/>
    </row>
    <row r="123" spans="9:9" ht="16.5" customHeight="1">
      <c r="I123" s="52"/>
    </row>
    <row r="124" spans="9:9" ht="16.5" customHeight="1">
      <c r="I124" s="52"/>
    </row>
    <row r="125" spans="9:9" ht="16.5" customHeight="1">
      <c r="I125" s="52"/>
    </row>
    <row r="126" spans="9:9" ht="16.5" customHeight="1">
      <c r="I126" s="52"/>
    </row>
    <row r="127" spans="9:9" ht="16.5" customHeight="1">
      <c r="I127" s="52"/>
    </row>
    <row r="128" spans="9:9" ht="16.5" customHeight="1">
      <c r="I128" s="52"/>
    </row>
    <row r="129" spans="9:9" ht="16.5" customHeight="1">
      <c r="I129" s="52"/>
    </row>
    <row r="130" spans="9:9" ht="16.5" customHeight="1">
      <c r="I130" s="52"/>
    </row>
    <row r="131" spans="9:9" ht="16.5" customHeight="1">
      <c r="I131" s="52"/>
    </row>
    <row r="132" spans="9:9" ht="16.5" customHeight="1">
      <c r="I132" s="52"/>
    </row>
    <row r="133" spans="9:9" ht="16.5" customHeight="1">
      <c r="I133" s="52"/>
    </row>
    <row r="134" spans="9:9" ht="16.5" customHeight="1">
      <c r="I134" s="52"/>
    </row>
    <row r="135" spans="9:9" ht="16.5" customHeight="1">
      <c r="I135" s="52"/>
    </row>
    <row r="136" spans="9:9" ht="16.5" customHeight="1">
      <c r="I136" s="52"/>
    </row>
    <row r="137" spans="9:9" ht="16.5" customHeight="1">
      <c r="I137" s="52"/>
    </row>
    <row r="138" spans="9:9" ht="16.5" customHeight="1">
      <c r="I138" s="52"/>
    </row>
    <row r="139" spans="9:9" ht="16.5" customHeight="1">
      <c r="I139" s="52"/>
    </row>
    <row r="140" spans="9:9" ht="16.5" customHeight="1">
      <c r="I140" s="52"/>
    </row>
    <row r="141" spans="9:9" ht="16.5" customHeight="1">
      <c r="I141" s="52"/>
    </row>
    <row r="142" spans="9:9" ht="16.5" customHeight="1">
      <c r="I142" s="52"/>
    </row>
    <row r="143" spans="9:9" ht="16.5" customHeight="1">
      <c r="I143" s="52"/>
    </row>
    <row r="144" spans="9:9" ht="16.5" customHeight="1">
      <c r="I144" s="52"/>
    </row>
    <row r="145" spans="9:9" ht="16.5" customHeight="1">
      <c r="I145" s="52"/>
    </row>
    <row r="146" spans="9:9" ht="16.5" customHeight="1">
      <c r="I146" s="52"/>
    </row>
    <row r="147" spans="9:9" ht="16.5" customHeight="1">
      <c r="I147" s="52"/>
    </row>
    <row r="148" spans="9:9" ht="16.5" customHeight="1">
      <c r="I148" s="52"/>
    </row>
    <row r="149" spans="9:9" ht="16.5" customHeight="1">
      <c r="I149" s="52"/>
    </row>
    <row r="150" spans="9:9" ht="16.5" customHeight="1">
      <c r="I150" s="52"/>
    </row>
    <row r="151" spans="9:9" ht="16.5" customHeight="1">
      <c r="I151" s="52"/>
    </row>
    <row r="152" spans="9:9" ht="16.5" customHeight="1">
      <c r="I152" s="52"/>
    </row>
    <row r="153" spans="9:9" ht="16.5" customHeight="1">
      <c r="I153" s="52"/>
    </row>
    <row r="154" spans="9:9" ht="16.5" customHeight="1">
      <c r="I154" s="52"/>
    </row>
    <row r="155" spans="9:9" ht="16.5" customHeight="1">
      <c r="I155" s="52"/>
    </row>
    <row r="156" spans="9:9" ht="16.5" customHeight="1">
      <c r="I156" s="52"/>
    </row>
    <row r="157" spans="9:9" ht="16.5" customHeight="1">
      <c r="I157" s="52"/>
    </row>
    <row r="158" spans="9:9" ht="16.5" customHeight="1">
      <c r="I158" s="52"/>
    </row>
    <row r="159" spans="9:9" ht="16.5" customHeight="1">
      <c r="I159" s="52"/>
    </row>
    <row r="160" spans="9:9" ht="16.5" customHeight="1">
      <c r="I160" s="52"/>
    </row>
    <row r="161" spans="9:9" ht="16.5" customHeight="1">
      <c r="I161" s="52"/>
    </row>
    <row r="162" spans="9:9" ht="16.5" customHeight="1">
      <c r="I162" s="52"/>
    </row>
    <row r="163" spans="9:9" ht="16.5" customHeight="1">
      <c r="I163" s="52"/>
    </row>
    <row r="164" spans="9:9" ht="16.5" customHeight="1">
      <c r="I164" s="52"/>
    </row>
    <row r="165" spans="9:9" ht="16.5" customHeight="1">
      <c r="I165" s="52"/>
    </row>
    <row r="166" spans="9:9" ht="16.5" customHeight="1">
      <c r="I166" s="52"/>
    </row>
    <row r="167" spans="9:9" ht="16.5" customHeight="1">
      <c r="I167" s="52"/>
    </row>
    <row r="168" spans="9:9" ht="16.5" customHeight="1">
      <c r="I168" s="52"/>
    </row>
    <row r="169" spans="9:9" ht="16.5" customHeight="1">
      <c r="I169" s="52"/>
    </row>
    <row r="170" spans="9:9" ht="16.5" customHeight="1">
      <c r="I170" s="52"/>
    </row>
    <row r="171" spans="9:9" ht="16.5" customHeight="1">
      <c r="I171" s="52"/>
    </row>
    <row r="172" spans="9:9" ht="16.5" customHeight="1">
      <c r="I172" s="52"/>
    </row>
    <row r="173" spans="9:9" ht="16.5" customHeight="1">
      <c r="I173" s="52"/>
    </row>
    <row r="174" spans="9:9" ht="16.5" customHeight="1">
      <c r="I174" s="52"/>
    </row>
    <row r="175" spans="9:9" ht="16.5" customHeight="1">
      <c r="I175" s="52"/>
    </row>
    <row r="176" spans="9:9" ht="16.5" customHeight="1">
      <c r="I176" s="52"/>
    </row>
    <row r="177" spans="9:9" ht="16.5" customHeight="1">
      <c r="I177" s="52"/>
    </row>
    <row r="178" spans="9:9" ht="16.5" customHeight="1">
      <c r="I178" s="52"/>
    </row>
    <row r="179" spans="9:9" ht="16.5" customHeight="1">
      <c r="I179" s="52"/>
    </row>
    <row r="180" spans="9:9" ht="16.5" customHeight="1">
      <c r="I180" s="52"/>
    </row>
    <row r="181" spans="9:9" ht="16.5" customHeight="1">
      <c r="I181" s="52"/>
    </row>
    <row r="182" spans="9:9" ht="16.5" customHeight="1">
      <c r="I182" s="52"/>
    </row>
    <row r="183" spans="9:9" ht="16.5" customHeight="1">
      <c r="I183" s="52"/>
    </row>
    <row r="184" spans="9:9" ht="16.5" customHeight="1">
      <c r="I184" s="52"/>
    </row>
    <row r="185" spans="9:9" ht="16.5" customHeight="1">
      <c r="I185" s="52"/>
    </row>
    <row r="186" spans="9:9" ht="16.5" customHeight="1">
      <c r="I186" s="52"/>
    </row>
    <row r="187" spans="9:9" ht="16.5" customHeight="1">
      <c r="I187" s="52"/>
    </row>
    <row r="188" spans="9:9" ht="16.5" customHeight="1">
      <c r="I188" s="52"/>
    </row>
    <row r="189" spans="9:9" ht="16.5" customHeight="1">
      <c r="I189" s="52"/>
    </row>
    <row r="190" spans="9:9" ht="16.5" customHeight="1">
      <c r="I190" s="52"/>
    </row>
    <row r="191" spans="9:9" ht="16.5" customHeight="1">
      <c r="I191" s="52"/>
    </row>
    <row r="192" spans="9:9" ht="16.5" customHeight="1">
      <c r="I192" s="52"/>
    </row>
    <row r="193" spans="9:9" ht="16.5" customHeight="1">
      <c r="I193" s="52"/>
    </row>
    <row r="194" spans="9:9" ht="16.5" customHeight="1">
      <c r="I194" s="52"/>
    </row>
    <row r="195" spans="9:9" ht="16.5" customHeight="1">
      <c r="I195" s="52"/>
    </row>
    <row r="196" spans="9:9" ht="16.5" customHeight="1">
      <c r="I196" s="52"/>
    </row>
    <row r="197" spans="9:9" ht="16.5" customHeight="1">
      <c r="I197" s="52"/>
    </row>
    <row r="198" spans="9:9" ht="16.5" customHeight="1">
      <c r="I198" s="52"/>
    </row>
    <row r="199" spans="9:9" ht="16.5" customHeight="1">
      <c r="I199" s="52"/>
    </row>
    <row r="200" spans="9:9" ht="16.5" customHeight="1">
      <c r="I200" s="52"/>
    </row>
    <row r="201" spans="9:9" ht="16.5" customHeight="1">
      <c r="I201" s="52"/>
    </row>
    <row r="202" spans="9:9" ht="16.5" customHeight="1">
      <c r="I202" s="52"/>
    </row>
    <row r="203" spans="9:9" ht="16.5" customHeight="1">
      <c r="I203" s="52"/>
    </row>
    <row r="204" spans="9:9" ht="16.5" customHeight="1">
      <c r="I204" s="52"/>
    </row>
    <row r="205" spans="9:9" ht="16.5" customHeight="1">
      <c r="I205" s="52"/>
    </row>
    <row r="206" spans="9:9" ht="16.5" customHeight="1">
      <c r="I206" s="52"/>
    </row>
    <row r="207" spans="9:9" ht="16.5" customHeight="1">
      <c r="I207" s="52"/>
    </row>
    <row r="208" spans="9:9" ht="16.5" customHeight="1">
      <c r="I208" s="52"/>
    </row>
    <row r="209" spans="9:9" ht="16.5" customHeight="1">
      <c r="I209" s="52"/>
    </row>
    <row r="210" spans="9:9" ht="16.5" customHeight="1">
      <c r="I210" s="52"/>
    </row>
    <row r="211" spans="9:9" ht="16.5" customHeight="1">
      <c r="I211" s="52"/>
    </row>
    <row r="212" spans="9:9" ht="16.5" customHeight="1">
      <c r="I212" s="52"/>
    </row>
    <row r="213" spans="9:9" ht="16.5" customHeight="1">
      <c r="I213" s="52"/>
    </row>
    <row r="214" spans="9:9" ht="16.5" customHeight="1">
      <c r="I214" s="52"/>
    </row>
    <row r="215" spans="9:9" ht="16.5" customHeight="1">
      <c r="I215" s="52"/>
    </row>
    <row r="216" spans="9:9" ht="16.5" customHeight="1">
      <c r="I216" s="52"/>
    </row>
    <row r="217" spans="9:9" ht="16.5" customHeight="1">
      <c r="I217" s="52"/>
    </row>
    <row r="218" spans="9:9" ht="16.5" customHeight="1">
      <c r="I218" s="52"/>
    </row>
    <row r="219" spans="9:9" ht="16.5" customHeight="1">
      <c r="I219" s="52"/>
    </row>
    <row r="220" spans="9:9" ht="16.5" customHeight="1">
      <c r="I220" s="52"/>
    </row>
    <row r="221" spans="9:9" ht="16.5" customHeight="1">
      <c r="I221" s="52"/>
    </row>
    <row r="222" spans="9:9" ht="16.5" customHeight="1">
      <c r="I222" s="52"/>
    </row>
    <row r="223" spans="9:9" ht="16.5" customHeight="1">
      <c r="I223" s="52"/>
    </row>
    <row r="224" spans="9:9" ht="16.5" customHeight="1">
      <c r="I224" s="52"/>
    </row>
    <row r="225" spans="9:9" ht="16.5" customHeight="1">
      <c r="I225" s="52"/>
    </row>
    <row r="226" spans="9:9" ht="16.5" customHeight="1">
      <c r="I226" s="52"/>
    </row>
    <row r="227" spans="9:9" ht="16.5" customHeight="1">
      <c r="I227" s="52"/>
    </row>
    <row r="228" spans="9:9" ht="16.5" customHeight="1">
      <c r="I228" s="52"/>
    </row>
    <row r="229" spans="9:9" ht="16.5" customHeight="1">
      <c r="I229" s="52"/>
    </row>
    <row r="230" spans="9:9" ht="16.5" customHeight="1">
      <c r="I230" s="52"/>
    </row>
    <row r="231" spans="9:9" ht="16.5" customHeight="1">
      <c r="I231" s="52"/>
    </row>
    <row r="232" spans="9:9" ht="16.5" customHeight="1">
      <c r="I232" s="52"/>
    </row>
    <row r="233" spans="9:9" ht="16.5" customHeight="1">
      <c r="I233" s="52"/>
    </row>
    <row r="234" spans="9:9" ht="16.5" customHeight="1">
      <c r="I234" s="52"/>
    </row>
    <row r="235" spans="9:9" ht="16.5" customHeight="1">
      <c r="I235" s="52"/>
    </row>
    <row r="236" spans="9:9" ht="16.5" customHeight="1">
      <c r="I236" s="52"/>
    </row>
    <row r="237" spans="9:9" ht="16.5" customHeight="1">
      <c r="I237" s="52"/>
    </row>
    <row r="238" spans="9:9" ht="16.5" customHeight="1">
      <c r="I238" s="52"/>
    </row>
    <row r="239" spans="9:9" ht="16.5" customHeight="1">
      <c r="I239" s="52"/>
    </row>
    <row r="240" spans="9:9" ht="16.5" customHeight="1">
      <c r="I240" s="52"/>
    </row>
    <row r="241" spans="9:9" ht="16.5" customHeight="1">
      <c r="I241" s="52"/>
    </row>
    <row r="242" spans="9:9" ht="16.5" customHeight="1">
      <c r="I242" s="52"/>
    </row>
    <row r="243" spans="9:9" ht="16.5" customHeight="1">
      <c r="I243" s="52"/>
    </row>
    <row r="244" spans="9:9" ht="16.5" customHeight="1">
      <c r="I244" s="52"/>
    </row>
    <row r="245" spans="9:9" ht="16.5" customHeight="1">
      <c r="I245" s="52"/>
    </row>
    <row r="246" spans="9:9" ht="16.5" customHeight="1">
      <c r="I246" s="52"/>
    </row>
    <row r="247" spans="9:9" ht="16.5" customHeight="1">
      <c r="I247" s="52"/>
    </row>
    <row r="248" spans="9:9" ht="16.5" customHeight="1">
      <c r="I248" s="52"/>
    </row>
    <row r="249" spans="9:9" ht="16.5" customHeight="1">
      <c r="I249" s="52"/>
    </row>
    <row r="250" spans="9:9" ht="16.5" customHeight="1">
      <c r="I250" s="52"/>
    </row>
    <row r="251" spans="9:9" ht="16.5" customHeight="1">
      <c r="I251" s="52"/>
    </row>
    <row r="252" spans="9:9" ht="16.5" customHeight="1">
      <c r="I252" s="52"/>
    </row>
    <row r="253" spans="9:9" ht="16.5" customHeight="1">
      <c r="I253" s="52"/>
    </row>
    <row r="254" spans="9:9" ht="16.5" customHeight="1">
      <c r="I254" s="52"/>
    </row>
    <row r="255" spans="9:9" ht="16.5" customHeight="1">
      <c r="I255" s="52"/>
    </row>
    <row r="256" spans="9:9" ht="16.5" customHeight="1">
      <c r="I256" s="52"/>
    </row>
    <row r="257" spans="9:9" ht="16.5" customHeight="1">
      <c r="I257" s="52"/>
    </row>
    <row r="258" spans="9:9" ht="16.5" customHeight="1">
      <c r="I258" s="52"/>
    </row>
    <row r="259" spans="9:9" ht="16.5" customHeight="1">
      <c r="I259" s="52"/>
    </row>
    <row r="260" spans="9:9" ht="16.5" customHeight="1">
      <c r="I260" s="52"/>
    </row>
    <row r="261" spans="9:9" ht="16.5" customHeight="1">
      <c r="I261" s="52"/>
    </row>
    <row r="262" spans="9:9" ht="16.5" customHeight="1">
      <c r="I262" s="52"/>
    </row>
    <row r="263" spans="9:9" ht="16.5" customHeight="1">
      <c r="I263" s="52"/>
    </row>
    <row r="264" spans="9:9" ht="16.5" customHeight="1">
      <c r="I264" s="52"/>
    </row>
    <row r="265" spans="9:9" ht="16.5" customHeight="1">
      <c r="I265" s="52"/>
    </row>
    <row r="266" spans="9:9" ht="16.5" customHeight="1">
      <c r="I266" s="52"/>
    </row>
    <row r="267" spans="9:9" ht="16.5" customHeight="1">
      <c r="I267" s="52"/>
    </row>
    <row r="268" spans="9:9" ht="16.5" customHeight="1">
      <c r="I268" s="52"/>
    </row>
    <row r="269" spans="9:9" ht="16.5" customHeight="1">
      <c r="I269" s="52"/>
    </row>
    <row r="270" spans="9:9" ht="16.5" customHeight="1">
      <c r="I270" s="52"/>
    </row>
    <row r="271" spans="9:9" ht="16.5" customHeight="1">
      <c r="I271" s="52"/>
    </row>
    <row r="272" spans="9:9" ht="16.5" customHeight="1">
      <c r="I272" s="52"/>
    </row>
    <row r="273" spans="9:9" ht="16.5" customHeight="1">
      <c r="I273" s="52"/>
    </row>
    <row r="274" spans="9:9" ht="16.5" customHeight="1">
      <c r="I274" s="52"/>
    </row>
    <row r="275" spans="9:9" ht="16.5" customHeight="1">
      <c r="I275" s="52"/>
    </row>
    <row r="276" spans="9:9" ht="16.5" customHeight="1">
      <c r="I276" s="52"/>
    </row>
    <row r="277" spans="9:9" ht="16.5" customHeight="1">
      <c r="I277" s="52"/>
    </row>
    <row r="278" spans="9:9" ht="16.5" customHeight="1">
      <c r="I278" s="52"/>
    </row>
    <row r="279" spans="9:9" ht="16.5" customHeight="1">
      <c r="I279" s="52"/>
    </row>
    <row r="280" spans="9:9" ht="16.5" customHeight="1">
      <c r="I280" s="52"/>
    </row>
    <row r="281" spans="9:9" ht="16.5" customHeight="1">
      <c r="I281" s="52"/>
    </row>
    <row r="282" spans="9:9" ht="16.5" customHeight="1">
      <c r="I282" s="52"/>
    </row>
    <row r="283" spans="9:9" ht="16.5" customHeight="1">
      <c r="I283" s="52"/>
    </row>
    <row r="284" spans="9:9" ht="16.5" customHeight="1">
      <c r="I284" s="52"/>
    </row>
    <row r="285" spans="9:9" ht="16.5" customHeight="1">
      <c r="I285" s="52"/>
    </row>
    <row r="286" spans="9:9" ht="16.5" customHeight="1">
      <c r="I286" s="52"/>
    </row>
    <row r="287" spans="9:9" ht="16.5" customHeight="1">
      <c r="I287" s="52"/>
    </row>
    <row r="288" spans="9:9" ht="16.5" customHeight="1">
      <c r="I288" s="52"/>
    </row>
    <row r="289" spans="9:9" ht="16.5" customHeight="1">
      <c r="I289" s="52"/>
    </row>
    <row r="290" spans="9:9" ht="16.5" customHeight="1">
      <c r="I290" s="52"/>
    </row>
    <row r="291" spans="9:9" ht="16.5" customHeight="1">
      <c r="I291" s="52"/>
    </row>
    <row r="292" spans="9:9" ht="16.5" customHeight="1">
      <c r="I292" s="52"/>
    </row>
    <row r="293" spans="9:9" ht="16.5" customHeight="1">
      <c r="I293" s="52"/>
    </row>
    <row r="294" spans="9:9" ht="16.5" customHeight="1">
      <c r="I294" s="52"/>
    </row>
    <row r="295" spans="9:9" ht="16.5" customHeight="1">
      <c r="I295" s="52"/>
    </row>
    <row r="296" spans="9:9" ht="16.5" customHeight="1">
      <c r="I296" s="52"/>
    </row>
    <row r="297" spans="9:9" ht="16.5" customHeight="1">
      <c r="I297" s="52"/>
    </row>
    <row r="298" spans="9:9" ht="16.5" customHeight="1">
      <c r="I298" s="52"/>
    </row>
    <row r="299" spans="9:9" ht="16.5" customHeight="1">
      <c r="I299" s="52"/>
    </row>
    <row r="300" spans="9:9" ht="16.5" customHeight="1">
      <c r="I300" s="52"/>
    </row>
    <row r="301" spans="9:9" ht="16.5" customHeight="1">
      <c r="I301" s="52"/>
    </row>
    <row r="302" spans="9:9" ht="16.5" customHeight="1">
      <c r="I302" s="52"/>
    </row>
    <row r="303" spans="9:9" ht="16.5" customHeight="1">
      <c r="I303" s="52"/>
    </row>
    <row r="304" spans="9:9" ht="16.5" customHeight="1">
      <c r="I304" s="52"/>
    </row>
    <row r="305" spans="9:9" ht="16.5" customHeight="1">
      <c r="I305" s="52"/>
    </row>
    <row r="306" spans="9:9" ht="16.5" customHeight="1">
      <c r="I306" s="52"/>
    </row>
    <row r="307" spans="9:9" ht="16.5" customHeight="1">
      <c r="I307" s="52"/>
    </row>
    <row r="308" spans="9:9" ht="16.5" customHeight="1">
      <c r="I308" s="52"/>
    </row>
    <row r="309" spans="9:9" ht="16.5" customHeight="1">
      <c r="I309" s="52"/>
    </row>
    <row r="310" spans="9:9" ht="16.5" customHeight="1">
      <c r="I310" s="52"/>
    </row>
    <row r="311" spans="9:9" ht="16.5" customHeight="1">
      <c r="I311" s="52"/>
    </row>
    <row r="312" spans="9:9" ht="16.5" customHeight="1">
      <c r="I312" s="52"/>
    </row>
    <row r="313" spans="9:9" ht="16.5" customHeight="1">
      <c r="I313" s="52"/>
    </row>
    <row r="314" spans="9:9" ht="16.5" customHeight="1">
      <c r="I314" s="52"/>
    </row>
    <row r="315" spans="9:9" ht="16.5" customHeight="1">
      <c r="I315" s="52"/>
    </row>
    <row r="316" spans="9:9" ht="16.5" customHeight="1">
      <c r="I316" s="52"/>
    </row>
    <row r="317" spans="9:9" ht="16.5" customHeight="1">
      <c r="I317" s="52"/>
    </row>
    <row r="318" spans="9:9" ht="16.5" customHeight="1">
      <c r="I318" s="52"/>
    </row>
    <row r="319" spans="9:9" ht="16.5" customHeight="1">
      <c r="I319" s="52"/>
    </row>
    <row r="320" spans="9:9" ht="16.5" customHeight="1">
      <c r="I320" s="52"/>
    </row>
    <row r="321" spans="9:9" ht="16.5" customHeight="1">
      <c r="I321" s="52"/>
    </row>
    <row r="322" spans="9:9" ht="16.5" customHeight="1">
      <c r="I322" s="52"/>
    </row>
    <row r="323" spans="9:9" ht="16.5" customHeight="1">
      <c r="I323" s="52"/>
    </row>
    <row r="324" spans="9:9" ht="16.5" customHeight="1">
      <c r="I324" s="52"/>
    </row>
    <row r="325" spans="9:9" ht="16.5" customHeight="1">
      <c r="I325" s="52"/>
    </row>
    <row r="326" spans="9:9" ht="16.5" customHeight="1">
      <c r="I326" s="52"/>
    </row>
    <row r="327" spans="9:9" ht="16.5" customHeight="1">
      <c r="I327" s="52"/>
    </row>
    <row r="328" spans="9:9" ht="16.5" customHeight="1">
      <c r="I328" s="52"/>
    </row>
    <row r="329" spans="9:9" ht="16.5" customHeight="1">
      <c r="I329" s="52"/>
    </row>
    <row r="330" spans="9:9" ht="16.5" customHeight="1">
      <c r="I330" s="52"/>
    </row>
    <row r="331" spans="9:9" ht="16.5" customHeight="1">
      <c r="I331" s="52"/>
    </row>
    <row r="332" spans="9:9" ht="16.5" customHeight="1">
      <c r="I332" s="52"/>
    </row>
    <row r="333" spans="9:9" ht="16.5" customHeight="1">
      <c r="I333" s="52"/>
    </row>
    <row r="334" spans="9:9" ht="16.5" customHeight="1">
      <c r="I334" s="52"/>
    </row>
    <row r="335" spans="9:9" ht="16.5" customHeight="1">
      <c r="I335" s="52"/>
    </row>
    <row r="336" spans="9:9" ht="16.5" customHeight="1">
      <c r="I336" s="52"/>
    </row>
    <row r="337" spans="9:9" ht="16.5" customHeight="1">
      <c r="I337" s="52"/>
    </row>
    <row r="338" spans="9:9" ht="16.5" customHeight="1">
      <c r="I338" s="52"/>
    </row>
    <row r="339" spans="9:9" ht="16.5" customHeight="1">
      <c r="I339" s="52"/>
    </row>
    <row r="340" spans="9:9" ht="16.5" customHeight="1">
      <c r="I340" s="52"/>
    </row>
  </sheetData>
  <autoFilter ref="A2:D6" xr:uid="{00000000-0009-0000-0000-000008000000}"/>
  <mergeCells count="1"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0"/>
  </sheetPr>
  <dimension ref="A1:F14"/>
  <sheetViews>
    <sheetView showGridLines="0" topLeftCell="B1" workbookViewId="0">
      <pane ySplit="3" topLeftCell="A4" activePane="bottomLeft" state="frozen"/>
      <selection sqref="A1:F1"/>
      <selection pane="bottomLeft" sqref="A1:F1"/>
    </sheetView>
  </sheetViews>
  <sheetFormatPr defaultColWidth="9" defaultRowHeight="15"/>
  <cols>
    <col min="1" max="1" width="16.5703125" hidden="1" customWidth="1"/>
    <col min="2" max="2" width="45.5703125" bestFit="1" customWidth="1"/>
    <col min="3" max="3" width="8.42578125" bestFit="1" customWidth="1"/>
    <col min="4" max="4" width="14" customWidth="1"/>
    <col min="6" max="6" width="11.7109375" bestFit="1" customWidth="1"/>
    <col min="7" max="7" width="13.7109375" bestFit="1" customWidth="1"/>
    <col min="8" max="8" width="15" bestFit="1" customWidth="1"/>
  </cols>
  <sheetData>
    <row r="1" spans="1:6" ht="18.75" customHeight="1">
      <c r="A1" s="82" t="s">
        <v>0</v>
      </c>
      <c r="B1" s="83"/>
      <c r="C1" s="83"/>
      <c r="D1" s="83"/>
    </row>
    <row r="2" spans="1:6">
      <c r="A2" s="34" t="s">
        <v>1</v>
      </c>
      <c r="B2" s="35" t="s">
        <v>2</v>
      </c>
      <c r="C2" s="35" t="s">
        <v>3</v>
      </c>
      <c r="D2" s="35" t="s">
        <v>4</v>
      </c>
      <c r="E2" s="35" t="s">
        <v>46</v>
      </c>
      <c r="F2" s="35" t="s">
        <v>47</v>
      </c>
    </row>
    <row r="3" spans="1:6">
      <c r="A3" s="29" t="s">
        <v>5</v>
      </c>
      <c r="B3" s="36" t="s">
        <v>5</v>
      </c>
      <c r="C3" s="36"/>
      <c r="D3" s="37">
        <f>+SUM(D4:D37)</f>
        <v>0</v>
      </c>
      <c r="E3" s="37">
        <v>0</v>
      </c>
      <c r="F3" s="38">
        <f>+SUM(F4:F37)</f>
        <v>0</v>
      </c>
    </row>
    <row r="4" spans="1:6">
      <c r="A4" s="29"/>
      <c r="B4" s="47"/>
      <c r="C4" s="47"/>
      <c r="D4" s="7"/>
      <c r="E4" s="7"/>
      <c r="F4" s="7"/>
    </row>
    <row r="5" spans="1:6">
      <c r="A5" s="29" t="s">
        <v>8</v>
      </c>
      <c r="B5" s="47"/>
      <c r="C5" s="47"/>
      <c r="D5" s="7"/>
      <c r="E5" s="7"/>
      <c r="F5" s="7"/>
    </row>
    <row r="6" spans="1:6">
      <c r="B6" s="47"/>
      <c r="C6" s="47"/>
      <c r="D6" s="7"/>
      <c r="E6" s="7"/>
      <c r="F6" s="7"/>
    </row>
    <row r="7" spans="1:6">
      <c r="B7" s="46"/>
      <c r="C7" s="47"/>
      <c r="D7" s="28"/>
      <c r="E7" s="7"/>
      <c r="F7" s="7"/>
    </row>
    <row r="8" spans="1:6">
      <c r="B8" s="46"/>
      <c r="C8" s="47"/>
      <c r="D8" s="28"/>
      <c r="E8" s="7"/>
      <c r="F8" s="7"/>
    </row>
    <row r="9" spans="1:6">
      <c r="B9" s="46"/>
      <c r="C9" s="47"/>
      <c r="D9" s="7"/>
      <c r="E9" s="7"/>
      <c r="F9" s="7"/>
    </row>
    <row r="10" spans="1:6">
      <c r="B10" s="46"/>
      <c r="C10" s="47"/>
      <c r="D10" s="7"/>
      <c r="E10" s="7"/>
      <c r="F10" s="7"/>
    </row>
    <row r="11" spans="1:6">
      <c r="B11" s="46"/>
      <c r="C11" s="47"/>
      <c r="D11" s="7"/>
      <c r="E11" s="7"/>
      <c r="F11" s="7"/>
    </row>
    <row r="12" spans="1:6">
      <c r="B12" s="46"/>
      <c r="C12" s="47"/>
      <c r="D12" s="7"/>
      <c r="E12" s="7"/>
      <c r="F12" s="7"/>
    </row>
    <row r="13" spans="1:6">
      <c r="B13" s="46"/>
      <c r="C13" s="47"/>
      <c r="D13" s="7"/>
      <c r="E13" s="7"/>
      <c r="F13" s="7"/>
    </row>
    <row r="14" spans="1:6">
      <c r="B14" s="46"/>
      <c r="C14" s="47"/>
      <c r="D14" s="7"/>
      <c r="E14" s="7"/>
      <c r="F14" s="7"/>
    </row>
  </sheetData>
  <autoFilter ref="A2:D5" xr:uid="{00000000-0009-0000-0000-000009000000}"/>
  <mergeCells count="1">
    <mergeCell ref="A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종합</vt:lpstr>
      <vt:lpstr>성형셋팅</vt:lpstr>
      <vt:lpstr>성형공정</vt:lpstr>
      <vt:lpstr>성형공정 (외주소재불량)</vt:lpstr>
      <vt:lpstr>소결공정</vt:lpstr>
      <vt:lpstr>정형셋팅</vt:lpstr>
      <vt:lpstr>정형공정</vt:lpstr>
      <vt:lpstr>A8LF 가공셋팅</vt:lpstr>
      <vt:lpstr>가공불량</vt:lpstr>
      <vt:lpstr>A8LF 가공공정</vt:lpstr>
      <vt:lpstr>후처리공정</vt:lpstr>
      <vt:lpstr>외주 소재불량 (공정불분명)</vt:lpstr>
      <vt:lpstr>Pending품 폐기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ParkMinHo</dc:creator>
  <cp:lastModifiedBy>Seungyong Choi</cp:lastModifiedBy>
  <cp:lastPrinted>2020-10-07T07:59:26Z</cp:lastPrinted>
  <dcterms:created xsi:type="dcterms:W3CDTF">2015-08-10T10:26:58Z</dcterms:created>
  <dcterms:modified xsi:type="dcterms:W3CDTF">2026-07-08T02:28:13Z</dcterms:modified>
</cp:coreProperties>
</file>