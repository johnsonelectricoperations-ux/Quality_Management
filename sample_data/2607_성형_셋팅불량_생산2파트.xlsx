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comments6.xml" ContentType="application/vnd.openxmlformats-officedocument.spreadsheetml.comments+xml"/>
  <Override PartName="/xl/threadedComments/threadedComment6.xml" ContentType="application/vnd.ms-excel.threadedcomments+xml"/>
  <Override PartName="/xl/comments7.xml" ContentType="application/vnd.openxmlformats-officedocument.spreadsheetml.comments+xml"/>
  <Override PartName="/xl/threadedComments/threadedComment7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\\Carp130001\품질관리공유\품질관리 문서\01 사무실\00 품질실적\02.공정별 불량실적(Setting &amp; 공정불량)\02.생산 2Part\01.성형(Setting &amp; 공정불량)\2026\7월\"/>
    </mc:Choice>
  </mc:AlternateContent>
  <xr:revisionPtr revIDLastSave="0" documentId="13_ncr:1_{D7C4B7D0-1023-4980-883C-5362273844B4}" xr6:coauthVersionLast="47" xr6:coauthVersionMax="47" xr10:uidLastSave="{00000000-0000-0000-0000-000000000000}"/>
  <bookViews>
    <workbookView xWindow="-23148" yWindow="-108" windowWidth="23256" windowHeight="12456" tabRatio="937" activeTab="31" xr2:uid="{00000000-000D-0000-FFFF-FFFF00000000}"/>
  </bookViews>
  <sheets>
    <sheet name="1" sheetId="120" r:id="rId1"/>
    <sheet name="2" sheetId="121" r:id="rId2"/>
    <sheet name="3" sheetId="123" r:id="rId3"/>
    <sheet name="4" sheetId="122" r:id="rId4"/>
    <sheet name="5" sheetId="124" r:id="rId5"/>
    <sheet name="6" sheetId="125" r:id="rId6"/>
    <sheet name="7" sheetId="126" r:id="rId7"/>
    <sheet name="8" sheetId="127" r:id="rId8"/>
    <sheet name="9" sheetId="128" r:id="rId9"/>
    <sheet name="10" sheetId="130" r:id="rId10"/>
    <sheet name="11" sheetId="132" r:id="rId11"/>
    <sheet name="12" sheetId="131" r:id="rId12"/>
    <sheet name="13" sheetId="129" r:id="rId13"/>
    <sheet name="14" sheetId="133" r:id="rId14"/>
    <sheet name="15" sheetId="134" r:id="rId15"/>
    <sheet name="16" sheetId="135" r:id="rId16"/>
    <sheet name="17" sheetId="112" r:id="rId17"/>
    <sheet name="18" sheetId="113" r:id="rId18"/>
    <sheet name="19" sheetId="114" r:id="rId19"/>
    <sheet name="20" sheetId="115" r:id="rId20"/>
    <sheet name="21" sheetId="116" r:id="rId21"/>
    <sheet name="22" sheetId="117" r:id="rId22"/>
    <sheet name="23" sheetId="118" r:id="rId23"/>
    <sheet name="24" sheetId="119" r:id="rId24"/>
    <sheet name="25" sheetId="108" r:id="rId25"/>
    <sheet name="26" sheetId="109" r:id="rId26"/>
    <sheet name="27" sheetId="111" r:id="rId27"/>
    <sheet name="28" sheetId="110" r:id="rId28"/>
    <sheet name="29" sheetId="106" r:id="rId29"/>
    <sheet name="30" sheetId="107" r:id="rId30"/>
    <sheet name="31" sheetId="105" r:id="rId31"/>
    <sheet name="종합" sheetId="72" r:id="rId32"/>
  </sheets>
  <definedNames>
    <definedName name="_xlnm._FilterDatabase" localSheetId="0" hidden="1">'1'!$A$5:$V$81</definedName>
    <definedName name="_xlnm._FilterDatabase" localSheetId="9" hidden="1">'10'!$A$5:$Y$81</definedName>
    <definedName name="_xlnm._FilterDatabase" localSheetId="10" hidden="1">'11'!$A$5:$V$5</definedName>
    <definedName name="_xlnm._FilterDatabase" localSheetId="11" hidden="1">'12'!$A$5:$V$81</definedName>
    <definedName name="_xlnm._FilterDatabase" localSheetId="12" hidden="1">'13'!$A$5:$V$81</definedName>
    <definedName name="_xlnm._FilterDatabase" localSheetId="13" hidden="1">'14'!$A$5:$V$81</definedName>
    <definedName name="_xlnm._FilterDatabase" localSheetId="14" hidden="1">'15'!$A$5:$V$81</definedName>
    <definedName name="_xlnm._FilterDatabase" localSheetId="15" hidden="1">'16'!$A$5:$V$81</definedName>
    <definedName name="_xlnm._FilterDatabase" localSheetId="16" hidden="1">'17'!$A$5:$V$81</definedName>
    <definedName name="_xlnm._FilterDatabase" localSheetId="17" hidden="1">'18'!$A$5:$V$81</definedName>
    <definedName name="_xlnm._FilterDatabase" localSheetId="18" hidden="1">'19'!$A$5:$V$81</definedName>
    <definedName name="_xlnm._FilterDatabase" localSheetId="1" hidden="1">'2'!$A$5:$V$81</definedName>
    <definedName name="_xlnm._FilterDatabase" localSheetId="19" hidden="1">'20'!$A$5:$V$81</definedName>
    <definedName name="_xlnm._FilterDatabase" localSheetId="20" hidden="1">'21'!$A$5:$V$81</definedName>
    <definedName name="_xlnm._FilterDatabase" localSheetId="21" hidden="1">'22'!$A$5:$V$81</definedName>
    <definedName name="_xlnm._FilterDatabase" localSheetId="22" hidden="1">'23'!$A$5:$V$81</definedName>
    <definedName name="_xlnm._FilterDatabase" localSheetId="23" hidden="1">'24'!$A$5:$V$81</definedName>
    <definedName name="_xlnm._FilterDatabase" localSheetId="24" hidden="1">'25'!$A$5:$V$81</definedName>
    <definedName name="_xlnm._FilterDatabase" localSheetId="25" hidden="1">'26'!$A$5:$V$81</definedName>
    <definedName name="_xlnm._FilterDatabase" localSheetId="26" hidden="1">'27'!$A$5:$V$81</definedName>
    <definedName name="_xlnm._FilterDatabase" localSheetId="27" hidden="1">'28'!$A$5:$V$81</definedName>
    <definedName name="_xlnm._FilterDatabase" localSheetId="28" hidden="1">'29'!$A$5:$V$81</definedName>
    <definedName name="_xlnm._FilterDatabase" localSheetId="2" hidden="1">'3'!$A$5:$V$81</definedName>
    <definedName name="_xlnm._FilterDatabase" localSheetId="29" hidden="1">'30'!$A$5:$V$81</definedName>
    <definedName name="_xlnm._FilterDatabase" localSheetId="30" hidden="1">'31'!$A$5:$V$81</definedName>
    <definedName name="_xlnm._FilterDatabase" localSheetId="3" hidden="1">'4'!$A$5:$V$81</definedName>
    <definedName name="_xlnm._FilterDatabase" localSheetId="4" hidden="1">'5'!$A$5:$V$81</definedName>
    <definedName name="_xlnm._FilterDatabase" localSheetId="5" hidden="1">'6'!$A$5:$V$81</definedName>
    <definedName name="_xlnm._FilterDatabase" localSheetId="6" hidden="1">'7'!$A$5:$V$81</definedName>
    <definedName name="_xlnm._FilterDatabase" localSheetId="7" hidden="1">'8'!$A$5:$V$81</definedName>
    <definedName name="_xlnm._FilterDatabase" localSheetId="8" hidden="1">'9'!$A$5:$V$81</definedName>
    <definedName name="_xlnm._FilterDatabase" localSheetId="31" hidden="1">종합!$A$5:$V$81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70" i="112" l="1"/>
  <c r="U79" i="122"/>
  <c r="I79" i="122"/>
  <c r="M3" i="120"/>
  <c r="N3" i="120"/>
  <c r="O3" i="120"/>
  <c r="P3" i="120"/>
  <c r="Q3" i="120"/>
  <c r="R3" i="120"/>
  <c r="S3" i="120"/>
  <c r="T3" i="120"/>
  <c r="M3" i="121"/>
  <c r="N3" i="121"/>
  <c r="O3" i="121"/>
  <c r="P3" i="121"/>
  <c r="Q3" i="121"/>
  <c r="R3" i="121"/>
  <c r="S3" i="121"/>
  <c r="T3" i="121"/>
  <c r="M3" i="123"/>
  <c r="N3" i="123"/>
  <c r="O3" i="123"/>
  <c r="P3" i="123"/>
  <c r="Q3" i="123"/>
  <c r="R3" i="123"/>
  <c r="S3" i="123"/>
  <c r="T3" i="123"/>
  <c r="M3" i="122"/>
  <c r="N3" i="122"/>
  <c r="O3" i="122"/>
  <c r="P3" i="122"/>
  <c r="Q3" i="122"/>
  <c r="R3" i="122"/>
  <c r="S3" i="122"/>
  <c r="T3" i="122"/>
  <c r="M3" i="124"/>
  <c r="N3" i="124"/>
  <c r="O3" i="124"/>
  <c r="P3" i="124"/>
  <c r="Q3" i="124"/>
  <c r="R3" i="124"/>
  <c r="S3" i="124"/>
  <c r="T3" i="124"/>
  <c r="M3" i="125"/>
  <c r="N3" i="125"/>
  <c r="O3" i="125"/>
  <c r="P3" i="125"/>
  <c r="Q3" i="125"/>
  <c r="R3" i="125"/>
  <c r="S3" i="125"/>
  <c r="T3" i="125"/>
  <c r="M3" i="126"/>
  <c r="N3" i="126"/>
  <c r="O3" i="126"/>
  <c r="P3" i="126"/>
  <c r="Q3" i="126"/>
  <c r="R3" i="126"/>
  <c r="S3" i="126"/>
  <c r="T3" i="126"/>
  <c r="M3" i="127"/>
  <c r="N3" i="127"/>
  <c r="O3" i="127"/>
  <c r="P3" i="127"/>
  <c r="Q3" i="127"/>
  <c r="R3" i="127"/>
  <c r="S3" i="127"/>
  <c r="T3" i="127"/>
  <c r="M3" i="128"/>
  <c r="N3" i="128"/>
  <c r="O3" i="128"/>
  <c r="P3" i="128"/>
  <c r="Q3" i="128"/>
  <c r="R3" i="128"/>
  <c r="S3" i="128"/>
  <c r="T3" i="128"/>
  <c r="M3" i="130"/>
  <c r="N3" i="130"/>
  <c r="O3" i="130"/>
  <c r="P3" i="130"/>
  <c r="Q3" i="130"/>
  <c r="R3" i="130"/>
  <c r="S3" i="130"/>
  <c r="T3" i="130"/>
  <c r="M3" i="132"/>
  <c r="N3" i="132"/>
  <c r="O3" i="132"/>
  <c r="P3" i="132"/>
  <c r="Q3" i="132"/>
  <c r="R3" i="132"/>
  <c r="S3" i="132"/>
  <c r="T3" i="132"/>
  <c r="M3" i="131"/>
  <c r="N3" i="131"/>
  <c r="O3" i="131"/>
  <c r="P3" i="131"/>
  <c r="Q3" i="131"/>
  <c r="R3" i="131"/>
  <c r="S3" i="131"/>
  <c r="T3" i="131"/>
  <c r="M3" i="129"/>
  <c r="N3" i="129"/>
  <c r="O3" i="129"/>
  <c r="P3" i="129"/>
  <c r="Q3" i="129"/>
  <c r="R3" i="129"/>
  <c r="S3" i="129"/>
  <c r="T3" i="129"/>
  <c r="M3" i="133"/>
  <c r="N3" i="133"/>
  <c r="O3" i="133"/>
  <c r="P3" i="133"/>
  <c r="Q3" i="133"/>
  <c r="R3" i="133"/>
  <c r="S3" i="133"/>
  <c r="T3" i="133"/>
  <c r="M3" i="134"/>
  <c r="N3" i="134"/>
  <c r="O3" i="134"/>
  <c r="P3" i="134"/>
  <c r="Q3" i="134"/>
  <c r="R3" i="134"/>
  <c r="S3" i="134"/>
  <c r="T3" i="134"/>
  <c r="M3" i="135"/>
  <c r="N3" i="135"/>
  <c r="O3" i="135"/>
  <c r="P3" i="135"/>
  <c r="Q3" i="135"/>
  <c r="R3" i="135"/>
  <c r="S3" i="135"/>
  <c r="T3" i="135"/>
  <c r="M3" i="112"/>
  <c r="N3" i="112"/>
  <c r="O3" i="112"/>
  <c r="P3" i="112"/>
  <c r="Q3" i="112"/>
  <c r="R3" i="112"/>
  <c r="S3" i="112"/>
  <c r="T3" i="112"/>
  <c r="M3" i="113"/>
  <c r="N3" i="113"/>
  <c r="O3" i="113"/>
  <c r="P3" i="113"/>
  <c r="Q3" i="113"/>
  <c r="R3" i="113"/>
  <c r="S3" i="113"/>
  <c r="T3" i="113"/>
  <c r="M3" i="114"/>
  <c r="N3" i="114"/>
  <c r="O3" i="114"/>
  <c r="P3" i="114"/>
  <c r="Q3" i="114"/>
  <c r="R3" i="114"/>
  <c r="S3" i="114"/>
  <c r="T3" i="114"/>
  <c r="M3" i="115"/>
  <c r="N3" i="115"/>
  <c r="O3" i="115"/>
  <c r="P3" i="115"/>
  <c r="Q3" i="115"/>
  <c r="R3" i="115"/>
  <c r="S3" i="115"/>
  <c r="T3" i="115"/>
  <c r="M3" i="116"/>
  <c r="N3" i="116"/>
  <c r="O3" i="116"/>
  <c r="P3" i="116"/>
  <c r="Q3" i="116"/>
  <c r="R3" i="116"/>
  <c r="S3" i="116"/>
  <c r="T3" i="116"/>
  <c r="M3" i="117"/>
  <c r="N3" i="117"/>
  <c r="O3" i="117"/>
  <c r="P3" i="117"/>
  <c r="Q3" i="117"/>
  <c r="R3" i="117"/>
  <c r="S3" i="117"/>
  <c r="T3" i="117"/>
  <c r="M3" i="118"/>
  <c r="N3" i="118"/>
  <c r="O3" i="118"/>
  <c r="P3" i="118"/>
  <c r="Q3" i="118"/>
  <c r="R3" i="118"/>
  <c r="S3" i="118"/>
  <c r="T3" i="118"/>
  <c r="M3" i="119"/>
  <c r="N3" i="119"/>
  <c r="O3" i="119"/>
  <c r="P3" i="119"/>
  <c r="Q3" i="119"/>
  <c r="R3" i="119"/>
  <c r="S3" i="119"/>
  <c r="T3" i="119"/>
  <c r="M3" i="108"/>
  <c r="N3" i="108"/>
  <c r="O3" i="108"/>
  <c r="P3" i="108"/>
  <c r="Q3" i="108"/>
  <c r="R3" i="108"/>
  <c r="S3" i="108"/>
  <c r="T3" i="108"/>
  <c r="M3" i="109"/>
  <c r="N3" i="109"/>
  <c r="O3" i="109"/>
  <c r="P3" i="109"/>
  <c r="Q3" i="109"/>
  <c r="R3" i="109"/>
  <c r="S3" i="109"/>
  <c r="T3" i="109"/>
  <c r="M3" i="111"/>
  <c r="N3" i="111"/>
  <c r="O3" i="111"/>
  <c r="P3" i="111"/>
  <c r="Q3" i="111"/>
  <c r="R3" i="111"/>
  <c r="S3" i="111"/>
  <c r="T3" i="111"/>
  <c r="M3" i="110"/>
  <c r="N3" i="110"/>
  <c r="O3" i="110"/>
  <c r="P3" i="110"/>
  <c r="Q3" i="110"/>
  <c r="R3" i="110"/>
  <c r="S3" i="110"/>
  <c r="T3" i="110"/>
  <c r="M3" i="106"/>
  <c r="N3" i="106"/>
  <c r="O3" i="106"/>
  <c r="P3" i="106"/>
  <c r="Q3" i="106"/>
  <c r="R3" i="106"/>
  <c r="S3" i="106"/>
  <c r="T3" i="106"/>
  <c r="M3" i="107"/>
  <c r="N3" i="107"/>
  <c r="O3" i="107"/>
  <c r="P3" i="107"/>
  <c r="Q3" i="107"/>
  <c r="R3" i="107"/>
  <c r="S3" i="107"/>
  <c r="T3" i="107"/>
  <c r="M3" i="105"/>
  <c r="N3" i="105"/>
  <c r="O3" i="105"/>
  <c r="P3" i="105"/>
  <c r="Q3" i="105"/>
  <c r="R3" i="105"/>
  <c r="S3" i="105"/>
  <c r="T3" i="105"/>
  <c r="M2" i="120"/>
  <c r="N2" i="120"/>
  <c r="O2" i="120"/>
  <c r="P2" i="120"/>
  <c r="Q2" i="120"/>
  <c r="R2" i="120"/>
  <c r="S2" i="120"/>
  <c r="T2" i="120"/>
  <c r="M2" i="121"/>
  <c r="N2" i="121"/>
  <c r="O2" i="121"/>
  <c r="P2" i="121"/>
  <c r="Q2" i="121"/>
  <c r="R2" i="121"/>
  <c r="S2" i="121"/>
  <c r="T2" i="121"/>
  <c r="M2" i="123"/>
  <c r="N2" i="123"/>
  <c r="O2" i="123"/>
  <c r="P2" i="123"/>
  <c r="Q2" i="123"/>
  <c r="R2" i="123"/>
  <c r="S2" i="123"/>
  <c r="T2" i="123"/>
  <c r="M2" i="122"/>
  <c r="N2" i="122"/>
  <c r="O2" i="122"/>
  <c r="P2" i="122"/>
  <c r="Q2" i="122"/>
  <c r="R2" i="122"/>
  <c r="S2" i="122"/>
  <c r="T2" i="122"/>
  <c r="M2" i="124"/>
  <c r="N2" i="124"/>
  <c r="O2" i="124"/>
  <c r="P2" i="124"/>
  <c r="Q2" i="124"/>
  <c r="R2" i="124"/>
  <c r="S2" i="124"/>
  <c r="T2" i="124"/>
  <c r="M2" i="125"/>
  <c r="N2" i="125"/>
  <c r="O2" i="125"/>
  <c r="P2" i="125"/>
  <c r="Q2" i="125"/>
  <c r="R2" i="125"/>
  <c r="S2" i="125"/>
  <c r="T2" i="125"/>
  <c r="M2" i="126"/>
  <c r="N2" i="126"/>
  <c r="O2" i="126"/>
  <c r="P2" i="126"/>
  <c r="Q2" i="126"/>
  <c r="R2" i="126"/>
  <c r="S2" i="126"/>
  <c r="T2" i="126"/>
  <c r="M2" i="127"/>
  <c r="N2" i="127"/>
  <c r="O2" i="127"/>
  <c r="P2" i="127"/>
  <c r="Q2" i="127"/>
  <c r="R2" i="127"/>
  <c r="S2" i="127"/>
  <c r="T2" i="127"/>
  <c r="M2" i="128"/>
  <c r="N2" i="128"/>
  <c r="O2" i="128"/>
  <c r="P2" i="128"/>
  <c r="Q2" i="128"/>
  <c r="R2" i="128"/>
  <c r="S2" i="128"/>
  <c r="T2" i="128"/>
  <c r="M2" i="130"/>
  <c r="N2" i="130"/>
  <c r="O2" i="130"/>
  <c r="P2" i="130"/>
  <c r="Q2" i="130"/>
  <c r="R2" i="130"/>
  <c r="S2" i="130"/>
  <c r="T2" i="130"/>
  <c r="M2" i="132"/>
  <c r="N2" i="132"/>
  <c r="O2" i="132"/>
  <c r="P2" i="132"/>
  <c r="Q2" i="132"/>
  <c r="R2" i="132"/>
  <c r="S2" i="132"/>
  <c r="T2" i="132"/>
  <c r="M2" i="131"/>
  <c r="N2" i="131"/>
  <c r="O2" i="131"/>
  <c r="P2" i="131"/>
  <c r="Q2" i="131"/>
  <c r="R2" i="131"/>
  <c r="S2" i="131"/>
  <c r="T2" i="131"/>
  <c r="M2" i="129"/>
  <c r="N2" i="129"/>
  <c r="O2" i="129"/>
  <c r="P2" i="129"/>
  <c r="Q2" i="129"/>
  <c r="R2" i="129"/>
  <c r="S2" i="129"/>
  <c r="T2" i="129"/>
  <c r="M2" i="133"/>
  <c r="N2" i="133"/>
  <c r="O2" i="133"/>
  <c r="P2" i="133"/>
  <c r="Q2" i="133"/>
  <c r="R2" i="133"/>
  <c r="S2" i="133"/>
  <c r="T2" i="133"/>
  <c r="M2" i="134"/>
  <c r="N2" i="134"/>
  <c r="O2" i="134"/>
  <c r="P2" i="134"/>
  <c r="Q2" i="134"/>
  <c r="R2" i="134"/>
  <c r="S2" i="134"/>
  <c r="T2" i="134"/>
  <c r="M2" i="135"/>
  <c r="N2" i="135"/>
  <c r="O2" i="135"/>
  <c r="P2" i="135"/>
  <c r="Q2" i="135"/>
  <c r="R2" i="135"/>
  <c r="S2" i="135"/>
  <c r="T2" i="135"/>
  <c r="M2" i="112"/>
  <c r="N2" i="112"/>
  <c r="O2" i="112"/>
  <c r="P2" i="112"/>
  <c r="Q2" i="112"/>
  <c r="R2" i="112"/>
  <c r="S2" i="112"/>
  <c r="T2" i="112"/>
  <c r="M2" i="113"/>
  <c r="N2" i="113"/>
  <c r="O2" i="113"/>
  <c r="P2" i="113"/>
  <c r="Q2" i="113"/>
  <c r="R2" i="113"/>
  <c r="S2" i="113"/>
  <c r="T2" i="113"/>
  <c r="M2" i="114"/>
  <c r="N2" i="114"/>
  <c r="O2" i="114"/>
  <c r="P2" i="114"/>
  <c r="Q2" i="114"/>
  <c r="R2" i="114"/>
  <c r="S2" i="114"/>
  <c r="T2" i="114"/>
  <c r="M2" i="115"/>
  <c r="N2" i="115"/>
  <c r="O2" i="115"/>
  <c r="P2" i="115"/>
  <c r="Q2" i="115"/>
  <c r="R2" i="115"/>
  <c r="S2" i="115"/>
  <c r="T2" i="115"/>
  <c r="M2" i="116"/>
  <c r="N2" i="116"/>
  <c r="O2" i="116"/>
  <c r="P2" i="116"/>
  <c r="Q2" i="116"/>
  <c r="R2" i="116"/>
  <c r="S2" i="116"/>
  <c r="T2" i="116"/>
  <c r="M2" i="117"/>
  <c r="N2" i="117"/>
  <c r="O2" i="117"/>
  <c r="P2" i="117"/>
  <c r="Q2" i="117"/>
  <c r="R2" i="117"/>
  <c r="S2" i="117"/>
  <c r="T2" i="117"/>
  <c r="M2" i="118"/>
  <c r="N2" i="118"/>
  <c r="O2" i="118"/>
  <c r="P2" i="118"/>
  <c r="Q2" i="118"/>
  <c r="R2" i="118"/>
  <c r="S2" i="118"/>
  <c r="T2" i="118"/>
  <c r="M2" i="119"/>
  <c r="N2" i="119"/>
  <c r="O2" i="119"/>
  <c r="P2" i="119"/>
  <c r="Q2" i="119"/>
  <c r="R2" i="119"/>
  <c r="S2" i="119"/>
  <c r="T2" i="119"/>
  <c r="M2" i="108"/>
  <c r="N2" i="108"/>
  <c r="O2" i="108"/>
  <c r="P2" i="108"/>
  <c r="Q2" i="108"/>
  <c r="R2" i="108"/>
  <c r="S2" i="108"/>
  <c r="T2" i="108"/>
  <c r="M2" i="109"/>
  <c r="N2" i="109"/>
  <c r="O2" i="109"/>
  <c r="P2" i="109"/>
  <c r="Q2" i="109"/>
  <c r="R2" i="109"/>
  <c r="S2" i="109"/>
  <c r="T2" i="109"/>
  <c r="M2" i="111"/>
  <c r="N2" i="111"/>
  <c r="O2" i="111"/>
  <c r="P2" i="111"/>
  <c r="Q2" i="111"/>
  <c r="R2" i="111"/>
  <c r="S2" i="111"/>
  <c r="T2" i="111"/>
  <c r="M2" i="110"/>
  <c r="N2" i="110"/>
  <c r="O2" i="110"/>
  <c r="P2" i="110"/>
  <c r="Q2" i="110"/>
  <c r="R2" i="110"/>
  <c r="S2" i="110"/>
  <c r="T2" i="110"/>
  <c r="M2" i="106"/>
  <c r="N2" i="106"/>
  <c r="O2" i="106"/>
  <c r="P2" i="106"/>
  <c r="Q2" i="106"/>
  <c r="R2" i="106"/>
  <c r="S2" i="106"/>
  <c r="T2" i="106"/>
  <c r="M2" i="107"/>
  <c r="N2" i="107"/>
  <c r="O2" i="107"/>
  <c r="P2" i="107"/>
  <c r="Q2" i="107"/>
  <c r="R2" i="107"/>
  <c r="S2" i="107"/>
  <c r="T2" i="107"/>
  <c r="M2" i="105"/>
  <c r="N2" i="105"/>
  <c r="O2" i="105"/>
  <c r="P2" i="105"/>
  <c r="Q2" i="105"/>
  <c r="R2" i="105"/>
  <c r="S2" i="105"/>
  <c r="T2" i="105"/>
  <c r="L2" i="120"/>
  <c r="L2" i="121"/>
  <c r="L2" i="123"/>
  <c r="L2" i="122"/>
  <c r="L2" i="124"/>
  <c r="L2" i="125"/>
  <c r="L2" i="126"/>
  <c r="L2" i="127"/>
  <c r="L2" i="128"/>
  <c r="L2" i="130"/>
  <c r="L2" i="132"/>
  <c r="L2" i="131"/>
  <c r="L2" i="129"/>
  <c r="L2" i="133"/>
  <c r="L2" i="134"/>
  <c r="L2" i="135"/>
  <c r="L2" i="112"/>
  <c r="L2" i="113"/>
  <c r="L2" i="114"/>
  <c r="L2" i="115"/>
  <c r="L2" i="116"/>
  <c r="L2" i="117"/>
  <c r="L2" i="118"/>
  <c r="L2" i="119"/>
  <c r="L2" i="108"/>
  <c r="L2" i="109"/>
  <c r="L2" i="111"/>
  <c r="L2" i="110"/>
  <c r="L2" i="106"/>
  <c r="L2" i="107"/>
  <c r="L2" i="105"/>
  <c r="L3" i="121"/>
  <c r="L3" i="123"/>
  <c r="L3" i="122"/>
  <c r="L3" i="124"/>
  <c r="L3" i="125"/>
  <c r="L3" i="126"/>
  <c r="L3" i="127"/>
  <c r="L3" i="128"/>
  <c r="L3" i="130"/>
  <c r="L3" i="132"/>
  <c r="L3" i="131"/>
  <c r="L3" i="129"/>
  <c r="L3" i="133"/>
  <c r="L3" i="134"/>
  <c r="L3" i="135"/>
  <c r="L3" i="112"/>
  <c r="L3" i="113"/>
  <c r="L3" i="114"/>
  <c r="L3" i="115"/>
  <c r="L3" i="116"/>
  <c r="L3" i="117"/>
  <c r="L3" i="118"/>
  <c r="L3" i="119"/>
  <c r="L3" i="108"/>
  <c r="L3" i="109"/>
  <c r="L3" i="111"/>
  <c r="L3" i="110"/>
  <c r="L3" i="106"/>
  <c r="L3" i="107"/>
  <c r="L3" i="105"/>
  <c r="L3" i="120"/>
  <c r="U75" i="116"/>
  <c r="U75" i="117"/>
  <c r="U75" i="118"/>
  <c r="U75" i="119"/>
  <c r="U75" i="108"/>
  <c r="U75" i="109"/>
  <c r="U75" i="111"/>
  <c r="U75" i="110"/>
  <c r="U75" i="106"/>
  <c r="U75" i="107"/>
  <c r="U75" i="105"/>
  <c r="I75" i="116"/>
  <c r="I75" i="117"/>
  <c r="I75" i="118"/>
  <c r="I75" i="119"/>
  <c r="I75" i="108"/>
  <c r="I75" i="109"/>
  <c r="I75" i="111"/>
  <c r="I75" i="110"/>
  <c r="I75" i="106"/>
  <c r="I75" i="107"/>
  <c r="I75" i="105"/>
  <c r="U75" i="115"/>
  <c r="I75" i="115"/>
  <c r="I79" i="114"/>
  <c r="I77" i="114"/>
  <c r="I75" i="114"/>
  <c r="U75" i="114"/>
  <c r="U79" i="124"/>
  <c r="I79" i="124"/>
  <c r="U79" i="118"/>
  <c r="U77" i="118"/>
  <c r="M81" i="118"/>
  <c r="I77" i="118"/>
  <c r="I79" i="118"/>
  <c r="V79" i="124" l="1"/>
  <c r="U79" i="132"/>
  <c r="U79" i="129"/>
  <c r="U79" i="133"/>
  <c r="U79" i="134"/>
  <c r="U79" i="135"/>
  <c r="U79" i="112"/>
  <c r="U79" i="113"/>
  <c r="U79" i="114"/>
  <c r="U79" i="115"/>
  <c r="U79" i="116"/>
  <c r="U79" i="117"/>
  <c r="V79" i="118"/>
  <c r="U79" i="119"/>
  <c r="V79" i="119" s="1"/>
  <c r="U79" i="108"/>
  <c r="U79" i="109"/>
  <c r="V79" i="109" s="1"/>
  <c r="U79" i="111"/>
  <c r="U79" i="110"/>
  <c r="U79" i="106"/>
  <c r="U79" i="107"/>
  <c r="U79" i="105"/>
  <c r="U79" i="130"/>
  <c r="I79" i="132"/>
  <c r="V79" i="132" s="1"/>
  <c r="I79" i="129"/>
  <c r="I79" i="133"/>
  <c r="I79" i="134"/>
  <c r="I79" i="135"/>
  <c r="I79" i="112"/>
  <c r="I79" i="113"/>
  <c r="I79" i="115"/>
  <c r="I79" i="116"/>
  <c r="I79" i="117"/>
  <c r="I79" i="119"/>
  <c r="I79" i="108"/>
  <c r="I79" i="109"/>
  <c r="I79" i="111"/>
  <c r="I79" i="110"/>
  <c r="I79" i="106"/>
  <c r="I79" i="107"/>
  <c r="I79" i="105"/>
  <c r="I79" i="130"/>
  <c r="U79" i="128"/>
  <c r="I79" i="128"/>
  <c r="U79" i="127"/>
  <c r="I79" i="127"/>
  <c r="U79" i="123"/>
  <c r="I79" i="123"/>
  <c r="U79" i="121"/>
  <c r="V79" i="121" s="1"/>
  <c r="U79" i="126"/>
  <c r="I79" i="126"/>
  <c r="I75" i="121"/>
  <c r="I79" i="121"/>
  <c r="I79" i="120"/>
  <c r="I77" i="120"/>
  <c r="I75" i="120"/>
  <c r="U77" i="120"/>
  <c r="U79" i="120"/>
  <c r="U75" i="120"/>
  <c r="T79" i="72"/>
  <c r="S79" i="72"/>
  <c r="R79" i="72"/>
  <c r="Q79" i="72"/>
  <c r="P79" i="72"/>
  <c r="O79" i="72"/>
  <c r="N79" i="72"/>
  <c r="M79" i="72"/>
  <c r="L79" i="72"/>
  <c r="U77" i="127"/>
  <c r="U75" i="127"/>
  <c r="I77" i="127"/>
  <c r="I75" i="127"/>
  <c r="J81" i="72"/>
  <c r="U78" i="120"/>
  <c r="U78" i="123"/>
  <c r="U78" i="122"/>
  <c r="U78" i="124"/>
  <c r="U78" i="125"/>
  <c r="U78" i="126"/>
  <c r="U78" i="127"/>
  <c r="V78" i="127" s="1"/>
  <c r="U78" i="128"/>
  <c r="U78" i="130"/>
  <c r="U78" i="132"/>
  <c r="U78" i="131"/>
  <c r="U78" i="129"/>
  <c r="U78" i="133"/>
  <c r="U78" i="134"/>
  <c r="U78" i="135"/>
  <c r="U78" i="112"/>
  <c r="U78" i="113"/>
  <c r="U78" i="114"/>
  <c r="U78" i="115"/>
  <c r="U78" i="116"/>
  <c r="U78" i="117"/>
  <c r="U78" i="118"/>
  <c r="U78" i="119"/>
  <c r="U78" i="108"/>
  <c r="V78" i="108" s="1"/>
  <c r="U78" i="109"/>
  <c r="U78" i="111"/>
  <c r="U78" i="110"/>
  <c r="V78" i="110" s="1"/>
  <c r="U78" i="106"/>
  <c r="U78" i="107"/>
  <c r="U78" i="105"/>
  <c r="U78" i="121"/>
  <c r="I78" i="120"/>
  <c r="I78" i="123"/>
  <c r="I78" i="122"/>
  <c r="I78" i="124"/>
  <c r="I78" i="125"/>
  <c r="I78" i="126"/>
  <c r="I78" i="127"/>
  <c r="I78" i="128"/>
  <c r="I78" i="130"/>
  <c r="I78" i="132"/>
  <c r="I78" i="131"/>
  <c r="I78" i="129"/>
  <c r="I78" i="133"/>
  <c r="I78" i="134"/>
  <c r="I78" i="135"/>
  <c r="I78" i="112"/>
  <c r="I78" i="113"/>
  <c r="I78" i="114"/>
  <c r="I78" i="115"/>
  <c r="I78" i="116"/>
  <c r="I78" i="117"/>
  <c r="I78" i="118"/>
  <c r="I78" i="119"/>
  <c r="I78" i="108"/>
  <c r="I78" i="109"/>
  <c r="I78" i="111"/>
  <c r="I78" i="110"/>
  <c r="I78" i="106"/>
  <c r="I78" i="107"/>
  <c r="I78" i="105"/>
  <c r="I78" i="121"/>
  <c r="M81" i="124"/>
  <c r="U80" i="117"/>
  <c r="I80" i="117"/>
  <c r="U80" i="118"/>
  <c r="I80" i="118"/>
  <c r="U80" i="119"/>
  <c r="I80" i="119"/>
  <c r="U80" i="108"/>
  <c r="I80" i="108"/>
  <c r="U80" i="109"/>
  <c r="I80" i="109"/>
  <c r="U80" i="111"/>
  <c r="I80" i="111"/>
  <c r="U80" i="110"/>
  <c r="I80" i="110"/>
  <c r="U80" i="106"/>
  <c r="I80" i="106"/>
  <c r="U80" i="107"/>
  <c r="I80" i="107"/>
  <c r="U80" i="105"/>
  <c r="I80" i="105"/>
  <c r="T80" i="72"/>
  <c r="S80" i="72"/>
  <c r="R80" i="72"/>
  <c r="Q80" i="72"/>
  <c r="P80" i="72"/>
  <c r="O80" i="72"/>
  <c r="N80" i="72"/>
  <c r="M80" i="72"/>
  <c r="L80" i="72"/>
  <c r="T78" i="72"/>
  <c r="S78" i="72"/>
  <c r="R78" i="72"/>
  <c r="Q78" i="72"/>
  <c r="P78" i="72"/>
  <c r="O78" i="72"/>
  <c r="N78" i="72"/>
  <c r="M78" i="72"/>
  <c r="L78" i="72"/>
  <c r="T81" i="120"/>
  <c r="S81" i="120"/>
  <c r="R81" i="120"/>
  <c r="Q81" i="120"/>
  <c r="P81" i="120"/>
  <c r="O81" i="120"/>
  <c r="N81" i="120"/>
  <c r="M81" i="120"/>
  <c r="L81" i="120"/>
  <c r="K81" i="120"/>
  <c r="M81" i="122"/>
  <c r="N81" i="122"/>
  <c r="O81" i="122"/>
  <c r="P81" i="122"/>
  <c r="Q81" i="122"/>
  <c r="R81" i="122"/>
  <c r="S81" i="122"/>
  <c r="T81" i="122"/>
  <c r="N81" i="124"/>
  <c r="O81" i="124"/>
  <c r="P81" i="124"/>
  <c r="Q81" i="124"/>
  <c r="R81" i="124"/>
  <c r="S81" i="124"/>
  <c r="T81" i="124"/>
  <c r="M81" i="125"/>
  <c r="N81" i="125"/>
  <c r="O81" i="125"/>
  <c r="P81" i="125"/>
  <c r="Q81" i="125"/>
  <c r="R81" i="125"/>
  <c r="S81" i="125"/>
  <c r="T81" i="125"/>
  <c r="M81" i="126"/>
  <c r="N81" i="126"/>
  <c r="O81" i="126"/>
  <c r="P81" i="126"/>
  <c r="Q81" i="126"/>
  <c r="R81" i="126"/>
  <c r="S81" i="126"/>
  <c r="T81" i="126"/>
  <c r="M81" i="127"/>
  <c r="N81" i="127"/>
  <c r="O81" i="127"/>
  <c r="P81" i="127"/>
  <c r="Q81" i="127"/>
  <c r="R81" i="127"/>
  <c r="S81" i="127"/>
  <c r="T81" i="127"/>
  <c r="M81" i="128"/>
  <c r="N81" i="128"/>
  <c r="O81" i="128"/>
  <c r="P81" i="128"/>
  <c r="Q81" i="128"/>
  <c r="R81" i="128"/>
  <c r="S81" i="128"/>
  <c r="T81" i="128"/>
  <c r="M81" i="130"/>
  <c r="N81" i="130"/>
  <c r="O81" i="130"/>
  <c r="P81" i="130"/>
  <c r="Q81" i="130"/>
  <c r="R81" i="130"/>
  <c r="S81" i="130"/>
  <c r="T81" i="130"/>
  <c r="M81" i="132"/>
  <c r="N81" i="132"/>
  <c r="O81" i="132"/>
  <c r="P81" i="132"/>
  <c r="Q81" i="132"/>
  <c r="R81" i="132"/>
  <c r="S81" i="132"/>
  <c r="T81" i="132"/>
  <c r="M81" i="131"/>
  <c r="N81" i="131"/>
  <c r="O81" i="131"/>
  <c r="P81" i="131"/>
  <c r="Q81" i="131"/>
  <c r="R81" i="131"/>
  <c r="S81" i="131"/>
  <c r="T81" i="131"/>
  <c r="M81" i="129"/>
  <c r="N81" i="129"/>
  <c r="O81" i="129"/>
  <c r="P81" i="129"/>
  <c r="Q81" i="129"/>
  <c r="R81" i="129"/>
  <c r="S81" i="129"/>
  <c r="T81" i="129"/>
  <c r="M81" i="133"/>
  <c r="N81" i="133"/>
  <c r="O81" i="133"/>
  <c r="P81" i="133"/>
  <c r="Q81" i="133"/>
  <c r="R81" i="133"/>
  <c r="S81" i="133"/>
  <c r="T81" i="133"/>
  <c r="M81" i="134"/>
  <c r="N81" i="134"/>
  <c r="O81" i="134"/>
  <c r="P81" i="134"/>
  <c r="Q81" i="134"/>
  <c r="R81" i="134"/>
  <c r="S81" i="134"/>
  <c r="T81" i="134"/>
  <c r="M81" i="135"/>
  <c r="N81" i="135"/>
  <c r="O81" i="135"/>
  <c r="P81" i="135"/>
  <c r="Q81" i="135"/>
  <c r="R81" i="135"/>
  <c r="S81" i="135"/>
  <c r="T81" i="135"/>
  <c r="M81" i="112"/>
  <c r="N81" i="112"/>
  <c r="O81" i="112"/>
  <c r="P81" i="112"/>
  <c r="Q81" i="112"/>
  <c r="R81" i="112"/>
  <c r="S81" i="112"/>
  <c r="T81" i="112"/>
  <c r="M81" i="113"/>
  <c r="N81" i="113"/>
  <c r="O81" i="113"/>
  <c r="P81" i="113"/>
  <c r="Q81" i="113"/>
  <c r="R81" i="113"/>
  <c r="S81" i="113"/>
  <c r="T81" i="113"/>
  <c r="M81" i="114"/>
  <c r="N81" i="114"/>
  <c r="O81" i="114"/>
  <c r="P81" i="114"/>
  <c r="Q81" i="114"/>
  <c r="R81" i="114"/>
  <c r="S81" i="114"/>
  <c r="T81" i="114"/>
  <c r="M81" i="115"/>
  <c r="N81" i="115"/>
  <c r="O81" i="115"/>
  <c r="P81" i="115"/>
  <c r="Q81" i="115"/>
  <c r="R81" i="115"/>
  <c r="S81" i="115"/>
  <c r="T81" i="115"/>
  <c r="M81" i="116"/>
  <c r="N81" i="116"/>
  <c r="O81" i="116"/>
  <c r="P81" i="116"/>
  <c r="Q81" i="116"/>
  <c r="R81" i="116"/>
  <c r="S81" i="116"/>
  <c r="T81" i="116"/>
  <c r="M81" i="117"/>
  <c r="N81" i="117"/>
  <c r="O81" i="117"/>
  <c r="P81" i="117"/>
  <c r="Q81" i="117"/>
  <c r="R81" i="117"/>
  <c r="S81" i="117"/>
  <c r="T81" i="117"/>
  <c r="N81" i="118"/>
  <c r="O81" i="118"/>
  <c r="P81" i="118"/>
  <c r="Q81" i="118"/>
  <c r="R81" i="118"/>
  <c r="S81" i="118"/>
  <c r="T81" i="118"/>
  <c r="M81" i="119"/>
  <c r="N81" i="119"/>
  <c r="O81" i="119"/>
  <c r="P81" i="119"/>
  <c r="Q81" i="119"/>
  <c r="R81" i="119"/>
  <c r="S81" i="119"/>
  <c r="T81" i="119"/>
  <c r="M81" i="108"/>
  <c r="N81" i="108"/>
  <c r="O81" i="108"/>
  <c r="P81" i="108"/>
  <c r="Q81" i="108"/>
  <c r="R81" i="108"/>
  <c r="S81" i="108"/>
  <c r="T81" i="108"/>
  <c r="M81" i="109"/>
  <c r="N81" i="109"/>
  <c r="O81" i="109"/>
  <c r="P81" i="109"/>
  <c r="Q81" i="109"/>
  <c r="R81" i="109"/>
  <c r="S81" i="109"/>
  <c r="T81" i="109"/>
  <c r="M81" i="111"/>
  <c r="N81" i="111"/>
  <c r="O81" i="111"/>
  <c r="P81" i="111"/>
  <c r="Q81" i="111"/>
  <c r="R81" i="111"/>
  <c r="S81" i="111"/>
  <c r="T81" i="111"/>
  <c r="M81" i="110"/>
  <c r="N81" i="110"/>
  <c r="O81" i="110"/>
  <c r="P81" i="110"/>
  <c r="Q81" i="110"/>
  <c r="R81" i="110"/>
  <c r="S81" i="110"/>
  <c r="T81" i="110"/>
  <c r="M81" i="106"/>
  <c r="N81" i="106"/>
  <c r="O81" i="106"/>
  <c r="P81" i="106"/>
  <c r="Q81" i="106"/>
  <c r="R81" i="106"/>
  <c r="S81" i="106"/>
  <c r="T81" i="106"/>
  <c r="M81" i="107"/>
  <c r="N81" i="107"/>
  <c r="O81" i="107"/>
  <c r="P81" i="107"/>
  <c r="Q81" i="107"/>
  <c r="R81" i="107"/>
  <c r="S81" i="107"/>
  <c r="T81" i="107"/>
  <c r="M81" i="105"/>
  <c r="N81" i="105"/>
  <c r="O81" i="105"/>
  <c r="P81" i="105"/>
  <c r="Q81" i="105"/>
  <c r="R81" i="105"/>
  <c r="S81" i="105"/>
  <c r="T81" i="105"/>
  <c r="M81" i="123"/>
  <c r="N81" i="123"/>
  <c r="O81" i="123"/>
  <c r="P81" i="123"/>
  <c r="Q81" i="123"/>
  <c r="R81" i="123"/>
  <c r="S81" i="123"/>
  <c r="T81" i="123"/>
  <c r="L81" i="122"/>
  <c r="L81" i="124"/>
  <c r="L81" i="125"/>
  <c r="L81" i="126"/>
  <c r="L81" i="127"/>
  <c r="L81" i="128"/>
  <c r="L81" i="130"/>
  <c r="L81" i="132"/>
  <c r="L81" i="131"/>
  <c r="L81" i="129"/>
  <c r="L81" i="133"/>
  <c r="L81" i="134"/>
  <c r="L81" i="135"/>
  <c r="L81" i="112"/>
  <c r="L81" i="113"/>
  <c r="L81" i="114"/>
  <c r="L81" i="115"/>
  <c r="L81" i="116"/>
  <c r="L81" i="117"/>
  <c r="L81" i="118"/>
  <c r="L81" i="119"/>
  <c r="L81" i="108"/>
  <c r="L81" i="109"/>
  <c r="L81" i="111"/>
  <c r="L81" i="110"/>
  <c r="L81" i="106"/>
  <c r="L81" i="107"/>
  <c r="L81" i="105"/>
  <c r="L81" i="123"/>
  <c r="M81" i="121"/>
  <c r="J81" i="105"/>
  <c r="H81" i="105"/>
  <c r="G81" i="105"/>
  <c r="I80" i="121"/>
  <c r="I80" i="123"/>
  <c r="I80" i="122"/>
  <c r="I80" i="124"/>
  <c r="I80" i="125"/>
  <c r="I80" i="126"/>
  <c r="I80" i="127"/>
  <c r="I80" i="128"/>
  <c r="I80" i="130"/>
  <c r="I80" i="132"/>
  <c r="I80" i="131"/>
  <c r="I80" i="129"/>
  <c r="I80" i="133"/>
  <c r="I80" i="134"/>
  <c r="I80" i="135"/>
  <c r="I80" i="112"/>
  <c r="I80" i="113"/>
  <c r="I80" i="114"/>
  <c r="I80" i="115"/>
  <c r="I80" i="116"/>
  <c r="I80" i="120"/>
  <c r="U80" i="121"/>
  <c r="U80" i="123"/>
  <c r="U80" i="122"/>
  <c r="U80" i="124"/>
  <c r="U80" i="125"/>
  <c r="U80" i="126"/>
  <c r="U80" i="127"/>
  <c r="U80" i="128"/>
  <c r="U80" i="130"/>
  <c r="U80" i="132"/>
  <c r="U80" i="131"/>
  <c r="U80" i="129"/>
  <c r="U80" i="133"/>
  <c r="U80" i="134"/>
  <c r="U80" i="135"/>
  <c r="U80" i="112"/>
  <c r="U80" i="113"/>
  <c r="U80" i="114"/>
  <c r="U80" i="115"/>
  <c r="U80" i="116"/>
  <c r="U80" i="120"/>
  <c r="R75" i="72"/>
  <c r="T76" i="72"/>
  <c r="S76" i="72"/>
  <c r="R76" i="72"/>
  <c r="Q76" i="72"/>
  <c r="P76" i="72"/>
  <c r="O76" i="72"/>
  <c r="N76" i="72"/>
  <c r="M76" i="72"/>
  <c r="L76" i="72"/>
  <c r="I76" i="116"/>
  <c r="I76" i="117"/>
  <c r="I76" i="118"/>
  <c r="I76" i="119"/>
  <c r="I76" i="108"/>
  <c r="I76" i="109"/>
  <c r="I76" i="111"/>
  <c r="I76" i="110"/>
  <c r="I76" i="106"/>
  <c r="I76" i="107"/>
  <c r="I76" i="105"/>
  <c r="I76" i="115"/>
  <c r="I76" i="121"/>
  <c r="I76" i="123"/>
  <c r="I76" i="122"/>
  <c r="I76" i="124"/>
  <c r="I76" i="125"/>
  <c r="I76" i="126"/>
  <c r="I76" i="127"/>
  <c r="I76" i="128"/>
  <c r="I76" i="130"/>
  <c r="I76" i="132"/>
  <c r="I76" i="131"/>
  <c r="I76" i="129"/>
  <c r="I76" i="133"/>
  <c r="I76" i="134"/>
  <c r="I76" i="135"/>
  <c r="I76" i="112"/>
  <c r="I76" i="113"/>
  <c r="I76" i="120"/>
  <c r="I76" i="114"/>
  <c r="U76" i="121"/>
  <c r="U76" i="123"/>
  <c r="U76" i="122"/>
  <c r="U76" i="124"/>
  <c r="U76" i="125"/>
  <c r="U76" i="126"/>
  <c r="U76" i="127"/>
  <c r="U76" i="128"/>
  <c r="U76" i="130"/>
  <c r="U76" i="132"/>
  <c r="U76" i="131"/>
  <c r="U76" i="129"/>
  <c r="U76" i="133"/>
  <c r="U76" i="134"/>
  <c r="U76" i="135"/>
  <c r="U76" i="112"/>
  <c r="U76" i="113"/>
  <c r="U76" i="114"/>
  <c r="U76" i="115"/>
  <c r="U76" i="116"/>
  <c r="U76" i="117"/>
  <c r="U76" i="118"/>
  <c r="U76" i="119"/>
  <c r="U76" i="108"/>
  <c r="U76" i="109"/>
  <c r="U76" i="111"/>
  <c r="U76" i="110"/>
  <c r="U76" i="106"/>
  <c r="U76" i="107"/>
  <c r="U76" i="105"/>
  <c r="U76" i="120"/>
  <c r="T77" i="72"/>
  <c r="S77" i="72"/>
  <c r="R77" i="72"/>
  <c r="Q77" i="72"/>
  <c r="P77" i="72"/>
  <c r="O77" i="72"/>
  <c r="N77" i="72"/>
  <c r="M77" i="72"/>
  <c r="L77" i="72"/>
  <c r="T75" i="72"/>
  <c r="S75" i="72"/>
  <c r="Q75" i="72"/>
  <c r="P75" i="72"/>
  <c r="O75" i="72"/>
  <c r="N75" i="72"/>
  <c r="M75" i="72"/>
  <c r="L75" i="72"/>
  <c r="I77" i="121"/>
  <c r="I74" i="121"/>
  <c r="I73" i="121"/>
  <c r="I72" i="121"/>
  <c r="I71" i="121"/>
  <c r="I70" i="121"/>
  <c r="I69" i="121"/>
  <c r="I68" i="121"/>
  <c r="I67" i="121"/>
  <c r="I66" i="121"/>
  <c r="I65" i="121"/>
  <c r="I64" i="121"/>
  <c r="I63" i="121"/>
  <c r="I62" i="121"/>
  <c r="I61" i="121"/>
  <c r="I60" i="121"/>
  <c r="I59" i="121"/>
  <c r="I58" i="121"/>
  <c r="I57" i="121"/>
  <c r="I56" i="121"/>
  <c r="I55" i="121"/>
  <c r="I54" i="121"/>
  <c r="I53" i="121"/>
  <c r="I52" i="121"/>
  <c r="I51" i="121"/>
  <c r="I50" i="121"/>
  <c r="I49" i="121"/>
  <c r="I48" i="121"/>
  <c r="I47" i="121"/>
  <c r="I46" i="121"/>
  <c r="I45" i="121"/>
  <c r="I44" i="121"/>
  <c r="I43" i="121"/>
  <c r="I42" i="121"/>
  <c r="I41" i="121"/>
  <c r="I40" i="121"/>
  <c r="I39" i="121"/>
  <c r="I38" i="121"/>
  <c r="I37" i="121"/>
  <c r="I36" i="121"/>
  <c r="I35" i="121"/>
  <c r="I34" i="121"/>
  <c r="I33" i="121"/>
  <c r="I32" i="121"/>
  <c r="I31" i="121"/>
  <c r="I30" i="121"/>
  <c r="I29" i="121"/>
  <c r="I28" i="121"/>
  <c r="I27" i="121"/>
  <c r="I26" i="121"/>
  <c r="I25" i="121"/>
  <c r="I24" i="121"/>
  <c r="I23" i="121"/>
  <c r="I22" i="121"/>
  <c r="I21" i="121"/>
  <c r="I20" i="121"/>
  <c r="I19" i="121"/>
  <c r="I18" i="121"/>
  <c r="I17" i="121"/>
  <c r="I16" i="121"/>
  <c r="I15" i="121"/>
  <c r="I14" i="121"/>
  <c r="I13" i="121"/>
  <c r="I12" i="121"/>
  <c r="I11" i="121"/>
  <c r="I10" i="121"/>
  <c r="I9" i="121"/>
  <c r="I8" i="121"/>
  <c r="I7" i="121"/>
  <c r="I77" i="123"/>
  <c r="I74" i="123"/>
  <c r="I73" i="123"/>
  <c r="I72" i="123"/>
  <c r="I71" i="123"/>
  <c r="I70" i="123"/>
  <c r="I69" i="123"/>
  <c r="I68" i="123"/>
  <c r="I67" i="123"/>
  <c r="I66" i="123"/>
  <c r="I65" i="123"/>
  <c r="I64" i="123"/>
  <c r="I63" i="123"/>
  <c r="I62" i="123"/>
  <c r="I61" i="123"/>
  <c r="I60" i="123"/>
  <c r="I59" i="123"/>
  <c r="I58" i="123"/>
  <c r="I57" i="123"/>
  <c r="I56" i="123"/>
  <c r="I55" i="123"/>
  <c r="I54" i="123"/>
  <c r="I53" i="123"/>
  <c r="I52" i="123"/>
  <c r="I51" i="123"/>
  <c r="I50" i="123"/>
  <c r="I49" i="123"/>
  <c r="I48" i="123"/>
  <c r="I47" i="123"/>
  <c r="I46" i="123"/>
  <c r="I45" i="123"/>
  <c r="I44" i="123"/>
  <c r="I43" i="123"/>
  <c r="I42" i="123"/>
  <c r="I41" i="123"/>
  <c r="I40" i="123"/>
  <c r="I39" i="123"/>
  <c r="I38" i="123"/>
  <c r="I37" i="123"/>
  <c r="I36" i="123"/>
  <c r="I35" i="123"/>
  <c r="I34" i="123"/>
  <c r="I33" i="123"/>
  <c r="I32" i="123"/>
  <c r="I31" i="123"/>
  <c r="I30" i="123"/>
  <c r="I29" i="123"/>
  <c r="I28" i="123"/>
  <c r="I27" i="123"/>
  <c r="I26" i="123"/>
  <c r="I25" i="123"/>
  <c r="I24" i="123"/>
  <c r="I23" i="123"/>
  <c r="I22" i="123"/>
  <c r="I21" i="123"/>
  <c r="I20" i="123"/>
  <c r="I19" i="123"/>
  <c r="I18" i="123"/>
  <c r="I17" i="123"/>
  <c r="I16" i="123"/>
  <c r="I15" i="123"/>
  <c r="I14" i="123"/>
  <c r="I13" i="123"/>
  <c r="I12" i="123"/>
  <c r="I11" i="123"/>
  <c r="I10" i="123"/>
  <c r="I9" i="123"/>
  <c r="I8" i="123"/>
  <c r="I7" i="123"/>
  <c r="I77" i="122"/>
  <c r="I74" i="122"/>
  <c r="I73" i="122"/>
  <c r="I72" i="122"/>
  <c r="I71" i="122"/>
  <c r="I70" i="122"/>
  <c r="I69" i="122"/>
  <c r="I68" i="122"/>
  <c r="I67" i="122"/>
  <c r="I66" i="122"/>
  <c r="I65" i="122"/>
  <c r="I64" i="122"/>
  <c r="I63" i="122"/>
  <c r="I62" i="122"/>
  <c r="I61" i="122"/>
  <c r="I60" i="122"/>
  <c r="I59" i="122"/>
  <c r="I58" i="122"/>
  <c r="I57" i="122"/>
  <c r="I56" i="122"/>
  <c r="I55" i="122"/>
  <c r="I54" i="122"/>
  <c r="I53" i="122"/>
  <c r="I52" i="122"/>
  <c r="I51" i="122"/>
  <c r="I50" i="122"/>
  <c r="I49" i="122"/>
  <c r="I48" i="122"/>
  <c r="I47" i="122"/>
  <c r="I46" i="122"/>
  <c r="I45" i="122"/>
  <c r="I44" i="122"/>
  <c r="I43" i="122"/>
  <c r="I42" i="122"/>
  <c r="I41" i="122"/>
  <c r="I40" i="122"/>
  <c r="I39" i="122"/>
  <c r="I38" i="122"/>
  <c r="I37" i="122"/>
  <c r="I36" i="122"/>
  <c r="I35" i="122"/>
  <c r="I34" i="122"/>
  <c r="I33" i="122"/>
  <c r="I32" i="122"/>
  <c r="I31" i="122"/>
  <c r="I30" i="122"/>
  <c r="I29" i="122"/>
  <c r="I28" i="122"/>
  <c r="I27" i="122"/>
  <c r="I26" i="122"/>
  <c r="I25" i="122"/>
  <c r="I24" i="122"/>
  <c r="I23" i="122"/>
  <c r="I22" i="122"/>
  <c r="I21" i="122"/>
  <c r="I20" i="122"/>
  <c r="I19" i="122"/>
  <c r="I18" i="122"/>
  <c r="I17" i="122"/>
  <c r="I16" i="122"/>
  <c r="I15" i="122"/>
  <c r="I14" i="122"/>
  <c r="I13" i="122"/>
  <c r="I12" i="122"/>
  <c r="I11" i="122"/>
  <c r="I10" i="122"/>
  <c r="I9" i="122"/>
  <c r="I8" i="122"/>
  <c r="I7" i="122"/>
  <c r="I77" i="124"/>
  <c r="I74" i="124"/>
  <c r="I73" i="124"/>
  <c r="I72" i="124"/>
  <c r="I71" i="124"/>
  <c r="I70" i="124"/>
  <c r="I69" i="124"/>
  <c r="I68" i="124"/>
  <c r="I67" i="124"/>
  <c r="I66" i="124"/>
  <c r="I65" i="124"/>
  <c r="I64" i="124"/>
  <c r="I63" i="124"/>
  <c r="I62" i="124"/>
  <c r="I61" i="124"/>
  <c r="I60" i="124"/>
  <c r="I59" i="124"/>
  <c r="I58" i="124"/>
  <c r="I57" i="124"/>
  <c r="I56" i="124"/>
  <c r="I55" i="124"/>
  <c r="I54" i="124"/>
  <c r="I53" i="124"/>
  <c r="I52" i="124"/>
  <c r="I51" i="124"/>
  <c r="I50" i="124"/>
  <c r="I49" i="124"/>
  <c r="I48" i="124"/>
  <c r="I47" i="124"/>
  <c r="I46" i="124"/>
  <c r="I45" i="124"/>
  <c r="I44" i="124"/>
  <c r="I43" i="124"/>
  <c r="I42" i="124"/>
  <c r="I41" i="124"/>
  <c r="I40" i="124"/>
  <c r="I39" i="124"/>
  <c r="I38" i="124"/>
  <c r="I37" i="124"/>
  <c r="I36" i="124"/>
  <c r="I35" i="124"/>
  <c r="I34" i="124"/>
  <c r="I33" i="124"/>
  <c r="I32" i="124"/>
  <c r="I31" i="124"/>
  <c r="I30" i="124"/>
  <c r="I29" i="124"/>
  <c r="I28" i="124"/>
  <c r="I27" i="124"/>
  <c r="I26" i="124"/>
  <c r="I25" i="124"/>
  <c r="I24" i="124"/>
  <c r="I23" i="124"/>
  <c r="I22" i="124"/>
  <c r="I21" i="124"/>
  <c r="I20" i="124"/>
  <c r="I19" i="124"/>
  <c r="I18" i="124"/>
  <c r="I17" i="124"/>
  <c r="I16" i="124"/>
  <c r="I15" i="124"/>
  <c r="I14" i="124"/>
  <c r="I13" i="124"/>
  <c r="I12" i="124"/>
  <c r="I11" i="124"/>
  <c r="I10" i="124"/>
  <c r="I9" i="124"/>
  <c r="I8" i="124"/>
  <c r="I7" i="124"/>
  <c r="I77" i="125"/>
  <c r="I74" i="125"/>
  <c r="I73" i="125"/>
  <c r="I72" i="125"/>
  <c r="I71" i="125"/>
  <c r="I70" i="125"/>
  <c r="I69" i="125"/>
  <c r="I68" i="125"/>
  <c r="I67" i="125"/>
  <c r="I66" i="125"/>
  <c r="I65" i="125"/>
  <c r="I64" i="125"/>
  <c r="I63" i="125"/>
  <c r="I62" i="125"/>
  <c r="I61" i="125"/>
  <c r="I60" i="125"/>
  <c r="I59" i="125"/>
  <c r="I58" i="125"/>
  <c r="I57" i="125"/>
  <c r="I56" i="125"/>
  <c r="I55" i="125"/>
  <c r="I54" i="125"/>
  <c r="I53" i="125"/>
  <c r="I52" i="125"/>
  <c r="I51" i="125"/>
  <c r="I50" i="125"/>
  <c r="I49" i="125"/>
  <c r="I48" i="125"/>
  <c r="I47" i="125"/>
  <c r="I46" i="125"/>
  <c r="I45" i="125"/>
  <c r="I44" i="125"/>
  <c r="I43" i="125"/>
  <c r="I42" i="125"/>
  <c r="I41" i="125"/>
  <c r="I40" i="125"/>
  <c r="I39" i="125"/>
  <c r="I38" i="125"/>
  <c r="I37" i="125"/>
  <c r="I36" i="125"/>
  <c r="I35" i="125"/>
  <c r="I34" i="125"/>
  <c r="I33" i="125"/>
  <c r="I32" i="125"/>
  <c r="I31" i="125"/>
  <c r="I30" i="125"/>
  <c r="I29" i="125"/>
  <c r="I28" i="125"/>
  <c r="I27" i="125"/>
  <c r="I26" i="125"/>
  <c r="I25" i="125"/>
  <c r="I24" i="125"/>
  <c r="I23" i="125"/>
  <c r="I22" i="125"/>
  <c r="I21" i="125"/>
  <c r="I20" i="125"/>
  <c r="I19" i="125"/>
  <c r="I18" i="125"/>
  <c r="I17" i="125"/>
  <c r="I16" i="125"/>
  <c r="I15" i="125"/>
  <c r="I14" i="125"/>
  <c r="I13" i="125"/>
  <c r="I12" i="125"/>
  <c r="I11" i="125"/>
  <c r="I10" i="125"/>
  <c r="I9" i="125"/>
  <c r="I8" i="125"/>
  <c r="I7" i="125"/>
  <c r="I77" i="126"/>
  <c r="I74" i="126"/>
  <c r="I73" i="126"/>
  <c r="I72" i="126"/>
  <c r="I71" i="126"/>
  <c r="I70" i="126"/>
  <c r="I69" i="126"/>
  <c r="I68" i="126"/>
  <c r="I67" i="126"/>
  <c r="I66" i="126"/>
  <c r="I65" i="126"/>
  <c r="I64" i="126"/>
  <c r="I63" i="126"/>
  <c r="I62" i="126"/>
  <c r="I61" i="126"/>
  <c r="I60" i="126"/>
  <c r="I59" i="126"/>
  <c r="I58" i="126"/>
  <c r="I57" i="126"/>
  <c r="I56" i="126"/>
  <c r="I55" i="126"/>
  <c r="I54" i="126"/>
  <c r="I53" i="126"/>
  <c r="I52" i="126"/>
  <c r="I51" i="126"/>
  <c r="I50" i="126"/>
  <c r="I49" i="126"/>
  <c r="I48" i="126"/>
  <c r="I47" i="126"/>
  <c r="I46" i="126"/>
  <c r="I45" i="126"/>
  <c r="I44" i="126"/>
  <c r="I43" i="126"/>
  <c r="I42" i="126"/>
  <c r="I41" i="126"/>
  <c r="I40" i="126"/>
  <c r="I39" i="126"/>
  <c r="I38" i="126"/>
  <c r="I37" i="126"/>
  <c r="I36" i="126"/>
  <c r="I35" i="126"/>
  <c r="I34" i="126"/>
  <c r="I33" i="126"/>
  <c r="I32" i="126"/>
  <c r="I31" i="126"/>
  <c r="I30" i="126"/>
  <c r="I29" i="126"/>
  <c r="I28" i="126"/>
  <c r="I27" i="126"/>
  <c r="I26" i="126"/>
  <c r="I25" i="126"/>
  <c r="I24" i="126"/>
  <c r="I23" i="126"/>
  <c r="I22" i="126"/>
  <c r="I21" i="126"/>
  <c r="I20" i="126"/>
  <c r="I19" i="126"/>
  <c r="I18" i="126"/>
  <c r="I17" i="126"/>
  <c r="I16" i="126"/>
  <c r="I15" i="126"/>
  <c r="I14" i="126"/>
  <c r="I13" i="126"/>
  <c r="I12" i="126"/>
  <c r="I11" i="126"/>
  <c r="I10" i="126"/>
  <c r="I9" i="126"/>
  <c r="I8" i="126"/>
  <c r="I7" i="126"/>
  <c r="I74" i="127"/>
  <c r="I73" i="127"/>
  <c r="I72" i="127"/>
  <c r="I71" i="127"/>
  <c r="I70" i="127"/>
  <c r="I69" i="127"/>
  <c r="I68" i="127"/>
  <c r="I67" i="127"/>
  <c r="I66" i="127"/>
  <c r="I65" i="127"/>
  <c r="I64" i="127"/>
  <c r="I63" i="127"/>
  <c r="I62" i="127"/>
  <c r="I61" i="127"/>
  <c r="I60" i="127"/>
  <c r="I59" i="127"/>
  <c r="I58" i="127"/>
  <c r="I57" i="127"/>
  <c r="I56" i="127"/>
  <c r="I55" i="127"/>
  <c r="I54" i="127"/>
  <c r="I53" i="127"/>
  <c r="I52" i="127"/>
  <c r="I51" i="127"/>
  <c r="I50" i="127"/>
  <c r="I49" i="127"/>
  <c r="I48" i="127"/>
  <c r="I47" i="127"/>
  <c r="I46" i="127"/>
  <c r="I45" i="127"/>
  <c r="I44" i="127"/>
  <c r="I43" i="127"/>
  <c r="I42" i="127"/>
  <c r="I41" i="127"/>
  <c r="I40" i="127"/>
  <c r="I39" i="127"/>
  <c r="I38" i="127"/>
  <c r="I37" i="127"/>
  <c r="I36" i="127"/>
  <c r="I35" i="127"/>
  <c r="I34" i="127"/>
  <c r="I33" i="127"/>
  <c r="I32" i="127"/>
  <c r="I31" i="127"/>
  <c r="I30" i="127"/>
  <c r="I29" i="127"/>
  <c r="I28" i="127"/>
  <c r="I27" i="127"/>
  <c r="I26" i="127"/>
  <c r="I25" i="127"/>
  <c r="I24" i="127"/>
  <c r="I23" i="127"/>
  <c r="I22" i="127"/>
  <c r="I21" i="127"/>
  <c r="I20" i="127"/>
  <c r="I19" i="127"/>
  <c r="I18" i="127"/>
  <c r="I17" i="127"/>
  <c r="I16" i="127"/>
  <c r="I15" i="127"/>
  <c r="I14" i="127"/>
  <c r="I13" i="127"/>
  <c r="I12" i="127"/>
  <c r="I11" i="127"/>
  <c r="I10" i="127"/>
  <c r="I9" i="127"/>
  <c r="I8" i="127"/>
  <c r="I7" i="127"/>
  <c r="I77" i="128"/>
  <c r="I74" i="128"/>
  <c r="I73" i="128"/>
  <c r="I72" i="128"/>
  <c r="I71" i="128"/>
  <c r="I70" i="128"/>
  <c r="I69" i="128"/>
  <c r="I68" i="128"/>
  <c r="I67" i="128"/>
  <c r="I66" i="128"/>
  <c r="I65" i="128"/>
  <c r="I64" i="128"/>
  <c r="I63" i="128"/>
  <c r="I62" i="128"/>
  <c r="I61" i="128"/>
  <c r="I60" i="128"/>
  <c r="I59" i="128"/>
  <c r="I58" i="128"/>
  <c r="I57" i="128"/>
  <c r="I56" i="128"/>
  <c r="I55" i="128"/>
  <c r="I54" i="128"/>
  <c r="I53" i="128"/>
  <c r="I52" i="128"/>
  <c r="I51" i="128"/>
  <c r="I50" i="128"/>
  <c r="I49" i="128"/>
  <c r="I48" i="128"/>
  <c r="I47" i="128"/>
  <c r="I46" i="128"/>
  <c r="I45" i="128"/>
  <c r="I44" i="128"/>
  <c r="I43" i="128"/>
  <c r="I42" i="128"/>
  <c r="I41" i="128"/>
  <c r="I40" i="128"/>
  <c r="I39" i="128"/>
  <c r="I38" i="128"/>
  <c r="I37" i="128"/>
  <c r="I36" i="128"/>
  <c r="I35" i="128"/>
  <c r="I34" i="128"/>
  <c r="I33" i="128"/>
  <c r="I32" i="128"/>
  <c r="I31" i="128"/>
  <c r="I30" i="128"/>
  <c r="I29" i="128"/>
  <c r="I28" i="128"/>
  <c r="I27" i="128"/>
  <c r="I26" i="128"/>
  <c r="I25" i="128"/>
  <c r="I24" i="128"/>
  <c r="I23" i="128"/>
  <c r="I22" i="128"/>
  <c r="I21" i="128"/>
  <c r="I20" i="128"/>
  <c r="I19" i="128"/>
  <c r="I18" i="128"/>
  <c r="I17" i="128"/>
  <c r="I16" i="128"/>
  <c r="I15" i="128"/>
  <c r="I14" i="128"/>
  <c r="I13" i="128"/>
  <c r="I12" i="128"/>
  <c r="I11" i="128"/>
  <c r="I10" i="128"/>
  <c r="I9" i="128"/>
  <c r="I8" i="128"/>
  <c r="I7" i="128"/>
  <c r="I77" i="130"/>
  <c r="I74" i="130"/>
  <c r="I73" i="130"/>
  <c r="I72" i="130"/>
  <c r="I71" i="130"/>
  <c r="I70" i="130"/>
  <c r="I69" i="130"/>
  <c r="I68" i="130"/>
  <c r="I67" i="130"/>
  <c r="I66" i="130"/>
  <c r="I65" i="130"/>
  <c r="I64" i="130"/>
  <c r="I63" i="130"/>
  <c r="I62" i="130"/>
  <c r="I61" i="130"/>
  <c r="I60" i="130"/>
  <c r="I59" i="130"/>
  <c r="I58" i="130"/>
  <c r="I57" i="130"/>
  <c r="I56" i="130"/>
  <c r="I55" i="130"/>
  <c r="I54" i="130"/>
  <c r="I53" i="130"/>
  <c r="I52" i="130"/>
  <c r="I51" i="130"/>
  <c r="I50" i="130"/>
  <c r="I49" i="130"/>
  <c r="I48" i="130"/>
  <c r="I47" i="130"/>
  <c r="I46" i="130"/>
  <c r="I45" i="130"/>
  <c r="I44" i="130"/>
  <c r="I43" i="130"/>
  <c r="I42" i="130"/>
  <c r="I41" i="130"/>
  <c r="I40" i="130"/>
  <c r="I39" i="130"/>
  <c r="I38" i="130"/>
  <c r="I37" i="130"/>
  <c r="I36" i="130"/>
  <c r="I35" i="130"/>
  <c r="I34" i="130"/>
  <c r="I33" i="130"/>
  <c r="I32" i="130"/>
  <c r="I31" i="130"/>
  <c r="I30" i="130"/>
  <c r="I29" i="130"/>
  <c r="I28" i="130"/>
  <c r="I27" i="130"/>
  <c r="I26" i="130"/>
  <c r="I25" i="130"/>
  <c r="I24" i="130"/>
  <c r="I23" i="130"/>
  <c r="I22" i="130"/>
  <c r="I21" i="130"/>
  <c r="I20" i="130"/>
  <c r="I19" i="130"/>
  <c r="I18" i="130"/>
  <c r="I17" i="130"/>
  <c r="I16" i="130"/>
  <c r="I15" i="130"/>
  <c r="I14" i="130"/>
  <c r="I13" i="130"/>
  <c r="I12" i="130"/>
  <c r="I11" i="130"/>
  <c r="I10" i="130"/>
  <c r="I9" i="130"/>
  <c r="I8" i="130"/>
  <c r="I7" i="130"/>
  <c r="I77" i="132"/>
  <c r="I74" i="132"/>
  <c r="I73" i="132"/>
  <c r="I72" i="132"/>
  <c r="I71" i="132"/>
  <c r="I70" i="132"/>
  <c r="I69" i="132"/>
  <c r="I68" i="132"/>
  <c r="I67" i="132"/>
  <c r="I66" i="132"/>
  <c r="I65" i="132"/>
  <c r="I64" i="132"/>
  <c r="I63" i="132"/>
  <c r="I62" i="132"/>
  <c r="I61" i="132"/>
  <c r="I60" i="132"/>
  <c r="I59" i="132"/>
  <c r="I58" i="132"/>
  <c r="I57" i="132"/>
  <c r="I56" i="132"/>
  <c r="I55" i="132"/>
  <c r="I54" i="132"/>
  <c r="I53" i="132"/>
  <c r="I52" i="132"/>
  <c r="I51" i="132"/>
  <c r="I50" i="132"/>
  <c r="I49" i="132"/>
  <c r="I48" i="132"/>
  <c r="I47" i="132"/>
  <c r="I46" i="132"/>
  <c r="I45" i="132"/>
  <c r="I44" i="132"/>
  <c r="I43" i="132"/>
  <c r="I42" i="132"/>
  <c r="I41" i="132"/>
  <c r="I40" i="132"/>
  <c r="I39" i="132"/>
  <c r="I38" i="132"/>
  <c r="I37" i="132"/>
  <c r="I36" i="132"/>
  <c r="I35" i="132"/>
  <c r="I34" i="132"/>
  <c r="I33" i="132"/>
  <c r="I32" i="132"/>
  <c r="I31" i="132"/>
  <c r="I30" i="132"/>
  <c r="I29" i="132"/>
  <c r="I28" i="132"/>
  <c r="I27" i="132"/>
  <c r="I26" i="132"/>
  <c r="I25" i="132"/>
  <c r="I24" i="132"/>
  <c r="I23" i="132"/>
  <c r="I22" i="132"/>
  <c r="I21" i="132"/>
  <c r="I20" i="132"/>
  <c r="I19" i="132"/>
  <c r="I18" i="132"/>
  <c r="I17" i="132"/>
  <c r="I16" i="132"/>
  <c r="I15" i="132"/>
  <c r="I14" i="132"/>
  <c r="I13" i="132"/>
  <c r="I12" i="132"/>
  <c r="I11" i="132"/>
  <c r="I10" i="132"/>
  <c r="I9" i="132"/>
  <c r="I8" i="132"/>
  <c r="I7" i="132"/>
  <c r="I74" i="131"/>
  <c r="I73" i="131"/>
  <c r="I72" i="131"/>
  <c r="I71" i="131"/>
  <c r="I70" i="131"/>
  <c r="I69" i="131"/>
  <c r="I68" i="131"/>
  <c r="I67" i="131"/>
  <c r="I66" i="131"/>
  <c r="I65" i="131"/>
  <c r="I64" i="131"/>
  <c r="I63" i="131"/>
  <c r="I62" i="131"/>
  <c r="I61" i="131"/>
  <c r="I60" i="131"/>
  <c r="I59" i="131"/>
  <c r="I58" i="131"/>
  <c r="I57" i="131"/>
  <c r="I56" i="131"/>
  <c r="I55" i="131"/>
  <c r="I54" i="131"/>
  <c r="I53" i="131"/>
  <c r="I52" i="131"/>
  <c r="I51" i="131"/>
  <c r="I50" i="131"/>
  <c r="I49" i="131"/>
  <c r="I48" i="131"/>
  <c r="I47" i="131"/>
  <c r="I46" i="131"/>
  <c r="I45" i="131"/>
  <c r="I44" i="131"/>
  <c r="I43" i="131"/>
  <c r="I42" i="131"/>
  <c r="I41" i="131"/>
  <c r="I40" i="131"/>
  <c r="I39" i="131"/>
  <c r="I38" i="131"/>
  <c r="I37" i="131"/>
  <c r="I36" i="131"/>
  <c r="I35" i="131"/>
  <c r="I34" i="131"/>
  <c r="I33" i="131"/>
  <c r="I32" i="131"/>
  <c r="I31" i="131"/>
  <c r="I30" i="131"/>
  <c r="I29" i="131"/>
  <c r="I28" i="131"/>
  <c r="I27" i="131"/>
  <c r="I26" i="131"/>
  <c r="I25" i="131"/>
  <c r="I24" i="131"/>
  <c r="I23" i="131"/>
  <c r="I22" i="131"/>
  <c r="I21" i="131"/>
  <c r="I20" i="131"/>
  <c r="I19" i="131"/>
  <c r="I18" i="131"/>
  <c r="I17" i="131"/>
  <c r="I16" i="131"/>
  <c r="I15" i="131"/>
  <c r="I14" i="131"/>
  <c r="I13" i="131"/>
  <c r="I12" i="131"/>
  <c r="I11" i="131"/>
  <c r="I10" i="131"/>
  <c r="I9" i="131"/>
  <c r="I8" i="131"/>
  <c r="I7" i="131"/>
  <c r="I77" i="129"/>
  <c r="I74" i="129"/>
  <c r="I73" i="129"/>
  <c r="I72" i="129"/>
  <c r="I71" i="129"/>
  <c r="I70" i="129"/>
  <c r="I69" i="129"/>
  <c r="I68" i="129"/>
  <c r="I67" i="129"/>
  <c r="I66" i="129"/>
  <c r="I65" i="129"/>
  <c r="I64" i="129"/>
  <c r="I63" i="129"/>
  <c r="I62" i="129"/>
  <c r="I61" i="129"/>
  <c r="I60" i="129"/>
  <c r="I59" i="129"/>
  <c r="I58" i="129"/>
  <c r="I57" i="129"/>
  <c r="I56" i="129"/>
  <c r="I55" i="129"/>
  <c r="I54" i="129"/>
  <c r="I53" i="129"/>
  <c r="I52" i="129"/>
  <c r="I51" i="129"/>
  <c r="I50" i="129"/>
  <c r="I49" i="129"/>
  <c r="I48" i="129"/>
  <c r="I47" i="129"/>
  <c r="I46" i="129"/>
  <c r="I45" i="129"/>
  <c r="I44" i="129"/>
  <c r="I43" i="129"/>
  <c r="I42" i="129"/>
  <c r="I41" i="129"/>
  <c r="I40" i="129"/>
  <c r="I39" i="129"/>
  <c r="I38" i="129"/>
  <c r="I37" i="129"/>
  <c r="I36" i="129"/>
  <c r="I35" i="129"/>
  <c r="I34" i="129"/>
  <c r="I33" i="129"/>
  <c r="I32" i="129"/>
  <c r="I31" i="129"/>
  <c r="I30" i="129"/>
  <c r="I29" i="129"/>
  <c r="I28" i="129"/>
  <c r="I27" i="129"/>
  <c r="I26" i="129"/>
  <c r="I25" i="129"/>
  <c r="I24" i="129"/>
  <c r="I23" i="129"/>
  <c r="I22" i="129"/>
  <c r="I21" i="129"/>
  <c r="I20" i="129"/>
  <c r="I19" i="129"/>
  <c r="I18" i="129"/>
  <c r="I17" i="129"/>
  <c r="I16" i="129"/>
  <c r="I15" i="129"/>
  <c r="I14" i="129"/>
  <c r="I13" i="129"/>
  <c r="I12" i="129"/>
  <c r="I11" i="129"/>
  <c r="I10" i="129"/>
  <c r="I9" i="129"/>
  <c r="I8" i="129"/>
  <c r="I7" i="129"/>
  <c r="I77" i="133"/>
  <c r="I74" i="133"/>
  <c r="I73" i="133"/>
  <c r="I72" i="133"/>
  <c r="I71" i="133"/>
  <c r="I70" i="133"/>
  <c r="I69" i="133"/>
  <c r="I68" i="133"/>
  <c r="I67" i="133"/>
  <c r="I66" i="133"/>
  <c r="I65" i="133"/>
  <c r="I64" i="133"/>
  <c r="I63" i="133"/>
  <c r="I62" i="133"/>
  <c r="I61" i="133"/>
  <c r="I60" i="133"/>
  <c r="I59" i="133"/>
  <c r="I58" i="133"/>
  <c r="I57" i="133"/>
  <c r="I56" i="133"/>
  <c r="I55" i="133"/>
  <c r="I54" i="133"/>
  <c r="I53" i="133"/>
  <c r="I52" i="133"/>
  <c r="I51" i="133"/>
  <c r="I50" i="133"/>
  <c r="I49" i="133"/>
  <c r="I48" i="133"/>
  <c r="I47" i="133"/>
  <c r="I46" i="133"/>
  <c r="I45" i="133"/>
  <c r="I44" i="133"/>
  <c r="I43" i="133"/>
  <c r="I42" i="133"/>
  <c r="I41" i="133"/>
  <c r="I40" i="133"/>
  <c r="I39" i="133"/>
  <c r="I38" i="133"/>
  <c r="I37" i="133"/>
  <c r="I36" i="133"/>
  <c r="I35" i="133"/>
  <c r="I34" i="133"/>
  <c r="I33" i="133"/>
  <c r="I32" i="133"/>
  <c r="I31" i="133"/>
  <c r="I30" i="133"/>
  <c r="I29" i="133"/>
  <c r="I28" i="133"/>
  <c r="I27" i="133"/>
  <c r="I26" i="133"/>
  <c r="I25" i="133"/>
  <c r="I24" i="133"/>
  <c r="I23" i="133"/>
  <c r="I22" i="133"/>
  <c r="I21" i="133"/>
  <c r="I20" i="133"/>
  <c r="I19" i="133"/>
  <c r="I18" i="133"/>
  <c r="I17" i="133"/>
  <c r="I16" i="133"/>
  <c r="I15" i="133"/>
  <c r="I14" i="133"/>
  <c r="I13" i="133"/>
  <c r="I12" i="133"/>
  <c r="I11" i="133"/>
  <c r="I10" i="133"/>
  <c r="I9" i="133"/>
  <c r="I8" i="133"/>
  <c r="I7" i="133"/>
  <c r="I77" i="134"/>
  <c r="I74" i="134"/>
  <c r="I73" i="134"/>
  <c r="I72" i="134"/>
  <c r="I71" i="134"/>
  <c r="I70" i="134"/>
  <c r="I69" i="134"/>
  <c r="I68" i="134"/>
  <c r="I67" i="134"/>
  <c r="I66" i="134"/>
  <c r="I65" i="134"/>
  <c r="I64" i="134"/>
  <c r="I63" i="134"/>
  <c r="I62" i="134"/>
  <c r="I61" i="134"/>
  <c r="I60" i="134"/>
  <c r="I59" i="134"/>
  <c r="I58" i="134"/>
  <c r="I57" i="134"/>
  <c r="I56" i="134"/>
  <c r="I55" i="134"/>
  <c r="I54" i="134"/>
  <c r="I53" i="134"/>
  <c r="I52" i="134"/>
  <c r="I51" i="134"/>
  <c r="I50" i="134"/>
  <c r="I49" i="134"/>
  <c r="I48" i="134"/>
  <c r="I47" i="134"/>
  <c r="I46" i="134"/>
  <c r="I45" i="134"/>
  <c r="I44" i="134"/>
  <c r="I43" i="134"/>
  <c r="I42" i="134"/>
  <c r="I41" i="134"/>
  <c r="I40" i="134"/>
  <c r="I39" i="134"/>
  <c r="I38" i="134"/>
  <c r="I37" i="134"/>
  <c r="I36" i="134"/>
  <c r="I35" i="134"/>
  <c r="I34" i="134"/>
  <c r="I33" i="134"/>
  <c r="I32" i="134"/>
  <c r="I31" i="134"/>
  <c r="I30" i="134"/>
  <c r="I29" i="134"/>
  <c r="I28" i="134"/>
  <c r="I27" i="134"/>
  <c r="I26" i="134"/>
  <c r="I25" i="134"/>
  <c r="I24" i="134"/>
  <c r="I23" i="134"/>
  <c r="I22" i="134"/>
  <c r="I21" i="134"/>
  <c r="I20" i="134"/>
  <c r="I19" i="134"/>
  <c r="I18" i="134"/>
  <c r="I17" i="134"/>
  <c r="I16" i="134"/>
  <c r="I15" i="134"/>
  <c r="I14" i="134"/>
  <c r="I13" i="134"/>
  <c r="I12" i="134"/>
  <c r="I11" i="134"/>
  <c r="I10" i="134"/>
  <c r="I9" i="134"/>
  <c r="I8" i="134"/>
  <c r="I7" i="134"/>
  <c r="I77" i="135"/>
  <c r="I74" i="135"/>
  <c r="I73" i="135"/>
  <c r="I72" i="135"/>
  <c r="I71" i="135"/>
  <c r="I70" i="135"/>
  <c r="I69" i="135"/>
  <c r="I68" i="135"/>
  <c r="I67" i="135"/>
  <c r="I66" i="135"/>
  <c r="I65" i="135"/>
  <c r="I64" i="135"/>
  <c r="I63" i="135"/>
  <c r="I62" i="135"/>
  <c r="I61" i="135"/>
  <c r="I60" i="135"/>
  <c r="I59" i="135"/>
  <c r="I58" i="135"/>
  <c r="I57" i="135"/>
  <c r="I56" i="135"/>
  <c r="I55" i="135"/>
  <c r="I54" i="135"/>
  <c r="I53" i="135"/>
  <c r="I52" i="135"/>
  <c r="I51" i="135"/>
  <c r="I50" i="135"/>
  <c r="I49" i="135"/>
  <c r="I48" i="135"/>
  <c r="I47" i="135"/>
  <c r="I46" i="135"/>
  <c r="I45" i="135"/>
  <c r="I44" i="135"/>
  <c r="I43" i="135"/>
  <c r="I42" i="135"/>
  <c r="I41" i="135"/>
  <c r="I40" i="135"/>
  <c r="I39" i="135"/>
  <c r="I38" i="135"/>
  <c r="I37" i="135"/>
  <c r="I36" i="135"/>
  <c r="I35" i="135"/>
  <c r="I34" i="135"/>
  <c r="I33" i="135"/>
  <c r="I32" i="135"/>
  <c r="I31" i="135"/>
  <c r="I30" i="135"/>
  <c r="I29" i="135"/>
  <c r="I28" i="135"/>
  <c r="I27" i="135"/>
  <c r="I26" i="135"/>
  <c r="I25" i="135"/>
  <c r="I24" i="135"/>
  <c r="I23" i="135"/>
  <c r="I22" i="135"/>
  <c r="I21" i="135"/>
  <c r="I20" i="135"/>
  <c r="I19" i="135"/>
  <c r="I18" i="135"/>
  <c r="I17" i="135"/>
  <c r="I16" i="135"/>
  <c r="I15" i="135"/>
  <c r="I14" i="135"/>
  <c r="I13" i="135"/>
  <c r="I12" i="135"/>
  <c r="I11" i="135"/>
  <c r="I10" i="135"/>
  <c r="I9" i="135"/>
  <c r="I8" i="135"/>
  <c r="I7" i="135"/>
  <c r="I77" i="112"/>
  <c r="I74" i="112"/>
  <c r="I73" i="112"/>
  <c r="I72" i="112"/>
  <c r="I71" i="112"/>
  <c r="I70" i="112"/>
  <c r="I69" i="112"/>
  <c r="I68" i="112"/>
  <c r="I67" i="112"/>
  <c r="I66" i="112"/>
  <c r="I65" i="112"/>
  <c r="I64" i="112"/>
  <c r="I63" i="112"/>
  <c r="I62" i="112"/>
  <c r="I61" i="112"/>
  <c r="I60" i="112"/>
  <c r="I59" i="112"/>
  <c r="I58" i="112"/>
  <c r="I57" i="112"/>
  <c r="I56" i="112"/>
  <c r="I55" i="112"/>
  <c r="I54" i="112"/>
  <c r="I53" i="112"/>
  <c r="I52" i="112"/>
  <c r="I51" i="112"/>
  <c r="I50" i="112"/>
  <c r="I49" i="112"/>
  <c r="I48" i="112"/>
  <c r="I47" i="112"/>
  <c r="I46" i="112"/>
  <c r="I45" i="112"/>
  <c r="I44" i="112"/>
  <c r="I43" i="112"/>
  <c r="I42" i="112"/>
  <c r="I41" i="112"/>
  <c r="I40" i="112"/>
  <c r="I39" i="112"/>
  <c r="I38" i="112"/>
  <c r="I37" i="112"/>
  <c r="I36" i="112"/>
  <c r="I35" i="112"/>
  <c r="I34" i="112"/>
  <c r="I33" i="112"/>
  <c r="I32" i="112"/>
  <c r="I31" i="112"/>
  <c r="I30" i="112"/>
  <c r="I29" i="112"/>
  <c r="I28" i="112"/>
  <c r="I27" i="112"/>
  <c r="I26" i="112"/>
  <c r="I25" i="112"/>
  <c r="I24" i="112"/>
  <c r="I23" i="112"/>
  <c r="I22" i="112"/>
  <c r="I21" i="112"/>
  <c r="I20" i="112"/>
  <c r="I19" i="112"/>
  <c r="I18" i="112"/>
  <c r="I17" i="112"/>
  <c r="I16" i="112"/>
  <c r="I15" i="112"/>
  <c r="I14" i="112"/>
  <c r="I13" i="112"/>
  <c r="I12" i="112"/>
  <c r="I11" i="112"/>
  <c r="I10" i="112"/>
  <c r="I9" i="112"/>
  <c r="I8" i="112"/>
  <c r="I7" i="112"/>
  <c r="I77" i="113"/>
  <c r="I74" i="113"/>
  <c r="I73" i="113"/>
  <c r="I72" i="113"/>
  <c r="I71" i="113"/>
  <c r="I70" i="113"/>
  <c r="I69" i="113"/>
  <c r="I68" i="113"/>
  <c r="I67" i="113"/>
  <c r="I66" i="113"/>
  <c r="I65" i="113"/>
  <c r="I64" i="113"/>
  <c r="I63" i="113"/>
  <c r="I62" i="113"/>
  <c r="I61" i="113"/>
  <c r="I60" i="113"/>
  <c r="I59" i="113"/>
  <c r="I58" i="113"/>
  <c r="I57" i="113"/>
  <c r="I56" i="113"/>
  <c r="I55" i="113"/>
  <c r="I54" i="113"/>
  <c r="I53" i="113"/>
  <c r="I52" i="113"/>
  <c r="I51" i="113"/>
  <c r="I50" i="113"/>
  <c r="I49" i="113"/>
  <c r="I48" i="113"/>
  <c r="I47" i="113"/>
  <c r="I46" i="113"/>
  <c r="I45" i="113"/>
  <c r="I44" i="113"/>
  <c r="I43" i="113"/>
  <c r="I42" i="113"/>
  <c r="I41" i="113"/>
  <c r="I40" i="113"/>
  <c r="I39" i="113"/>
  <c r="I38" i="113"/>
  <c r="I37" i="113"/>
  <c r="I36" i="113"/>
  <c r="I35" i="113"/>
  <c r="I34" i="113"/>
  <c r="I33" i="113"/>
  <c r="I32" i="113"/>
  <c r="I31" i="113"/>
  <c r="I30" i="113"/>
  <c r="I29" i="113"/>
  <c r="I28" i="113"/>
  <c r="I27" i="113"/>
  <c r="I26" i="113"/>
  <c r="I25" i="113"/>
  <c r="I24" i="113"/>
  <c r="I23" i="113"/>
  <c r="I22" i="113"/>
  <c r="I21" i="113"/>
  <c r="I20" i="113"/>
  <c r="I19" i="113"/>
  <c r="I18" i="113"/>
  <c r="I17" i="113"/>
  <c r="I16" i="113"/>
  <c r="I15" i="113"/>
  <c r="I14" i="113"/>
  <c r="I13" i="113"/>
  <c r="I12" i="113"/>
  <c r="I11" i="113"/>
  <c r="I10" i="113"/>
  <c r="I9" i="113"/>
  <c r="I8" i="113"/>
  <c r="I7" i="113"/>
  <c r="I74" i="114"/>
  <c r="I73" i="114"/>
  <c r="I72" i="114"/>
  <c r="I71" i="114"/>
  <c r="I70" i="114"/>
  <c r="I69" i="114"/>
  <c r="I68" i="114"/>
  <c r="I67" i="114"/>
  <c r="I66" i="114"/>
  <c r="I65" i="114"/>
  <c r="I64" i="114"/>
  <c r="I63" i="114"/>
  <c r="I62" i="114"/>
  <c r="I61" i="114"/>
  <c r="I60" i="114"/>
  <c r="I59" i="114"/>
  <c r="I58" i="114"/>
  <c r="I57" i="114"/>
  <c r="I56" i="114"/>
  <c r="I55" i="114"/>
  <c r="I54" i="114"/>
  <c r="I53" i="114"/>
  <c r="I52" i="114"/>
  <c r="I51" i="114"/>
  <c r="I50" i="114"/>
  <c r="I49" i="114"/>
  <c r="I48" i="114"/>
  <c r="I47" i="114"/>
  <c r="I46" i="114"/>
  <c r="I45" i="114"/>
  <c r="I44" i="114"/>
  <c r="I43" i="114"/>
  <c r="I42" i="114"/>
  <c r="I41" i="114"/>
  <c r="I40" i="114"/>
  <c r="I39" i="114"/>
  <c r="I38" i="114"/>
  <c r="I37" i="114"/>
  <c r="I36" i="114"/>
  <c r="I35" i="114"/>
  <c r="I34" i="114"/>
  <c r="I33" i="114"/>
  <c r="I32" i="114"/>
  <c r="I31" i="114"/>
  <c r="I30" i="114"/>
  <c r="I29" i="114"/>
  <c r="I28" i="114"/>
  <c r="I27" i="114"/>
  <c r="I26" i="114"/>
  <c r="I25" i="114"/>
  <c r="I24" i="114"/>
  <c r="I23" i="114"/>
  <c r="I22" i="114"/>
  <c r="I21" i="114"/>
  <c r="I20" i="114"/>
  <c r="I19" i="114"/>
  <c r="I18" i="114"/>
  <c r="I17" i="114"/>
  <c r="I16" i="114"/>
  <c r="I15" i="114"/>
  <c r="I14" i="114"/>
  <c r="I13" i="114"/>
  <c r="I12" i="114"/>
  <c r="I11" i="114"/>
  <c r="I10" i="114"/>
  <c r="I9" i="114"/>
  <c r="I8" i="114"/>
  <c r="I7" i="114"/>
  <c r="I77" i="115"/>
  <c r="I74" i="115"/>
  <c r="I73" i="115"/>
  <c r="I72" i="115"/>
  <c r="I71" i="115"/>
  <c r="I70" i="115"/>
  <c r="I69" i="115"/>
  <c r="I68" i="115"/>
  <c r="I67" i="115"/>
  <c r="I66" i="115"/>
  <c r="I65" i="115"/>
  <c r="I64" i="115"/>
  <c r="I63" i="115"/>
  <c r="I62" i="115"/>
  <c r="I61" i="115"/>
  <c r="I60" i="115"/>
  <c r="I59" i="115"/>
  <c r="I58" i="115"/>
  <c r="I57" i="115"/>
  <c r="I56" i="115"/>
  <c r="I55" i="115"/>
  <c r="I54" i="115"/>
  <c r="I53" i="115"/>
  <c r="I52" i="115"/>
  <c r="I51" i="115"/>
  <c r="I50" i="115"/>
  <c r="I49" i="115"/>
  <c r="I48" i="115"/>
  <c r="I47" i="115"/>
  <c r="I46" i="115"/>
  <c r="I45" i="115"/>
  <c r="I44" i="115"/>
  <c r="I43" i="115"/>
  <c r="I42" i="115"/>
  <c r="I41" i="115"/>
  <c r="I40" i="115"/>
  <c r="I39" i="115"/>
  <c r="I38" i="115"/>
  <c r="I37" i="115"/>
  <c r="I36" i="115"/>
  <c r="I35" i="115"/>
  <c r="I34" i="115"/>
  <c r="I33" i="115"/>
  <c r="I32" i="115"/>
  <c r="I31" i="115"/>
  <c r="I30" i="115"/>
  <c r="I29" i="115"/>
  <c r="I28" i="115"/>
  <c r="I27" i="115"/>
  <c r="I26" i="115"/>
  <c r="I25" i="115"/>
  <c r="I24" i="115"/>
  <c r="I23" i="115"/>
  <c r="I22" i="115"/>
  <c r="I21" i="115"/>
  <c r="I20" i="115"/>
  <c r="I19" i="115"/>
  <c r="I18" i="115"/>
  <c r="I17" i="115"/>
  <c r="I16" i="115"/>
  <c r="I15" i="115"/>
  <c r="I14" i="115"/>
  <c r="I13" i="115"/>
  <c r="I12" i="115"/>
  <c r="I11" i="115"/>
  <c r="I10" i="115"/>
  <c r="I9" i="115"/>
  <c r="I8" i="115"/>
  <c r="I7" i="115"/>
  <c r="I77" i="116"/>
  <c r="I74" i="116"/>
  <c r="I73" i="116"/>
  <c r="I72" i="116"/>
  <c r="I71" i="116"/>
  <c r="I70" i="116"/>
  <c r="I69" i="116"/>
  <c r="I68" i="116"/>
  <c r="I67" i="116"/>
  <c r="I66" i="116"/>
  <c r="I65" i="116"/>
  <c r="I64" i="116"/>
  <c r="I63" i="116"/>
  <c r="I62" i="116"/>
  <c r="I61" i="116"/>
  <c r="I60" i="116"/>
  <c r="I59" i="116"/>
  <c r="I58" i="116"/>
  <c r="I57" i="116"/>
  <c r="I56" i="116"/>
  <c r="I55" i="116"/>
  <c r="I54" i="116"/>
  <c r="I53" i="116"/>
  <c r="I52" i="116"/>
  <c r="I51" i="116"/>
  <c r="I50" i="116"/>
  <c r="I49" i="116"/>
  <c r="I48" i="116"/>
  <c r="I47" i="116"/>
  <c r="I46" i="116"/>
  <c r="I45" i="116"/>
  <c r="I44" i="116"/>
  <c r="I43" i="116"/>
  <c r="I42" i="116"/>
  <c r="I41" i="116"/>
  <c r="I40" i="116"/>
  <c r="I39" i="116"/>
  <c r="I38" i="116"/>
  <c r="I37" i="116"/>
  <c r="I36" i="116"/>
  <c r="I35" i="116"/>
  <c r="I34" i="116"/>
  <c r="I33" i="116"/>
  <c r="I32" i="116"/>
  <c r="I31" i="116"/>
  <c r="I30" i="116"/>
  <c r="I29" i="116"/>
  <c r="I28" i="116"/>
  <c r="I27" i="116"/>
  <c r="I26" i="116"/>
  <c r="I25" i="116"/>
  <c r="I24" i="116"/>
  <c r="I23" i="116"/>
  <c r="I22" i="116"/>
  <c r="I21" i="116"/>
  <c r="I20" i="116"/>
  <c r="I19" i="116"/>
  <c r="I18" i="116"/>
  <c r="I17" i="116"/>
  <c r="I16" i="116"/>
  <c r="I15" i="116"/>
  <c r="I14" i="116"/>
  <c r="I13" i="116"/>
  <c r="I12" i="116"/>
  <c r="I11" i="116"/>
  <c r="I10" i="116"/>
  <c r="I9" i="116"/>
  <c r="I8" i="116"/>
  <c r="I7" i="116"/>
  <c r="I77" i="117"/>
  <c r="I74" i="117"/>
  <c r="I73" i="117"/>
  <c r="I72" i="117"/>
  <c r="I71" i="117"/>
  <c r="I70" i="117"/>
  <c r="I69" i="117"/>
  <c r="I68" i="117"/>
  <c r="I67" i="117"/>
  <c r="I66" i="117"/>
  <c r="I65" i="117"/>
  <c r="I64" i="117"/>
  <c r="I63" i="117"/>
  <c r="I62" i="117"/>
  <c r="I61" i="117"/>
  <c r="I60" i="117"/>
  <c r="I59" i="117"/>
  <c r="I58" i="117"/>
  <c r="I57" i="117"/>
  <c r="I56" i="117"/>
  <c r="I55" i="117"/>
  <c r="I54" i="117"/>
  <c r="I53" i="117"/>
  <c r="I52" i="117"/>
  <c r="I51" i="117"/>
  <c r="I50" i="117"/>
  <c r="I49" i="117"/>
  <c r="I48" i="117"/>
  <c r="I47" i="117"/>
  <c r="I46" i="117"/>
  <c r="I45" i="117"/>
  <c r="I44" i="117"/>
  <c r="I43" i="117"/>
  <c r="I42" i="117"/>
  <c r="I41" i="117"/>
  <c r="I40" i="117"/>
  <c r="I39" i="117"/>
  <c r="I38" i="117"/>
  <c r="I37" i="117"/>
  <c r="I36" i="117"/>
  <c r="I35" i="117"/>
  <c r="I34" i="117"/>
  <c r="I33" i="117"/>
  <c r="I32" i="117"/>
  <c r="I31" i="117"/>
  <c r="I30" i="117"/>
  <c r="I29" i="117"/>
  <c r="I28" i="117"/>
  <c r="I27" i="117"/>
  <c r="I26" i="117"/>
  <c r="I25" i="117"/>
  <c r="I24" i="117"/>
  <c r="I23" i="117"/>
  <c r="I22" i="117"/>
  <c r="I21" i="117"/>
  <c r="I20" i="117"/>
  <c r="I19" i="117"/>
  <c r="I18" i="117"/>
  <c r="I17" i="117"/>
  <c r="I16" i="117"/>
  <c r="I15" i="117"/>
  <c r="I14" i="117"/>
  <c r="I13" i="117"/>
  <c r="I12" i="117"/>
  <c r="I11" i="117"/>
  <c r="I10" i="117"/>
  <c r="I9" i="117"/>
  <c r="I8" i="117"/>
  <c r="I7" i="117"/>
  <c r="I74" i="118"/>
  <c r="I73" i="118"/>
  <c r="I72" i="118"/>
  <c r="I71" i="118"/>
  <c r="I70" i="118"/>
  <c r="I69" i="118"/>
  <c r="I68" i="118"/>
  <c r="I67" i="118"/>
  <c r="I66" i="118"/>
  <c r="I65" i="118"/>
  <c r="I64" i="118"/>
  <c r="I63" i="118"/>
  <c r="I62" i="118"/>
  <c r="I61" i="118"/>
  <c r="I60" i="118"/>
  <c r="I59" i="118"/>
  <c r="I58" i="118"/>
  <c r="I57" i="118"/>
  <c r="I56" i="118"/>
  <c r="I55" i="118"/>
  <c r="I54" i="118"/>
  <c r="I53" i="118"/>
  <c r="I52" i="118"/>
  <c r="I51" i="118"/>
  <c r="I50" i="118"/>
  <c r="I49" i="118"/>
  <c r="I48" i="118"/>
  <c r="I47" i="118"/>
  <c r="I46" i="118"/>
  <c r="I45" i="118"/>
  <c r="I44" i="118"/>
  <c r="I43" i="118"/>
  <c r="I42" i="118"/>
  <c r="I41" i="118"/>
  <c r="I40" i="118"/>
  <c r="I39" i="118"/>
  <c r="I38" i="118"/>
  <c r="I37" i="118"/>
  <c r="I36" i="118"/>
  <c r="I35" i="118"/>
  <c r="I34" i="118"/>
  <c r="I33" i="118"/>
  <c r="I32" i="118"/>
  <c r="I31" i="118"/>
  <c r="I30" i="118"/>
  <c r="I29" i="118"/>
  <c r="I28" i="118"/>
  <c r="I27" i="118"/>
  <c r="I26" i="118"/>
  <c r="I25" i="118"/>
  <c r="I24" i="118"/>
  <c r="I23" i="118"/>
  <c r="I22" i="118"/>
  <c r="I21" i="118"/>
  <c r="I20" i="118"/>
  <c r="I19" i="118"/>
  <c r="I18" i="118"/>
  <c r="I17" i="118"/>
  <c r="I16" i="118"/>
  <c r="I15" i="118"/>
  <c r="I14" i="118"/>
  <c r="I13" i="118"/>
  <c r="I12" i="118"/>
  <c r="I11" i="118"/>
  <c r="I10" i="118"/>
  <c r="I9" i="118"/>
  <c r="I8" i="118"/>
  <c r="I7" i="118"/>
  <c r="I77" i="119"/>
  <c r="I74" i="119"/>
  <c r="I73" i="119"/>
  <c r="I72" i="119"/>
  <c r="I71" i="119"/>
  <c r="I70" i="119"/>
  <c r="I69" i="119"/>
  <c r="I68" i="119"/>
  <c r="I67" i="119"/>
  <c r="I66" i="119"/>
  <c r="I65" i="119"/>
  <c r="I64" i="119"/>
  <c r="I63" i="119"/>
  <c r="I62" i="119"/>
  <c r="I61" i="119"/>
  <c r="I60" i="119"/>
  <c r="I59" i="119"/>
  <c r="I58" i="119"/>
  <c r="I57" i="119"/>
  <c r="I56" i="119"/>
  <c r="I55" i="119"/>
  <c r="I54" i="119"/>
  <c r="I53" i="119"/>
  <c r="I52" i="119"/>
  <c r="I51" i="119"/>
  <c r="I50" i="119"/>
  <c r="I49" i="119"/>
  <c r="I48" i="119"/>
  <c r="I47" i="119"/>
  <c r="I46" i="119"/>
  <c r="I45" i="119"/>
  <c r="I44" i="119"/>
  <c r="I43" i="119"/>
  <c r="I42" i="119"/>
  <c r="I41" i="119"/>
  <c r="I40" i="119"/>
  <c r="I39" i="119"/>
  <c r="I38" i="119"/>
  <c r="I37" i="119"/>
  <c r="I36" i="119"/>
  <c r="I35" i="119"/>
  <c r="I34" i="119"/>
  <c r="I33" i="119"/>
  <c r="I32" i="119"/>
  <c r="I31" i="119"/>
  <c r="I30" i="119"/>
  <c r="I29" i="119"/>
  <c r="I28" i="119"/>
  <c r="I27" i="119"/>
  <c r="I26" i="119"/>
  <c r="I25" i="119"/>
  <c r="I24" i="119"/>
  <c r="I23" i="119"/>
  <c r="I22" i="119"/>
  <c r="I21" i="119"/>
  <c r="I20" i="119"/>
  <c r="I19" i="119"/>
  <c r="I18" i="119"/>
  <c r="I17" i="119"/>
  <c r="I16" i="119"/>
  <c r="I15" i="119"/>
  <c r="I14" i="119"/>
  <c r="I13" i="119"/>
  <c r="I12" i="119"/>
  <c r="I11" i="119"/>
  <c r="I10" i="119"/>
  <c r="I9" i="119"/>
  <c r="I8" i="119"/>
  <c r="I7" i="119"/>
  <c r="I77" i="108"/>
  <c r="I74" i="108"/>
  <c r="I73" i="108"/>
  <c r="I72" i="108"/>
  <c r="I71" i="108"/>
  <c r="I70" i="108"/>
  <c r="I69" i="108"/>
  <c r="I68" i="108"/>
  <c r="I67" i="108"/>
  <c r="I66" i="108"/>
  <c r="I65" i="108"/>
  <c r="I64" i="108"/>
  <c r="I63" i="108"/>
  <c r="I62" i="108"/>
  <c r="I61" i="108"/>
  <c r="I60" i="108"/>
  <c r="I59" i="108"/>
  <c r="I58" i="108"/>
  <c r="I57" i="108"/>
  <c r="I56" i="108"/>
  <c r="I55" i="108"/>
  <c r="I54" i="108"/>
  <c r="I53" i="108"/>
  <c r="I52" i="108"/>
  <c r="I51" i="108"/>
  <c r="I50" i="108"/>
  <c r="I49" i="108"/>
  <c r="I48" i="108"/>
  <c r="I47" i="108"/>
  <c r="I46" i="108"/>
  <c r="I45" i="108"/>
  <c r="I44" i="108"/>
  <c r="I43" i="108"/>
  <c r="I42" i="108"/>
  <c r="I41" i="108"/>
  <c r="I40" i="108"/>
  <c r="I39" i="108"/>
  <c r="I38" i="108"/>
  <c r="I37" i="108"/>
  <c r="I36" i="108"/>
  <c r="I35" i="108"/>
  <c r="I34" i="108"/>
  <c r="I33" i="108"/>
  <c r="I32" i="108"/>
  <c r="I31" i="108"/>
  <c r="I30" i="108"/>
  <c r="I29" i="108"/>
  <c r="I28" i="108"/>
  <c r="I27" i="108"/>
  <c r="I26" i="108"/>
  <c r="I25" i="108"/>
  <c r="I24" i="108"/>
  <c r="I23" i="108"/>
  <c r="I22" i="108"/>
  <c r="I21" i="108"/>
  <c r="I20" i="108"/>
  <c r="I19" i="108"/>
  <c r="I18" i="108"/>
  <c r="I17" i="108"/>
  <c r="I16" i="108"/>
  <c r="I15" i="108"/>
  <c r="I14" i="108"/>
  <c r="I13" i="108"/>
  <c r="I12" i="108"/>
  <c r="I11" i="108"/>
  <c r="I10" i="108"/>
  <c r="I9" i="108"/>
  <c r="I8" i="108"/>
  <c r="I7" i="108"/>
  <c r="I77" i="109"/>
  <c r="I74" i="109"/>
  <c r="I73" i="109"/>
  <c r="I72" i="109"/>
  <c r="I71" i="109"/>
  <c r="I70" i="109"/>
  <c r="I69" i="109"/>
  <c r="I68" i="109"/>
  <c r="I67" i="109"/>
  <c r="I66" i="109"/>
  <c r="I65" i="109"/>
  <c r="I64" i="109"/>
  <c r="I63" i="109"/>
  <c r="I62" i="109"/>
  <c r="I61" i="109"/>
  <c r="I60" i="109"/>
  <c r="I59" i="109"/>
  <c r="I58" i="109"/>
  <c r="I57" i="109"/>
  <c r="I56" i="109"/>
  <c r="I55" i="109"/>
  <c r="I54" i="109"/>
  <c r="I53" i="109"/>
  <c r="I52" i="109"/>
  <c r="I51" i="109"/>
  <c r="I50" i="109"/>
  <c r="I49" i="109"/>
  <c r="I48" i="109"/>
  <c r="I47" i="109"/>
  <c r="I46" i="109"/>
  <c r="I45" i="109"/>
  <c r="I44" i="109"/>
  <c r="I43" i="109"/>
  <c r="I42" i="109"/>
  <c r="I41" i="109"/>
  <c r="I40" i="109"/>
  <c r="I39" i="109"/>
  <c r="I38" i="109"/>
  <c r="I37" i="109"/>
  <c r="I36" i="109"/>
  <c r="I35" i="109"/>
  <c r="I34" i="109"/>
  <c r="I33" i="109"/>
  <c r="I32" i="109"/>
  <c r="I31" i="109"/>
  <c r="I30" i="109"/>
  <c r="I29" i="109"/>
  <c r="I28" i="109"/>
  <c r="I27" i="109"/>
  <c r="I26" i="109"/>
  <c r="I25" i="109"/>
  <c r="I24" i="109"/>
  <c r="I23" i="109"/>
  <c r="I22" i="109"/>
  <c r="I21" i="109"/>
  <c r="I20" i="109"/>
  <c r="I19" i="109"/>
  <c r="I18" i="109"/>
  <c r="I17" i="109"/>
  <c r="I16" i="109"/>
  <c r="I15" i="109"/>
  <c r="I14" i="109"/>
  <c r="I13" i="109"/>
  <c r="I12" i="109"/>
  <c r="I11" i="109"/>
  <c r="I10" i="109"/>
  <c r="I9" i="109"/>
  <c r="I8" i="109"/>
  <c r="I7" i="109"/>
  <c r="I77" i="111"/>
  <c r="I74" i="111"/>
  <c r="I73" i="111"/>
  <c r="I72" i="111"/>
  <c r="I71" i="111"/>
  <c r="I70" i="111"/>
  <c r="I69" i="111"/>
  <c r="I68" i="111"/>
  <c r="I67" i="111"/>
  <c r="I66" i="111"/>
  <c r="I65" i="111"/>
  <c r="I64" i="111"/>
  <c r="I63" i="111"/>
  <c r="I62" i="111"/>
  <c r="I61" i="111"/>
  <c r="I60" i="111"/>
  <c r="I59" i="111"/>
  <c r="I58" i="111"/>
  <c r="I57" i="111"/>
  <c r="I56" i="111"/>
  <c r="I55" i="111"/>
  <c r="I54" i="111"/>
  <c r="I53" i="111"/>
  <c r="I52" i="111"/>
  <c r="I51" i="111"/>
  <c r="I50" i="111"/>
  <c r="I49" i="111"/>
  <c r="I48" i="111"/>
  <c r="I47" i="111"/>
  <c r="I46" i="111"/>
  <c r="I45" i="111"/>
  <c r="I44" i="111"/>
  <c r="I43" i="111"/>
  <c r="I42" i="111"/>
  <c r="I41" i="111"/>
  <c r="I40" i="111"/>
  <c r="I39" i="111"/>
  <c r="I38" i="111"/>
  <c r="I37" i="111"/>
  <c r="I36" i="111"/>
  <c r="I35" i="111"/>
  <c r="I34" i="111"/>
  <c r="I33" i="111"/>
  <c r="I32" i="111"/>
  <c r="I31" i="111"/>
  <c r="I30" i="111"/>
  <c r="I29" i="111"/>
  <c r="I28" i="111"/>
  <c r="I27" i="111"/>
  <c r="I26" i="111"/>
  <c r="I25" i="111"/>
  <c r="I24" i="111"/>
  <c r="I23" i="111"/>
  <c r="I22" i="111"/>
  <c r="I21" i="111"/>
  <c r="I20" i="111"/>
  <c r="I19" i="111"/>
  <c r="I18" i="111"/>
  <c r="I17" i="111"/>
  <c r="I16" i="111"/>
  <c r="I15" i="111"/>
  <c r="I14" i="111"/>
  <c r="I13" i="111"/>
  <c r="I12" i="111"/>
  <c r="I11" i="111"/>
  <c r="I10" i="111"/>
  <c r="I9" i="111"/>
  <c r="I8" i="111"/>
  <c r="I7" i="111"/>
  <c r="I77" i="110"/>
  <c r="I74" i="110"/>
  <c r="I73" i="110"/>
  <c r="I72" i="110"/>
  <c r="I71" i="110"/>
  <c r="I70" i="110"/>
  <c r="I69" i="110"/>
  <c r="I68" i="110"/>
  <c r="I67" i="110"/>
  <c r="I66" i="110"/>
  <c r="I65" i="110"/>
  <c r="I64" i="110"/>
  <c r="I63" i="110"/>
  <c r="I62" i="110"/>
  <c r="I61" i="110"/>
  <c r="I60" i="110"/>
  <c r="I59" i="110"/>
  <c r="I58" i="110"/>
  <c r="I57" i="110"/>
  <c r="I56" i="110"/>
  <c r="I55" i="110"/>
  <c r="I54" i="110"/>
  <c r="I53" i="110"/>
  <c r="I52" i="110"/>
  <c r="I51" i="110"/>
  <c r="I50" i="110"/>
  <c r="I49" i="110"/>
  <c r="I48" i="110"/>
  <c r="I47" i="110"/>
  <c r="I46" i="110"/>
  <c r="I45" i="110"/>
  <c r="I44" i="110"/>
  <c r="I43" i="110"/>
  <c r="I42" i="110"/>
  <c r="I41" i="110"/>
  <c r="I40" i="110"/>
  <c r="I39" i="110"/>
  <c r="I38" i="110"/>
  <c r="I37" i="110"/>
  <c r="I36" i="110"/>
  <c r="I35" i="110"/>
  <c r="I34" i="110"/>
  <c r="I33" i="110"/>
  <c r="I32" i="110"/>
  <c r="I31" i="110"/>
  <c r="I30" i="110"/>
  <c r="I29" i="110"/>
  <c r="I28" i="110"/>
  <c r="I27" i="110"/>
  <c r="I26" i="110"/>
  <c r="I25" i="110"/>
  <c r="I24" i="110"/>
  <c r="I23" i="110"/>
  <c r="I22" i="110"/>
  <c r="I21" i="110"/>
  <c r="I20" i="110"/>
  <c r="I19" i="110"/>
  <c r="I18" i="110"/>
  <c r="I17" i="110"/>
  <c r="I16" i="110"/>
  <c r="I15" i="110"/>
  <c r="I14" i="110"/>
  <c r="I13" i="110"/>
  <c r="I12" i="110"/>
  <c r="I11" i="110"/>
  <c r="I10" i="110"/>
  <c r="I9" i="110"/>
  <c r="I8" i="110"/>
  <c r="I7" i="110"/>
  <c r="I77" i="106"/>
  <c r="I74" i="106"/>
  <c r="I73" i="106"/>
  <c r="I72" i="106"/>
  <c r="I71" i="106"/>
  <c r="I70" i="106"/>
  <c r="I69" i="106"/>
  <c r="I68" i="106"/>
  <c r="I67" i="106"/>
  <c r="I66" i="106"/>
  <c r="I65" i="106"/>
  <c r="I64" i="106"/>
  <c r="I63" i="106"/>
  <c r="I62" i="106"/>
  <c r="I61" i="106"/>
  <c r="I60" i="106"/>
  <c r="I59" i="106"/>
  <c r="I58" i="106"/>
  <c r="I57" i="106"/>
  <c r="I56" i="106"/>
  <c r="I55" i="106"/>
  <c r="I54" i="106"/>
  <c r="I53" i="106"/>
  <c r="I52" i="106"/>
  <c r="I51" i="106"/>
  <c r="I50" i="106"/>
  <c r="I49" i="106"/>
  <c r="I48" i="106"/>
  <c r="I47" i="106"/>
  <c r="I46" i="106"/>
  <c r="I45" i="106"/>
  <c r="I44" i="106"/>
  <c r="I43" i="106"/>
  <c r="I42" i="106"/>
  <c r="I41" i="106"/>
  <c r="I40" i="106"/>
  <c r="I39" i="106"/>
  <c r="I38" i="106"/>
  <c r="I37" i="106"/>
  <c r="I36" i="106"/>
  <c r="I35" i="106"/>
  <c r="I34" i="106"/>
  <c r="I33" i="106"/>
  <c r="I32" i="106"/>
  <c r="I31" i="106"/>
  <c r="I30" i="106"/>
  <c r="I29" i="106"/>
  <c r="I28" i="106"/>
  <c r="I27" i="106"/>
  <c r="I26" i="106"/>
  <c r="I25" i="106"/>
  <c r="I24" i="106"/>
  <c r="I23" i="106"/>
  <c r="I22" i="106"/>
  <c r="I21" i="106"/>
  <c r="I20" i="106"/>
  <c r="I19" i="106"/>
  <c r="I18" i="106"/>
  <c r="I17" i="106"/>
  <c r="I16" i="106"/>
  <c r="I15" i="106"/>
  <c r="I14" i="106"/>
  <c r="I13" i="106"/>
  <c r="I12" i="106"/>
  <c r="I11" i="106"/>
  <c r="I10" i="106"/>
  <c r="I9" i="106"/>
  <c r="I8" i="106"/>
  <c r="I7" i="106"/>
  <c r="I77" i="107"/>
  <c r="I74" i="107"/>
  <c r="I73" i="107"/>
  <c r="I72" i="107"/>
  <c r="I71" i="107"/>
  <c r="I70" i="107"/>
  <c r="I69" i="107"/>
  <c r="I68" i="107"/>
  <c r="I67" i="107"/>
  <c r="I66" i="107"/>
  <c r="I65" i="107"/>
  <c r="I64" i="107"/>
  <c r="I63" i="107"/>
  <c r="I62" i="107"/>
  <c r="I61" i="107"/>
  <c r="I60" i="107"/>
  <c r="I59" i="107"/>
  <c r="I58" i="107"/>
  <c r="I57" i="107"/>
  <c r="I56" i="107"/>
  <c r="I55" i="107"/>
  <c r="I54" i="107"/>
  <c r="I53" i="107"/>
  <c r="I52" i="107"/>
  <c r="I51" i="107"/>
  <c r="I50" i="107"/>
  <c r="I49" i="107"/>
  <c r="I48" i="107"/>
  <c r="I47" i="107"/>
  <c r="I46" i="107"/>
  <c r="I45" i="107"/>
  <c r="I44" i="107"/>
  <c r="I43" i="107"/>
  <c r="I42" i="107"/>
  <c r="I41" i="107"/>
  <c r="I40" i="107"/>
  <c r="I39" i="107"/>
  <c r="I38" i="107"/>
  <c r="I37" i="107"/>
  <c r="I36" i="107"/>
  <c r="I35" i="107"/>
  <c r="I34" i="107"/>
  <c r="I33" i="107"/>
  <c r="I32" i="107"/>
  <c r="I31" i="107"/>
  <c r="I30" i="107"/>
  <c r="I29" i="107"/>
  <c r="I28" i="107"/>
  <c r="I27" i="107"/>
  <c r="I26" i="107"/>
  <c r="I25" i="107"/>
  <c r="I24" i="107"/>
  <c r="I23" i="107"/>
  <c r="I22" i="107"/>
  <c r="I21" i="107"/>
  <c r="I20" i="107"/>
  <c r="I19" i="107"/>
  <c r="I18" i="107"/>
  <c r="I17" i="107"/>
  <c r="I16" i="107"/>
  <c r="I15" i="107"/>
  <c r="I14" i="107"/>
  <c r="I13" i="107"/>
  <c r="I12" i="107"/>
  <c r="I11" i="107"/>
  <c r="I10" i="107"/>
  <c r="I9" i="107"/>
  <c r="I8" i="107"/>
  <c r="I7" i="107"/>
  <c r="I77" i="105"/>
  <c r="I74" i="105"/>
  <c r="I73" i="105"/>
  <c r="I72" i="105"/>
  <c r="I71" i="105"/>
  <c r="I70" i="105"/>
  <c r="I69" i="105"/>
  <c r="I68" i="105"/>
  <c r="I67" i="105"/>
  <c r="I66" i="105"/>
  <c r="I65" i="105"/>
  <c r="I64" i="105"/>
  <c r="I63" i="105"/>
  <c r="I62" i="105"/>
  <c r="I61" i="105"/>
  <c r="I60" i="105"/>
  <c r="I59" i="105"/>
  <c r="I58" i="105"/>
  <c r="I57" i="105"/>
  <c r="I56" i="105"/>
  <c r="I55" i="105"/>
  <c r="I54" i="105"/>
  <c r="I53" i="105"/>
  <c r="I52" i="105"/>
  <c r="I51" i="105"/>
  <c r="I50" i="105"/>
  <c r="I49" i="105"/>
  <c r="I48" i="105"/>
  <c r="I47" i="105"/>
  <c r="I46" i="105"/>
  <c r="I45" i="105"/>
  <c r="I44" i="105"/>
  <c r="I43" i="105"/>
  <c r="I42" i="105"/>
  <c r="I41" i="105"/>
  <c r="I40" i="105"/>
  <c r="I39" i="105"/>
  <c r="I38" i="105"/>
  <c r="I37" i="105"/>
  <c r="I36" i="105"/>
  <c r="I35" i="105"/>
  <c r="I34" i="105"/>
  <c r="I33" i="105"/>
  <c r="I32" i="105"/>
  <c r="I31" i="105"/>
  <c r="I30" i="105"/>
  <c r="I29" i="105"/>
  <c r="I28" i="105"/>
  <c r="I27" i="105"/>
  <c r="I26" i="105"/>
  <c r="I25" i="105"/>
  <c r="I24" i="105"/>
  <c r="I23" i="105"/>
  <c r="I22" i="105"/>
  <c r="I21" i="105"/>
  <c r="I20" i="105"/>
  <c r="I19" i="105"/>
  <c r="I18" i="105"/>
  <c r="I17" i="105"/>
  <c r="I16" i="105"/>
  <c r="I15" i="105"/>
  <c r="I14" i="105"/>
  <c r="I13" i="105"/>
  <c r="I12" i="105"/>
  <c r="I11" i="105"/>
  <c r="I10" i="105"/>
  <c r="I9" i="105"/>
  <c r="I8" i="105"/>
  <c r="I7" i="105"/>
  <c r="I74" i="120"/>
  <c r="I73" i="120"/>
  <c r="I72" i="120"/>
  <c r="I71" i="120"/>
  <c r="I70" i="120"/>
  <c r="I69" i="120"/>
  <c r="I68" i="120"/>
  <c r="I67" i="120"/>
  <c r="I66" i="120"/>
  <c r="I65" i="120"/>
  <c r="I64" i="120"/>
  <c r="I63" i="120"/>
  <c r="I62" i="120"/>
  <c r="I61" i="120"/>
  <c r="I60" i="120"/>
  <c r="I59" i="120"/>
  <c r="I58" i="120"/>
  <c r="I57" i="120"/>
  <c r="I56" i="120"/>
  <c r="I55" i="120"/>
  <c r="I54" i="120"/>
  <c r="I53" i="120"/>
  <c r="I52" i="120"/>
  <c r="I51" i="120"/>
  <c r="I50" i="120"/>
  <c r="I49" i="120"/>
  <c r="I48" i="120"/>
  <c r="I47" i="120"/>
  <c r="I46" i="120"/>
  <c r="I45" i="120"/>
  <c r="I44" i="120"/>
  <c r="I43" i="120"/>
  <c r="I42" i="120"/>
  <c r="I41" i="120"/>
  <c r="I40" i="120"/>
  <c r="I39" i="120"/>
  <c r="I38" i="120"/>
  <c r="I37" i="120"/>
  <c r="I36" i="120"/>
  <c r="I35" i="120"/>
  <c r="I34" i="120"/>
  <c r="I33" i="120"/>
  <c r="I32" i="120"/>
  <c r="I31" i="120"/>
  <c r="I30" i="120"/>
  <c r="I29" i="120"/>
  <c r="I28" i="120"/>
  <c r="I27" i="120"/>
  <c r="I26" i="120"/>
  <c r="I25" i="120"/>
  <c r="I24" i="120"/>
  <c r="I23" i="120"/>
  <c r="I22" i="120"/>
  <c r="I21" i="120"/>
  <c r="I20" i="120"/>
  <c r="I19" i="120"/>
  <c r="I18" i="120"/>
  <c r="I17" i="120"/>
  <c r="I16" i="120"/>
  <c r="I15" i="120"/>
  <c r="I14" i="120"/>
  <c r="I13" i="120"/>
  <c r="I12" i="120"/>
  <c r="I11" i="120"/>
  <c r="I10" i="120"/>
  <c r="I9" i="120"/>
  <c r="I8" i="120"/>
  <c r="I7" i="120"/>
  <c r="I6" i="121"/>
  <c r="I6" i="123"/>
  <c r="I6" i="122"/>
  <c r="I6" i="124"/>
  <c r="I6" i="125"/>
  <c r="I6" i="126"/>
  <c r="I6" i="127"/>
  <c r="I6" i="128"/>
  <c r="I6" i="130"/>
  <c r="I6" i="132"/>
  <c r="I6" i="131"/>
  <c r="I6" i="129"/>
  <c r="I6" i="133"/>
  <c r="I6" i="134"/>
  <c r="I6" i="135"/>
  <c r="I6" i="112"/>
  <c r="I6" i="113"/>
  <c r="I6" i="114"/>
  <c r="I6" i="115"/>
  <c r="I6" i="116"/>
  <c r="I6" i="117"/>
  <c r="I6" i="118"/>
  <c r="I6" i="119"/>
  <c r="I6" i="108"/>
  <c r="I6" i="109"/>
  <c r="I6" i="111"/>
  <c r="I6" i="110"/>
  <c r="I6" i="106"/>
  <c r="I6" i="107"/>
  <c r="I6" i="105"/>
  <c r="I6" i="120"/>
  <c r="H81" i="72"/>
  <c r="N81" i="121"/>
  <c r="O81" i="121"/>
  <c r="P81" i="121"/>
  <c r="Q81" i="121"/>
  <c r="R81" i="121"/>
  <c r="S81" i="121"/>
  <c r="T81" i="121"/>
  <c r="L81" i="121"/>
  <c r="L72" i="72"/>
  <c r="M72" i="72"/>
  <c r="N72" i="72"/>
  <c r="O72" i="72"/>
  <c r="P72" i="72"/>
  <c r="Q72" i="72"/>
  <c r="R72" i="72"/>
  <c r="S72" i="72"/>
  <c r="T72" i="72"/>
  <c r="L73" i="72"/>
  <c r="M73" i="72"/>
  <c r="N73" i="72"/>
  <c r="O73" i="72"/>
  <c r="P73" i="72"/>
  <c r="Q73" i="72"/>
  <c r="R73" i="72"/>
  <c r="S73" i="72"/>
  <c r="T73" i="72"/>
  <c r="L74" i="72"/>
  <c r="M74" i="72"/>
  <c r="N74" i="72"/>
  <c r="O74" i="72"/>
  <c r="P74" i="72"/>
  <c r="Q74" i="72"/>
  <c r="R74" i="72"/>
  <c r="S74" i="72"/>
  <c r="T74" i="72"/>
  <c r="U72" i="121"/>
  <c r="U73" i="121"/>
  <c r="U74" i="121"/>
  <c r="U77" i="121"/>
  <c r="U72" i="123"/>
  <c r="U73" i="123"/>
  <c r="U74" i="123"/>
  <c r="U77" i="123"/>
  <c r="U72" i="122"/>
  <c r="U73" i="122"/>
  <c r="U74" i="122"/>
  <c r="U77" i="122"/>
  <c r="U72" i="124"/>
  <c r="U73" i="124"/>
  <c r="U74" i="124"/>
  <c r="U77" i="124"/>
  <c r="U72" i="125"/>
  <c r="U73" i="125"/>
  <c r="U74" i="125"/>
  <c r="U77" i="125"/>
  <c r="U72" i="126"/>
  <c r="U73" i="126"/>
  <c r="U74" i="126"/>
  <c r="U77" i="126"/>
  <c r="U72" i="127"/>
  <c r="U73" i="127"/>
  <c r="U74" i="127"/>
  <c r="U72" i="128"/>
  <c r="U73" i="128"/>
  <c r="U74" i="128"/>
  <c r="U77" i="128"/>
  <c r="U72" i="130"/>
  <c r="U73" i="130"/>
  <c r="U74" i="130"/>
  <c r="U77" i="130"/>
  <c r="U72" i="132"/>
  <c r="U73" i="132"/>
  <c r="U74" i="132"/>
  <c r="U77" i="132"/>
  <c r="U72" i="131"/>
  <c r="U73" i="131"/>
  <c r="U74" i="131"/>
  <c r="U72" i="129"/>
  <c r="U73" i="129"/>
  <c r="U74" i="129"/>
  <c r="U77" i="129"/>
  <c r="U72" i="133"/>
  <c r="U73" i="133"/>
  <c r="U74" i="133"/>
  <c r="U77" i="133"/>
  <c r="U72" i="134"/>
  <c r="U73" i="134"/>
  <c r="U74" i="134"/>
  <c r="U77" i="134"/>
  <c r="U72" i="135"/>
  <c r="U73" i="135"/>
  <c r="U74" i="135"/>
  <c r="U77" i="135"/>
  <c r="U72" i="112"/>
  <c r="U73" i="112"/>
  <c r="U74" i="112"/>
  <c r="U77" i="112"/>
  <c r="U72" i="113"/>
  <c r="U73" i="113"/>
  <c r="U74" i="113"/>
  <c r="U77" i="113"/>
  <c r="U72" i="114"/>
  <c r="U73" i="114"/>
  <c r="U74" i="114"/>
  <c r="U77" i="114"/>
  <c r="U72" i="115"/>
  <c r="U73" i="115"/>
  <c r="U74" i="115"/>
  <c r="U77" i="115"/>
  <c r="U72" i="116"/>
  <c r="U73" i="116"/>
  <c r="U74" i="116"/>
  <c r="U77" i="116"/>
  <c r="U72" i="117"/>
  <c r="U73" i="117"/>
  <c r="U74" i="117"/>
  <c r="U77" i="117"/>
  <c r="U72" i="118"/>
  <c r="U73" i="118"/>
  <c r="U74" i="118"/>
  <c r="U72" i="119"/>
  <c r="U73" i="119"/>
  <c r="U74" i="119"/>
  <c r="U77" i="119"/>
  <c r="U72" i="108"/>
  <c r="U73" i="108"/>
  <c r="U74" i="108"/>
  <c r="U77" i="108"/>
  <c r="U72" i="109"/>
  <c r="U73" i="109"/>
  <c r="U74" i="109"/>
  <c r="U77" i="109"/>
  <c r="U72" i="111"/>
  <c r="U73" i="111"/>
  <c r="U74" i="111"/>
  <c r="U77" i="111"/>
  <c r="U72" i="110"/>
  <c r="U73" i="110"/>
  <c r="U74" i="110"/>
  <c r="U77" i="110"/>
  <c r="U72" i="106"/>
  <c r="U73" i="106"/>
  <c r="U74" i="106"/>
  <c r="U77" i="106"/>
  <c r="U72" i="107"/>
  <c r="U73" i="107"/>
  <c r="U74" i="107"/>
  <c r="U77" i="107"/>
  <c r="U72" i="105"/>
  <c r="U73" i="105"/>
  <c r="U74" i="105"/>
  <c r="U77" i="105"/>
  <c r="U72" i="120"/>
  <c r="U73" i="120"/>
  <c r="U74" i="120"/>
  <c r="U71" i="121"/>
  <c r="U71" i="123"/>
  <c r="U71" i="122"/>
  <c r="U71" i="124"/>
  <c r="U71" i="125"/>
  <c r="U71" i="126"/>
  <c r="U71" i="127"/>
  <c r="U71" i="128"/>
  <c r="U71" i="130"/>
  <c r="U71" i="132"/>
  <c r="U71" i="131"/>
  <c r="U71" i="129"/>
  <c r="U71" i="133"/>
  <c r="U71" i="134"/>
  <c r="U71" i="135"/>
  <c r="U71" i="112"/>
  <c r="U71" i="113"/>
  <c r="U71" i="114"/>
  <c r="U71" i="115"/>
  <c r="U71" i="116"/>
  <c r="U71" i="117"/>
  <c r="U71" i="118"/>
  <c r="U71" i="119"/>
  <c r="U71" i="108"/>
  <c r="U71" i="109"/>
  <c r="U71" i="111"/>
  <c r="U71" i="110"/>
  <c r="U71" i="106"/>
  <c r="U71" i="107"/>
  <c r="U71" i="105"/>
  <c r="U71" i="120"/>
  <c r="T69" i="72"/>
  <c r="S69" i="72"/>
  <c r="R69" i="72"/>
  <c r="Q69" i="72"/>
  <c r="P69" i="72"/>
  <c r="O69" i="72"/>
  <c r="N69" i="72"/>
  <c r="M69" i="72"/>
  <c r="L69" i="72"/>
  <c r="T71" i="72"/>
  <c r="S71" i="72"/>
  <c r="R71" i="72"/>
  <c r="Q71" i="72"/>
  <c r="P71" i="72"/>
  <c r="O71" i="72"/>
  <c r="N71" i="72"/>
  <c r="M71" i="72"/>
  <c r="L71" i="72"/>
  <c r="T70" i="72"/>
  <c r="S70" i="72"/>
  <c r="R70" i="72"/>
  <c r="Q70" i="72"/>
  <c r="P70" i="72"/>
  <c r="O70" i="72"/>
  <c r="N70" i="72"/>
  <c r="M70" i="72"/>
  <c r="L70" i="72"/>
  <c r="U70" i="120"/>
  <c r="U70" i="121"/>
  <c r="U70" i="123"/>
  <c r="U70" i="122"/>
  <c r="U70" i="124"/>
  <c r="U70" i="125"/>
  <c r="U70" i="126"/>
  <c r="U70" i="127"/>
  <c r="U70" i="128"/>
  <c r="U70" i="130"/>
  <c r="U70" i="132"/>
  <c r="U70" i="131"/>
  <c r="U70" i="129"/>
  <c r="U70" i="133"/>
  <c r="U70" i="134"/>
  <c r="U70" i="135"/>
  <c r="U70" i="112"/>
  <c r="U70" i="113"/>
  <c r="U70" i="114"/>
  <c r="U70" i="115"/>
  <c r="U70" i="116"/>
  <c r="U70" i="117"/>
  <c r="U70" i="118"/>
  <c r="U70" i="119"/>
  <c r="U70" i="108"/>
  <c r="U70" i="109"/>
  <c r="U70" i="111"/>
  <c r="U70" i="110"/>
  <c r="U70" i="106"/>
  <c r="U70" i="107"/>
  <c r="U70" i="105"/>
  <c r="V79" i="110" l="1"/>
  <c r="V79" i="115"/>
  <c r="V79" i="135"/>
  <c r="V79" i="126"/>
  <c r="V79" i="105"/>
  <c r="V80" i="105"/>
  <c r="V78" i="111"/>
  <c r="V78" i="119"/>
  <c r="V79" i="117"/>
  <c r="V79" i="116"/>
  <c r="I81" i="114"/>
  <c r="V79" i="112"/>
  <c r="V78" i="112"/>
  <c r="V78" i="134"/>
  <c r="V79" i="134"/>
  <c r="V79" i="129"/>
  <c r="V79" i="130"/>
  <c r="V78" i="130"/>
  <c r="V79" i="128"/>
  <c r="V79" i="127"/>
  <c r="I75" i="72"/>
  <c r="V79" i="123"/>
  <c r="V80" i="130"/>
  <c r="V79" i="107"/>
  <c r="V79" i="106"/>
  <c r="V79" i="111"/>
  <c r="V79" i="108"/>
  <c r="I81" i="118"/>
  <c r="B2" i="118" s="1"/>
  <c r="V80" i="117"/>
  <c r="V79" i="114"/>
  <c r="V79" i="113"/>
  <c r="I79" i="72"/>
  <c r="V79" i="133"/>
  <c r="V78" i="131"/>
  <c r="V80" i="126"/>
  <c r="V80" i="125"/>
  <c r="V80" i="124"/>
  <c r="V78" i="105"/>
  <c r="U79" i="72"/>
  <c r="V78" i="106"/>
  <c r="V78" i="114"/>
  <c r="V78" i="123"/>
  <c r="V78" i="113"/>
  <c r="V78" i="121"/>
  <c r="V80" i="113"/>
  <c r="V78" i="107"/>
  <c r="V78" i="133"/>
  <c r="V78" i="109"/>
  <c r="V78" i="128"/>
  <c r="V80" i="108"/>
  <c r="V78" i="117"/>
  <c r="V78" i="125"/>
  <c r="V78" i="124"/>
  <c r="V78" i="118"/>
  <c r="V78" i="116"/>
  <c r="V78" i="115"/>
  <c r="V76" i="113"/>
  <c r="V78" i="135"/>
  <c r="V76" i="135"/>
  <c r="V78" i="129"/>
  <c r="V80" i="129"/>
  <c r="V78" i="132"/>
  <c r="V78" i="126"/>
  <c r="V78" i="122"/>
  <c r="V78" i="120"/>
  <c r="V80" i="120"/>
  <c r="I81" i="127"/>
  <c r="B2" i="127" s="1"/>
  <c r="V80" i="133"/>
  <c r="V80" i="134"/>
  <c r="V80" i="127"/>
  <c r="V80" i="119"/>
  <c r="V80" i="112"/>
  <c r="V76" i="112"/>
  <c r="V80" i="131"/>
  <c r="V80" i="128"/>
  <c r="I78" i="72"/>
  <c r="I81" i="121"/>
  <c r="V80" i="132"/>
  <c r="I80" i="72"/>
  <c r="U80" i="72"/>
  <c r="V76" i="123"/>
  <c r="V80" i="122"/>
  <c r="U78" i="72"/>
  <c r="I81" i="135"/>
  <c r="I81" i="134"/>
  <c r="V80" i="123"/>
  <c r="I81" i="107"/>
  <c r="I81" i="120"/>
  <c r="V80" i="111"/>
  <c r="I81" i="106"/>
  <c r="I81" i="110"/>
  <c r="V76" i="108"/>
  <c r="I81" i="111"/>
  <c r="V76" i="128"/>
  <c r="I81" i="105"/>
  <c r="V80" i="114"/>
  <c r="V77" i="105"/>
  <c r="V77" i="134"/>
  <c r="V70" i="112"/>
  <c r="I81" i="115"/>
  <c r="V80" i="135"/>
  <c r="I81" i="125"/>
  <c r="I81" i="117"/>
  <c r="I81" i="112"/>
  <c r="I81" i="113"/>
  <c r="V76" i="131"/>
  <c r="V77" i="121"/>
  <c r="I81" i="124"/>
  <c r="V80" i="106"/>
  <c r="V80" i="110"/>
  <c r="V80" i="109"/>
  <c r="I81" i="109"/>
  <c r="I81" i="108"/>
  <c r="B2" i="108" s="1"/>
  <c r="I81" i="119"/>
  <c r="V80" i="118"/>
  <c r="I81" i="116"/>
  <c r="V80" i="116"/>
  <c r="V80" i="115"/>
  <c r="I81" i="133"/>
  <c r="I81" i="129"/>
  <c r="I81" i="131"/>
  <c r="V76" i="132"/>
  <c r="I81" i="132"/>
  <c r="I81" i="130"/>
  <c r="V76" i="130"/>
  <c r="I81" i="128"/>
  <c r="I81" i="126"/>
  <c r="V76" i="125"/>
  <c r="V74" i="125"/>
  <c r="V76" i="124"/>
  <c r="V74" i="124"/>
  <c r="V73" i="124"/>
  <c r="I81" i="122"/>
  <c r="I81" i="123"/>
  <c r="V80" i="107"/>
  <c r="V76" i="109"/>
  <c r="V76" i="117"/>
  <c r="V80" i="121"/>
  <c r="V76" i="116"/>
  <c r="V76" i="105"/>
  <c r="V76" i="134"/>
  <c r="V76" i="133"/>
  <c r="V76" i="129"/>
  <c r="V72" i="132"/>
  <c r="V76" i="115"/>
  <c r="V74" i="121"/>
  <c r="V73" i="127"/>
  <c r="V72" i="127"/>
  <c r="V77" i="123"/>
  <c r="V76" i="121"/>
  <c r="V76" i="127"/>
  <c r="V72" i="111"/>
  <c r="V77" i="130"/>
  <c r="V76" i="118"/>
  <c r="V76" i="126"/>
  <c r="V71" i="128"/>
  <c r="V77" i="109"/>
  <c r="V77" i="113"/>
  <c r="V76" i="122"/>
  <c r="V71" i="133"/>
  <c r="V72" i="120"/>
  <c r="V73" i="120"/>
  <c r="V71" i="106"/>
  <c r="V76" i="111"/>
  <c r="V74" i="126"/>
  <c r="V76" i="119"/>
  <c r="V72" i="122"/>
  <c r="V76" i="120"/>
  <c r="V73" i="131"/>
  <c r="V76" i="107"/>
  <c r="V76" i="110"/>
  <c r="V71" i="111"/>
  <c r="V74" i="118"/>
  <c r="V74" i="116"/>
  <c r="V73" i="116"/>
  <c r="V72" i="116"/>
  <c r="U76" i="72"/>
  <c r="V72" i="115"/>
  <c r="V72" i="114"/>
  <c r="V76" i="114"/>
  <c r="I76" i="72"/>
  <c r="V76" i="106"/>
  <c r="V77" i="114"/>
  <c r="V72" i="134"/>
  <c r="V71" i="119"/>
  <c r="V71" i="127"/>
  <c r="V73" i="121"/>
  <c r="V73" i="113"/>
  <c r="V72" i="121"/>
  <c r="V70" i="111"/>
  <c r="V70" i="132"/>
  <c r="V72" i="113"/>
  <c r="V77" i="128"/>
  <c r="V71" i="116"/>
  <c r="V71" i="124"/>
  <c r="V72" i="124"/>
  <c r="V74" i="105"/>
  <c r="V71" i="132"/>
  <c r="V72" i="123"/>
  <c r="V72" i="105"/>
  <c r="V77" i="125"/>
  <c r="V70" i="113"/>
  <c r="V74" i="134"/>
  <c r="V73" i="134"/>
  <c r="I77" i="72"/>
  <c r="V70" i="133"/>
  <c r="U77" i="72"/>
  <c r="V71" i="129"/>
  <c r="U75" i="72"/>
  <c r="V72" i="131"/>
  <c r="V71" i="131"/>
  <c r="V77" i="106"/>
  <c r="V71" i="113"/>
  <c r="V72" i="117"/>
  <c r="V70" i="127"/>
  <c r="V73" i="126"/>
  <c r="V73" i="105"/>
  <c r="V72" i="126"/>
  <c r="V71" i="126"/>
  <c r="V72" i="107"/>
  <c r="V70" i="107"/>
  <c r="V71" i="107"/>
  <c r="V72" i="119"/>
  <c r="V70" i="114"/>
  <c r="V73" i="135"/>
  <c r="V72" i="135"/>
  <c r="V70" i="131"/>
  <c r="V73" i="130"/>
  <c r="V72" i="130"/>
  <c r="V74" i="128"/>
  <c r="V74" i="122"/>
  <c r="V73" i="122"/>
  <c r="V70" i="123"/>
  <c r="V77" i="107"/>
  <c r="V71" i="109"/>
  <c r="V72" i="109"/>
  <c r="V73" i="119"/>
  <c r="V73" i="118"/>
  <c r="V72" i="118"/>
  <c r="V77" i="117"/>
  <c r="V74" i="112"/>
  <c r="V77" i="112"/>
  <c r="V70" i="135"/>
  <c r="V71" i="135"/>
  <c r="V71" i="134"/>
  <c r="V74" i="131"/>
  <c r="V74" i="132"/>
  <c r="V77" i="132"/>
  <c r="V71" i="130"/>
  <c r="V70" i="128"/>
  <c r="V73" i="128"/>
  <c r="V77" i="122"/>
  <c r="V70" i="109"/>
  <c r="V74" i="107"/>
  <c r="V71" i="120"/>
  <c r="V77" i="118"/>
  <c r="V71" i="114"/>
  <c r="V70" i="130"/>
  <c r="V72" i="129"/>
  <c r="V74" i="130"/>
  <c r="V77" i="110"/>
  <c r="V74" i="110"/>
  <c r="V72" i="110"/>
  <c r="V74" i="108"/>
  <c r="V77" i="108"/>
  <c r="V70" i="106"/>
  <c r="V74" i="106"/>
  <c r="V73" i="106"/>
  <c r="V72" i="106"/>
  <c r="V70" i="110"/>
  <c r="V74" i="109"/>
  <c r="V73" i="109"/>
  <c r="V70" i="119"/>
  <c r="V74" i="113"/>
  <c r="V73" i="112"/>
  <c r="V74" i="129"/>
  <c r="V73" i="129"/>
  <c r="V77" i="126"/>
  <c r="V70" i="126"/>
  <c r="V71" i="125"/>
  <c r="V70" i="125"/>
  <c r="V77" i="124"/>
  <c r="V71" i="122"/>
  <c r="V70" i="108"/>
  <c r="V71" i="117"/>
  <c r="V74" i="117"/>
  <c r="V71" i="115"/>
  <c r="V74" i="114"/>
  <c r="V72" i="133"/>
  <c r="V77" i="133"/>
  <c r="V74" i="133"/>
  <c r="V77" i="129"/>
  <c r="V70" i="124"/>
  <c r="V70" i="122"/>
  <c r="V71" i="105"/>
  <c r="V73" i="110"/>
  <c r="V71" i="110"/>
  <c r="V77" i="111"/>
  <c r="V74" i="111"/>
  <c r="V73" i="108"/>
  <c r="V71" i="118"/>
  <c r="V70" i="117"/>
  <c r="I71" i="72"/>
  <c r="V77" i="116"/>
  <c r="V70" i="116"/>
  <c r="V74" i="115"/>
  <c r="V73" i="115"/>
  <c r="V70" i="115"/>
  <c r="V77" i="115"/>
  <c r="V71" i="112"/>
  <c r="I74" i="72"/>
  <c r="V70" i="129"/>
  <c r="V74" i="123"/>
  <c r="V71" i="123"/>
  <c r="V71" i="121"/>
  <c r="I69" i="72"/>
  <c r="V70" i="121"/>
  <c r="V70" i="120"/>
  <c r="I70" i="72"/>
  <c r="I72" i="72"/>
  <c r="I73" i="72"/>
  <c r="V73" i="111"/>
  <c r="V73" i="114"/>
  <c r="V73" i="132"/>
  <c r="V73" i="123"/>
  <c r="V72" i="108"/>
  <c r="V72" i="112"/>
  <c r="V72" i="128"/>
  <c r="V77" i="127"/>
  <c r="V77" i="135"/>
  <c r="V74" i="120"/>
  <c r="V74" i="119"/>
  <c r="V74" i="135"/>
  <c r="V74" i="127"/>
  <c r="V71" i="108"/>
  <c r="V77" i="120"/>
  <c r="V77" i="119"/>
  <c r="V70" i="105"/>
  <c r="V70" i="118"/>
  <c r="V70" i="134"/>
  <c r="V73" i="107"/>
  <c r="V73" i="117"/>
  <c r="V73" i="133"/>
  <c r="V73" i="125"/>
  <c r="V72" i="125"/>
  <c r="U72" i="72"/>
  <c r="U71" i="72"/>
  <c r="U74" i="72"/>
  <c r="U73" i="72"/>
  <c r="U70" i="72"/>
  <c r="U69" i="72"/>
  <c r="T68" i="72"/>
  <c r="S68" i="72"/>
  <c r="R68" i="72"/>
  <c r="Q68" i="72"/>
  <c r="P68" i="72"/>
  <c r="O68" i="72"/>
  <c r="N68" i="72"/>
  <c r="M68" i="72"/>
  <c r="L68" i="72"/>
  <c r="I68" i="72"/>
  <c r="T67" i="72"/>
  <c r="S67" i="72"/>
  <c r="R67" i="72"/>
  <c r="Q67" i="72"/>
  <c r="P67" i="72"/>
  <c r="O67" i="72"/>
  <c r="N67" i="72"/>
  <c r="M67" i="72"/>
  <c r="L67" i="72"/>
  <c r="I67" i="72"/>
  <c r="V75" i="72" l="1"/>
  <c r="V79" i="72"/>
  <c r="V78" i="72"/>
  <c r="V80" i="72"/>
  <c r="V76" i="72"/>
  <c r="V77" i="72"/>
  <c r="V71" i="72"/>
  <c r="V69" i="72"/>
  <c r="V74" i="72"/>
  <c r="V72" i="72"/>
  <c r="V70" i="72"/>
  <c r="V73" i="72"/>
  <c r="U68" i="72"/>
  <c r="U67" i="72"/>
  <c r="I39" i="72" l="1"/>
  <c r="G81" i="72"/>
  <c r="F1" i="72" s="1"/>
  <c r="T66" i="72"/>
  <c r="S66" i="72"/>
  <c r="R66" i="72"/>
  <c r="Q66" i="72"/>
  <c r="P66" i="72"/>
  <c r="O66" i="72"/>
  <c r="N66" i="72"/>
  <c r="M66" i="72"/>
  <c r="L66" i="72"/>
  <c r="I66" i="72"/>
  <c r="T65" i="72"/>
  <c r="S65" i="72"/>
  <c r="R65" i="72"/>
  <c r="Q65" i="72"/>
  <c r="P65" i="72"/>
  <c r="O65" i="72"/>
  <c r="N65" i="72"/>
  <c r="M65" i="72"/>
  <c r="L65" i="72"/>
  <c r="I65" i="72"/>
  <c r="T64" i="72"/>
  <c r="S64" i="72"/>
  <c r="R64" i="72"/>
  <c r="Q64" i="72"/>
  <c r="P64" i="72"/>
  <c r="O64" i="72"/>
  <c r="N64" i="72"/>
  <c r="M64" i="72"/>
  <c r="L64" i="72"/>
  <c r="I64" i="72"/>
  <c r="T63" i="72"/>
  <c r="S63" i="72"/>
  <c r="R63" i="72"/>
  <c r="Q63" i="72"/>
  <c r="P63" i="72"/>
  <c r="O63" i="72"/>
  <c r="N63" i="72"/>
  <c r="M63" i="72"/>
  <c r="L63" i="72"/>
  <c r="I63" i="72"/>
  <c r="T62" i="72"/>
  <c r="S62" i="72"/>
  <c r="R62" i="72"/>
  <c r="Q62" i="72"/>
  <c r="P62" i="72"/>
  <c r="O62" i="72"/>
  <c r="N62" i="72"/>
  <c r="M62" i="72"/>
  <c r="L62" i="72"/>
  <c r="I62" i="72"/>
  <c r="T61" i="72"/>
  <c r="S61" i="72"/>
  <c r="R61" i="72"/>
  <c r="Q61" i="72"/>
  <c r="P61" i="72"/>
  <c r="O61" i="72"/>
  <c r="N61" i="72"/>
  <c r="M61" i="72"/>
  <c r="L61" i="72"/>
  <c r="I61" i="72"/>
  <c r="T60" i="72"/>
  <c r="S60" i="72"/>
  <c r="R60" i="72"/>
  <c r="Q60" i="72"/>
  <c r="P60" i="72"/>
  <c r="O60" i="72"/>
  <c r="N60" i="72"/>
  <c r="M60" i="72"/>
  <c r="L60" i="72"/>
  <c r="I60" i="72"/>
  <c r="T59" i="72"/>
  <c r="S59" i="72"/>
  <c r="R59" i="72"/>
  <c r="Q59" i="72"/>
  <c r="P59" i="72"/>
  <c r="O59" i="72"/>
  <c r="N59" i="72"/>
  <c r="M59" i="72"/>
  <c r="L59" i="72"/>
  <c r="I59" i="72"/>
  <c r="T58" i="72"/>
  <c r="S58" i="72"/>
  <c r="R58" i="72"/>
  <c r="Q58" i="72"/>
  <c r="P58" i="72"/>
  <c r="O58" i="72"/>
  <c r="N58" i="72"/>
  <c r="M58" i="72"/>
  <c r="L58" i="72"/>
  <c r="I58" i="72"/>
  <c r="T57" i="72"/>
  <c r="S57" i="72"/>
  <c r="R57" i="72"/>
  <c r="Q57" i="72"/>
  <c r="P57" i="72"/>
  <c r="O57" i="72"/>
  <c r="N57" i="72"/>
  <c r="M57" i="72"/>
  <c r="L57" i="72"/>
  <c r="I57" i="72"/>
  <c r="T56" i="72"/>
  <c r="S56" i="72"/>
  <c r="R56" i="72"/>
  <c r="Q56" i="72"/>
  <c r="P56" i="72"/>
  <c r="O56" i="72"/>
  <c r="N56" i="72"/>
  <c r="M56" i="72"/>
  <c r="L56" i="72"/>
  <c r="I56" i="72"/>
  <c r="T55" i="72"/>
  <c r="S55" i="72"/>
  <c r="R55" i="72"/>
  <c r="Q55" i="72"/>
  <c r="P55" i="72"/>
  <c r="O55" i="72"/>
  <c r="N55" i="72"/>
  <c r="M55" i="72"/>
  <c r="L55" i="72"/>
  <c r="I55" i="72"/>
  <c r="T54" i="72"/>
  <c r="S54" i="72"/>
  <c r="R54" i="72"/>
  <c r="Q54" i="72"/>
  <c r="P54" i="72"/>
  <c r="O54" i="72"/>
  <c r="N54" i="72"/>
  <c r="M54" i="72"/>
  <c r="L54" i="72"/>
  <c r="I54" i="72"/>
  <c r="T53" i="72"/>
  <c r="S53" i="72"/>
  <c r="R53" i="72"/>
  <c r="Q53" i="72"/>
  <c r="P53" i="72"/>
  <c r="O53" i="72"/>
  <c r="N53" i="72"/>
  <c r="M53" i="72"/>
  <c r="L53" i="72"/>
  <c r="I53" i="72"/>
  <c r="T52" i="72"/>
  <c r="S52" i="72"/>
  <c r="R52" i="72"/>
  <c r="Q52" i="72"/>
  <c r="P52" i="72"/>
  <c r="O52" i="72"/>
  <c r="N52" i="72"/>
  <c r="M52" i="72"/>
  <c r="L52" i="72"/>
  <c r="I52" i="72"/>
  <c r="T51" i="72"/>
  <c r="S51" i="72"/>
  <c r="R51" i="72"/>
  <c r="Q51" i="72"/>
  <c r="P51" i="72"/>
  <c r="O51" i="72"/>
  <c r="N51" i="72"/>
  <c r="M51" i="72"/>
  <c r="L51" i="72"/>
  <c r="I51" i="72"/>
  <c r="T50" i="72"/>
  <c r="S50" i="72"/>
  <c r="R50" i="72"/>
  <c r="Q50" i="72"/>
  <c r="P50" i="72"/>
  <c r="O50" i="72"/>
  <c r="N50" i="72"/>
  <c r="M50" i="72"/>
  <c r="L50" i="72"/>
  <c r="I50" i="72"/>
  <c r="T49" i="72"/>
  <c r="S49" i="72"/>
  <c r="R49" i="72"/>
  <c r="Q49" i="72"/>
  <c r="P49" i="72"/>
  <c r="O49" i="72"/>
  <c r="N49" i="72"/>
  <c r="M49" i="72"/>
  <c r="L49" i="72"/>
  <c r="I49" i="72"/>
  <c r="T48" i="72"/>
  <c r="S48" i="72"/>
  <c r="R48" i="72"/>
  <c r="Q48" i="72"/>
  <c r="P48" i="72"/>
  <c r="O48" i="72"/>
  <c r="N48" i="72"/>
  <c r="M48" i="72"/>
  <c r="L48" i="72"/>
  <c r="I48" i="72"/>
  <c r="T47" i="72"/>
  <c r="S47" i="72"/>
  <c r="R47" i="72"/>
  <c r="Q47" i="72"/>
  <c r="P47" i="72"/>
  <c r="O47" i="72"/>
  <c r="N47" i="72"/>
  <c r="M47" i="72"/>
  <c r="L47" i="72"/>
  <c r="I47" i="72"/>
  <c r="T46" i="72"/>
  <c r="S46" i="72"/>
  <c r="R46" i="72"/>
  <c r="Q46" i="72"/>
  <c r="P46" i="72"/>
  <c r="O46" i="72"/>
  <c r="N46" i="72"/>
  <c r="M46" i="72"/>
  <c r="L46" i="72"/>
  <c r="I46" i="72"/>
  <c r="T45" i="72"/>
  <c r="S45" i="72"/>
  <c r="R45" i="72"/>
  <c r="Q45" i="72"/>
  <c r="P45" i="72"/>
  <c r="O45" i="72"/>
  <c r="N45" i="72"/>
  <c r="M45" i="72"/>
  <c r="L45" i="72"/>
  <c r="I45" i="72"/>
  <c r="T44" i="72"/>
  <c r="S44" i="72"/>
  <c r="R44" i="72"/>
  <c r="Q44" i="72"/>
  <c r="P44" i="72"/>
  <c r="O44" i="72"/>
  <c r="N44" i="72"/>
  <c r="M44" i="72"/>
  <c r="L44" i="72"/>
  <c r="I44" i="72"/>
  <c r="T43" i="72"/>
  <c r="S43" i="72"/>
  <c r="R43" i="72"/>
  <c r="Q43" i="72"/>
  <c r="P43" i="72"/>
  <c r="O43" i="72"/>
  <c r="N43" i="72"/>
  <c r="M43" i="72"/>
  <c r="L43" i="72"/>
  <c r="I43" i="72"/>
  <c r="T42" i="72"/>
  <c r="S42" i="72"/>
  <c r="R42" i="72"/>
  <c r="Q42" i="72"/>
  <c r="P42" i="72"/>
  <c r="O42" i="72"/>
  <c r="N42" i="72"/>
  <c r="M42" i="72"/>
  <c r="L42" i="72"/>
  <c r="I42" i="72"/>
  <c r="T41" i="72"/>
  <c r="S41" i="72"/>
  <c r="R41" i="72"/>
  <c r="Q41" i="72"/>
  <c r="P41" i="72"/>
  <c r="O41" i="72"/>
  <c r="N41" i="72"/>
  <c r="M41" i="72"/>
  <c r="L41" i="72"/>
  <c r="I41" i="72"/>
  <c r="T40" i="72"/>
  <c r="S40" i="72"/>
  <c r="R40" i="72"/>
  <c r="Q40" i="72"/>
  <c r="P40" i="72"/>
  <c r="O40" i="72"/>
  <c r="N40" i="72"/>
  <c r="M40" i="72"/>
  <c r="L40" i="72"/>
  <c r="I40" i="72"/>
  <c r="T39" i="72"/>
  <c r="S39" i="72"/>
  <c r="R39" i="72"/>
  <c r="Q39" i="72"/>
  <c r="P39" i="72"/>
  <c r="O39" i="72"/>
  <c r="N39" i="72"/>
  <c r="M39" i="72"/>
  <c r="L39" i="72"/>
  <c r="T38" i="72"/>
  <c r="S38" i="72"/>
  <c r="R38" i="72"/>
  <c r="Q38" i="72"/>
  <c r="P38" i="72"/>
  <c r="O38" i="72"/>
  <c r="N38" i="72"/>
  <c r="M38" i="72"/>
  <c r="L38" i="72"/>
  <c r="I38" i="72"/>
  <c r="T37" i="72"/>
  <c r="S37" i="72"/>
  <c r="R37" i="72"/>
  <c r="Q37" i="72"/>
  <c r="P37" i="72"/>
  <c r="O37" i="72"/>
  <c r="N37" i="72"/>
  <c r="M37" i="72"/>
  <c r="L37" i="72"/>
  <c r="I37" i="72"/>
  <c r="T36" i="72"/>
  <c r="S36" i="72"/>
  <c r="R36" i="72"/>
  <c r="Q36" i="72"/>
  <c r="P36" i="72"/>
  <c r="O36" i="72"/>
  <c r="N36" i="72"/>
  <c r="M36" i="72"/>
  <c r="L36" i="72"/>
  <c r="I36" i="72"/>
  <c r="T35" i="72"/>
  <c r="S35" i="72"/>
  <c r="R35" i="72"/>
  <c r="Q35" i="72"/>
  <c r="P35" i="72"/>
  <c r="O35" i="72"/>
  <c r="N35" i="72"/>
  <c r="M35" i="72"/>
  <c r="L35" i="72"/>
  <c r="I35" i="72"/>
  <c r="T34" i="72"/>
  <c r="S34" i="72"/>
  <c r="R34" i="72"/>
  <c r="Q34" i="72"/>
  <c r="P34" i="72"/>
  <c r="O34" i="72"/>
  <c r="N34" i="72"/>
  <c r="M34" i="72"/>
  <c r="L34" i="72"/>
  <c r="I34" i="72"/>
  <c r="T33" i="72"/>
  <c r="S33" i="72"/>
  <c r="R33" i="72"/>
  <c r="Q33" i="72"/>
  <c r="P33" i="72"/>
  <c r="O33" i="72"/>
  <c r="N33" i="72"/>
  <c r="M33" i="72"/>
  <c r="L33" i="72"/>
  <c r="I33" i="72"/>
  <c r="T32" i="72"/>
  <c r="S32" i="72"/>
  <c r="R32" i="72"/>
  <c r="Q32" i="72"/>
  <c r="P32" i="72"/>
  <c r="O32" i="72"/>
  <c r="N32" i="72"/>
  <c r="M32" i="72"/>
  <c r="L32" i="72"/>
  <c r="I32" i="72"/>
  <c r="T31" i="72"/>
  <c r="S31" i="72"/>
  <c r="R31" i="72"/>
  <c r="Q31" i="72"/>
  <c r="P31" i="72"/>
  <c r="O31" i="72"/>
  <c r="N31" i="72"/>
  <c r="M31" i="72"/>
  <c r="L31" i="72"/>
  <c r="I31" i="72"/>
  <c r="T30" i="72"/>
  <c r="S30" i="72"/>
  <c r="R30" i="72"/>
  <c r="Q30" i="72"/>
  <c r="P30" i="72"/>
  <c r="O30" i="72"/>
  <c r="N30" i="72"/>
  <c r="M30" i="72"/>
  <c r="L30" i="72"/>
  <c r="I30" i="72"/>
  <c r="T29" i="72"/>
  <c r="S29" i="72"/>
  <c r="R29" i="72"/>
  <c r="Q29" i="72"/>
  <c r="P29" i="72"/>
  <c r="O29" i="72"/>
  <c r="N29" i="72"/>
  <c r="M29" i="72"/>
  <c r="L29" i="72"/>
  <c r="I29" i="72"/>
  <c r="T28" i="72"/>
  <c r="S28" i="72"/>
  <c r="R28" i="72"/>
  <c r="Q28" i="72"/>
  <c r="P28" i="72"/>
  <c r="O28" i="72"/>
  <c r="N28" i="72"/>
  <c r="M28" i="72"/>
  <c r="L28" i="72"/>
  <c r="I28" i="72"/>
  <c r="T27" i="72"/>
  <c r="S27" i="72"/>
  <c r="R27" i="72"/>
  <c r="Q27" i="72"/>
  <c r="P27" i="72"/>
  <c r="O27" i="72"/>
  <c r="N27" i="72"/>
  <c r="M27" i="72"/>
  <c r="L27" i="72"/>
  <c r="I27" i="72"/>
  <c r="T26" i="72"/>
  <c r="S26" i="72"/>
  <c r="R26" i="72"/>
  <c r="Q26" i="72"/>
  <c r="P26" i="72"/>
  <c r="O26" i="72"/>
  <c r="N26" i="72"/>
  <c r="M26" i="72"/>
  <c r="L26" i="72"/>
  <c r="I26" i="72"/>
  <c r="T25" i="72"/>
  <c r="S25" i="72"/>
  <c r="R25" i="72"/>
  <c r="Q25" i="72"/>
  <c r="P25" i="72"/>
  <c r="O25" i="72"/>
  <c r="N25" i="72"/>
  <c r="M25" i="72"/>
  <c r="L25" i="72"/>
  <c r="I25" i="72"/>
  <c r="T24" i="72"/>
  <c r="S24" i="72"/>
  <c r="R24" i="72"/>
  <c r="Q24" i="72"/>
  <c r="P24" i="72"/>
  <c r="O24" i="72"/>
  <c r="N24" i="72"/>
  <c r="M24" i="72"/>
  <c r="L24" i="72"/>
  <c r="I24" i="72"/>
  <c r="T23" i="72"/>
  <c r="S23" i="72"/>
  <c r="R23" i="72"/>
  <c r="Q23" i="72"/>
  <c r="P23" i="72"/>
  <c r="O23" i="72"/>
  <c r="N23" i="72"/>
  <c r="M23" i="72"/>
  <c r="L23" i="72"/>
  <c r="I23" i="72"/>
  <c r="T22" i="72"/>
  <c r="S22" i="72"/>
  <c r="R22" i="72"/>
  <c r="Q22" i="72"/>
  <c r="P22" i="72"/>
  <c r="O22" i="72"/>
  <c r="N22" i="72"/>
  <c r="M22" i="72"/>
  <c r="L22" i="72"/>
  <c r="I22" i="72"/>
  <c r="T21" i="72"/>
  <c r="S21" i="72"/>
  <c r="R21" i="72"/>
  <c r="Q21" i="72"/>
  <c r="P21" i="72"/>
  <c r="O21" i="72"/>
  <c r="N21" i="72"/>
  <c r="M21" i="72"/>
  <c r="L21" i="72"/>
  <c r="I21" i="72"/>
  <c r="T20" i="72"/>
  <c r="S20" i="72"/>
  <c r="R20" i="72"/>
  <c r="Q20" i="72"/>
  <c r="P20" i="72"/>
  <c r="O20" i="72"/>
  <c r="N20" i="72"/>
  <c r="M20" i="72"/>
  <c r="L20" i="72"/>
  <c r="I20" i="72"/>
  <c r="T19" i="72"/>
  <c r="S19" i="72"/>
  <c r="R19" i="72"/>
  <c r="Q19" i="72"/>
  <c r="P19" i="72"/>
  <c r="O19" i="72"/>
  <c r="N19" i="72"/>
  <c r="M19" i="72"/>
  <c r="L19" i="72"/>
  <c r="I19" i="72"/>
  <c r="T18" i="72"/>
  <c r="S18" i="72"/>
  <c r="R18" i="72"/>
  <c r="Q18" i="72"/>
  <c r="P18" i="72"/>
  <c r="O18" i="72"/>
  <c r="N18" i="72"/>
  <c r="M18" i="72"/>
  <c r="L18" i="72"/>
  <c r="I18" i="72"/>
  <c r="T17" i="72"/>
  <c r="S17" i="72"/>
  <c r="R17" i="72"/>
  <c r="Q17" i="72"/>
  <c r="P17" i="72"/>
  <c r="O17" i="72"/>
  <c r="N17" i="72"/>
  <c r="M17" i="72"/>
  <c r="L17" i="72"/>
  <c r="I17" i="72"/>
  <c r="T16" i="72"/>
  <c r="S16" i="72"/>
  <c r="R16" i="72"/>
  <c r="Q16" i="72"/>
  <c r="P16" i="72"/>
  <c r="O16" i="72"/>
  <c r="N16" i="72"/>
  <c r="M16" i="72"/>
  <c r="L16" i="72"/>
  <c r="I16" i="72"/>
  <c r="T15" i="72"/>
  <c r="S15" i="72"/>
  <c r="R15" i="72"/>
  <c r="Q15" i="72"/>
  <c r="P15" i="72"/>
  <c r="O15" i="72"/>
  <c r="N15" i="72"/>
  <c r="M15" i="72"/>
  <c r="L15" i="72"/>
  <c r="I15" i="72"/>
  <c r="T14" i="72"/>
  <c r="S14" i="72"/>
  <c r="R14" i="72"/>
  <c r="Q14" i="72"/>
  <c r="P14" i="72"/>
  <c r="O14" i="72"/>
  <c r="N14" i="72"/>
  <c r="M14" i="72"/>
  <c r="L14" i="72"/>
  <c r="I14" i="72"/>
  <c r="T13" i="72"/>
  <c r="S13" i="72"/>
  <c r="R13" i="72"/>
  <c r="Q13" i="72"/>
  <c r="P13" i="72"/>
  <c r="O13" i="72"/>
  <c r="N13" i="72"/>
  <c r="M13" i="72"/>
  <c r="L13" i="72"/>
  <c r="I13" i="72"/>
  <c r="T12" i="72"/>
  <c r="S12" i="72"/>
  <c r="R12" i="72"/>
  <c r="Q12" i="72"/>
  <c r="P12" i="72"/>
  <c r="O12" i="72"/>
  <c r="N12" i="72"/>
  <c r="M12" i="72"/>
  <c r="L12" i="72"/>
  <c r="I12" i="72"/>
  <c r="T11" i="72"/>
  <c r="S11" i="72"/>
  <c r="R11" i="72"/>
  <c r="Q11" i="72"/>
  <c r="P11" i="72"/>
  <c r="O11" i="72"/>
  <c r="N11" i="72"/>
  <c r="M11" i="72"/>
  <c r="L11" i="72"/>
  <c r="I11" i="72"/>
  <c r="T10" i="72"/>
  <c r="S10" i="72"/>
  <c r="R10" i="72"/>
  <c r="Q10" i="72"/>
  <c r="P10" i="72"/>
  <c r="O10" i="72"/>
  <c r="N10" i="72"/>
  <c r="M10" i="72"/>
  <c r="L10" i="72"/>
  <c r="I10" i="72"/>
  <c r="T9" i="72"/>
  <c r="S9" i="72"/>
  <c r="R9" i="72"/>
  <c r="Q9" i="72"/>
  <c r="P9" i="72"/>
  <c r="O9" i="72"/>
  <c r="N9" i="72"/>
  <c r="M9" i="72"/>
  <c r="L9" i="72"/>
  <c r="I9" i="72"/>
  <c r="T8" i="72"/>
  <c r="S8" i="72"/>
  <c r="R8" i="72"/>
  <c r="Q8" i="72"/>
  <c r="P8" i="72"/>
  <c r="O8" i="72"/>
  <c r="N8" i="72"/>
  <c r="M8" i="72"/>
  <c r="L8" i="72"/>
  <c r="I8" i="72"/>
  <c r="T7" i="72"/>
  <c r="S7" i="72"/>
  <c r="R7" i="72"/>
  <c r="Q7" i="72"/>
  <c r="P7" i="72"/>
  <c r="O7" i="72"/>
  <c r="N7" i="72"/>
  <c r="M7" i="72"/>
  <c r="L7" i="72"/>
  <c r="I7" i="72"/>
  <c r="T6" i="72"/>
  <c r="S6" i="72"/>
  <c r="R6" i="72"/>
  <c r="Q6" i="72"/>
  <c r="P6" i="72"/>
  <c r="O6" i="72"/>
  <c r="N6" i="72"/>
  <c r="M6" i="72"/>
  <c r="L6" i="72"/>
  <c r="I6" i="72"/>
  <c r="B1" i="72"/>
  <c r="K81" i="105"/>
  <c r="B2" i="105"/>
  <c r="B1" i="105"/>
  <c r="U69" i="105"/>
  <c r="V69" i="105" s="1"/>
  <c r="U68" i="105"/>
  <c r="V68" i="105" s="1"/>
  <c r="U67" i="105"/>
  <c r="V67" i="105" s="1"/>
  <c r="U66" i="105"/>
  <c r="V66" i="105" s="1"/>
  <c r="U65" i="105"/>
  <c r="V65" i="105" s="1"/>
  <c r="U64" i="105"/>
  <c r="V64" i="105" s="1"/>
  <c r="U63" i="105"/>
  <c r="V63" i="105" s="1"/>
  <c r="U62" i="105"/>
  <c r="V62" i="105" s="1"/>
  <c r="U61" i="105"/>
  <c r="V61" i="105" s="1"/>
  <c r="U60" i="105"/>
  <c r="V60" i="105" s="1"/>
  <c r="U59" i="105"/>
  <c r="V59" i="105" s="1"/>
  <c r="U58" i="105"/>
  <c r="U57" i="105"/>
  <c r="V57" i="105" s="1"/>
  <c r="U56" i="105"/>
  <c r="V56" i="105" s="1"/>
  <c r="U55" i="105"/>
  <c r="V55" i="105" s="1"/>
  <c r="U54" i="105"/>
  <c r="V54" i="105" s="1"/>
  <c r="U53" i="105"/>
  <c r="V53" i="105" s="1"/>
  <c r="U52" i="105"/>
  <c r="V52" i="105" s="1"/>
  <c r="U51" i="105"/>
  <c r="V51" i="105" s="1"/>
  <c r="U50" i="105"/>
  <c r="V50" i="105" s="1"/>
  <c r="U49" i="105"/>
  <c r="V49" i="105" s="1"/>
  <c r="U48" i="105"/>
  <c r="V48" i="105" s="1"/>
  <c r="U47" i="105"/>
  <c r="V47" i="105" s="1"/>
  <c r="U46" i="105"/>
  <c r="V46" i="105" s="1"/>
  <c r="U45" i="105"/>
  <c r="V45" i="105" s="1"/>
  <c r="U44" i="105"/>
  <c r="V44" i="105" s="1"/>
  <c r="U43" i="105"/>
  <c r="V43" i="105" s="1"/>
  <c r="U42" i="105"/>
  <c r="V42" i="105" s="1"/>
  <c r="U41" i="105"/>
  <c r="V41" i="105" s="1"/>
  <c r="U40" i="105"/>
  <c r="V40" i="105" s="1"/>
  <c r="U39" i="105"/>
  <c r="V39" i="105" s="1"/>
  <c r="U38" i="105"/>
  <c r="V38" i="105" s="1"/>
  <c r="U37" i="105"/>
  <c r="V37" i="105" s="1"/>
  <c r="U36" i="105"/>
  <c r="V36" i="105" s="1"/>
  <c r="U35" i="105"/>
  <c r="V35" i="105" s="1"/>
  <c r="U34" i="105"/>
  <c r="V34" i="105" s="1"/>
  <c r="U33" i="105"/>
  <c r="V33" i="105" s="1"/>
  <c r="U32" i="105"/>
  <c r="V32" i="105" s="1"/>
  <c r="U31" i="105"/>
  <c r="V31" i="105" s="1"/>
  <c r="U30" i="105"/>
  <c r="V30" i="105" s="1"/>
  <c r="U29" i="105"/>
  <c r="V29" i="105" s="1"/>
  <c r="U28" i="105"/>
  <c r="V28" i="105" s="1"/>
  <c r="U27" i="105"/>
  <c r="V27" i="105" s="1"/>
  <c r="U26" i="105"/>
  <c r="V26" i="105" s="1"/>
  <c r="U25" i="105"/>
  <c r="V25" i="105" s="1"/>
  <c r="U24" i="105"/>
  <c r="V24" i="105" s="1"/>
  <c r="U23" i="105"/>
  <c r="V23" i="105" s="1"/>
  <c r="U22" i="105"/>
  <c r="V22" i="105" s="1"/>
  <c r="U21" i="105"/>
  <c r="V21" i="105" s="1"/>
  <c r="U20" i="105"/>
  <c r="V20" i="105" s="1"/>
  <c r="U19" i="105"/>
  <c r="V19" i="105" s="1"/>
  <c r="U18" i="105"/>
  <c r="V18" i="105" s="1"/>
  <c r="U17" i="105"/>
  <c r="V17" i="105" s="1"/>
  <c r="U16" i="105"/>
  <c r="V16" i="105" s="1"/>
  <c r="U15" i="105"/>
  <c r="V15" i="105" s="1"/>
  <c r="U14" i="105"/>
  <c r="V14" i="105" s="1"/>
  <c r="U13" i="105"/>
  <c r="V13" i="105" s="1"/>
  <c r="U12" i="105"/>
  <c r="V12" i="105" s="1"/>
  <c r="U11" i="105"/>
  <c r="V11" i="105" s="1"/>
  <c r="U10" i="105"/>
  <c r="V10" i="105" s="1"/>
  <c r="U9" i="105"/>
  <c r="V9" i="105" s="1"/>
  <c r="U8" i="105"/>
  <c r="V8" i="105" s="1"/>
  <c r="U7" i="105"/>
  <c r="V7" i="105" s="1"/>
  <c r="U6" i="105"/>
  <c r="F1" i="105"/>
  <c r="K81" i="107"/>
  <c r="J81" i="107"/>
  <c r="B2" i="107"/>
  <c r="H81" i="107"/>
  <c r="B1" i="107" s="1"/>
  <c r="G81" i="107"/>
  <c r="F1" i="107" s="1"/>
  <c r="U69" i="107"/>
  <c r="V69" i="107" s="1"/>
  <c r="U68" i="107"/>
  <c r="V68" i="107" s="1"/>
  <c r="U67" i="107"/>
  <c r="V67" i="107" s="1"/>
  <c r="U66" i="107"/>
  <c r="V66" i="107" s="1"/>
  <c r="U65" i="107"/>
  <c r="U64" i="107"/>
  <c r="U63" i="107"/>
  <c r="V63" i="107" s="1"/>
  <c r="U62" i="107"/>
  <c r="V62" i="107" s="1"/>
  <c r="U61" i="107"/>
  <c r="V61" i="107" s="1"/>
  <c r="U60" i="107"/>
  <c r="V60" i="107" s="1"/>
  <c r="U59" i="107"/>
  <c r="V59" i="107" s="1"/>
  <c r="U58" i="107"/>
  <c r="V58" i="107" s="1"/>
  <c r="U57" i="107"/>
  <c r="V57" i="107" s="1"/>
  <c r="U56" i="107"/>
  <c r="V56" i="107" s="1"/>
  <c r="U55" i="107"/>
  <c r="V55" i="107" s="1"/>
  <c r="U54" i="107"/>
  <c r="V54" i="107" s="1"/>
  <c r="U53" i="107"/>
  <c r="V53" i="107" s="1"/>
  <c r="U52" i="107"/>
  <c r="V52" i="107" s="1"/>
  <c r="U51" i="107"/>
  <c r="V51" i="107" s="1"/>
  <c r="U50" i="107"/>
  <c r="V50" i="107" s="1"/>
  <c r="U49" i="107"/>
  <c r="V49" i="107" s="1"/>
  <c r="U48" i="107"/>
  <c r="V48" i="107" s="1"/>
  <c r="U47" i="107"/>
  <c r="V47" i="107" s="1"/>
  <c r="U46" i="107"/>
  <c r="V46" i="107" s="1"/>
  <c r="U45" i="107"/>
  <c r="V45" i="107" s="1"/>
  <c r="U44" i="107"/>
  <c r="V44" i="107" s="1"/>
  <c r="U43" i="107"/>
  <c r="V43" i="107" s="1"/>
  <c r="U42" i="107"/>
  <c r="V42" i="107" s="1"/>
  <c r="U41" i="107"/>
  <c r="V41" i="107" s="1"/>
  <c r="U40" i="107"/>
  <c r="V40" i="107" s="1"/>
  <c r="U39" i="107"/>
  <c r="V39" i="107" s="1"/>
  <c r="U38" i="107"/>
  <c r="V38" i="107" s="1"/>
  <c r="U37" i="107"/>
  <c r="V37" i="107" s="1"/>
  <c r="U36" i="107"/>
  <c r="V36" i="107" s="1"/>
  <c r="U35" i="107"/>
  <c r="V35" i="107" s="1"/>
  <c r="U34" i="107"/>
  <c r="V34" i="107" s="1"/>
  <c r="U33" i="107"/>
  <c r="V33" i="107" s="1"/>
  <c r="U32" i="107"/>
  <c r="V32" i="107" s="1"/>
  <c r="U31" i="107"/>
  <c r="V31" i="107" s="1"/>
  <c r="U30" i="107"/>
  <c r="V30" i="107" s="1"/>
  <c r="U29" i="107"/>
  <c r="V29" i="107" s="1"/>
  <c r="U28" i="107"/>
  <c r="V28" i="107" s="1"/>
  <c r="U27" i="107"/>
  <c r="V27" i="107" s="1"/>
  <c r="U26" i="107"/>
  <c r="U25" i="107"/>
  <c r="V25" i="107" s="1"/>
  <c r="U24" i="107"/>
  <c r="V24" i="107" s="1"/>
  <c r="U23" i="107"/>
  <c r="V23" i="107" s="1"/>
  <c r="U22" i="107"/>
  <c r="V22" i="107" s="1"/>
  <c r="U21" i="107"/>
  <c r="V21" i="107" s="1"/>
  <c r="U20" i="107"/>
  <c r="V20" i="107" s="1"/>
  <c r="U19" i="107"/>
  <c r="V19" i="107" s="1"/>
  <c r="U18" i="107"/>
  <c r="V18" i="107" s="1"/>
  <c r="U17" i="107"/>
  <c r="V17" i="107" s="1"/>
  <c r="U16" i="107"/>
  <c r="V16" i="107" s="1"/>
  <c r="U15" i="107"/>
  <c r="V15" i="107" s="1"/>
  <c r="U14" i="107"/>
  <c r="V14" i="107" s="1"/>
  <c r="U13" i="107"/>
  <c r="V13" i="107" s="1"/>
  <c r="U12" i="107"/>
  <c r="V12" i="107" s="1"/>
  <c r="U11" i="107"/>
  <c r="V11" i="107" s="1"/>
  <c r="U10" i="107"/>
  <c r="V10" i="107" s="1"/>
  <c r="U9" i="107"/>
  <c r="V9" i="107" s="1"/>
  <c r="U8" i="107"/>
  <c r="V8" i="107" s="1"/>
  <c r="U7" i="107"/>
  <c r="V7" i="107" s="1"/>
  <c r="U6" i="107"/>
  <c r="K81" i="106"/>
  <c r="J81" i="106"/>
  <c r="B2" i="106"/>
  <c r="H81" i="106"/>
  <c r="B1" i="106" s="1"/>
  <c r="G81" i="106"/>
  <c r="F1" i="106" s="1"/>
  <c r="U69" i="106"/>
  <c r="V69" i="106" s="1"/>
  <c r="U68" i="106"/>
  <c r="V68" i="106" s="1"/>
  <c r="U67" i="106"/>
  <c r="V67" i="106" s="1"/>
  <c r="U66" i="106"/>
  <c r="V66" i="106" s="1"/>
  <c r="U65" i="106"/>
  <c r="V65" i="106" s="1"/>
  <c r="U64" i="106"/>
  <c r="U63" i="106"/>
  <c r="V63" i="106" s="1"/>
  <c r="U62" i="106"/>
  <c r="V62" i="106" s="1"/>
  <c r="U61" i="106"/>
  <c r="V61" i="106" s="1"/>
  <c r="U60" i="106"/>
  <c r="U59" i="106"/>
  <c r="V59" i="106" s="1"/>
  <c r="U58" i="106"/>
  <c r="V58" i="106" s="1"/>
  <c r="U57" i="106"/>
  <c r="V57" i="106" s="1"/>
  <c r="U56" i="106"/>
  <c r="V56" i="106" s="1"/>
  <c r="U55" i="106"/>
  <c r="V55" i="106" s="1"/>
  <c r="U54" i="106"/>
  <c r="V54" i="106" s="1"/>
  <c r="U53" i="106"/>
  <c r="V53" i="106" s="1"/>
  <c r="U52" i="106"/>
  <c r="V52" i="106" s="1"/>
  <c r="U51" i="106"/>
  <c r="V51" i="106" s="1"/>
  <c r="U50" i="106"/>
  <c r="V50" i="106" s="1"/>
  <c r="U49" i="106"/>
  <c r="V49" i="106" s="1"/>
  <c r="U48" i="106"/>
  <c r="V48" i="106" s="1"/>
  <c r="U47" i="106"/>
  <c r="V47" i="106" s="1"/>
  <c r="U46" i="106"/>
  <c r="V46" i="106" s="1"/>
  <c r="U45" i="106"/>
  <c r="V45" i="106" s="1"/>
  <c r="U44" i="106"/>
  <c r="V44" i="106" s="1"/>
  <c r="U43" i="106"/>
  <c r="V43" i="106" s="1"/>
  <c r="U42" i="106"/>
  <c r="V42" i="106" s="1"/>
  <c r="U41" i="106"/>
  <c r="V41" i="106" s="1"/>
  <c r="U40" i="106"/>
  <c r="V40" i="106" s="1"/>
  <c r="U39" i="106"/>
  <c r="V39" i="106" s="1"/>
  <c r="U38" i="106"/>
  <c r="V38" i="106" s="1"/>
  <c r="U37" i="106"/>
  <c r="V37" i="106" s="1"/>
  <c r="U36" i="106"/>
  <c r="V36" i="106" s="1"/>
  <c r="U35" i="106"/>
  <c r="V35" i="106" s="1"/>
  <c r="U34" i="106"/>
  <c r="V34" i="106" s="1"/>
  <c r="U33" i="106"/>
  <c r="V33" i="106" s="1"/>
  <c r="U32" i="106"/>
  <c r="V32" i="106" s="1"/>
  <c r="U31" i="106"/>
  <c r="V31" i="106" s="1"/>
  <c r="U30" i="106"/>
  <c r="V30" i="106" s="1"/>
  <c r="U29" i="106"/>
  <c r="V29" i="106" s="1"/>
  <c r="U28" i="106"/>
  <c r="V28" i="106" s="1"/>
  <c r="U27" i="106"/>
  <c r="V27" i="106" s="1"/>
  <c r="U26" i="106"/>
  <c r="V26" i="106" s="1"/>
  <c r="U25" i="106"/>
  <c r="V25" i="106" s="1"/>
  <c r="U24" i="106"/>
  <c r="V24" i="106" s="1"/>
  <c r="U23" i="106"/>
  <c r="V23" i="106" s="1"/>
  <c r="U22" i="106"/>
  <c r="V22" i="106" s="1"/>
  <c r="U21" i="106"/>
  <c r="V21" i="106" s="1"/>
  <c r="U20" i="106"/>
  <c r="V20" i="106" s="1"/>
  <c r="U19" i="106"/>
  <c r="V19" i="106" s="1"/>
  <c r="U18" i="106"/>
  <c r="V18" i="106" s="1"/>
  <c r="U17" i="106"/>
  <c r="V17" i="106" s="1"/>
  <c r="U16" i="106"/>
  <c r="V16" i="106" s="1"/>
  <c r="U15" i="106"/>
  <c r="V15" i="106" s="1"/>
  <c r="U14" i="106"/>
  <c r="V14" i="106" s="1"/>
  <c r="U13" i="106"/>
  <c r="V13" i="106" s="1"/>
  <c r="U12" i="106"/>
  <c r="V12" i="106" s="1"/>
  <c r="U11" i="106"/>
  <c r="V11" i="106" s="1"/>
  <c r="U10" i="106"/>
  <c r="V10" i="106" s="1"/>
  <c r="U9" i="106"/>
  <c r="V9" i="106" s="1"/>
  <c r="U8" i="106"/>
  <c r="V8" i="106" s="1"/>
  <c r="U7" i="106"/>
  <c r="V7" i="106" s="1"/>
  <c r="U6" i="106"/>
  <c r="K81" i="110"/>
  <c r="J81" i="110"/>
  <c r="B2" i="110"/>
  <c r="H81" i="110"/>
  <c r="B1" i="110" s="1"/>
  <c r="G81" i="110"/>
  <c r="F1" i="110" s="1"/>
  <c r="U69" i="110"/>
  <c r="V69" i="110" s="1"/>
  <c r="U68" i="110"/>
  <c r="U67" i="110"/>
  <c r="V67" i="110" s="1"/>
  <c r="U66" i="110"/>
  <c r="V66" i="110" s="1"/>
  <c r="U65" i="110"/>
  <c r="V65" i="110" s="1"/>
  <c r="U64" i="110"/>
  <c r="V64" i="110" s="1"/>
  <c r="U63" i="110"/>
  <c r="V63" i="110" s="1"/>
  <c r="U62" i="110"/>
  <c r="V62" i="110" s="1"/>
  <c r="U61" i="110"/>
  <c r="V61" i="110" s="1"/>
  <c r="U60" i="110"/>
  <c r="V60" i="110" s="1"/>
  <c r="U59" i="110"/>
  <c r="V59" i="110" s="1"/>
  <c r="U58" i="110"/>
  <c r="V58" i="110" s="1"/>
  <c r="U57" i="110"/>
  <c r="V57" i="110" s="1"/>
  <c r="U56" i="110"/>
  <c r="V56" i="110" s="1"/>
  <c r="U55" i="110"/>
  <c r="V55" i="110" s="1"/>
  <c r="U54" i="110"/>
  <c r="V54" i="110" s="1"/>
  <c r="U53" i="110"/>
  <c r="V53" i="110" s="1"/>
  <c r="U52" i="110"/>
  <c r="V52" i="110" s="1"/>
  <c r="U51" i="110"/>
  <c r="V51" i="110" s="1"/>
  <c r="U50" i="110"/>
  <c r="V50" i="110" s="1"/>
  <c r="U49" i="110"/>
  <c r="V49" i="110" s="1"/>
  <c r="U48" i="110"/>
  <c r="V48" i="110" s="1"/>
  <c r="U47" i="110"/>
  <c r="V47" i="110" s="1"/>
  <c r="U46" i="110"/>
  <c r="V46" i="110" s="1"/>
  <c r="U45" i="110"/>
  <c r="V45" i="110" s="1"/>
  <c r="U44" i="110"/>
  <c r="V44" i="110" s="1"/>
  <c r="U43" i="110"/>
  <c r="V43" i="110" s="1"/>
  <c r="U42" i="110"/>
  <c r="V42" i="110" s="1"/>
  <c r="U41" i="110"/>
  <c r="V41" i="110" s="1"/>
  <c r="U40" i="110"/>
  <c r="V40" i="110" s="1"/>
  <c r="U39" i="110"/>
  <c r="V39" i="110" s="1"/>
  <c r="U38" i="110"/>
  <c r="V38" i="110" s="1"/>
  <c r="U37" i="110"/>
  <c r="V37" i="110" s="1"/>
  <c r="U36" i="110"/>
  <c r="V36" i="110" s="1"/>
  <c r="U35" i="110"/>
  <c r="V35" i="110" s="1"/>
  <c r="U34" i="110"/>
  <c r="V34" i="110" s="1"/>
  <c r="U33" i="110"/>
  <c r="V33" i="110" s="1"/>
  <c r="U32" i="110"/>
  <c r="V32" i="110" s="1"/>
  <c r="U31" i="110"/>
  <c r="V31" i="110" s="1"/>
  <c r="U30" i="110"/>
  <c r="V30" i="110" s="1"/>
  <c r="U29" i="110"/>
  <c r="V29" i="110" s="1"/>
  <c r="U28" i="110"/>
  <c r="V28" i="110" s="1"/>
  <c r="U27" i="110"/>
  <c r="V27" i="110" s="1"/>
  <c r="U26" i="110"/>
  <c r="V26" i="110" s="1"/>
  <c r="U25" i="110"/>
  <c r="V25" i="110" s="1"/>
  <c r="U24" i="110"/>
  <c r="V24" i="110" s="1"/>
  <c r="U23" i="110"/>
  <c r="V23" i="110" s="1"/>
  <c r="U22" i="110"/>
  <c r="V22" i="110" s="1"/>
  <c r="U21" i="110"/>
  <c r="V21" i="110" s="1"/>
  <c r="U20" i="110"/>
  <c r="V20" i="110" s="1"/>
  <c r="U19" i="110"/>
  <c r="V19" i="110" s="1"/>
  <c r="U18" i="110"/>
  <c r="V18" i="110" s="1"/>
  <c r="U17" i="110"/>
  <c r="V17" i="110" s="1"/>
  <c r="U16" i="110"/>
  <c r="V16" i="110" s="1"/>
  <c r="U15" i="110"/>
  <c r="V15" i="110" s="1"/>
  <c r="U14" i="110"/>
  <c r="V14" i="110" s="1"/>
  <c r="U13" i="110"/>
  <c r="V13" i="110" s="1"/>
  <c r="U12" i="110"/>
  <c r="V12" i="110" s="1"/>
  <c r="U11" i="110"/>
  <c r="V11" i="110" s="1"/>
  <c r="U10" i="110"/>
  <c r="V10" i="110" s="1"/>
  <c r="U9" i="110"/>
  <c r="V9" i="110" s="1"/>
  <c r="U8" i="110"/>
  <c r="V8" i="110" s="1"/>
  <c r="U7" i="110"/>
  <c r="U6" i="110"/>
  <c r="K81" i="111"/>
  <c r="J81" i="111"/>
  <c r="B2" i="111"/>
  <c r="H81" i="111"/>
  <c r="B1" i="111" s="1"/>
  <c r="G81" i="111"/>
  <c r="F1" i="111" s="1"/>
  <c r="U69" i="111"/>
  <c r="V69" i="111" s="1"/>
  <c r="U68" i="111"/>
  <c r="V68" i="111" s="1"/>
  <c r="U67" i="111"/>
  <c r="V67" i="111" s="1"/>
  <c r="U66" i="111"/>
  <c r="V66" i="111" s="1"/>
  <c r="U65" i="111"/>
  <c r="V65" i="111" s="1"/>
  <c r="U64" i="111"/>
  <c r="V64" i="111" s="1"/>
  <c r="U63" i="111"/>
  <c r="V63" i="111" s="1"/>
  <c r="U62" i="111"/>
  <c r="V62" i="111" s="1"/>
  <c r="U61" i="111"/>
  <c r="V61" i="111" s="1"/>
  <c r="U60" i="111"/>
  <c r="V60" i="111" s="1"/>
  <c r="U59" i="111"/>
  <c r="V59" i="111" s="1"/>
  <c r="U58" i="111"/>
  <c r="V58" i="111" s="1"/>
  <c r="U57" i="111"/>
  <c r="V57" i="111" s="1"/>
  <c r="U56" i="111"/>
  <c r="V56" i="111" s="1"/>
  <c r="U55" i="111"/>
  <c r="V55" i="111" s="1"/>
  <c r="U54" i="111"/>
  <c r="V54" i="111" s="1"/>
  <c r="U53" i="111"/>
  <c r="V53" i="111" s="1"/>
  <c r="U52" i="111"/>
  <c r="V52" i="111" s="1"/>
  <c r="U51" i="111"/>
  <c r="V51" i="111" s="1"/>
  <c r="U50" i="111"/>
  <c r="V50" i="111" s="1"/>
  <c r="U49" i="111"/>
  <c r="V49" i="111" s="1"/>
  <c r="U48" i="111"/>
  <c r="V48" i="111" s="1"/>
  <c r="U47" i="111"/>
  <c r="V47" i="111" s="1"/>
  <c r="U46" i="111"/>
  <c r="V46" i="111" s="1"/>
  <c r="U45" i="111"/>
  <c r="V45" i="111" s="1"/>
  <c r="U44" i="111"/>
  <c r="V44" i="111" s="1"/>
  <c r="U43" i="111"/>
  <c r="V43" i="111" s="1"/>
  <c r="U42" i="111"/>
  <c r="V42" i="111" s="1"/>
  <c r="U41" i="111"/>
  <c r="V41" i="111" s="1"/>
  <c r="U40" i="111"/>
  <c r="U39" i="111"/>
  <c r="V39" i="111" s="1"/>
  <c r="U38" i="111"/>
  <c r="V38" i="111" s="1"/>
  <c r="U37" i="111"/>
  <c r="V37" i="111" s="1"/>
  <c r="U36" i="111"/>
  <c r="V36" i="111" s="1"/>
  <c r="U35" i="111"/>
  <c r="V35" i="111" s="1"/>
  <c r="U34" i="111"/>
  <c r="V34" i="111" s="1"/>
  <c r="U33" i="111"/>
  <c r="V33" i="111" s="1"/>
  <c r="U32" i="111"/>
  <c r="U31" i="111"/>
  <c r="V31" i="111" s="1"/>
  <c r="U30" i="111"/>
  <c r="V30" i="111" s="1"/>
  <c r="U29" i="111"/>
  <c r="V29" i="111" s="1"/>
  <c r="U28" i="111"/>
  <c r="V28" i="111" s="1"/>
  <c r="U27" i="111"/>
  <c r="U26" i="111"/>
  <c r="V26" i="111" s="1"/>
  <c r="U25" i="111"/>
  <c r="V25" i="111" s="1"/>
  <c r="U24" i="111"/>
  <c r="V24" i="111" s="1"/>
  <c r="U23" i="111"/>
  <c r="V23" i="111" s="1"/>
  <c r="U22" i="111"/>
  <c r="U21" i="111"/>
  <c r="V21" i="111" s="1"/>
  <c r="U20" i="111"/>
  <c r="V20" i="111" s="1"/>
  <c r="U19" i="111"/>
  <c r="V19" i="111" s="1"/>
  <c r="U18" i="111"/>
  <c r="V18" i="111" s="1"/>
  <c r="U17" i="111"/>
  <c r="V17" i="111" s="1"/>
  <c r="U16" i="111"/>
  <c r="V16" i="111" s="1"/>
  <c r="U15" i="111"/>
  <c r="V15" i="111" s="1"/>
  <c r="U14" i="111"/>
  <c r="V14" i="111" s="1"/>
  <c r="U13" i="111"/>
  <c r="V13" i="111" s="1"/>
  <c r="U12" i="111"/>
  <c r="V12" i="111" s="1"/>
  <c r="U11" i="111"/>
  <c r="V11" i="111" s="1"/>
  <c r="U10" i="111"/>
  <c r="V10" i="111" s="1"/>
  <c r="U9" i="111"/>
  <c r="V9" i="111" s="1"/>
  <c r="U8" i="111"/>
  <c r="V8" i="111" s="1"/>
  <c r="U7" i="111"/>
  <c r="V7" i="111" s="1"/>
  <c r="U6" i="111"/>
  <c r="K81" i="109"/>
  <c r="J81" i="109"/>
  <c r="B2" i="109"/>
  <c r="H81" i="109"/>
  <c r="B1" i="109" s="1"/>
  <c r="G81" i="109"/>
  <c r="F1" i="109" s="1"/>
  <c r="U69" i="109"/>
  <c r="V69" i="109" s="1"/>
  <c r="U68" i="109"/>
  <c r="V68" i="109" s="1"/>
  <c r="U67" i="109"/>
  <c r="V67" i="109" s="1"/>
  <c r="U66" i="109"/>
  <c r="V66" i="109" s="1"/>
  <c r="U65" i="109"/>
  <c r="V65" i="109" s="1"/>
  <c r="U64" i="109"/>
  <c r="V64" i="109" s="1"/>
  <c r="U63" i="109"/>
  <c r="V63" i="109" s="1"/>
  <c r="U62" i="109"/>
  <c r="V62" i="109" s="1"/>
  <c r="U61" i="109"/>
  <c r="V61" i="109" s="1"/>
  <c r="U60" i="109"/>
  <c r="U59" i="109"/>
  <c r="V59" i="109" s="1"/>
  <c r="U58" i="109"/>
  <c r="U57" i="109"/>
  <c r="V57" i="109" s="1"/>
  <c r="U56" i="109"/>
  <c r="V56" i="109" s="1"/>
  <c r="U55" i="109"/>
  <c r="V55" i="109" s="1"/>
  <c r="U54" i="109"/>
  <c r="V54" i="109" s="1"/>
  <c r="U53" i="109"/>
  <c r="V53" i="109" s="1"/>
  <c r="U52" i="109"/>
  <c r="V52" i="109" s="1"/>
  <c r="U51" i="109"/>
  <c r="U50" i="109"/>
  <c r="V50" i="109" s="1"/>
  <c r="U49" i="109"/>
  <c r="V49" i="109" s="1"/>
  <c r="U48" i="109"/>
  <c r="V48" i="109" s="1"/>
  <c r="U47" i="109"/>
  <c r="V47" i="109" s="1"/>
  <c r="U46" i="109"/>
  <c r="V46" i="109" s="1"/>
  <c r="U45" i="109"/>
  <c r="V45" i="109" s="1"/>
  <c r="U44" i="109"/>
  <c r="V44" i="109" s="1"/>
  <c r="U43" i="109"/>
  <c r="V43" i="109" s="1"/>
  <c r="U42" i="109"/>
  <c r="V42" i="109" s="1"/>
  <c r="U41" i="109"/>
  <c r="V41" i="109" s="1"/>
  <c r="U40" i="109"/>
  <c r="V40" i="109" s="1"/>
  <c r="U39" i="109"/>
  <c r="V39" i="109" s="1"/>
  <c r="U38" i="109"/>
  <c r="V38" i="109" s="1"/>
  <c r="U37" i="109"/>
  <c r="V37" i="109" s="1"/>
  <c r="U36" i="109"/>
  <c r="V36" i="109" s="1"/>
  <c r="U35" i="109"/>
  <c r="V35" i="109" s="1"/>
  <c r="U34" i="109"/>
  <c r="V34" i="109" s="1"/>
  <c r="U33" i="109"/>
  <c r="V33" i="109" s="1"/>
  <c r="U32" i="109"/>
  <c r="U31" i="109"/>
  <c r="V31" i="109" s="1"/>
  <c r="U30" i="109"/>
  <c r="V30" i="109" s="1"/>
  <c r="U29" i="109"/>
  <c r="V29" i="109" s="1"/>
  <c r="U28" i="109"/>
  <c r="V28" i="109" s="1"/>
  <c r="U27" i="109"/>
  <c r="V27" i="109" s="1"/>
  <c r="U26" i="109"/>
  <c r="V26" i="109" s="1"/>
  <c r="U25" i="109"/>
  <c r="V25" i="109" s="1"/>
  <c r="U24" i="109"/>
  <c r="V24" i="109" s="1"/>
  <c r="U23" i="109"/>
  <c r="V23" i="109" s="1"/>
  <c r="U22" i="109"/>
  <c r="V22" i="109" s="1"/>
  <c r="U21" i="109"/>
  <c r="V21" i="109" s="1"/>
  <c r="U20" i="109"/>
  <c r="V20" i="109" s="1"/>
  <c r="U19" i="109"/>
  <c r="V19" i="109" s="1"/>
  <c r="U18" i="109"/>
  <c r="V18" i="109" s="1"/>
  <c r="U17" i="109"/>
  <c r="U16" i="109"/>
  <c r="V16" i="109" s="1"/>
  <c r="U15" i="109"/>
  <c r="V15" i="109" s="1"/>
  <c r="U14" i="109"/>
  <c r="V14" i="109" s="1"/>
  <c r="U13" i="109"/>
  <c r="V13" i="109" s="1"/>
  <c r="U12" i="109"/>
  <c r="V12" i="109" s="1"/>
  <c r="U11" i="109"/>
  <c r="V11" i="109" s="1"/>
  <c r="U10" i="109"/>
  <c r="V10" i="109" s="1"/>
  <c r="U9" i="109"/>
  <c r="V9" i="109" s="1"/>
  <c r="U8" i="109"/>
  <c r="V8" i="109" s="1"/>
  <c r="U7" i="109"/>
  <c r="V7" i="109" s="1"/>
  <c r="U6" i="109"/>
  <c r="K81" i="108"/>
  <c r="J81" i="108"/>
  <c r="H81" i="108"/>
  <c r="B1" i="108" s="1"/>
  <c r="G81" i="108"/>
  <c r="F1" i="108" s="1"/>
  <c r="U69" i="108"/>
  <c r="V69" i="108" s="1"/>
  <c r="U68" i="108"/>
  <c r="V68" i="108" s="1"/>
  <c r="U67" i="108"/>
  <c r="U66" i="108"/>
  <c r="V66" i="108" s="1"/>
  <c r="U65" i="108"/>
  <c r="V65" i="108" s="1"/>
  <c r="U64" i="108"/>
  <c r="V64" i="108" s="1"/>
  <c r="U63" i="108"/>
  <c r="V63" i="108" s="1"/>
  <c r="U62" i="108"/>
  <c r="V62" i="108" s="1"/>
  <c r="U61" i="108"/>
  <c r="U60" i="108"/>
  <c r="V60" i="108" s="1"/>
  <c r="U59" i="108"/>
  <c r="V59" i="108" s="1"/>
  <c r="U58" i="108"/>
  <c r="V58" i="108" s="1"/>
  <c r="U57" i="108"/>
  <c r="V57" i="108" s="1"/>
  <c r="U56" i="108"/>
  <c r="V56" i="108" s="1"/>
  <c r="U55" i="108"/>
  <c r="V55" i="108" s="1"/>
  <c r="U54" i="108"/>
  <c r="V54" i="108" s="1"/>
  <c r="U53" i="108"/>
  <c r="V53" i="108" s="1"/>
  <c r="U52" i="108"/>
  <c r="V52" i="108" s="1"/>
  <c r="U51" i="108"/>
  <c r="V51" i="108" s="1"/>
  <c r="U50" i="108"/>
  <c r="V50" i="108" s="1"/>
  <c r="U49" i="108"/>
  <c r="V49" i="108" s="1"/>
  <c r="U48" i="108"/>
  <c r="V48" i="108" s="1"/>
  <c r="U47" i="108"/>
  <c r="V47" i="108" s="1"/>
  <c r="U46" i="108"/>
  <c r="V46" i="108" s="1"/>
  <c r="U45" i="108"/>
  <c r="V45" i="108" s="1"/>
  <c r="U44" i="108"/>
  <c r="V44" i="108" s="1"/>
  <c r="U43" i="108"/>
  <c r="V43" i="108" s="1"/>
  <c r="U42" i="108"/>
  <c r="V42" i="108" s="1"/>
  <c r="U41" i="108"/>
  <c r="V41" i="108" s="1"/>
  <c r="U40" i="108"/>
  <c r="V40" i="108" s="1"/>
  <c r="U39" i="108"/>
  <c r="V39" i="108" s="1"/>
  <c r="U38" i="108"/>
  <c r="V38" i="108" s="1"/>
  <c r="U37" i="108"/>
  <c r="V37" i="108" s="1"/>
  <c r="U36" i="108"/>
  <c r="V36" i="108" s="1"/>
  <c r="U35" i="108"/>
  <c r="V35" i="108" s="1"/>
  <c r="U34" i="108"/>
  <c r="V34" i="108" s="1"/>
  <c r="U33" i="108"/>
  <c r="V33" i="108" s="1"/>
  <c r="U32" i="108"/>
  <c r="V32" i="108" s="1"/>
  <c r="U31" i="108"/>
  <c r="V31" i="108" s="1"/>
  <c r="U30" i="108"/>
  <c r="V30" i="108" s="1"/>
  <c r="U29" i="108"/>
  <c r="V29" i="108" s="1"/>
  <c r="U28" i="108"/>
  <c r="V28" i="108" s="1"/>
  <c r="U27" i="108"/>
  <c r="V27" i="108" s="1"/>
  <c r="U26" i="108"/>
  <c r="V26" i="108" s="1"/>
  <c r="U25" i="108"/>
  <c r="V25" i="108" s="1"/>
  <c r="U24" i="108"/>
  <c r="V24" i="108" s="1"/>
  <c r="U23" i="108"/>
  <c r="V23" i="108" s="1"/>
  <c r="U22" i="108"/>
  <c r="V22" i="108" s="1"/>
  <c r="U21" i="108"/>
  <c r="V21" i="108" s="1"/>
  <c r="U20" i="108"/>
  <c r="V20" i="108" s="1"/>
  <c r="U19" i="108"/>
  <c r="V19" i="108" s="1"/>
  <c r="U18" i="108"/>
  <c r="V18" i="108" s="1"/>
  <c r="U17" i="108"/>
  <c r="U16" i="108"/>
  <c r="V16" i="108" s="1"/>
  <c r="U15" i="108"/>
  <c r="V15" i="108" s="1"/>
  <c r="U14" i="108"/>
  <c r="V14" i="108" s="1"/>
  <c r="U13" i="108"/>
  <c r="V13" i="108" s="1"/>
  <c r="U12" i="108"/>
  <c r="V12" i="108" s="1"/>
  <c r="U11" i="108"/>
  <c r="V11" i="108" s="1"/>
  <c r="U10" i="108"/>
  <c r="V10" i="108" s="1"/>
  <c r="U9" i="108"/>
  <c r="V9" i="108" s="1"/>
  <c r="U8" i="108"/>
  <c r="V8" i="108" s="1"/>
  <c r="U7" i="108"/>
  <c r="V7" i="108" s="1"/>
  <c r="U6" i="108"/>
  <c r="K81" i="119"/>
  <c r="J81" i="119"/>
  <c r="B2" i="119"/>
  <c r="H81" i="119"/>
  <c r="B1" i="119" s="1"/>
  <c r="G81" i="119"/>
  <c r="F1" i="119" s="1"/>
  <c r="U69" i="119"/>
  <c r="V69" i="119" s="1"/>
  <c r="U68" i="119"/>
  <c r="V68" i="119" s="1"/>
  <c r="U67" i="119"/>
  <c r="V67" i="119" s="1"/>
  <c r="U66" i="119"/>
  <c r="V66" i="119" s="1"/>
  <c r="U65" i="119"/>
  <c r="V65" i="119" s="1"/>
  <c r="U64" i="119"/>
  <c r="V64" i="119" s="1"/>
  <c r="U63" i="119"/>
  <c r="V63" i="119" s="1"/>
  <c r="U62" i="119"/>
  <c r="V62" i="119" s="1"/>
  <c r="U61" i="119"/>
  <c r="V61" i="119" s="1"/>
  <c r="U60" i="119"/>
  <c r="V60" i="119" s="1"/>
  <c r="U59" i="119"/>
  <c r="V59" i="119" s="1"/>
  <c r="U58" i="119"/>
  <c r="V58" i="119" s="1"/>
  <c r="U57" i="119"/>
  <c r="V57" i="119" s="1"/>
  <c r="U56" i="119"/>
  <c r="V56" i="119" s="1"/>
  <c r="U55" i="119"/>
  <c r="V55" i="119" s="1"/>
  <c r="U54" i="119"/>
  <c r="V54" i="119" s="1"/>
  <c r="U53" i="119"/>
  <c r="V53" i="119" s="1"/>
  <c r="U52" i="119"/>
  <c r="V52" i="119" s="1"/>
  <c r="U51" i="119"/>
  <c r="V51" i="119" s="1"/>
  <c r="U50" i="119"/>
  <c r="V50" i="119" s="1"/>
  <c r="U49" i="119"/>
  <c r="V49" i="119" s="1"/>
  <c r="U48" i="119"/>
  <c r="V48" i="119" s="1"/>
  <c r="U47" i="119"/>
  <c r="V47" i="119" s="1"/>
  <c r="U46" i="119"/>
  <c r="V46" i="119" s="1"/>
  <c r="U45" i="119"/>
  <c r="V45" i="119" s="1"/>
  <c r="U44" i="119"/>
  <c r="V44" i="119" s="1"/>
  <c r="U43" i="119"/>
  <c r="V43" i="119" s="1"/>
  <c r="U42" i="119"/>
  <c r="V42" i="119" s="1"/>
  <c r="U41" i="119"/>
  <c r="V41" i="119" s="1"/>
  <c r="U40" i="119"/>
  <c r="V40" i="119" s="1"/>
  <c r="U39" i="119"/>
  <c r="V39" i="119" s="1"/>
  <c r="U38" i="119"/>
  <c r="V38" i="119" s="1"/>
  <c r="U37" i="119"/>
  <c r="V37" i="119" s="1"/>
  <c r="U36" i="119"/>
  <c r="U35" i="119"/>
  <c r="V35" i="119" s="1"/>
  <c r="U34" i="119"/>
  <c r="V34" i="119" s="1"/>
  <c r="U33" i="119"/>
  <c r="V33" i="119" s="1"/>
  <c r="U32" i="119"/>
  <c r="V32" i="119" s="1"/>
  <c r="U31" i="119"/>
  <c r="V31" i="119" s="1"/>
  <c r="U30" i="119"/>
  <c r="V30" i="119" s="1"/>
  <c r="U29" i="119"/>
  <c r="V29" i="119" s="1"/>
  <c r="U28" i="119"/>
  <c r="V28" i="119" s="1"/>
  <c r="U27" i="119"/>
  <c r="V27" i="119" s="1"/>
  <c r="U26" i="119"/>
  <c r="V26" i="119" s="1"/>
  <c r="U25" i="119"/>
  <c r="V25" i="119" s="1"/>
  <c r="U24" i="119"/>
  <c r="V24" i="119" s="1"/>
  <c r="U23" i="119"/>
  <c r="V23" i="119" s="1"/>
  <c r="U22" i="119"/>
  <c r="V22" i="119" s="1"/>
  <c r="U21" i="119"/>
  <c r="V21" i="119" s="1"/>
  <c r="U20" i="119"/>
  <c r="U19" i="119"/>
  <c r="V19" i="119" s="1"/>
  <c r="U18" i="119"/>
  <c r="V18" i="119" s="1"/>
  <c r="U17" i="119"/>
  <c r="U16" i="119"/>
  <c r="V16" i="119" s="1"/>
  <c r="U15" i="119"/>
  <c r="V15" i="119" s="1"/>
  <c r="U14" i="119"/>
  <c r="V14" i="119" s="1"/>
  <c r="U13" i="119"/>
  <c r="V13" i="119" s="1"/>
  <c r="U12" i="119"/>
  <c r="V12" i="119" s="1"/>
  <c r="U11" i="119"/>
  <c r="V11" i="119" s="1"/>
  <c r="U10" i="119"/>
  <c r="V10" i="119" s="1"/>
  <c r="U9" i="119"/>
  <c r="V9" i="119" s="1"/>
  <c r="U8" i="119"/>
  <c r="V8" i="119" s="1"/>
  <c r="U7" i="119"/>
  <c r="V7" i="119" s="1"/>
  <c r="U6" i="119"/>
  <c r="K81" i="118"/>
  <c r="J81" i="118"/>
  <c r="H81" i="118"/>
  <c r="B1" i="118" s="1"/>
  <c r="G81" i="118"/>
  <c r="F1" i="118" s="1"/>
  <c r="U69" i="118"/>
  <c r="V69" i="118" s="1"/>
  <c r="U68" i="118"/>
  <c r="V68" i="118" s="1"/>
  <c r="U67" i="118"/>
  <c r="V67" i="118" s="1"/>
  <c r="U66" i="118"/>
  <c r="V66" i="118" s="1"/>
  <c r="U65" i="118"/>
  <c r="V65" i="118" s="1"/>
  <c r="U64" i="118"/>
  <c r="V64" i="118" s="1"/>
  <c r="U63" i="118"/>
  <c r="V63" i="118" s="1"/>
  <c r="U62" i="118"/>
  <c r="V62" i="118" s="1"/>
  <c r="U61" i="118"/>
  <c r="V61" i="118" s="1"/>
  <c r="U60" i="118"/>
  <c r="V60" i="118" s="1"/>
  <c r="U59" i="118"/>
  <c r="V59" i="118" s="1"/>
  <c r="U58" i="118"/>
  <c r="V58" i="118" s="1"/>
  <c r="U57" i="118"/>
  <c r="V57" i="118" s="1"/>
  <c r="U56" i="118"/>
  <c r="V56" i="118" s="1"/>
  <c r="U55" i="118"/>
  <c r="V55" i="118" s="1"/>
  <c r="U54" i="118"/>
  <c r="V54" i="118" s="1"/>
  <c r="U53" i="118"/>
  <c r="U52" i="118"/>
  <c r="V52" i="118" s="1"/>
  <c r="U51" i="118"/>
  <c r="V51" i="118" s="1"/>
  <c r="U50" i="118"/>
  <c r="V50" i="118" s="1"/>
  <c r="U49" i="118"/>
  <c r="V49" i="118" s="1"/>
  <c r="U48" i="118"/>
  <c r="V48" i="118" s="1"/>
  <c r="U47" i="118"/>
  <c r="V47" i="118" s="1"/>
  <c r="U46" i="118"/>
  <c r="V46" i="118" s="1"/>
  <c r="U45" i="118"/>
  <c r="V45" i="118" s="1"/>
  <c r="U44" i="118"/>
  <c r="V44" i="118" s="1"/>
  <c r="U43" i="118"/>
  <c r="V43" i="118" s="1"/>
  <c r="U42" i="118"/>
  <c r="V42" i="118" s="1"/>
  <c r="U41" i="118"/>
  <c r="V41" i="118" s="1"/>
  <c r="U40" i="118"/>
  <c r="V40" i="118" s="1"/>
  <c r="U39" i="118"/>
  <c r="V39" i="118" s="1"/>
  <c r="U38" i="118"/>
  <c r="V38" i="118" s="1"/>
  <c r="U37" i="118"/>
  <c r="V37" i="118" s="1"/>
  <c r="U36" i="118"/>
  <c r="V36" i="118" s="1"/>
  <c r="U35" i="118"/>
  <c r="V35" i="118" s="1"/>
  <c r="U34" i="118"/>
  <c r="V34" i="118" s="1"/>
  <c r="U33" i="118"/>
  <c r="V33" i="118" s="1"/>
  <c r="U32" i="118"/>
  <c r="V32" i="118" s="1"/>
  <c r="U31" i="118"/>
  <c r="V31" i="118" s="1"/>
  <c r="U30" i="118"/>
  <c r="V30" i="118" s="1"/>
  <c r="U29" i="118"/>
  <c r="V29" i="118" s="1"/>
  <c r="U28" i="118"/>
  <c r="U27" i="118"/>
  <c r="U26" i="118"/>
  <c r="V26" i="118" s="1"/>
  <c r="U25" i="118"/>
  <c r="V25" i="118" s="1"/>
  <c r="U24" i="118"/>
  <c r="V24" i="118" s="1"/>
  <c r="U23" i="118"/>
  <c r="V23" i="118" s="1"/>
  <c r="U22" i="118"/>
  <c r="V22" i="118" s="1"/>
  <c r="U21" i="118"/>
  <c r="V21" i="118" s="1"/>
  <c r="U20" i="118"/>
  <c r="V20" i="118" s="1"/>
  <c r="U19" i="118"/>
  <c r="V19" i="118" s="1"/>
  <c r="U18" i="118"/>
  <c r="V18" i="118" s="1"/>
  <c r="U17" i="118"/>
  <c r="V17" i="118" s="1"/>
  <c r="U16" i="118"/>
  <c r="V16" i="118" s="1"/>
  <c r="U15" i="118"/>
  <c r="V15" i="118" s="1"/>
  <c r="U14" i="118"/>
  <c r="V14" i="118" s="1"/>
  <c r="U13" i="118"/>
  <c r="V13" i="118" s="1"/>
  <c r="U12" i="118"/>
  <c r="V12" i="118" s="1"/>
  <c r="U11" i="118"/>
  <c r="V11" i="118" s="1"/>
  <c r="U10" i="118"/>
  <c r="V10" i="118" s="1"/>
  <c r="U9" i="118"/>
  <c r="V9" i="118" s="1"/>
  <c r="U8" i="118"/>
  <c r="U7" i="118"/>
  <c r="V7" i="118" s="1"/>
  <c r="U6" i="118"/>
  <c r="K81" i="117"/>
  <c r="J81" i="117"/>
  <c r="B2" i="117"/>
  <c r="H81" i="117"/>
  <c r="G81" i="117"/>
  <c r="U69" i="117"/>
  <c r="V69" i="117" s="1"/>
  <c r="U68" i="117"/>
  <c r="V68" i="117" s="1"/>
  <c r="U67" i="117"/>
  <c r="V67" i="117" s="1"/>
  <c r="U66" i="117"/>
  <c r="V66" i="117" s="1"/>
  <c r="U65" i="117"/>
  <c r="V65" i="117" s="1"/>
  <c r="U64" i="117"/>
  <c r="V64" i="117" s="1"/>
  <c r="U63" i="117"/>
  <c r="V63" i="117" s="1"/>
  <c r="U62" i="117"/>
  <c r="V62" i="117" s="1"/>
  <c r="U61" i="117"/>
  <c r="V61" i="117" s="1"/>
  <c r="U60" i="117"/>
  <c r="V60" i="117" s="1"/>
  <c r="U59" i="117"/>
  <c r="V59" i="117" s="1"/>
  <c r="U58" i="117"/>
  <c r="V58" i="117" s="1"/>
  <c r="U57" i="117"/>
  <c r="V57" i="117" s="1"/>
  <c r="U56" i="117"/>
  <c r="V56" i="117" s="1"/>
  <c r="U55" i="117"/>
  <c r="V55" i="117" s="1"/>
  <c r="U54" i="117"/>
  <c r="V54" i="117" s="1"/>
  <c r="U53" i="117"/>
  <c r="V53" i="117" s="1"/>
  <c r="U52" i="117"/>
  <c r="V52" i="117" s="1"/>
  <c r="U51" i="117"/>
  <c r="V51" i="117" s="1"/>
  <c r="U50" i="117"/>
  <c r="V50" i="117" s="1"/>
  <c r="U49" i="117"/>
  <c r="V49" i="117" s="1"/>
  <c r="U48" i="117"/>
  <c r="V48" i="117" s="1"/>
  <c r="U47" i="117"/>
  <c r="V47" i="117" s="1"/>
  <c r="U46" i="117"/>
  <c r="V46" i="117" s="1"/>
  <c r="U45" i="117"/>
  <c r="V45" i="117" s="1"/>
  <c r="U44" i="117"/>
  <c r="V44" i="117" s="1"/>
  <c r="U43" i="117"/>
  <c r="V43" i="117" s="1"/>
  <c r="U42" i="117"/>
  <c r="V42" i="117" s="1"/>
  <c r="U41" i="117"/>
  <c r="V41" i="117" s="1"/>
  <c r="U40" i="117"/>
  <c r="V40" i="117" s="1"/>
  <c r="U39" i="117"/>
  <c r="V39" i="117" s="1"/>
  <c r="U38" i="117"/>
  <c r="V38" i="117" s="1"/>
  <c r="U37" i="117"/>
  <c r="V37" i="117" s="1"/>
  <c r="U36" i="117"/>
  <c r="V36" i="117" s="1"/>
  <c r="U35" i="117"/>
  <c r="V35" i="117" s="1"/>
  <c r="U34" i="117"/>
  <c r="V34" i="117" s="1"/>
  <c r="U33" i="117"/>
  <c r="V33" i="117" s="1"/>
  <c r="U32" i="117"/>
  <c r="V32" i="117" s="1"/>
  <c r="U31" i="117"/>
  <c r="V31" i="117" s="1"/>
  <c r="U30" i="117"/>
  <c r="V30" i="117" s="1"/>
  <c r="U29" i="117"/>
  <c r="V29" i="117" s="1"/>
  <c r="U28" i="117"/>
  <c r="V28" i="117" s="1"/>
  <c r="U27" i="117"/>
  <c r="V27" i="117" s="1"/>
  <c r="U26" i="117"/>
  <c r="V26" i="117" s="1"/>
  <c r="U25" i="117"/>
  <c r="V25" i="117" s="1"/>
  <c r="U24" i="117"/>
  <c r="V24" i="117" s="1"/>
  <c r="U23" i="117"/>
  <c r="V23" i="117" s="1"/>
  <c r="U22" i="117"/>
  <c r="V22" i="117" s="1"/>
  <c r="U21" i="117"/>
  <c r="V21" i="117" s="1"/>
  <c r="U20" i="117"/>
  <c r="V20" i="117" s="1"/>
  <c r="U19" i="117"/>
  <c r="V19" i="117" s="1"/>
  <c r="U18" i="117"/>
  <c r="V18" i="117" s="1"/>
  <c r="U17" i="117"/>
  <c r="V17" i="117" s="1"/>
  <c r="U16" i="117"/>
  <c r="V16" i="117" s="1"/>
  <c r="U15" i="117"/>
  <c r="V15" i="117" s="1"/>
  <c r="U14" i="117"/>
  <c r="V14" i="117" s="1"/>
  <c r="U13" i="117"/>
  <c r="V13" i="117" s="1"/>
  <c r="U12" i="117"/>
  <c r="V12" i="117" s="1"/>
  <c r="U11" i="117"/>
  <c r="V11" i="117" s="1"/>
  <c r="U10" i="117"/>
  <c r="V10" i="117" s="1"/>
  <c r="U9" i="117"/>
  <c r="V9" i="117" s="1"/>
  <c r="U8" i="117"/>
  <c r="V8" i="117" s="1"/>
  <c r="U7" i="117"/>
  <c r="V7" i="117" s="1"/>
  <c r="U6" i="117"/>
  <c r="F1" i="117"/>
  <c r="B1" i="117"/>
  <c r="K81" i="116"/>
  <c r="J81" i="116"/>
  <c r="B2" i="116"/>
  <c r="H81" i="116"/>
  <c r="G81" i="116"/>
  <c r="U69" i="116"/>
  <c r="V69" i="116" s="1"/>
  <c r="U68" i="116"/>
  <c r="V68" i="116" s="1"/>
  <c r="U67" i="116"/>
  <c r="V67" i="116" s="1"/>
  <c r="U66" i="116"/>
  <c r="U65" i="116"/>
  <c r="V65" i="116" s="1"/>
  <c r="U64" i="116"/>
  <c r="V64" i="116" s="1"/>
  <c r="U63" i="116"/>
  <c r="V63" i="116" s="1"/>
  <c r="U62" i="116"/>
  <c r="V62" i="116" s="1"/>
  <c r="U61" i="116"/>
  <c r="V61" i="116" s="1"/>
  <c r="U60" i="116"/>
  <c r="V60" i="116" s="1"/>
  <c r="U59" i="116"/>
  <c r="V59" i="116" s="1"/>
  <c r="U58" i="116"/>
  <c r="V58" i="116" s="1"/>
  <c r="U57" i="116"/>
  <c r="V57" i="116" s="1"/>
  <c r="U56" i="116"/>
  <c r="V56" i="116" s="1"/>
  <c r="U55" i="116"/>
  <c r="V55" i="116" s="1"/>
  <c r="U54" i="116"/>
  <c r="V54" i="116" s="1"/>
  <c r="U53" i="116"/>
  <c r="V53" i="116" s="1"/>
  <c r="U52" i="116"/>
  <c r="V52" i="116" s="1"/>
  <c r="U51" i="116"/>
  <c r="V51" i="116" s="1"/>
  <c r="U50" i="116"/>
  <c r="V50" i="116" s="1"/>
  <c r="U49" i="116"/>
  <c r="V49" i="116" s="1"/>
  <c r="U48" i="116"/>
  <c r="V48" i="116" s="1"/>
  <c r="U47" i="116"/>
  <c r="V47" i="116" s="1"/>
  <c r="U46" i="116"/>
  <c r="V46" i="116" s="1"/>
  <c r="U45" i="116"/>
  <c r="V45" i="116" s="1"/>
  <c r="U44" i="116"/>
  <c r="V44" i="116" s="1"/>
  <c r="U43" i="116"/>
  <c r="V43" i="116" s="1"/>
  <c r="U42" i="116"/>
  <c r="V42" i="116" s="1"/>
  <c r="U41" i="116"/>
  <c r="V41" i="116" s="1"/>
  <c r="U40" i="116"/>
  <c r="V40" i="116" s="1"/>
  <c r="U39" i="116"/>
  <c r="V39" i="116" s="1"/>
  <c r="U38" i="116"/>
  <c r="V38" i="116" s="1"/>
  <c r="U37" i="116"/>
  <c r="V37" i="116" s="1"/>
  <c r="U36" i="116"/>
  <c r="V36" i="116" s="1"/>
  <c r="U35" i="116"/>
  <c r="V35" i="116" s="1"/>
  <c r="U34" i="116"/>
  <c r="V34" i="116" s="1"/>
  <c r="U33" i="116"/>
  <c r="V33" i="116" s="1"/>
  <c r="U32" i="116"/>
  <c r="V32" i="116" s="1"/>
  <c r="U31" i="116"/>
  <c r="V31" i="116" s="1"/>
  <c r="U30" i="116"/>
  <c r="V30" i="116" s="1"/>
  <c r="U29" i="116"/>
  <c r="V29" i="116" s="1"/>
  <c r="U28" i="116"/>
  <c r="V28" i="116" s="1"/>
  <c r="U27" i="116"/>
  <c r="V27" i="116" s="1"/>
  <c r="U26" i="116"/>
  <c r="V26" i="116" s="1"/>
  <c r="U25" i="116"/>
  <c r="V25" i="116" s="1"/>
  <c r="U24" i="116"/>
  <c r="V24" i="116" s="1"/>
  <c r="U23" i="116"/>
  <c r="V23" i="116" s="1"/>
  <c r="U22" i="116"/>
  <c r="V22" i="116" s="1"/>
  <c r="U21" i="116"/>
  <c r="V21" i="116" s="1"/>
  <c r="U20" i="116"/>
  <c r="V20" i="116" s="1"/>
  <c r="U19" i="116"/>
  <c r="V19" i="116" s="1"/>
  <c r="U18" i="116"/>
  <c r="U17" i="116"/>
  <c r="V17" i="116" s="1"/>
  <c r="U16" i="116"/>
  <c r="V16" i="116" s="1"/>
  <c r="U15" i="116"/>
  <c r="V15" i="116" s="1"/>
  <c r="U14" i="116"/>
  <c r="V14" i="116" s="1"/>
  <c r="U13" i="116"/>
  <c r="V13" i="116" s="1"/>
  <c r="U12" i="116"/>
  <c r="V12" i="116" s="1"/>
  <c r="U11" i="116"/>
  <c r="V11" i="116" s="1"/>
  <c r="U10" i="116"/>
  <c r="V10" i="116" s="1"/>
  <c r="U9" i="116"/>
  <c r="V9" i="116" s="1"/>
  <c r="U8" i="116"/>
  <c r="V8" i="116" s="1"/>
  <c r="U7" i="116"/>
  <c r="V7" i="116" s="1"/>
  <c r="U6" i="116"/>
  <c r="F1" i="116"/>
  <c r="B1" i="116"/>
  <c r="K81" i="115"/>
  <c r="J81" i="115"/>
  <c r="B2" i="115"/>
  <c r="H81" i="115"/>
  <c r="G81" i="115"/>
  <c r="U69" i="115"/>
  <c r="V69" i="115" s="1"/>
  <c r="U68" i="115"/>
  <c r="V68" i="115" s="1"/>
  <c r="U67" i="115"/>
  <c r="V67" i="115" s="1"/>
  <c r="U66" i="115"/>
  <c r="V66" i="115" s="1"/>
  <c r="U65" i="115"/>
  <c r="V65" i="115" s="1"/>
  <c r="U64" i="115"/>
  <c r="V64" i="115" s="1"/>
  <c r="U63" i="115"/>
  <c r="V63" i="115" s="1"/>
  <c r="U62" i="115"/>
  <c r="U61" i="115"/>
  <c r="U60" i="115"/>
  <c r="V60" i="115" s="1"/>
  <c r="U59" i="115"/>
  <c r="U58" i="115"/>
  <c r="U57" i="115"/>
  <c r="V57" i="115" s="1"/>
  <c r="U56" i="115"/>
  <c r="V56" i="115" s="1"/>
  <c r="U55" i="115"/>
  <c r="V55" i="115" s="1"/>
  <c r="U54" i="115"/>
  <c r="V54" i="115" s="1"/>
  <c r="U53" i="115"/>
  <c r="V53" i="115" s="1"/>
  <c r="U52" i="115"/>
  <c r="V52" i="115" s="1"/>
  <c r="U51" i="115"/>
  <c r="V51" i="115" s="1"/>
  <c r="U50" i="115"/>
  <c r="V50" i="115" s="1"/>
  <c r="U49" i="115"/>
  <c r="V49" i="115" s="1"/>
  <c r="U48" i="115"/>
  <c r="V48" i="115" s="1"/>
  <c r="U47" i="115"/>
  <c r="V47" i="115" s="1"/>
  <c r="U46" i="115"/>
  <c r="V46" i="115" s="1"/>
  <c r="U45" i="115"/>
  <c r="V45" i="115" s="1"/>
  <c r="U44" i="115"/>
  <c r="V44" i="115" s="1"/>
  <c r="U43" i="115"/>
  <c r="V43" i="115" s="1"/>
  <c r="U42" i="115"/>
  <c r="V42" i="115" s="1"/>
  <c r="U41" i="115"/>
  <c r="V41" i="115" s="1"/>
  <c r="U40" i="115"/>
  <c r="V40" i="115" s="1"/>
  <c r="U39" i="115"/>
  <c r="V39" i="115" s="1"/>
  <c r="U38" i="115"/>
  <c r="V38" i="115" s="1"/>
  <c r="U37" i="115"/>
  <c r="V37" i="115" s="1"/>
  <c r="U36" i="115"/>
  <c r="V36" i="115" s="1"/>
  <c r="U35" i="115"/>
  <c r="V35" i="115" s="1"/>
  <c r="U34" i="115"/>
  <c r="V34" i="115" s="1"/>
  <c r="U33" i="115"/>
  <c r="V33" i="115" s="1"/>
  <c r="U32" i="115"/>
  <c r="V32" i="115" s="1"/>
  <c r="U31" i="115"/>
  <c r="V31" i="115" s="1"/>
  <c r="U30" i="115"/>
  <c r="V30" i="115" s="1"/>
  <c r="U29" i="115"/>
  <c r="V29" i="115" s="1"/>
  <c r="U28" i="115"/>
  <c r="V28" i="115" s="1"/>
  <c r="U27" i="115"/>
  <c r="V27" i="115" s="1"/>
  <c r="U26" i="115"/>
  <c r="V26" i="115" s="1"/>
  <c r="U25" i="115"/>
  <c r="V25" i="115" s="1"/>
  <c r="U24" i="115"/>
  <c r="V24" i="115" s="1"/>
  <c r="U23" i="115"/>
  <c r="V23" i="115" s="1"/>
  <c r="U22" i="115"/>
  <c r="V22" i="115" s="1"/>
  <c r="U21" i="115"/>
  <c r="V21" i="115" s="1"/>
  <c r="U20" i="115"/>
  <c r="V20" i="115" s="1"/>
  <c r="U19" i="115"/>
  <c r="V19" i="115" s="1"/>
  <c r="U18" i="115"/>
  <c r="V18" i="115" s="1"/>
  <c r="U17" i="115"/>
  <c r="V17" i="115" s="1"/>
  <c r="U16" i="115"/>
  <c r="V16" i="115" s="1"/>
  <c r="U15" i="115"/>
  <c r="U14" i="115"/>
  <c r="V14" i="115" s="1"/>
  <c r="U13" i="115"/>
  <c r="V13" i="115" s="1"/>
  <c r="U12" i="115"/>
  <c r="V12" i="115" s="1"/>
  <c r="U11" i="115"/>
  <c r="V11" i="115" s="1"/>
  <c r="U10" i="115"/>
  <c r="V10" i="115" s="1"/>
  <c r="U9" i="115"/>
  <c r="V9" i="115" s="1"/>
  <c r="U8" i="115"/>
  <c r="V8" i="115" s="1"/>
  <c r="U7" i="115"/>
  <c r="V7" i="115" s="1"/>
  <c r="U6" i="115"/>
  <c r="F1" i="115"/>
  <c r="B1" i="115"/>
  <c r="K81" i="114"/>
  <c r="J81" i="114"/>
  <c r="B2" i="114"/>
  <c r="H81" i="114"/>
  <c r="G81" i="114"/>
  <c r="U69" i="114"/>
  <c r="V69" i="114" s="1"/>
  <c r="U68" i="114"/>
  <c r="V68" i="114" s="1"/>
  <c r="U67" i="114"/>
  <c r="V67" i="114" s="1"/>
  <c r="U66" i="114"/>
  <c r="V66" i="114" s="1"/>
  <c r="U65" i="114"/>
  <c r="U64" i="114"/>
  <c r="V64" i="114" s="1"/>
  <c r="U63" i="114"/>
  <c r="V63" i="114" s="1"/>
  <c r="U62" i="114"/>
  <c r="V62" i="114" s="1"/>
  <c r="U61" i="114"/>
  <c r="U60" i="114"/>
  <c r="U59" i="114"/>
  <c r="V59" i="114" s="1"/>
  <c r="U58" i="114"/>
  <c r="V58" i="114" s="1"/>
  <c r="U57" i="114"/>
  <c r="V57" i="114" s="1"/>
  <c r="U56" i="114"/>
  <c r="V56" i="114" s="1"/>
  <c r="U55" i="114"/>
  <c r="V55" i="114" s="1"/>
  <c r="U54" i="114"/>
  <c r="V54" i="114" s="1"/>
  <c r="U53" i="114"/>
  <c r="V53" i="114" s="1"/>
  <c r="U52" i="114"/>
  <c r="V52" i="114" s="1"/>
  <c r="U51" i="114"/>
  <c r="V51" i="114" s="1"/>
  <c r="U50" i="114"/>
  <c r="V50" i="114" s="1"/>
  <c r="U49" i="114"/>
  <c r="V49" i="114" s="1"/>
  <c r="U48" i="114"/>
  <c r="V48" i="114" s="1"/>
  <c r="U47" i="114"/>
  <c r="V47" i="114" s="1"/>
  <c r="U46" i="114"/>
  <c r="V46" i="114" s="1"/>
  <c r="U45" i="114"/>
  <c r="V45" i="114" s="1"/>
  <c r="U44" i="114"/>
  <c r="V44" i="114" s="1"/>
  <c r="U43" i="114"/>
  <c r="V43" i="114" s="1"/>
  <c r="U42" i="114"/>
  <c r="V42" i="114" s="1"/>
  <c r="U41" i="114"/>
  <c r="V41" i="114" s="1"/>
  <c r="U40" i="114"/>
  <c r="V40" i="114" s="1"/>
  <c r="U39" i="114"/>
  <c r="V39" i="114" s="1"/>
  <c r="U38" i="114"/>
  <c r="V38" i="114" s="1"/>
  <c r="U37" i="114"/>
  <c r="V37" i="114" s="1"/>
  <c r="U36" i="114"/>
  <c r="V36" i="114" s="1"/>
  <c r="U35" i="114"/>
  <c r="V35" i="114" s="1"/>
  <c r="U34" i="114"/>
  <c r="V34" i="114" s="1"/>
  <c r="U33" i="114"/>
  <c r="V33" i="114" s="1"/>
  <c r="U32" i="114"/>
  <c r="V32" i="114" s="1"/>
  <c r="U31" i="114"/>
  <c r="U30" i="114"/>
  <c r="V30" i="114" s="1"/>
  <c r="U29" i="114"/>
  <c r="V29" i="114" s="1"/>
  <c r="U28" i="114"/>
  <c r="V28" i="114" s="1"/>
  <c r="U27" i="114"/>
  <c r="V27" i="114" s="1"/>
  <c r="U26" i="114"/>
  <c r="V26" i="114" s="1"/>
  <c r="U25" i="114"/>
  <c r="V25" i="114" s="1"/>
  <c r="U24" i="114"/>
  <c r="V24" i="114" s="1"/>
  <c r="U23" i="114"/>
  <c r="V23" i="114" s="1"/>
  <c r="U22" i="114"/>
  <c r="V22" i="114" s="1"/>
  <c r="U21" i="114"/>
  <c r="V21" i="114" s="1"/>
  <c r="U20" i="114"/>
  <c r="V20" i="114" s="1"/>
  <c r="U19" i="114"/>
  <c r="V19" i="114" s="1"/>
  <c r="U18" i="114"/>
  <c r="V18" i="114" s="1"/>
  <c r="U17" i="114"/>
  <c r="V17" i="114" s="1"/>
  <c r="U16" i="114"/>
  <c r="V16" i="114" s="1"/>
  <c r="U15" i="114"/>
  <c r="V15" i="114" s="1"/>
  <c r="U14" i="114"/>
  <c r="V14" i="114" s="1"/>
  <c r="U13" i="114"/>
  <c r="V13" i="114" s="1"/>
  <c r="U12" i="114"/>
  <c r="V12" i="114" s="1"/>
  <c r="U11" i="114"/>
  <c r="V11" i="114" s="1"/>
  <c r="U10" i="114"/>
  <c r="V10" i="114" s="1"/>
  <c r="U9" i="114"/>
  <c r="V9" i="114" s="1"/>
  <c r="U8" i="114"/>
  <c r="V8" i="114" s="1"/>
  <c r="U7" i="114"/>
  <c r="V7" i="114" s="1"/>
  <c r="U6" i="114"/>
  <c r="F1" i="114"/>
  <c r="B1" i="114"/>
  <c r="K81" i="113"/>
  <c r="J81" i="113"/>
  <c r="B2" i="113"/>
  <c r="H81" i="113"/>
  <c r="G81" i="113"/>
  <c r="U69" i="113"/>
  <c r="V69" i="113" s="1"/>
  <c r="U68" i="113"/>
  <c r="V68" i="113" s="1"/>
  <c r="U67" i="113"/>
  <c r="V67" i="113" s="1"/>
  <c r="U66" i="113"/>
  <c r="V66" i="113" s="1"/>
  <c r="U65" i="113"/>
  <c r="V65" i="113" s="1"/>
  <c r="U64" i="113"/>
  <c r="V64" i="113" s="1"/>
  <c r="U63" i="113"/>
  <c r="V63" i="113" s="1"/>
  <c r="U62" i="113"/>
  <c r="V62" i="113" s="1"/>
  <c r="U61" i="113"/>
  <c r="V61" i="113" s="1"/>
  <c r="U60" i="113"/>
  <c r="V60" i="113" s="1"/>
  <c r="U59" i="113"/>
  <c r="V59" i="113" s="1"/>
  <c r="U58" i="113"/>
  <c r="V58" i="113" s="1"/>
  <c r="U57" i="113"/>
  <c r="V57" i="113" s="1"/>
  <c r="U56" i="113"/>
  <c r="V56" i="113" s="1"/>
  <c r="U55" i="113"/>
  <c r="V55" i="113" s="1"/>
  <c r="U54" i="113"/>
  <c r="U53" i="113"/>
  <c r="V53" i="113" s="1"/>
  <c r="U52" i="113"/>
  <c r="V52" i="113" s="1"/>
  <c r="U51" i="113"/>
  <c r="V51" i="113" s="1"/>
  <c r="U50" i="113"/>
  <c r="V50" i="113" s="1"/>
  <c r="U49" i="113"/>
  <c r="V49" i="113" s="1"/>
  <c r="U48" i="113"/>
  <c r="V48" i="113" s="1"/>
  <c r="U47" i="113"/>
  <c r="V47" i="113" s="1"/>
  <c r="U46" i="113"/>
  <c r="V46" i="113" s="1"/>
  <c r="U45" i="113"/>
  <c r="V45" i="113" s="1"/>
  <c r="U44" i="113"/>
  <c r="V44" i="113" s="1"/>
  <c r="U43" i="113"/>
  <c r="V43" i="113" s="1"/>
  <c r="U42" i="113"/>
  <c r="V42" i="113" s="1"/>
  <c r="U41" i="113"/>
  <c r="V41" i="113" s="1"/>
  <c r="U40" i="113"/>
  <c r="V40" i="113" s="1"/>
  <c r="U39" i="113"/>
  <c r="V39" i="113" s="1"/>
  <c r="U38" i="113"/>
  <c r="V38" i="113" s="1"/>
  <c r="U37" i="113"/>
  <c r="V37" i="113" s="1"/>
  <c r="U36" i="113"/>
  <c r="V36" i="113" s="1"/>
  <c r="U35" i="113"/>
  <c r="V35" i="113" s="1"/>
  <c r="U34" i="113"/>
  <c r="V34" i="113" s="1"/>
  <c r="U33" i="113"/>
  <c r="V33" i="113" s="1"/>
  <c r="U32" i="113"/>
  <c r="V32" i="113" s="1"/>
  <c r="U31" i="113"/>
  <c r="V31" i="113" s="1"/>
  <c r="U30" i="113"/>
  <c r="V30" i="113" s="1"/>
  <c r="U29" i="113"/>
  <c r="V29" i="113" s="1"/>
  <c r="U28" i="113"/>
  <c r="V28" i="113" s="1"/>
  <c r="U27" i="113"/>
  <c r="V27" i="113" s="1"/>
  <c r="U26" i="113"/>
  <c r="V26" i="113" s="1"/>
  <c r="U25" i="113"/>
  <c r="V25" i="113" s="1"/>
  <c r="U24" i="113"/>
  <c r="V24" i="113" s="1"/>
  <c r="U23" i="113"/>
  <c r="V23" i="113" s="1"/>
  <c r="U22" i="113"/>
  <c r="U21" i="113"/>
  <c r="V21" i="113" s="1"/>
  <c r="U20" i="113"/>
  <c r="V20" i="113" s="1"/>
  <c r="U19" i="113"/>
  <c r="V19" i="113" s="1"/>
  <c r="U18" i="113"/>
  <c r="V18" i="113" s="1"/>
  <c r="U17" i="113"/>
  <c r="U16" i="113"/>
  <c r="V16" i="113" s="1"/>
  <c r="U15" i="113"/>
  <c r="V15" i="113" s="1"/>
  <c r="U14" i="113"/>
  <c r="V14" i="113" s="1"/>
  <c r="U13" i="113"/>
  <c r="V13" i="113" s="1"/>
  <c r="U12" i="113"/>
  <c r="V12" i="113" s="1"/>
  <c r="U11" i="113"/>
  <c r="V11" i="113" s="1"/>
  <c r="U10" i="113"/>
  <c r="V10" i="113" s="1"/>
  <c r="U9" i="113"/>
  <c r="V9" i="113" s="1"/>
  <c r="U8" i="113"/>
  <c r="V8" i="113" s="1"/>
  <c r="U7" i="113"/>
  <c r="V7" i="113" s="1"/>
  <c r="U6" i="113"/>
  <c r="F1" i="113"/>
  <c r="B1" i="113"/>
  <c r="K81" i="112"/>
  <c r="J81" i="112"/>
  <c r="B2" i="112"/>
  <c r="H81" i="112"/>
  <c r="G81" i="112"/>
  <c r="U69" i="112"/>
  <c r="V69" i="112" s="1"/>
  <c r="U68" i="112"/>
  <c r="V68" i="112" s="1"/>
  <c r="U67" i="112"/>
  <c r="V67" i="112" s="1"/>
  <c r="U66" i="112"/>
  <c r="V66" i="112" s="1"/>
  <c r="U65" i="112"/>
  <c r="V65" i="112" s="1"/>
  <c r="U64" i="112"/>
  <c r="V64" i="112" s="1"/>
  <c r="U63" i="112"/>
  <c r="V63" i="112" s="1"/>
  <c r="U62" i="112"/>
  <c r="V62" i="112" s="1"/>
  <c r="U61" i="112"/>
  <c r="V61" i="112" s="1"/>
  <c r="U60" i="112"/>
  <c r="V60" i="112" s="1"/>
  <c r="U59" i="112"/>
  <c r="V59" i="112" s="1"/>
  <c r="U58" i="112"/>
  <c r="V58" i="112" s="1"/>
  <c r="U57" i="112"/>
  <c r="V57" i="112" s="1"/>
  <c r="U56" i="112"/>
  <c r="V56" i="112" s="1"/>
  <c r="U55" i="112"/>
  <c r="V55" i="112" s="1"/>
  <c r="U54" i="112"/>
  <c r="V54" i="112" s="1"/>
  <c r="U53" i="112"/>
  <c r="U52" i="112"/>
  <c r="V52" i="112" s="1"/>
  <c r="U51" i="112"/>
  <c r="V51" i="112" s="1"/>
  <c r="U50" i="112"/>
  <c r="V50" i="112" s="1"/>
  <c r="U49" i="112"/>
  <c r="V49" i="112" s="1"/>
  <c r="U48" i="112"/>
  <c r="V48" i="112" s="1"/>
  <c r="U47" i="112"/>
  <c r="V47" i="112" s="1"/>
  <c r="U46" i="112"/>
  <c r="V46" i="112" s="1"/>
  <c r="U45" i="112"/>
  <c r="V45" i="112" s="1"/>
  <c r="U44" i="112"/>
  <c r="V44" i="112" s="1"/>
  <c r="U43" i="112"/>
  <c r="V43" i="112" s="1"/>
  <c r="U42" i="112"/>
  <c r="V42" i="112" s="1"/>
  <c r="U41" i="112"/>
  <c r="V41" i="112" s="1"/>
  <c r="U40" i="112"/>
  <c r="U39" i="112"/>
  <c r="V39" i="112" s="1"/>
  <c r="U38" i="112"/>
  <c r="V38" i="112" s="1"/>
  <c r="U37" i="112"/>
  <c r="V37" i="112" s="1"/>
  <c r="U36" i="112"/>
  <c r="V36" i="112" s="1"/>
  <c r="U35" i="112"/>
  <c r="V35" i="112" s="1"/>
  <c r="U34" i="112"/>
  <c r="V34" i="112" s="1"/>
  <c r="U33" i="112"/>
  <c r="V33" i="112" s="1"/>
  <c r="U32" i="112"/>
  <c r="V32" i="112" s="1"/>
  <c r="U31" i="112"/>
  <c r="V31" i="112" s="1"/>
  <c r="U30" i="112"/>
  <c r="V30" i="112" s="1"/>
  <c r="U29" i="112"/>
  <c r="V29" i="112" s="1"/>
  <c r="U28" i="112"/>
  <c r="V28" i="112" s="1"/>
  <c r="U27" i="112"/>
  <c r="V27" i="112" s="1"/>
  <c r="U26" i="112"/>
  <c r="V26" i="112" s="1"/>
  <c r="U25" i="112"/>
  <c r="V25" i="112" s="1"/>
  <c r="U24" i="112"/>
  <c r="V24" i="112" s="1"/>
  <c r="U23" i="112"/>
  <c r="V23" i="112" s="1"/>
  <c r="U22" i="112"/>
  <c r="V22" i="112" s="1"/>
  <c r="U21" i="112"/>
  <c r="V21" i="112" s="1"/>
  <c r="U20" i="112"/>
  <c r="V20" i="112" s="1"/>
  <c r="U19" i="112"/>
  <c r="V19" i="112" s="1"/>
  <c r="U18" i="112"/>
  <c r="V18" i="112" s="1"/>
  <c r="U17" i="112"/>
  <c r="V17" i="112" s="1"/>
  <c r="U16" i="112"/>
  <c r="V16" i="112" s="1"/>
  <c r="U15" i="112"/>
  <c r="V15" i="112" s="1"/>
  <c r="U14" i="112"/>
  <c r="V14" i="112" s="1"/>
  <c r="U13" i="112"/>
  <c r="U12" i="112"/>
  <c r="V12" i="112" s="1"/>
  <c r="U11" i="112"/>
  <c r="V11" i="112" s="1"/>
  <c r="U10" i="112"/>
  <c r="V10" i="112" s="1"/>
  <c r="U9" i="112"/>
  <c r="V9" i="112" s="1"/>
  <c r="U8" i="112"/>
  <c r="V8" i="112" s="1"/>
  <c r="U7" i="112"/>
  <c r="V7" i="112" s="1"/>
  <c r="U6" i="112"/>
  <c r="F1" i="112"/>
  <c r="B1" i="112"/>
  <c r="K81" i="135"/>
  <c r="J81" i="135"/>
  <c r="B2" i="135"/>
  <c r="H81" i="135"/>
  <c r="G81" i="135"/>
  <c r="U69" i="135"/>
  <c r="V69" i="135" s="1"/>
  <c r="U68" i="135"/>
  <c r="V68" i="135" s="1"/>
  <c r="U67" i="135"/>
  <c r="V67" i="135" s="1"/>
  <c r="U66" i="135"/>
  <c r="V66" i="135" s="1"/>
  <c r="U65" i="135"/>
  <c r="V65" i="135" s="1"/>
  <c r="U64" i="135"/>
  <c r="V64" i="135" s="1"/>
  <c r="U63" i="135"/>
  <c r="V63" i="135" s="1"/>
  <c r="U62" i="135"/>
  <c r="V62" i="135" s="1"/>
  <c r="U61" i="135"/>
  <c r="V61" i="135" s="1"/>
  <c r="U60" i="135"/>
  <c r="V60" i="135" s="1"/>
  <c r="U59" i="135"/>
  <c r="V59" i="135" s="1"/>
  <c r="U58" i="135"/>
  <c r="V58" i="135" s="1"/>
  <c r="U57" i="135"/>
  <c r="V57" i="135" s="1"/>
  <c r="U56" i="135"/>
  <c r="V56" i="135" s="1"/>
  <c r="U55" i="135"/>
  <c r="V55" i="135" s="1"/>
  <c r="U54" i="135"/>
  <c r="V54" i="135" s="1"/>
  <c r="U53" i="135"/>
  <c r="U52" i="135"/>
  <c r="V52" i="135" s="1"/>
  <c r="U51" i="135"/>
  <c r="V51" i="135" s="1"/>
  <c r="U50" i="135"/>
  <c r="V50" i="135" s="1"/>
  <c r="U49" i="135"/>
  <c r="V49" i="135" s="1"/>
  <c r="U48" i="135"/>
  <c r="V48" i="135" s="1"/>
  <c r="U47" i="135"/>
  <c r="V47" i="135" s="1"/>
  <c r="U46" i="135"/>
  <c r="V46" i="135" s="1"/>
  <c r="U45" i="135"/>
  <c r="V45" i="135" s="1"/>
  <c r="U44" i="135"/>
  <c r="V44" i="135" s="1"/>
  <c r="U43" i="135"/>
  <c r="V43" i="135" s="1"/>
  <c r="U42" i="135"/>
  <c r="V42" i="135" s="1"/>
  <c r="U41" i="135"/>
  <c r="V41" i="135" s="1"/>
  <c r="U40" i="135"/>
  <c r="V40" i="135" s="1"/>
  <c r="U39" i="135"/>
  <c r="V39" i="135" s="1"/>
  <c r="U38" i="135"/>
  <c r="V38" i="135" s="1"/>
  <c r="U37" i="135"/>
  <c r="V37" i="135" s="1"/>
  <c r="U36" i="135"/>
  <c r="V36" i="135" s="1"/>
  <c r="U35" i="135"/>
  <c r="V35" i="135" s="1"/>
  <c r="U34" i="135"/>
  <c r="V34" i="135" s="1"/>
  <c r="U33" i="135"/>
  <c r="V33" i="135" s="1"/>
  <c r="U32" i="135"/>
  <c r="V32" i="135" s="1"/>
  <c r="U31" i="135"/>
  <c r="V31" i="135" s="1"/>
  <c r="U30" i="135"/>
  <c r="V30" i="135" s="1"/>
  <c r="U29" i="135"/>
  <c r="V29" i="135" s="1"/>
  <c r="U28" i="135"/>
  <c r="U27" i="135"/>
  <c r="V27" i="135" s="1"/>
  <c r="U26" i="135"/>
  <c r="V26" i="135" s="1"/>
  <c r="U25" i="135"/>
  <c r="V25" i="135" s="1"/>
  <c r="U24" i="135"/>
  <c r="V24" i="135" s="1"/>
  <c r="U23" i="135"/>
  <c r="V23" i="135" s="1"/>
  <c r="U22" i="135"/>
  <c r="V22" i="135" s="1"/>
  <c r="U21" i="135"/>
  <c r="V21" i="135" s="1"/>
  <c r="U20" i="135"/>
  <c r="V20" i="135" s="1"/>
  <c r="U19" i="135"/>
  <c r="V19" i="135" s="1"/>
  <c r="U18" i="135"/>
  <c r="V18" i="135" s="1"/>
  <c r="U17" i="135"/>
  <c r="V17" i="135" s="1"/>
  <c r="U16" i="135"/>
  <c r="V16" i="135" s="1"/>
  <c r="U15" i="135"/>
  <c r="V15" i="135" s="1"/>
  <c r="U14" i="135"/>
  <c r="V14" i="135" s="1"/>
  <c r="U13" i="135"/>
  <c r="U12" i="135"/>
  <c r="V12" i="135" s="1"/>
  <c r="U11" i="135"/>
  <c r="V11" i="135" s="1"/>
  <c r="U10" i="135"/>
  <c r="V10" i="135" s="1"/>
  <c r="U9" i="135"/>
  <c r="V9" i="135" s="1"/>
  <c r="U8" i="135"/>
  <c r="U7" i="135"/>
  <c r="V7" i="135" s="1"/>
  <c r="U6" i="135"/>
  <c r="F1" i="135"/>
  <c r="B1" i="135"/>
  <c r="K81" i="134"/>
  <c r="J81" i="134"/>
  <c r="H81" i="134"/>
  <c r="G81" i="134"/>
  <c r="U69" i="134"/>
  <c r="V69" i="134" s="1"/>
  <c r="U68" i="134"/>
  <c r="V68" i="134" s="1"/>
  <c r="U67" i="134"/>
  <c r="V67" i="134" s="1"/>
  <c r="U66" i="134"/>
  <c r="V66" i="134" s="1"/>
  <c r="U65" i="134"/>
  <c r="V65" i="134" s="1"/>
  <c r="U64" i="134"/>
  <c r="V64" i="134" s="1"/>
  <c r="U63" i="134"/>
  <c r="V63" i="134" s="1"/>
  <c r="U62" i="134"/>
  <c r="V62" i="134" s="1"/>
  <c r="U61" i="134"/>
  <c r="V61" i="134" s="1"/>
  <c r="U60" i="134"/>
  <c r="V60" i="134" s="1"/>
  <c r="U59" i="134"/>
  <c r="V59" i="134" s="1"/>
  <c r="U58" i="134"/>
  <c r="V58" i="134" s="1"/>
  <c r="U57" i="134"/>
  <c r="V57" i="134" s="1"/>
  <c r="U56" i="134"/>
  <c r="V56" i="134" s="1"/>
  <c r="U55" i="134"/>
  <c r="V55" i="134" s="1"/>
  <c r="U54" i="134"/>
  <c r="V54" i="134" s="1"/>
  <c r="U53" i="134"/>
  <c r="U52" i="134"/>
  <c r="V52" i="134" s="1"/>
  <c r="U51" i="134"/>
  <c r="V51" i="134" s="1"/>
  <c r="U50" i="134"/>
  <c r="V50" i="134" s="1"/>
  <c r="U49" i="134"/>
  <c r="V49" i="134" s="1"/>
  <c r="U48" i="134"/>
  <c r="V48" i="134" s="1"/>
  <c r="U47" i="134"/>
  <c r="V47" i="134" s="1"/>
  <c r="U46" i="134"/>
  <c r="V46" i="134" s="1"/>
  <c r="U45" i="134"/>
  <c r="V45" i="134" s="1"/>
  <c r="U44" i="134"/>
  <c r="V44" i="134" s="1"/>
  <c r="U43" i="134"/>
  <c r="V43" i="134" s="1"/>
  <c r="U42" i="134"/>
  <c r="V42" i="134" s="1"/>
  <c r="U41" i="134"/>
  <c r="V41" i="134" s="1"/>
  <c r="U40" i="134"/>
  <c r="V40" i="134" s="1"/>
  <c r="U39" i="134"/>
  <c r="V39" i="134" s="1"/>
  <c r="U38" i="134"/>
  <c r="V38" i="134" s="1"/>
  <c r="U37" i="134"/>
  <c r="V37" i="134" s="1"/>
  <c r="U36" i="134"/>
  <c r="V36" i="134" s="1"/>
  <c r="U35" i="134"/>
  <c r="U34" i="134"/>
  <c r="V34" i="134" s="1"/>
  <c r="U33" i="134"/>
  <c r="V33" i="134" s="1"/>
  <c r="U32" i="134"/>
  <c r="V32" i="134" s="1"/>
  <c r="U31" i="134"/>
  <c r="V31" i="134" s="1"/>
  <c r="U30" i="134"/>
  <c r="V30" i="134" s="1"/>
  <c r="U29" i="134"/>
  <c r="V29" i="134" s="1"/>
  <c r="U28" i="134"/>
  <c r="V28" i="134" s="1"/>
  <c r="U27" i="134"/>
  <c r="V27" i="134" s="1"/>
  <c r="U26" i="134"/>
  <c r="V26" i="134" s="1"/>
  <c r="U25" i="134"/>
  <c r="V25" i="134" s="1"/>
  <c r="U24" i="134"/>
  <c r="V24" i="134" s="1"/>
  <c r="U23" i="134"/>
  <c r="V23" i="134" s="1"/>
  <c r="U22" i="134"/>
  <c r="V22" i="134" s="1"/>
  <c r="U21" i="134"/>
  <c r="V21" i="134" s="1"/>
  <c r="U20" i="134"/>
  <c r="V20" i="134" s="1"/>
  <c r="U19" i="134"/>
  <c r="V19" i="134" s="1"/>
  <c r="U18" i="134"/>
  <c r="V18" i="134" s="1"/>
  <c r="U17" i="134"/>
  <c r="V17" i="134" s="1"/>
  <c r="U16" i="134"/>
  <c r="V16" i="134" s="1"/>
  <c r="U15" i="134"/>
  <c r="V15" i="134" s="1"/>
  <c r="U14" i="134"/>
  <c r="V14" i="134" s="1"/>
  <c r="U13" i="134"/>
  <c r="V13" i="134" s="1"/>
  <c r="U12" i="134"/>
  <c r="V12" i="134" s="1"/>
  <c r="U11" i="134"/>
  <c r="V11" i="134" s="1"/>
  <c r="U10" i="134"/>
  <c r="V10" i="134" s="1"/>
  <c r="U9" i="134"/>
  <c r="V9" i="134" s="1"/>
  <c r="U8" i="134"/>
  <c r="V8" i="134" s="1"/>
  <c r="U7" i="134"/>
  <c r="V7" i="134" s="1"/>
  <c r="U6" i="134"/>
  <c r="F1" i="134"/>
  <c r="B1" i="134"/>
  <c r="K81" i="133"/>
  <c r="J81" i="133"/>
  <c r="B2" i="133"/>
  <c r="H81" i="133"/>
  <c r="G81" i="133"/>
  <c r="U69" i="133"/>
  <c r="V69" i="133" s="1"/>
  <c r="U68" i="133"/>
  <c r="V68" i="133" s="1"/>
  <c r="U67" i="133"/>
  <c r="V67" i="133" s="1"/>
  <c r="U66" i="133"/>
  <c r="V66" i="133" s="1"/>
  <c r="U65" i="133"/>
  <c r="V65" i="133" s="1"/>
  <c r="U64" i="133"/>
  <c r="V64" i="133" s="1"/>
  <c r="U63" i="133"/>
  <c r="V63" i="133" s="1"/>
  <c r="U62" i="133"/>
  <c r="V62" i="133" s="1"/>
  <c r="U61" i="133"/>
  <c r="V61" i="133" s="1"/>
  <c r="U60" i="133"/>
  <c r="V60" i="133" s="1"/>
  <c r="U59" i="133"/>
  <c r="V59" i="133" s="1"/>
  <c r="U58" i="133"/>
  <c r="V58" i="133" s="1"/>
  <c r="U57" i="133"/>
  <c r="V57" i="133" s="1"/>
  <c r="U56" i="133"/>
  <c r="V56" i="133" s="1"/>
  <c r="U55" i="133"/>
  <c r="V55" i="133" s="1"/>
  <c r="U54" i="133"/>
  <c r="V54" i="133" s="1"/>
  <c r="U53" i="133"/>
  <c r="V53" i="133" s="1"/>
  <c r="U52" i="133"/>
  <c r="V52" i="133" s="1"/>
  <c r="U51" i="133"/>
  <c r="V51" i="133" s="1"/>
  <c r="U50" i="133"/>
  <c r="V50" i="133" s="1"/>
  <c r="U49" i="133"/>
  <c r="V49" i="133" s="1"/>
  <c r="U48" i="133"/>
  <c r="V48" i="133" s="1"/>
  <c r="U47" i="133"/>
  <c r="V47" i="133" s="1"/>
  <c r="U46" i="133"/>
  <c r="V46" i="133" s="1"/>
  <c r="U45" i="133"/>
  <c r="V45" i="133" s="1"/>
  <c r="U44" i="133"/>
  <c r="V44" i="133" s="1"/>
  <c r="U43" i="133"/>
  <c r="V43" i="133" s="1"/>
  <c r="U42" i="133"/>
  <c r="V42" i="133" s="1"/>
  <c r="U41" i="133"/>
  <c r="U40" i="133"/>
  <c r="V40" i="133" s="1"/>
  <c r="U39" i="133"/>
  <c r="V39" i="133" s="1"/>
  <c r="U38" i="133"/>
  <c r="U37" i="133"/>
  <c r="V37" i="133" s="1"/>
  <c r="U36" i="133"/>
  <c r="U35" i="133"/>
  <c r="V35" i="133" s="1"/>
  <c r="U34" i="133"/>
  <c r="V34" i="133" s="1"/>
  <c r="U33" i="133"/>
  <c r="V33" i="133" s="1"/>
  <c r="U32" i="133"/>
  <c r="V32" i="133" s="1"/>
  <c r="U31" i="133"/>
  <c r="V31" i="133" s="1"/>
  <c r="U30" i="133"/>
  <c r="V30" i="133" s="1"/>
  <c r="U29" i="133"/>
  <c r="V29" i="133" s="1"/>
  <c r="U28" i="133"/>
  <c r="U27" i="133"/>
  <c r="V27" i="133" s="1"/>
  <c r="U26" i="133"/>
  <c r="V26" i="133" s="1"/>
  <c r="U25" i="133"/>
  <c r="V25" i="133" s="1"/>
  <c r="U24" i="133"/>
  <c r="V24" i="133" s="1"/>
  <c r="U23" i="133"/>
  <c r="V23" i="133" s="1"/>
  <c r="U22" i="133"/>
  <c r="V22" i="133" s="1"/>
  <c r="U21" i="133"/>
  <c r="V21" i="133" s="1"/>
  <c r="U20" i="133"/>
  <c r="V20" i="133" s="1"/>
  <c r="U19" i="133"/>
  <c r="V19" i="133" s="1"/>
  <c r="U18" i="133"/>
  <c r="V18" i="133" s="1"/>
  <c r="U17" i="133"/>
  <c r="V17" i="133" s="1"/>
  <c r="U16" i="133"/>
  <c r="V16" i="133" s="1"/>
  <c r="U15" i="133"/>
  <c r="V15" i="133" s="1"/>
  <c r="U14" i="133"/>
  <c r="V14" i="133" s="1"/>
  <c r="U13" i="133"/>
  <c r="V13" i="133" s="1"/>
  <c r="U12" i="133"/>
  <c r="V12" i="133" s="1"/>
  <c r="U11" i="133"/>
  <c r="V11" i="133" s="1"/>
  <c r="U10" i="133"/>
  <c r="V10" i="133" s="1"/>
  <c r="U9" i="133"/>
  <c r="V9" i="133" s="1"/>
  <c r="U8" i="133"/>
  <c r="V8" i="133" s="1"/>
  <c r="U7" i="133"/>
  <c r="V7" i="133" s="1"/>
  <c r="U6" i="133"/>
  <c r="F1" i="133"/>
  <c r="B1" i="133"/>
  <c r="K81" i="132"/>
  <c r="J81" i="132"/>
  <c r="B2" i="132"/>
  <c r="H81" i="132"/>
  <c r="B1" i="132" s="1"/>
  <c r="G81" i="132"/>
  <c r="F1" i="132" s="1"/>
  <c r="U69" i="132"/>
  <c r="V69" i="132" s="1"/>
  <c r="U68" i="132"/>
  <c r="V68" i="132" s="1"/>
  <c r="U67" i="132"/>
  <c r="V67" i="132" s="1"/>
  <c r="U66" i="132"/>
  <c r="V66" i="132" s="1"/>
  <c r="U65" i="132"/>
  <c r="V65" i="132" s="1"/>
  <c r="U64" i="132"/>
  <c r="V64" i="132" s="1"/>
  <c r="U63" i="132"/>
  <c r="V63" i="132" s="1"/>
  <c r="U62" i="132"/>
  <c r="V62" i="132" s="1"/>
  <c r="U61" i="132"/>
  <c r="V61" i="132" s="1"/>
  <c r="U60" i="132"/>
  <c r="V60" i="132" s="1"/>
  <c r="U59" i="132"/>
  <c r="V59" i="132" s="1"/>
  <c r="U58" i="132"/>
  <c r="V58" i="132" s="1"/>
  <c r="U57" i="132"/>
  <c r="V57" i="132" s="1"/>
  <c r="U56" i="132"/>
  <c r="V56" i="132" s="1"/>
  <c r="U55" i="132"/>
  <c r="V55" i="132" s="1"/>
  <c r="U54" i="132"/>
  <c r="V54" i="132" s="1"/>
  <c r="U53" i="132"/>
  <c r="V53" i="132" s="1"/>
  <c r="U52" i="132"/>
  <c r="V52" i="132" s="1"/>
  <c r="U51" i="132"/>
  <c r="V51" i="132" s="1"/>
  <c r="U50" i="132"/>
  <c r="V50" i="132" s="1"/>
  <c r="U49" i="132"/>
  <c r="V49" i="132" s="1"/>
  <c r="U48" i="132"/>
  <c r="V48" i="132" s="1"/>
  <c r="U47" i="132"/>
  <c r="V47" i="132" s="1"/>
  <c r="U46" i="132"/>
  <c r="V46" i="132" s="1"/>
  <c r="U45" i="132"/>
  <c r="U44" i="132"/>
  <c r="V44" i="132" s="1"/>
  <c r="U43" i="132"/>
  <c r="V43" i="132" s="1"/>
  <c r="U42" i="132"/>
  <c r="V42" i="132" s="1"/>
  <c r="U41" i="132"/>
  <c r="V41" i="132" s="1"/>
  <c r="U40" i="132"/>
  <c r="V40" i="132" s="1"/>
  <c r="U39" i="132"/>
  <c r="V39" i="132" s="1"/>
  <c r="U38" i="132"/>
  <c r="V38" i="132" s="1"/>
  <c r="U37" i="132"/>
  <c r="V37" i="132" s="1"/>
  <c r="U36" i="132"/>
  <c r="V36" i="132" s="1"/>
  <c r="U35" i="132"/>
  <c r="V35" i="132" s="1"/>
  <c r="U34" i="132"/>
  <c r="V34" i="132" s="1"/>
  <c r="U33" i="132"/>
  <c r="V33" i="132" s="1"/>
  <c r="U32" i="132"/>
  <c r="V32" i="132" s="1"/>
  <c r="U31" i="132"/>
  <c r="V31" i="132" s="1"/>
  <c r="U30" i="132"/>
  <c r="V30" i="132" s="1"/>
  <c r="U29" i="132"/>
  <c r="V29" i="132" s="1"/>
  <c r="U28" i="132"/>
  <c r="V28" i="132" s="1"/>
  <c r="U27" i="132"/>
  <c r="U26" i="132"/>
  <c r="V26" i="132" s="1"/>
  <c r="U25" i="132"/>
  <c r="V25" i="132" s="1"/>
  <c r="U24" i="132"/>
  <c r="V24" i="132" s="1"/>
  <c r="U23" i="132"/>
  <c r="V23" i="132" s="1"/>
  <c r="U22" i="132"/>
  <c r="V22" i="132" s="1"/>
  <c r="U21" i="132"/>
  <c r="V21" i="132" s="1"/>
  <c r="U20" i="132"/>
  <c r="V20" i="132" s="1"/>
  <c r="U19" i="132"/>
  <c r="V19" i="132" s="1"/>
  <c r="U18" i="132"/>
  <c r="V18" i="132" s="1"/>
  <c r="U17" i="132"/>
  <c r="V17" i="132" s="1"/>
  <c r="U16" i="132"/>
  <c r="V16" i="132" s="1"/>
  <c r="U15" i="132"/>
  <c r="V15" i="132" s="1"/>
  <c r="U14" i="132"/>
  <c r="V14" i="132" s="1"/>
  <c r="U13" i="132"/>
  <c r="V13" i="132" s="1"/>
  <c r="U12" i="132"/>
  <c r="V12" i="132" s="1"/>
  <c r="U11" i="132"/>
  <c r="V11" i="132" s="1"/>
  <c r="U10" i="132"/>
  <c r="V10" i="132" s="1"/>
  <c r="U9" i="132"/>
  <c r="V9" i="132" s="1"/>
  <c r="U8" i="132"/>
  <c r="U7" i="132"/>
  <c r="V7" i="132" s="1"/>
  <c r="U6" i="132"/>
  <c r="K81" i="131"/>
  <c r="J81" i="131"/>
  <c r="B2" i="131"/>
  <c r="H81" i="131"/>
  <c r="G81" i="131"/>
  <c r="U69" i="131"/>
  <c r="V69" i="131" s="1"/>
  <c r="U68" i="131"/>
  <c r="V68" i="131" s="1"/>
  <c r="U67" i="131"/>
  <c r="V67" i="131" s="1"/>
  <c r="U66" i="131"/>
  <c r="V66" i="131" s="1"/>
  <c r="U65" i="131"/>
  <c r="V65" i="131" s="1"/>
  <c r="U64" i="131"/>
  <c r="V64" i="131" s="1"/>
  <c r="U63" i="131"/>
  <c r="V63" i="131" s="1"/>
  <c r="U62" i="131"/>
  <c r="V62" i="131" s="1"/>
  <c r="U61" i="131"/>
  <c r="V61" i="131" s="1"/>
  <c r="U60" i="131"/>
  <c r="V60" i="131" s="1"/>
  <c r="U59" i="131"/>
  <c r="V59" i="131" s="1"/>
  <c r="U58" i="131"/>
  <c r="V58" i="131" s="1"/>
  <c r="U57" i="131"/>
  <c r="V57" i="131" s="1"/>
  <c r="U56" i="131"/>
  <c r="V56" i="131" s="1"/>
  <c r="U55" i="131"/>
  <c r="V55" i="131" s="1"/>
  <c r="U54" i="131"/>
  <c r="V54" i="131" s="1"/>
  <c r="U53" i="131"/>
  <c r="V53" i="131" s="1"/>
  <c r="U52" i="131"/>
  <c r="V52" i="131" s="1"/>
  <c r="U51" i="131"/>
  <c r="V51" i="131" s="1"/>
  <c r="U50" i="131"/>
  <c r="V50" i="131" s="1"/>
  <c r="U49" i="131"/>
  <c r="V49" i="131" s="1"/>
  <c r="U48" i="131"/>
  <c r="V48" i="131" s="1"/>
  <c r="U47" i="131"/>
  <c r="V47" i="131" s="1"/>
  <c r="U46" i="131"/>
  <c r="V46" i="131" s="1"/>
  <c r="U45" i="131"/>
  <c r="V45" i="131" s="1"/>
  <c r="U44" i="131"/>
  <c r="V44" i="131" s="1"/>
  <c r="U43" i="131"/>
  <c r="V43" i="131" s="1"/>
  <c r="U42" i="131"/>
  <c r="V42" i="131" s="1"/>
  <c r="U41" i="131"/>
  <c r="U40" i="131"/>
  <c r="V40" i="131" s="1"/>
  <c r="U39" i="131"/>
  <c r="V39" i="131" s="1"/>
  <c r="U38" i="131"/>
  <c r="V38" i="131" s="1"/>
  <c r="U37" i="131"/>
  <c r="V37" i="131" s="1"/>
  <c r="U36" i="131"/>
  <c r="V36" i="131" s="1"/>
  <c r="U35" i="131"/>
  <c r="V35" i="131" s="1"/>
  <c r="U34" i="131"/>
  <c r="V34" i="131" s="1"/>
  <c r="U33" i="131"/>
  <c r="V33" i="131" s="1"/>
  <c r="U32" i="131"/>
  <c r="U31" i="131"/>
  <c r="V31" i="131" s="1"/>
  <c r="U30" i="131"/>
  <c r="V30" i="131" s="1"/>
  <c r="U29" i="131"/>
  <c r="V29" i="131" s="1"/>
  <c r="U28" i="131"/>
  <c r="V28" i="131" s="1"/>
  <c r="U27" i="131"/>
  <c r="U26" i="131"/>
  <c r="V26" i="131" s="1"/>
  <c r="U25" i="131"/>
  <c r="V25" i="131" s="1"/>
  <c r="U24" i="131"/>
  <c r="V24" i="131" s="1"/>
  <c r="U23" i="131"/>
  <c r="V23" i="131" s="1"/>
  <c r="U22" i="131"/>
  <c r="V22" i="131" s="1"/>
  <c r="U21" i="131"/>
  <c r="V21" i="131" s="1"/>
  <c r="U20" i="131"/>
  <c r="V20" i="131" s="1"/>
  <c r="U19" i="131"/>
  <c r="V19" i="131" s="1"/>
  <c r="U18" i="131"/>
  <c r="V18" i="131" s="1"/>
  <c r="U17" i="131"/>
  <c r="V17" i="131" s="1"/>
  <c r="U16" i="131"/>
  <c r="V16" i="131" s="1"/>
  <c r="U15" i="131"/>
  <c r="V15" i="131" s="1"/>
  <c r="U14" i="131"/>
  <c r="V14" i="131" s="1"/>
  <c r="U13" i="131"/>
  <c r="V13" i="131" s="1"/>
  <c r="U12" i="131"/>
  <c r="V12" i="131" s="1"/>
  <c r="U11" i="131"/>
  <c r="V11" i="131" s="1"/>
  <c r="U10" i="131"/>
  <c r="V10" i="131" s="1"/>
  <c r="U9" i="131"/>
  <c r="V9" i="131" s="1"/>
  <c r="U8" i="131"/>
  <c r="V8" i="131" s="1"/>
  <c r="U7" i="131"/>
  <c r="V7" i="131" s="1"/>
  <c r="U6" i="131"/>
  <c r="F1" i="131"/>
  <c r="B1" i="131"/>
  <c r="K81" i="129"/>
  <c r="J81" i="129"/>
  <c r="B2" i="129"/>
  <c r="H81" i="129"/>
  <c r="G81" i="129"/>
  <c r="U69" i="129"/>
  <c r="V69" i="129" s="1"/>
  <c r="U68" i="129"/>
  <c r="V68" i="129" s="1"/>
  <c r="U67" i="129"/>
  <c r="U66" i="129"/>
  <c r="V66" i="129" s="1"/>
  <c r="U65" i="129"/>
  <c r="V65" i="129" s="1"/>
  <c r="U64" i="129"/>
  <c r="V64" i="129" s="1"/>
  <c r="U63" i="129"/>
  <c r="V63" i="129" s="1"/>
  <c r="U62" i="129"/>
  <c r="V62" i="129" s="1"/>
  <c r="U61" i="129"/>
  <c r="V61" i="129" s="1"/>
  <c r="U60" i="129"/>
  <c r="V60" i="129" s="1"/>
  <c r="U59" i="129"/>
  <c r="V59" i="129" s="1"/>
  <c r="U58" i="129"/>
  <c r="V58" i="129" s="1"/>
  <c r="U57" i="129"/>
  <c r="V57" i="129" s="1"/>
  <c r="U56" i="129"/>
  <c r="V56" i="129" s="1"/>
  <c r="U55" i="129"/>
  <c r="V55" i="129" s="1"/>
  <c r="U54" i="129"/>
  <c r="V54" i="129" s="1"/>
  <c r="U53" i="129"/>
  <c r="V53" i="129" s="1"/>
  <c r="U52" i="129"/>
  <c r="V52" i="129" s="1"/>
  <c r="U51" i="129"/>
  <c r="V51" i="129" s="1"/>
  <c r="U50" i="129"/>
  <c r="V50" i="129" s="1"/>
  <c r="U49" i="129"/>
  <c r="V49" i="129" s="1"/>
  <c r="U48" i="129"/>
  <c r="V48" i="129" s="1"/>
  <c r="U47" i="129"/>
  <c r="V47" i="129" s="1"/>
  <c r="U46" i="129"/>
  <c r="V46" i="129" s="1"/>
  <c r="U45" i="129"/>
  <c r="V45" i="129" s="1"/>
  <c r="U44" i="129"/>
  <c r="V44" i="129" s="1"/>
  <c r="U43" i="129"/>
  <c r="V43" i="129" s="1"/>
  <c r="U42" i="129"/>
  <c r="V42" i="129" s="1"/>
  <c r="U41" i="129"/>
  <c r="V41" i="129" s="1"/>
  <c r="U40" i="129"/>
  <c r="V40" i="129" s="1"/>
  <c r="U39" i="129"/>
  <c r="V39" i="129" s="1"/>
  <c r="U38" i="129"/>
  <c r="V38" i="129" s="1"/>
  <c r="U37" i="129"/>
  <c r="V37" i="129" s="1"/>
  <c r="U36" i="129"/>
  <c r="V36" i="129" s="1"/>
  <c r="U35" i="129"/>
  <c r="V35" i="129" s="1"/>
  <c r="U34" i="129"/>
  <c r="V34" i="129" s="1"/>
  <c r="U33" i="129"/>
  <c r="V33" i="129" s="1"/>
  <c r="U32" i="129"/>
  <c r="V32" i="129" s="1"/>
  <c r="U31" i="129"/>
  <c r="V31" i="129" s="1"/>
  <c r="U30" i="129"/>
  <c r="V30" i="129" s="1"/>
  <c r="U29" i="129"/>
  <c r="V29" i="129" s="1"/>
  <c r="U28" i="129"/>
  <c r="V28" i="129" s="1"/>
  <c r="U27" i="129"/>
  <c r="V27" i="129" s="1"/>
  <c r="U26" i="129"/>
  <c r="V26" i="129" s="1"/>
  <c r="U25" i="129"/>
  <c r="V25" i="129" s="1"/>
  <c r="U24" i="129"/>
  <c r="V24" i="129" s="1"/>
  <c r="U23" i="129"/>
  <c r="V23" i="129" s="1"/>
  <c r="U22" i="129"/>
  <c r="V22" i="129" s="1"/>
  <c r="U21" i="129"/>
  <c r="V21" i="129" s="1"/>
  <c r="U20" i="129"/>
  <c r="U19" i="129"/>
  <c r="V19" i="129" s="1"/>
  <c r="U18" i="129"/>
  <c r="V18" i="129" s="1"/>
  <c r="U17" i="129"/>
  <c r="V17" i="129" s="1"/>
  <c r="U16" i="129"/>
  <c r="V16" i="129" s="1"/>
  <c r="U15" i="129"/>
  <c r="V15" i="129" s="1"/>
  <c r="U14" i="129"/>
  <c r="V14" i="129" s="1"/>
  <c r="U13" i="129"/>
  <c r="V13" i="129" s="1"/>
  <c r="U12" i="129"/>
  <c r="V12" i="129" s="1"/>
  <c r="U11" i="129"/>
  <c r="V11" i="129" s="1"/>
  <c r="U10" i="129"/>
  <c r="V10" i="129" s="1"/>
  <c r="U9" i="129"/>
  <c r="V9" i="129" s="1"/>
  <c r="U8" i="129"/>
  <c r="V8" i="129" s="1"/>
  <c r="U7" i="129"/>
  <c r="V7" i="129" s="1"/>
  <c r="U6" i="129"/>
  <c r="F1" i="129"/>
  <c r="B1" i="129"/>
  <c r="K81" i="130"/>
  <c r="J81" i="130"/>
  <c r="B2" i="130"/>
  <c r="H81" i="130"/>
  <c r="G81" i="130"/>
  <c r="U69" i="130"/>
  <c r="V69" i="130" s="1"/>
  <c r="U68" i="130"/>
  <c r="V68" i="130" s="1"/>
  <c r="U67" i="130"/>
  <c r="V67" i="130" s="1"/>
  <c r="U66" i="130"/>
  <c r="V66" i="130" s="1"/>
  <c r="U65" i="130"/>
  <c r="V65" i="130" s="1"/>
  <c r="U64" i="130"/>
  <c r="V64" i="130" s="1"/>
  <c r="U63" i="130"/>
  <c r="V63" i="130" s="1"/>
  <c r="U62" i="130"/>
  <c r="V62" i="130" s="1"/>
  <c r="U61" i="130"/>
  <c r="V61" i="130" s="1"/>
  <c r="U60" i="130"/>
  <c r="V60" i="130" s="1"/>
  <c r="U59" i="130"/>
  <c r="V59" i="130" s="1"/>
  <c r="U58" i="130"/>
  <c r="V58" i="130" s="1"/>
  <c r="U57" i="130"/>
  <c r="V57" i="130" s="1"/>
  <c r="U56" i="130"/>
  <c r="V56" i="130" s="1"/>
  <c r="U55" i="130"/>
  <c r="V55" i="130" s="1"/>
  <c r="U54" i="130"/>
  <c r="V54" i="130" s="1"/>
  <c r="U53" i="130"/>
  <c r="V53" i="130" s="1"/>
  <c r="U52" i="130"/>
  <c r="V52" i="130" s="1"/>
  <c r="U51" i="130"/>
  <c r="V51" i="130" s="1"/>
  <c r="U50" i="130"/>
  <c r="V50" i="130" s="1"/>
  <c r="U49" i="130"/>
  <c r="V49" i="130" s="1"/>
  <c r="U48" i="130"/>
  <c r="V48" i="130" s="1"/>
  <c r="U47" i="130"/>
  <c r="V47" i="130" s="1"/>
  <c r="U46" i="130"/>
  <c r="V46" i="130" s="1"/>
  <c r="U45" i="130"/>
  <c r="V45" i="130" s="1"/>
  <c r="U44" i="130"/>
  <c r="V44" i="130" s="1"/>
  <c r="U43" i="130"/>
  <c r="V43" i="130" s="1"/>
  <c r="U42" i="130"/>
  <c r="V42" i="130" s="1"/>
  <c r="U41" i="130"/>
  <c r="V41" i="130" s="1"/>
  <c r="U40" i="130"/>
  <c r="V40" i="130" s="1"/>
  <c r="U39" i="130"/>
  <c r="V39" i="130" s="1"/>
  <c r="U38" i="130"/>
  <c r="V38" i="130" s="1"/>
  <c r="U37" i="130"/>
  <c r="V37" i="130" s="1"/>
  <c r="U36" i="130"/>
  <c r="V36" i="130" s="1"/>
  <c r="U35" i="130"/>
  <c r="V35" i="130" s="1"/>
  <c r="U34" i="130"/>
  <c r="V34" i="130" s="1"/>
  <c r="U33" i="130"/>
  <c r="V33" i="130" s="1"/>
  <c r="U32" i="130"/>
  <c r="V32" i="130" s="1"/>
  <c r="U31" i="130"/>
  <c r="V31" i="130" s="1"/>
  <c r="U30" i="130"/>
  <c r="V30" i="130" s="1"/>
  <c r="U29" i="130"/>
  <c r="V29" i="130" s="1"/>
  <c r="U28" i="130"/>
  <c r="V28" i="130" s="1"/>
  <c r="U27" i="130"/>
  <c r="V27" i="130" s="1"/>
  <c r="U26" i="130"/>
  <c r="U25" i="130"/>
  <c r="V25" i="130" s="1"/>
  <c r="U24" i="130"/>
  <c r="V24" i="130" s="1"/>
  <c r="U23" i="130"/>
  <c r="V23" i="130" s="1"/>
  <c r="U22" i="130"/>
  <c r="V22" i="130" s="1"/>
  <c r="U21" i="130"/>
  <c r="V21" i="130" s="1"/>
  <c r="U20" i="130"/>
  <c r="V20" i="130" s="1"/>
  <c r="U19" i="130"/>
  <c r="V19" i="130" s="1"/>
  <c r="U18" i="130"/>
  <c r="V18" i="130" s="1"/>
  <c r="U17" i="130"/>
  <c r="U16" i="130"/>
  <c r="V16" i="130" s="1"/>
  <c r="U15" i="130"/>
  <c r="V15" i="130" s="1"/>
  <c r="U14" i="130"/>
  <c r="V14" i="130" s="1"/>
  <c r="U13" i="130"/>
  <c r="V13" i="130" s="1"/>
  <c r="U12" i="130"/>
  <c r="V12" i="130" s="1"/>
  <c r="U11" i="130"/>
  <c r="V11" i="130" s="1"/>
  <c r="U10" i="130"/>
  <c r="V10" i="130" s="1"/>
  <c r="U9" i="130"/>
  <c r="V9" i="130" s="1"/>
  <c r="U8" i="130"/>
  <c r="U7" i="130"/>
  <c r="V7" i="130" s="1"/>
  <c r="U6" i="130"/>
  <c r="F1" i="130"/>
  <c r="B1" i="130"/>
  <c r="K81" i="128"/>
  <c r="J81" i="128"/>
  <c r="B2" i="128"/>
  <c r="H81" i="128"/>
  <c r="G81" i="128"/>
  <c r="U69" i="128"/>
  <c r="V69" i="128" s="1"/>
  <c r="U68" i="128"/>
  <c r="V68" i="128" s="1"/>
  <c r="U67" i="128"/>
  <c r="V67" i="128" s="1"/>
  <c r="U66" i="128"/>
  <c r="V66" i="128" s="1"/>
  <c r="U65" i="128"/>
  <c r="V65" i="128" s="1"/>
  <c r="U64" i="128"/>
  <c r="V64" i="128" s="1"/>
  <c r="U63" i="128"/>
  <c r="V63" i="128" s="1"/>
  <c r="U62" i="128"/>
  <c r="V62" i="128" s="1"/>
  <c r="U61" i="128"/>
  <c r="V61" i="128" s="1"/>
  <c r="U60" i="128"/>
  <c r="U59" i="128"/>
  <c r="U58" i="128"/>
  <c r="V58" i="128" s="1"/>
  <c r="U57" i="128"/>
  <c r="V57" i="128" s="1"/>
  <c r="U56" i="128"/>
  <c r="V56" i="128" s="1"/>
  <c r="U55" i="128"/>
  <c r="V55" i="128" s="1"/>
  <c r="U54" i="128"/>
  <c r="V54" i="128" s="1"/>
  <c r="U53" i="128"/>
  <c r="V53" i="128" s="1"/>
  <c r="U52" i="128"/>
  <c r="V52" i="128" s="1"/>
  <c r="U51" i="128"/>
  <c r="V51" i="128" s="1"/>
  <c r="U50" i="128"/>
  <c r="V50" i="128" s="1"/>
  <c r="U49" i="128"/>
  <c r="V49" i="128" s="1"/>
  <c r="U48" i="128"/>
  <c r="V48" i="128" s="1"/>
  <c r="U47" i="128"/>
  <c r="V47" i="128" s="1"/>
  <c r="U46" i="128"/>
  <c r="V46" i="128" s="1"/>
  <c r="U45" i="128"/>
  <c r="V45" i="128" s="1"/>
  <c r="U44" i="128"/>
  <c r="V44" i="128" s="1"/>
  <c r="U43" i="128"/>
  <c r="V43" i="128" s="1"/>
  <c r="U42" i="128"/>
  <c r="V42" i="128" s="1"/>
  <c r="U41" i="128"/>
  <c r="V41" i="128" s="1"/>
  <c r="U40" i="128"/>
  <c r="V40" i="128" s="1"/>
  <c r="U39" i="128"/>
  <c r="V39" i="128" s="1"/>
  <c r="U38" i="128"/>
  <c r="V38" i="128" s="1"/>
  <c r="U37" i="128"/>
  <c r="V37" i="128" s="1"/>
  <c r="U36" i="128"/>
  <c r="V36" i="128" s="1"/>
  <c r="U35" i="128"/>
  <c r="V35" i="128" s="1"/>
  <c r="U34" i="128"/>
  <c r="V34" i="128" s="1"/>
  <c r="U33" i="128"/>
  <c r="V33" i="128" s="1"/>
  <c r="U32" i="128"/>
  <c r="V32" i="128" s="1"/>
  <c r="U31" i="128"/>
  <c r="V31" i="128" s="1"/>
  <c r="U30" i="128"/>
  <c r="V30" i="128" s="1"/>
  <c r="U29" i="128"/>
  <c r="V29" i="128" s="1"/>
  <c r="U28" i="128"/>
  <c r="V28" i="128" s="1"/>
  <c r="U27" i="128"/>
  <c r="V27" i="128" s="1"/>
  <c r="U26" i="128"/>
  <c r="V26" i="128" s="1"/>
  <c r="U25" i="128"/>
  <c r="V25" i="128" s="1"/>
  <c r="U24" i="128"/>
  <c r="V24" i="128" s="1"/>
  <c r="U23" i="128"/>
  <c r="V23" i="128" s="1"/>
  <c r="U22" i="128"/>
  <c r="V22" i="128" s="1"/>
  <c r="U21" i="128"/>
  <c r="V21" i="128" s="1"/>
  <c r="U20" i="128"/>
  <c r="U19" i="128"/>
  <c r="V19" i="128" s="1"/>
  <c r="U18" i="128"/>
  <c r="V18" i="128" s="1"/>
  <c r="U17" i="128"/>
  <c r="V17" i="128" s="1"/>
  <c r="U16" i="128"/>
  <c r="V16" i="128" s="1"/>
  <c r="U15" i="128"/>
  <c r="V15" i="128" s="1"/>
  <c r="U14" i="128"/>
  <c r="V14" i="128" s="1"/>
  <c r="U13" i="128"/>
  <c r="V13" i="128" s="1"/>
  <c r="U12" i="128"/>
  <c r="V12" i="128" s="1"/>
  <c r="U11" i="128"/>
  <c r="V11" i="128" s="1"/>
  <c r="U10" i="128"/>
  <c r="V10" i="128" s="1"/>
  <c r="U9" i="128"/>
  <c r="V9" i="128" s="1"/>
  <c r="U8" i="128"/>
  <c r="V8" i="128" s="1"/>
  <c r="U7" i="128"/>
  <c r="U6" i="128"/>
  <c r="F1" i="128"/>
  <c r="B1" i="128"/>
  <c r="K81" i="127"/>
  <c r="J81" i="127"/>
  <c r="H81" i="127"/>
  <c r="B1" i="127" s="1"/>
  <c r="G81" i="127"/>
  <c r="F1" i="127" s="1"/>
  <c r="U69" i="127"/>
  <c r="V69" i="127" s="1"/>
  <c r="U68" i="127"/>
  <c r="V68" i="127" s="1"/>
  <c r="U67" i="127"/>
  <c r="V67" i="127" s="1"/>
  <c r="U66" i="127"/>
  <c r="V66" i="127" s="1"/>
  <c r="U65" i="127"/>
  <c r="V65" i="127" s="1"/>
  <c r="U64" i="127"/>
  <c r="V64" i="127" s="1"/>
  <c r="U63" i="127"/>
  <c r="V63" i="127" s="1"/>
  <c r="U62" i="127"/>
  <c r="V62" i="127" s="1"/>
  <c r="U61" i="127"/>
  <c r="V61" i="127" s="1"/>
  <c r="U60" i="127"/>
  <c r="V60" i="127" s="1"/>
  <c r="U59" i="127"/>
  <c r="V59" i="127" s="1"/>
  <c r="U58" i="127"/>
  <c r="V58" i="127" s="1"/>
  <c r="U57" i="127"/>
  <c r="V57" i="127" s="1"/>
  <c r="U56" i="127"/>
  <c r="V56" i="127" s="1"/>
  <c r="U55" i="127"/>
  <c r="V55" i="127" s="1"/>
  <c r="U54" i="127"/>
  <c r="V54" i="127" s="1"/>
  <c r="U53" i="127"/>
  <c r="V53" i="127" s="1"/>
  <c r="U52" i="127"/>
  <c r="V52" i="127" s="1"/>
  <c r="U51" i="127"/>
  <c r="V51" i="127" s="1"/>
  <c r="U50" i="127"/>
  <c r="V50" i="127" s="1"/>
  <c r="U49" i="127"/>
  <c r="V49" i="127" s="1"/>
  <c r="U48" i="127"/>
  <c r="V48" i="127" s="1"/>
  <c r="U47" i="127"/>
  <c r="V47" i="127" s="1"/>
  <c r="U46" i="127"/>
  <c r="V46" i="127" s="1"/>
  <c r="U45" i="127"/>
  <c r="V45" i="127" s="1"/>
  <c r="U44" i="127"/>
  <c r="V44" i="127" s="1"/>
  <c r="U43" i="127"/>
  <c r="V43" i="127" s="1"/>
  <c r="U42" i="127"/>
  <c r="V42" i="127" s="1"/>
  <c r="U41" i="127"/>
  <c r="V41" i="127" s="1"/>
  <c r="U40" i="127"/>
  <c r="V40" i="127" s="1"/>
  <c r="U39" i="127"/>
  <c r="V39" i="127" s="1"/>
  <c r="U38" i="127"/>
  <c r="V38" i="127" s="1"/>
  <c r="U37" i="127"/>
  <c r="V37" i="127" s="1"/>
  <c r="U36" i="127"/>
  <c r="V36" i="127" s="1"/>
  <c r="U35" i="127"/>
  <c r="V35" i="127" s="1"/>
  <c r="U34" i="127"/>
  <c r="V34" i="127" s="1"/>
  <c r="U33" i="127"/>
  <c r="V33" i="127" s="1"/>
  <c r="U32" i="127"/>
  <c r="V32" i="127" s="1"/>
  <c r="U31" i="127"/>
  <c r="V31" i="127" s="1"/>
  <c r="U30" i="127"/>
  <c r="V30" i="127" s="1"/>
  <c r="U29" i="127"/>
  <c r="V29" i="127" s="1"/>
  <c r="U28" i="127"/>
  <c r="V28" i="127" s="1"/>
  <c r="U27" i="127"/>
  <c r="V27" i="127" s="1"/>
  <c r="U26" i="127"/>
  <c r="V26" i="127" s="1"/>
  <c r="U25" i="127"/>
  <c r="V25" i="127" s="1"/>
  <c r="U24" i="127"/>
  <c r="V24" i="127" s="1"/>
  <c r="U23" i="127"/>
  <c r="V23" i="127" s="1"/>
  <c r="U22" i="127"/>
  <c r="V22" i="127" s="1"/>
  <c r="U21" i="127"/>
  <c r="V21" i="127" s="1"/>
  <c r="U20" i="127"/>
  <c r="V20" i="127" s="1"/>
  <c r="U19" i="127"/>
  <c r="V19" i="127" s="1"/>
  <c r="U18" i="127"/>
  <c r="V18" i="127" s="1"/>
  <c r="U17" i="127"/>
  <c r="V17" i="127" s="1"/>
  <c r="U16" i="127"/>
  <c r="V16" i="127" s="1"/>
  <c r="U15" i="127"/>
  <c r="V15" i="127" s="1"/>
  <c r="U14" i="127"/>
  <c r="V14" i="127" s="1"/>
  <c r="U13" i="127"/>
  <c r="V13" i="127" s="1"/>
  <c r="U12" i="127"/>
  <c r="V12" i="127" s="1"/>
  <c r="U11" i="127"/>
  <c r="V11" i="127" s="1"/>
  <c r="U10" i="127"/>
  <c r="V10" i="127" s="1"/>
  <c r="U9" i="127"/>
  <c r="V9" i="127" s="1"/>
  <c r="U8" i="127"/>
  <c r="V8" i="127" s="1"/>
  <c r="U7" i="127"/>
  <c r="V7" i="127" s="1"/>
  <c r="U6" i="127"/>
  <c r="K81" i="126"/>
  <c r="J81" i="126"/>
  <c r="B2" i="126"/>
  <c r="H81" i="126"/>
  <c r="G81" i="126"/>
  <c r="U69" i="126"/>
  <c r="U68" i="126"/>
  <c r="V68" i="126" s="1"/>
  <c r="U67" i="126"/>
  <c r="V67" i="126" s="1"/>
  <c r="U66" i="126"/>
  <c r="V66" i="126" s="1"/>
  <c r="U65" i="126"/>
  <c r="V65" i="126" s="1"/>
  <c r="U64" i="126"/>
  <c r="V64" i="126" s="1"/>
  <c r="U63" i="126"/>
  <c r="V63" i="126" s="1"/>
  <c r="U62" i="126"/>
  <c r="V62" i="126" s="1"/>
  <c r="U61" i="126"/>
  <c r="V61" i="126" s="1"/>
  <c r="U60" i="126"/>
  <c r="V60" i="126" s="1"/>
  <c r="U59" i="126"/>
  <c r="V59" i="126" s="1"/>
  <c r="U58" i="126"/>
  <c r="V58" i="126" s="1"/>
  <c r="U57" i="126"/>
  <c r="V57" i="126" s="1"/>
  <c r="U56" i="126"/>
  <c r="V56" i="126" s="1"/>
  <c r="U55" i="126"/>
  <c r="V55" i="126" s="1"/>
  <c r="U54" i="126"/>
  <c r="V54" i="126" s="1"/>
  <c r="U53" i="126"/>
  <c r="V53" i="126" s="1"/>
  <c r="U52" i="126"/>
  <c r="V52" i="126" s="1"/>
  <c r="U51" i="126"/>
  <c r="U50" i="126"/>
  <c r="V50" i="126" s="1"/>
  <c r="U49" i="126"/>
  <c r="V49" i="126" s="1"/>
  <c r="U48" i="126"/>
  <c r="V48" i="126" s="1"/>
  <c r="U47" i="126"/>
  <c r="V47" i="126" s="1"/>
  <c r="U46" i="126"/>
  <c r="V46" i="126" s="1"/>
  <c r="U45" i="126"/>
  <c r="V45" i="126" s="1"/>
  <c r="U44" i="126"/>
  <c r="V44" i="126" s="1"/>
  <c r="U43" i="126"/>
  <c r="V43" i="126" s="1"/>
  <c r="U42" i="126"/>
  <c r="V42" i="126" s="1"/>
  <c r="U41" i="126"/>
  <c r="V41" i="126" s="1"/>
  <c r="U40" i="126"/>
  <c r="V40" i="126" s="1"/>
  <c r="U39" i="126"/>
  <c r="V39" i="126" s="1"/>
  <c r="U38" i="126"/>
  <c r="V38" i="126" s="1"/>
  <c r="U37" i="126"/>
  <c r="V37" i="126" s="1"/>
  <c r="U36" i="126"/>
  <c r="V36" i="126" s="1"/>
  <c r="U35" i="126"/>
  <c r="V35" i="126" s="1"/>
  <c r="U34" i="126"/>
  <c r="V34" i="126" s="1"/>
  <c r="U33" i="126"/>
  <c r="V33" i="126" s="1"/>
  <c r="U32" i="126"/>
  <c r="V32" i="126" s="1"/>
  <c r="U31" i="126"/>
  <c r="V31" i="126" s="1"/>
  <c r="U30" i="126"/>
  <c r="V30" i="126" s="1"/>
  <c r="U29" i="126"/>
  <c r="V29" i="126" s="1"/>
  <c r="U28" i="126"/>
  <c r="V28" i="126" s="1"/>
  <c r="U27" i="126"/>
  <c r="V27" i="126" s="1"/>
  <c r="U26" i="126"/>
  <c r="V26" i="126" s="1"/>
  <c r="U25" i="126"/>
  <c r="V25" i="126" s="1"/>
  <c r="U24" i="126"/>
  <c r="V24" i="126" s="1"/>
  <c r="U23" i="126"/>
  <c r="V23" i="126" s="1"/>
  <c r="U22" i="126"/>
  <c r="V22" i="126" s="1"/>
  <c r="U21" i="126"/>
  <c r="V21" i="126" s="1"/>
  <c r="U20" i="126"/>
  <c r="V20" i="126" s="1"/>
  <c r="U19" i="126"/>
  <c r="V19" i="126" s="1"/>
  <c r="U18" i="126"/>
  <c r="V18" i="126" s="1"/>
  <c r="U17" i="126"/>
  <c r="V17" i="126" s="1"/>
  <c r="U16" i="126"/>
  <c r="V16" i="126" s="1"/>
  <c r="U15" i="126"/>
  <c r="V15" i="126" s="1"/>
  <c r="U14" i="126"/>
  <c r="V14" i="126" s="1"/>
  <c r="U13" i="126"/>
  <c r="V13" i="126" s="1"/>
  <c r="U12" i="126"/>
  <c r="V12" i="126" s="1"/>
  <c r="U11" i="126"/>
  <c r="V11" i="126" s="1"/>
  <c r="U10" i="126"/>
  <c r="V10" i="126" s="1"/>
  <c r="U9" i="126"/>
  <c r="V9" i="126" s="1"/>
  <c r="U8" i="126"/>
  <c r="V8" i="126" s="1"/>
  <c r="U7" i="126"/>
  <c r="V7" i="126" s="1"/>
  <c r="U6" i="126"/>
  <c r="F1" i="126"/>
  <c r="B1" i="126"/>
  <c r="K81" i="125"/>
  <c r="J81" i="125"/>
  <c r="B2" i="125"/>
  <c r="H81" i="125"/>
  <c r="G81" i="125"/>
  <c r="U69" i="125"/>
  <c r="V69" i="125" s="1"/>
  <c r="U68" i="125"/>
  <c r="V68" i="125" s="1"/>
  <c r="U67" i="125"/>
  <c r="V67" i="125" s="1"/>
  <c r="U66" i="125"/>
  <c r="V66" i="125" s="1"/>
  <c r="U65" i="125"/>
  <c r="V65" i="125" s="1"/>
  <c r="U64" i="125"/>
  <c r="V64" i="125" s="1"/>
  <c r="U63" i="125"/>
  <c r="V63" i="125" s="1"/>
  <c r="U62" i="125"/>
  <c r="V62" i="125" s="1"/>
  <c r="U61" i="125"/>
  <c r="V61" i="125" s="1"/>
  <c r="U60" i="125"/>
  <c r="V60" i="125" s="1"/>
  <c r="U59" i="125"/>
  <c r="V59" i="125" s="1"/>
  <c r="U58" i="125"/>
  <c r="V58" i="125" s="1"/>
  <c r="U57" i="125"/>
  <c r="V57" i="125" s="1"/>
  <c r="U56" i="125"/>
  <c r="V56" i="125" s="1"/>
  <c r="U55" i="125"/>
  <c r="V55" i="125" s="1"/>
  <c r="U54" i="125"/>
  <c r="V54" i="125" s="1"/>
  <c r="U53" i="125"/>
  <c r="V53" i="125" s="1"/>
  <c r="U52" i="125"/>
  <c r="V52" i="125" s="1"/>
  <c r="U51" i="125"/>
  <c r="V51" i="125" s="1"/>
  <c r="U50" i="125"/>
  <c r="V50" i="125" s="1"/>
  <c r="U49" i="125"/>
  <c r="V49" i="125" s="1"/>
  <c r="U48" i="125"/>
  <c r="V48" i="125" s="1"/>
  <c r="U47" i="125"/>
  <c r="V47" i="125" s="1"/>
  <c r="U46" i="125"/>
  <c r="V46" i="125" s="1"/>
  <c r="U45" i="125"/>
  <c r="V45" i="125" s="1"/>
  <c r="U44" i="125"/>
  <c r="V44" i="125" s="1"/>
  <c r="U43" i="125"/>
  <c r="V43" i="125" s="1"/>
  <c r="U42" i="125"/>
  <c r="V42" i="125" s="1"/>
  <c r="U41" i="125"/>
  <c r="V41" i="125" s="1"/>
  <c r="U40" i="125"/>
  <c r="V40" i="125" s="1"/>
  <c r="U39" i="125"/>
  <c r="V39" i="125" s="1"/>
  <c r="U38" i="125"/>
  <c r="V38" i="125" s="1"/>
  <c r="U37" i="125"/>
  <c r="V37" i="125" s="1"/>
  <c r="U36" i="125"/>
  <c r="V36" i="125" s="1"/>
  <c r="U35" i="125"/>
  <c r="V35" i="125" s="1"/>
  <c r="U34" i="125"/>
  <c r="V34" i="125" s="1"/>
  <c r="U33" i="125"/>
  <c r="V33" i="125" s="1"/>
  <c r="U32" i="125"/>
  <c r="V32" i="125" s="1"/>
  <c r="U31" i="125"/>
  <c r="V31" i="125" s="1"/>
  <c r="U30" i="125"/>
  <c r="V30" i="125" s="1"/>
  <c r="U29" i="125"/>
  <c r="V29" i="125" s="1"/>
  <c r="U28" i="125"/>
  <c r="V28" i="125" s="1"/>
  <c r="U27" i="125"/>
  <c r="V27" i="125" s="1"/>
  <c r="U26" i="125"/>
  <c r="V26" i="125" s="1"/>
  <c r="U25" i="125"/>
  <c r="V25" i="125" s="1"/>
  <c r="U24" i="125"/>
  <c r="V24" i="125" s="1"/>
  <c r="U23" i="125"/>
  <c r="V23" i="125" s="1"/>
  <c r="U22" i="125"/>
  <c r="V22" i="125" s="1"/>
  <c r="U21" i="125"/>
  <c r="V21" i="125" s="1"/>
  <c r="U20" i="125"/>
  <c r="U19" i="125"/>
  <c r="V19" i="125" s="1"/>
  <c r="U18" i="125"/>
  <c r="V18" i="125" s="1"/>
  <c r="U17" i="125"/>
  <c r="U16" i="125"/>
  <c r="V16" i="125" s="1"/>
  <c r="U15" i="125"/>
  <c r="V15" i="125" s="1"/>
  <c r="U14" i="125"/>
  <c r="V14" i="125" s="1"/>
  <c r="U13" i="125"/>
  <c r="V13" i="125" s="1"/>
  <c r="U12" i="125"/>
  <c r="V12" i="125" s="1"/>
  <c r="U11" i="125"/>
  <c r="V11" i="125" s="1"/>
  <c r="U10" i="125"/>
  <c r="V10" i="125" s="1"/>
  <c r="U9" i="125"/>
  <c r="V9" i="125" s="1"/>
  <c r="U8" i="125"/>
  <c r="V8" i="125" s="1"/>
  <c r="U7" i="125"/>
  <c r="V7" i="125" s="1"/>
  <c r="U6" i="125"/>
  <c r="F1" i="125"/>
  <c r="B1" i="125"/>
  <c r="K81" i="124"/>
  <c r="J81" i="124"/>
  <c r="B2" i="124"/>
  <c r="H81" i="124"/>
  <c r="G81" i="124"/>
  <c r="U69" i="124"/>
  <c r="V69" i="124" s="1"/>
  <c r="U68" i="124"/>
  <c r="V68" i="124" s="1"/>
  <c r="U67" i="124"/>
  <c r="V67" i="124" s="1"/>
  <c r="U66" i="124"/>
  <c r="V66" i="124" s="1"/>
  <c r="U65" i="124"/>
  <c r="U64" i="124"/>
  <c r="V64" i="124" s="1"/>
  <c r="U63" i="124"/>
  <c r="V63" i="124" s="1"/>
  <c r="U62" i="124"/>
  <c r="V62" i="124" s="1"/>
  <c r="U61" i="124"/>
  <c r="V61" i="124" s="1"/>
  <c r="U60" i="124"/>
  <c r="V60" i="124" s="1"/>
  <c r="U59" i="124"/>
  <c r="V59" i="124" s="1"/>
  <c r="U58" i="124"/>
  <c r="V58" i="124" s="1"/>
  <c r="U57" i="124"/>
  <c r="V57" i="124" s="1"/>
  <c r="U56" i="124"/>
  <c r="V56" i="124" s="1"/>
  <c r="U55" i="124"/>
  <c r="V55" i="124" s="1"/>
  <c r="U54" i="124"/>
  <c r="V54" i="124" s="1"/>
  <c r="U53" i="124"/>
  <c r="V53" i="124" s="1"/>
  <c r="U52" i="124"/>
  <c r="V52" i="124" s="1"/>
  <c r="U51" i="124"/>
  <c r="V51" i="124" s="1"/>
  <c r="U50" i="124"/>
  <c r="V50" i="124" s="1"/>
  <c r="U49" i="124"/>
  <c r="V49" i="124" s="1"/>
  <c r="U48" i="124"/>
  <c r="V48" i="124" s="1"/>
  <c r="U47" i="124"/>
  <c r="V47" i="124" s="1"/>
  <c r="U46" i="124"/>
  <c r="V46" i="124" s="1"/>
  <c r="U45" i="124"/>
  <c r="V45" i="124" s="1"/>
  <c r="U44" i="124"/>
  <c r="V44" i="124" s="1"/>
  <c r="U43" i="124"/>
  <c r="V43" i="124" s="1"/>
  <c r="U42" i="124"/>
  <c r="V42" i="124" s="1"/>
  <c r="U41" i="124"/>
  <c r="V41" i="124" s="1"/>
  <c r="U40" i="124"/>
  <c r="V40" i="124" s="1"/>
  <c r="U39" i="124"/>
  <c r="V39" i="124" s="1"/>
  <c r="U38" i="124"/>
  <c r="V38" i="124" s="1"/>
  <c r="U37" i="124"/>
  <c r="V37" i="124" s="1"/>
  <c r="U36" i="124"/>
  <c r="V36" i="124" s="1"/>
  <c r="U35" i="124"/>
  <c r="V35" i="124" s="1"/>
  <c r="U34" i="124"/>
  <c r="V34" i="124" s="1"/>
  <c r="U33" i="124"/>
  <c r="V33" i="124" s="1"/>
  <c r="U32" i="124"/>
  <c r="V32" i="124" s="1"/>
  <c r="U31" i="124"/>
  <c r="V31" i="124" s="1"/>
  <c r="U30" i="124"/>
  <c r="V30" i="124" s="1"/>
  <c r="U29" i="124"/>
  <c r="V29" i="124" s="1"/>
  <c r="U28" i="124"/>
  <c r="V28" i="124" s="1"/>
  <c r="U27" i="124"/>
  <c r="U26" i="124"/>
  <c r="V26" i="124" s="1"/>
  <c r="U25" i="124"/>
  <c r="V25" i="124" s="1"/>
  <c r="U24" i="124"/>
  <c r="V24" i="124" s="1"/>
  <c r="U23" i="124"/>
  <c r="V23" i="124" s="1"/>
  <c r="U22" i="124"/>
  <c r="V22" i="124" s="1"/>
  <c r="U21" i="124"/>
  <c r="V21" i="124" s="1"/>
  <c r="U20" i="124"/>
  <c r="V20" i="124" s="1"/>
  <c r="U19" i="124"/>
  <c r="V19" i="124" s="1"/>
  <c r="U18" i="124"/>
  <c r="V18" i="124" s="1"/>
  <c r="U17" i="124"/>
  <c r="V17" i="124" s="1"/>
  <c r="U16" i="124"/>
  <c r="V16" i="124" s="1"/>
  <c r="U15" i="124"/>
  <c r="V15" i="124" s="1"/>
  <c r="U14" i="124"/>
  <c r="V14" i="124" s="1"/>
  <c r="U13" i="124"/>
  <c r="V13" i="124" s="1"/>
  <c r="U12" i="124"/>
  <c r="V12" i="124" s="1"/>
  <c r="U11" i="124"/>
  <c r="V11" i="124" s="1"/>
  <c r="U10" i="124"/>
  <c r="V10" i="124" s="1"/>
  <c r="U9" i="124"/>
  <c r="V9" i="124" s="1"/>
  <c r="U8" i="124"/>
  <c r="V8" i="124" s="1"/>
  <c r="U7" i="124"/>
  <c r="V7" i="124" s="1"/>
  <c r="U6" i="124"/>
  <c r="F1" i="124"/>
  <c r="B1" i="124"/>
  <c r="K81" i="122"/>
  <c r="J81" i="122"/>
  <c r="B2" i="122"/>
  <c r="H81" i="122"/>
  <c r="G81" i="122"/>
  <c r="U69" i="122"/>
  <c r="V69" i="122" s="1"/>
  <c r="U68" i="122"/>
  <c r="V68" i="122" s="1"/>
  <c r="U67" i="122"/>
  <c r="V67" i="122" s="1"/>
  <c r="U66" i="122"/>
  <c r="V66" i="122" s="1"/>
  <c r="U65" i="122"/>
  <c r="V65" i="122" s="1"/>
  <c r="U64" i="122"/>
  <c r="U63" i="122"/>
  <c r="V63" i="122" s="1"/>
  <c r="U62" i="122"/>
  <c r="V62" i="122" s="1"/>
  <c r="U61" i="122"/>
  <c r="V61" i="122" s="1"/>
  <c r="U60" i="122"/>
  <c r="V60" i="122" s="1"/>
  <c r="U59" i="122"/>
  <c r="V59" i="122" s="1"/>
  <c r="U58" i="122"/>
  <c r="V58" i="122" s="1"/>
  <c r="U57" i="122"/>
  <c r="V57" i="122" s="1"/>
  <c r="U56" i="122"/>
  <c r="V56" i="122" s="1"/>
  <c r="U55" i="122"/>
  <c r="V55" i="122" s="1"/>
  <c r="U54" i="122"/>
  <c r="V54" i="122" s="1"/>
  <c r="U53" i="122"/>
  <c r="V53" i="122" s="1"/>
  <c r="U52" i="122"/>
  <c r="V52" i="122" s="1"/>
  <c r="U51" i="122"/>
  <c r="V51" i="122" s="1"/>
  <c r="U50" i="122"/>
  <c r="V50" i="122" s="1"/>
  <c r="U49" i="122"/>
  <c r="V49" i="122" s="1"/>
  <c r="U48" i="122"/>
  <c r="V48" i="122" s="1"/>
  <c r="U47" i="122"/>
  <c r="V47" i="122" s="1"/>
  <c r="U46" i="122"/>
  <c r="V46" i="122" s="1"/>
  <c r="U45" i="122"/>
  <c r="V45" i="122" s="1"/>
  <c r="U44" i="122"/>
  <c r="V44" i="122" s="1"/>
  <c r="U43" i="122"/>
  <c r="V43" i="122" s="1"/>
  <c r="U42" i="122"/>
  <c r="V42" i="122" s="1"/>
  <c r="U41" i="122"/>
  <c r="V41" i="122" s="1"/>
  <c r="U40" i="122"/>
  <c r="V40" i="122" s="1"/>
  <c r="U39" i="122"/>
  <c r="V39" i="122" s="1"/>
  <c r="U38" i="122"/>
  <c r="V38" i="122" s="1"/>
  <c r="U37" i="122"/>
  <c r="V37" i="122" s="1"/>
  <c r="U36" i="122"/>
  <c r="V36" i="122" s="1"/>
  <c r="U35" i="122"/>
  <c r="V35" i="122" s="1"/>
  <c r="U34" i="122"/>
  <c r="V34" i="122" s="1"/>
  <c r="U33" i="122"/>
  <c r="V33" i="122" s="1"/>
  <c r="U32" i="122"/>
  <c r="V32" i="122" s="1"/>
  <c r="U31" i="122"/>
  <c r="V31" i="122" s="1"/>
  <c r="U30" i="122"/>
  <c r="V30" i="122" s="1"/>
  <c r="U29" i="122"/>
  <c r="V29" i="122" s="1"/>
  <c r="U28" i="122"/>
  <c r="V28" i="122" s="1"/>
  <c r="U27" i="122"/>
  <c r="V27" i="122" s="1"/>
  <c r="U26" i="122"/>
  <c r="V26" i="122" s="1"/>
  <c r="U25" i="122"/>
  <c r="V25" i="122" s="1"/>
  <c r="U24" i="122"/>
  <c r="V24" i="122" s="1"/>
  <c r="U23" i="122"/>
  <c r="V23" i="122" s="1"/>
  <c r="U22" i="122"/>
  <c r="V22" i="122" s="1"/>
  <c r="U21" i="122"/>
  <c r="V21" i="122" s="1"/>
  <c r="U20" i="122"/>
  <c r="V20" i="122" s="1"/>
  <c r="U19" i="122"/>
  <c r="V19" i="122" s="1"/>
  <c r="U18" i="122"/>
  <c r="V18" i="122" s="1"/>
  <c r="U17" i="122"/>
  <c r="V17" i="122" s="1"/>
  <c r="U16" i="122"/>
  <c r="V16" i="122" s="1"/>
  <c r="U15" i="122"/>
  <c r="V15" i="122" s="1"/>
  <c r="U14" i="122"/>
  <c r="V14" i="122" s="1"/>
  <c r="U13" i="122"/>
  <c r="V13" i="122" s="1"/>
  <c r="U12" i="122"/>
  <c r="V12" i="122" s="1"/>
  <c r="U11" i="122"/>
  <c r="V11" i="122" s="1"/>
  <c r="U10" i="122"/>
  <c r="V10" i="122" s="1"/>
  <c r="U9" i="122"/>
  <c r="V9" i="122" s="1"/>
  <c r="U8" i="122"/>
  <c r="V8" i="122" s="1"/>
  <c r="U7" i="122"/>
  <c r="V7" i="122" s="1"/>
  <c r="U6" i="122"/>
  <c r="F1" i="122"/>
  <c r="B1" i="122"/>
  <c r="K81" i="123"/>
  <c r="J81" i="123"/>
  <c r="B2" i="123"/>
  <c r="H81" i="123"/>
  <c r="G81" i="123"/>
  <c r="U69" i="123"/>
  <c r="V69" i="123" s="1"/>
  <c r="U68" i="123"/>
  <c r="V68" i="123" s="1"/>
  <c r="U67" i="123"/>
  <c r="V67" i="123" s="1"/>
  <c r="U66" i="123"/>
  <c r="V66" i="123" s="1"/>
  <c r="U65" i="123"/>
  <c r="V65" i="123" s="1"/>
  <c r="U64" i="123"/>
  <c r="V64" i="123" s="1"/>
  <c r="U63" i="123"/>
  <c r="V63" i="123" s="1"/>
  <c r="U62" i="123"/>
  <c r="V62" i="123" s="1"/>
  <c r="U61" i="123"/>
  <c r="V61" i="123" s="1"/>
  <c r="U60" i="123"/>
  <c r="V60" i="123" s="1"/>
  <c r="U59" i="123"/>
  <c r="V59" i="123" s="1"/>
  <c r="U58" i="123"/>
  <c r="V58" i="123" s="1"/>
  <c r="U57" i="123"/>
  <c r="V57" i="123" s="1"/>
  <c r="U56" i="123"/>
  <c r="V56" i="123" s="1"/>
  <c r="U55" i="123"/>
  <c r="V55" i="123" s="1"/>
  <c r="U54" i="123"/>
  <c r="V54" i="123" s="1"/>
  <c r="U53" i="123"/>
  <c r="V53" i="123" s="1"/>
  <c r="U52" i="123"/>
  <c r="V52" i="123" s="1"/>
  <c r="U51" i="123"/>
  <c r="V51" i="123" s="1"/>
  <c r="U50" i="123"/>
  <c r="V50" i="123" s="1"/>
  <c r="U49" i="123"/>
  <c r="V49" i="123" s="1"/>
  <c r="U48" i="123"/>
  <c r="V48" i="123" s="1"/>
  <c r="U47" i="123"/>
  <c r="V47" i="123" s="1"/>
  <c r="U46" i="123"/>
  <c r="V46" i="123" s="1"/>
  <c r="U45" i="123"/>
  <c r="V45" i="123" s="1"/>
  <c r="U44" i="123"/>
  <c r="V44" i="123" s="1"/>
  <c r="U43" i="123"/>
  <c r="V43" i="123" s="1"/>
  <c r="U42" i="123"/>
  <c r="V42" i="123" s="1"/>
  <c r="U41" i="123"/>
  <c r="V41" i="123" s="1"/>
  <c r="U40" i="123"/>
  <c r="V40" i="123" s="1"/>
  <c r="U39" i="123"/>
  <c r="V39" i="123" s="1"/>
  <c r="U38" i="123"/>
  <c r="V38" i="123" s="1"/>
  <c r="U37" i="123"/>
  <c r="V37" i="123" s="1"/>
  <c r="U36" i="123"/>
  <c r="V36" i="123" s="1"/>
  <c r="U35" i="123"/>
  <c r="V35" i="123" s="1"/>
  <c r="U34" i="123"/>
  <c r="V34" i="123" s="1"/>
  <c r="U33" i="123"/>
  <c r="V33" i="123" s="1"/>
  <c r="U32" i="123"/>
  <c r="V32" i="123" s="1"/>
  <c r="U31" i="123"/>
  <c r="V31" i="123" s="1"/>
  <c r="U30" i="123"/>
  <c r="V30" i="123" s="1"/>
  <c r="U29" i="123"/>
  <c r="V29" i="123" s="1"/>
  <c r="U28" i="123"/>
  <c r="V28" i="123" s="1"/>
  <c r="U27" i="123"/>
  <c r="V27" i="123" s="1"/>
  <c r="U26" i="123"/>
  <c r="V26" i="123" s="1"/>
  <c r="U25" i="123"/>
  <c r="V25" i="123" s="1"/>
  <c r="U24" i="123"/>
  <c r="V24" i="123" s="1"/>
  <c r="U23" i="123"/>
  <c r="V23" i="123" s="1"/>
  <c r="U22" i="123"/>
  <c r="V22" i="123" s="1"/>
  <c r="U21" i="123"/>
  <c r="V21" i="123" s="1"/>
  <c r="U20" i="123"/>
  <c r="V20" i="123" s="1"/>
  <c r="U19" i="123"/>
  <c r="V19" i="123" s="1"/>
  <c r="U18" i="123"/>
  <c r="V18" i="123" s="1"/>
  <c r="U17" i="123"/>
  <c r="V17" i="123" s="1"/>
  <c r="U16" i="123"/>
  <c r="V16" i="123" s="1"/>
  <c r="U15" i="123"/>
  <c r="V15" i="123" s="1"/>
  <c r="U14" i="123"/>
  <c r="V14" i="123" s="1"/>
  <c r="U13" i="123"/>
  <c r="V13" i="123" s="1"/>
  <c r="U12" i="123"/>
  <c r="V12" i="123" s="1"/>
  <c r="U11" i="123"/>
  <c r="V11" i="123" s="1"/>
  <c r="U10" i="123"/>
  <c r="V10" i="123" s="1"/>
  <c r="U9" i="123"/>
  <c r="V9" i="123" s="1"/>
  <c r="U8" i="123"/>
  <c r="U7" i="123"/>
  <c r="V7" i="123" s="1"/>
  <c r="U6" i="123"/>
  <c r="F1" i="123"/>
  <c r="B1" i="123"/>
  <c r="K81" i="121"/>
  <c r="J81" i="121"/>
  <c r="B2" i="121"/>
  <c r="H81" i="121"/>
  <c r="G81" i="121"/>
  <c r="U69" i="121"/>
  <c r="V69" i="121" s="1"/>
  <c r="U68" i="121"/>
  <c r="V68" i="121" s="1"/>
  <c r="U67" i="121"/>
  <c r="V67" i="121" s="1"/>
  <c r="U66" i="121"/>
  <c r="V66" i="121" s="1"/>
  <c r="U65" i="121"/>
  <c r="V65" i="121" s="1"/>
  <c r="U64" i="121"/>
  <c r="V64" i="121" s="1"/>
  <c r="U63" i="121"/>
  <c r="V63" i="121" s="1"/>
  <c r="U62" i="121"/>
  <c r="V62" i="121" s="1"/>
  <c r="U61" i="121"/>
  <c r="V61" i="121" s="1"/>
  <c r="U60" i="121"/>
  <c r="V60" i="121" s="1"/>
  <c r="U59" i="121"/>
  <c r="V59" i="121" s="1"/>
  <c r="U58" i="121"/>
  <c r="V58" i="121" s="1"/>
  <c r="U57" i="121"/>
  <c r="V57" i="121" s="1"/>
  <c r="U56" i="121"/>
  <c r="V56" i="121" s="1"/>
  <c r="U55" i="121"/>
  <c r="V55" i="121" s="1"/>
  <c r="U54" i="121"/>
  <c r="V54" i="121" s="1"/>
  <c r="U53" i="121"/>
  <c r="V53" i="121" s="1"/>
  <c r="U52" i="121"/>
  <c r="V52" i="121" s="1"/>
  <c r="U51" i="121"/>
  <c r="V51" i="121" s="1"/>
  <c r="U50" i="121"/>
  <c r="V50" i="121" s="1"/>
  <c r="U49" i="121"/>
  <c r="V49" i="121" s="1"/>
  <c r="U48" i="121"/>
  <c r="V48" i="121" s="1"/>
  <c r="U47" i="121"/>
  <c r="V47" i="121" s="1"/>
  <c r="U46" i="121"/>
  <c r="V46" i="121" s="1"/>
  <c r="U45" i="121"/>
  <c r="V45" i="121" s="1"/>
  <c r="U44" i="121"/>
  <c r="V44" i="121" s="1"/>
  <c r="U43" i="121"/>
  <c r="V43" i="121" s="1"/>
  <c r="U42" i="121"/>
  <c r="V42" i="121" s="1"/>
  <c r="U41" i="121"/>
  <c r="V41" i="121" s="1"/>
  <c r="U40" i="121"/>
  <c r="V40" i="121" s="1"/>
  <c r="U39" i="121"/>
  <c r="V39" i="121" s="1"/>
  <c r="U38" i="121"/>
  <c r="V38" i="121" s="1"/>
  <c r="U37" i="121"/>
  <c r="V37" i="121" s="1"/>
  <c r="U36" i="121"/>
  <c r="V36" i="121" s="1"/>
  <c r="U35" i="121"/>
  <c r="V35" i="121" s="1"/>
  <c r="U34" i="121"/>
  <c r="V34" i="121" s="1"/>
  <c r="U33" i="121"/>
  <c r="V33" i="121" s="1"/>
  <c r="U32" i="121"/>
  <c r="V32" i="121" s="1"/>
  <c r="U31" i="121"/>
  <c r="V31" i="121" s="1"/>
  <c r="U30" i="121"/>
  <c r="V30" i="121" s="1"/>
  <c r="U29" i="121"/>
  <c r="V29" i="121" s="1"/>
  <c r="U28" i="121"/>
  <c r="V28" i="121" s="1"/>
  <c r="U27" i="121"/>
  <c r="U26" i="121"/>
  <c r="V26" i="121" s="1"/>
  <c r="U25" i="121"/>
  <c r="V25" i="121" s="1"/>
  <c r="U24" i="121"/>
  <c r="V24" i="121" s="1"/>
  <c r="U23" i="121"/>
  <c r="V23" i="121" s="1"/>
  <c r="U22" i="121"/>
  <c r="V22" i="121" s="1"/>
  <c r="U21" i="121"/>
  <c r="V21" i="121" s="1"/>
  <c r="U20" i="121"/>
  <c r="V20" i="121" s="1"/>
  <c r="U19" i="121"/>
  <c r="V19" i="121" s="1"/>
  <c r="U18" i="121"/>
  <c r="V18" i="121" s="1"/>
  <c r="U17" i="121"/>
  <c r="V17" i="121" s="1"/>
  <c r="U16" i="121"/>
  <c r="V16" i="121" s="1"/>
  <c r="U15" i="121"/>
  <c r="V15" i="121" s="1"/>
  <c r="U14" i="121"/>
  <c r="V14" i="121" s="1"/>
  <c r="U13" i="121"/>
  <c r="V13" i="121" s="1"/>
  <c r="U12" i="121"/>
  <c r="V12" i="121" s="1"/>
  <c r="U11" i="121"/>
  <c r="V11" i="121" s="1"/>
  <c r="U10" i="121"/>
  <c r="V10" i="121" s="1"/>
  <c r="U9" i="121"/>
  <c r="V9" i="121" s="1"/>
  <c r="U8" i="121"/>
  <c r="V8" i="121" s="1"/>
  <c r="U7" i="121"/>
  <c r="V7" i="121" s="1"/>
  <c r="U6" i="121"/>
  <c r="F1" i="121"/>
  <c r="B1" i="121"/>
  <c r="J81" i="120"/>
  <c r="B2" i="120"/>
  <c r="H81" i="120"/>
  <c r="B1" i="120" s="1"/>
  <c r="G81" i="120"/>
  <c r="U69" i="120"/>
  <c r="V69" i="120" s="1"/>
  <c r="U68" i="120"/>
  <c r="V68" i="120" s="1"/>
  <c r="U67" i="120"/>
  <c r="V67" i="120" s="1"/>
  <c r="U66" i="120"/>
  <c r="V66" i="120" s="1"/>
  <c r="U65" i="120"/>
  <c r="V65" i="120" s="1"/>
  <c r="U64" i="120"/>
  <c r="V64" i="120" s="1"/>
  <c r="U63" i="120"/>
  <c r="V63" i="120" s="1"/>
  <c r="U62" i="120"/>
  <c r="V62" i="120" s="1"/>
  <c r="U61" i="120"/>
  <c r="V61" i="120" s="1"/>
  <c r="U60" i="120"/>
  <c r="V60" i="120" s="1"/>
  <c r="U59" i="120"/>
  <c r="V59" i="120" s="1"/>
  <c r="U58" i="120"/>
  <c r="V58" i="120" s="1"/>
  <c r="U57" i="120"/>
  <c r="V57" i="120" s="1"/>
  <c r="U56" i="120"/>
  <c r="V56" i="120" s="1"/>
  <c r="U55" i="120"/>
  <c r="V55" i="120" s="1"/>
  <c r="U54" i="120"/>
  <c r="V54" i="120" s="1"/>
  <c r="U53" i="120"/>
  <c r="V53" i="120" s="1"/>
  <c r="U52" i="120"/>
  <c r="V52" i="120" s="1"/>
  <c r="U51" i="120"/>
  <c r="V51" i="120" s="1"/>
  <c r="U50" i="120"/>
  <c r="V50" i="120" s="1"/>
  <c r="U49" i="120"/>
  <c r="V49" i="120" s="1"/>
  <c r="U48" i="120"/>
  <c r="V48" i="120" s="1"/>
  <c r="U47" i="120"/>
  <c r="V47" i="120" s="1"/>
  <c r="U46" i="120"/>
  <c r="V46" i="120" s="1"/>
  <c r="U45" i="120"/>
  <c r="V45" i="120" s="1"/>
  <c r="U44" i="120"/>
  <c r="V44" i="120" s="1"/>
  <c r="U43" i="120"/>
  <c r="V43" i="120" s="1"/>
  <c r="U42" i="120"/>
  <c r="V42" i="120" s="1"/>
  <c r="U41" i="120"/>
  <c r="V41" i="120" s="1"/>
  <c r="U40" i="120"/>
  <c r="V40" i="120" s="1"/>
  <c r="U39" i="120"/>
  <c r="V39" i="120" s="1"/>
  <c r="U38" i="120"/>
  <c r="V38" i="120" s="1"/>
  <c r="U37" i="120"/>
  <c r="V37" i="120" s="1"/>
  <c r="U36" i="120"/>
  <c r="V36" i="120" s="1"/>
  <c r="U35" i="120"/>
  <c r="V35" i="120" s="1"/>
  <c r="U34" i="120"/>
  <c r="V34" i="120" s="1"/>
  <c r="U33" i="120"/>
  <c r="V33" i="120" s="1"/>
  <c r="U32" i="120"/>
  <c r="V32" i="120" s="1"/>
  <c r="U31" i="120"/>
  <c r="V31" i="120" s="1"/>
  <c r="U30" i="120"/>
  <c r="V30" i="120" s="1"/>
  <c r="U29" i="120"/>
  <c r="V29" i="120" s="1"/>
  <c r="U28" i="120"/>
  <c r="V28" i="120" s="1"/>
  <c r="U27" i="120"/>
  <c r="V27" i="120" s="1"/>
  <c r="U26" i="120"/>
  <c r="V26" i="120" s="1"/>
  <c r="U25" i="120"/>
  <c r="V25" i="120" s="1"/>
  <c r="U24" i="120"/>
  <c r="V24" i="120" s="1"/>
  <c r="U23" i="120"/>
  <c r="V23" i="120" s="1"/>
  <c r="U22" i="120"/>
  <c r="V22" i="120" s="1"/>
  <c r="U21" i="120"/>
  <c r="V21" i="120" s="1"/>
  <c r="U20" i="120"/>
  <c r="V20" i="120" s="1"/>
  <c r="U19" i="120"/>
  <c r="V19" i="120" s="1"/>
  <c r="U18" i="120"/>
  <c r="V18" i="120" s="1"/>
  <c r="U17" i="120"/>
  <c r="V17" i="120" s="1"/>
  <c r="U16" i="120"/>
  <c r="V16" i="120" s="1"/>
  <c r="U15" i="120"/>
  <c r="V15" i="120" s="1"/>
  <c r="U14" i="120"/>
  <c r="V14" i="120" s="1"/>
  <c r="U13" i="120"/>
  <c r="V13" i="120" s="1"/>
  <c r="U12" i="120"/>
  <c r="V12" i="120" s="1"/>
  <c r="U11" i="120"/>
  <c r="V11" i="120" s="1"/>
  <c r="U10" i="120"/>
  <c r="V10" i="120" s="1"/>
  <c r="U9" i="120"/>
  <c r="V9" i="120" s="1"/>
  <c r="U8" i="120"/>
  <c r="V8" i="120" s="1"/>
  <c r="U7" i="120"/>
  <c r="V7" i="120" s="1"/>
  <c r="U6" i="120"/>
  <c r="F1" i="120"/>
  <c r="U3" i="121" l="1"/>
  <c r="U2" i="121"/>
  <c r="U2" i="105"/>
  <c r="U3" i="105"/>
  <c r="U3" i="120"/>
  <c r="U2" i="120"/>
  <c r="U2" i="134"/>
  <c r="U3" i="134"/>
  <c r="U2" i="117"/>
  <c r="U3" i="117"/>
  <c r="U2" i="123"/>
  <c r="U3" i="123"/>
  <c r="U3" i="122"/>
  <c r="U2" i="122"/>
  <c r="U2" i="110"/>
  <c r="U3" i="110"/>
  <c r="U3" i="133"/>
  <c r="U2" i="133"/>
  <c r="U3" i="127"/>
  <c r="U2" i="127"/>
  <c r="V64" i="107"/>
  <c r="U2" i="107"/>
  <c r="U3" i="107"/>
  <c r="V64" i="106"/>
  <c r="U2" i="106"/>
  <c r="U3" i="106"/>
  <c r="V22" i="111"/>
  <c r="U2" i="111"/>
  <c r="U3" i="111"/>
  <c r="V17" i="109"/>
  <c r="U2" i="109"/>
  <c r="U3" i="109"/>
  <c r="U2" i="108"/>
  <c r="U3" i="108"/>
  <c r="V20" i="119"/>
  <c r="U2" i="119"/>
  <c r="U3" i="119"/>
  <c r="V53" i="118"/>
  <c r="U2" i="118"/>
  <c r="U3" i="118"/>
  <c r="V66" i="116"/>
  <c r="U2" i="116"/>
  <c r="U3" i="116"/>
  <c r="V59" i="115"/>
  <c r="U3" i="115"/>
  <c r="U2" i="115"/>
  <c r="V65" i="114"/>
  <c r="U3" i="114"/>
  <c r="U2" i="114"/>
  <c r="V17" i="113"/>
  <c r="U3" i="113"/>
  <c r="U2" i="113"/>
  <c r="V13" i="112"/>
  <c r="U2" i="112"/>
  <c r="U3" i="112"/>
  <c r="U2" i="135"/>
  <c r="U3" i="135"/>
  <c r="U2" i="129"/>
  <c r="U3" i="129"/>
  <c r="V41" i="131"/>
  <c r="U2" i="131"/>
  <c r="U3" i="131"/>
  <c r="V8" i="132"/>
  <c r="U3" i="132"/>
  <c r="U2" i="132"/>
  <c r="V8" i="130"/>
  <c r="U2" i="130"/>
  <c r="U3" i="130"/>
  <c r="V59" i="128"/>
  <c r="U2" i="128"/>
  <c r="U3" i="128"/>
  <c r="V51" i="126"/>
  <c r="U2" i="126"/>
  <c r="U3" i="126"/>
  <c r="Q3" i="72"/>
  <c r="Q81" i="72"/>
  <c r="Q2" i="72"/>
  <c r="S3" i="72"/>
  <c r="S81" i="72"/>
  <c r="S2" i="72"/>
  <c r="T3" i="72"/>
  <c r="T81" i="72"/>
  <c r="T2" i="72"/>
  <c r="N3" i="72"/>
  <c r="N81" i="72"/>
  <c r="N2" i="72"/>
  <c r="L81" i="72"/>
  <c r="L3" i="72"/>
  <c r="L2" i="72"/>
  <c r="O81" i="72"/>
  <c r="O3" i="72"/>
  <c r="O2" i="72"/>
  <c r="P2" i="72"/>
  <c r="P3" i="72"/>
  <c r="P81" i="72"/>
  <c r="R81" i="72"/>
  <c r="R3" i="72"/>
  <c r="R2" i="72"/>
  <c r="I81" i="72"/>
  <c r="B2" i="72" s="1"/>
  <c r="B3" i="72" s="1"/>
  <c r="M2" i="72"/>
  <c r="M3" i="72"/>
  <c r="M81" i="72"/>
  <c r="V17" i="125"/>
  <c r="U2" i="125"/>
  <c r="U3" i="125"/>
  <c r="V27" i="124"/>
  <c r="U2" i="124"/>
  <c r="U3" i="124"/>
  <c r="U81" i="112"/>
  <c r="V81" i="112" s="1"/>
  <c r="A4" i="112" s="1"/>
  <c r="U81" i="105"/>
  <c r="V81" i="105" s="1"/>
  <c r="A4" i="105" s="1"/>
  <c r="U81" i="135"/>
  <c r="V81" i="135" s="1"/>
  <c r="A4" i="135" s="1"/>
  <c r="U81" i="120"/>
  <c r="V81" i="120" s="1"/>
  <c r="A4" i="120" s="1"/>
  <c r="U81" i="113"/>
  <c r="V81" i="113" s="1"/>
  <c r="A4" i="113" s="1"/>
  <c r="U81" i="110"/>
  <c r="V81" i="110" s="1"/>
  <c r="A4" i="110" s="1"/>
  <c r="V27" i="121"/>
  <c r="U81" i="121"/>
  <c r="V81" i="121" s="1"/>
  <c r="A4" i="121" s="1"/>
  <c r="U81" i="107"/>
  <c r="V81" i="107" s="1"/>
  <c r="A4" i="107" s="1"/>
  <c r="U81" i="134"/>
  <c r="V81" i="134" s="1"/>
  <c r="A4" i="134" s="1"/>
  <c r="U81" i="117"/>
  <c r="V81" i="117" s="1"/>
  <c r="A4" i="117" s="1"/>
  <c r="U81" i="111"/>
  <c r="V81" i="111" s="1"/>
  <c r="A4" i="111" s="1"/>
  <c r="U81" i="127"/>
  <c r="V81" i="127" s="1"/>
  <c r="A4" i="127" s="1"/>
  <c r="U81" i="106"/>
  <c r="V81" i="106" s="1"/>
  <c r="A4" i="106" s="1"/>
  <c r="V58" i="109"/>
  <c r="U81" i="109"/>
  <c r="V81" i="109" s="1"/>
  <c r="A4" i="109" s="1"/>
  <c r="V67" i="108"/>
  <c r="U81" i="108"/>
  <c r="V81" i="108" s="1"/>
  <c r="A4" i="108" s="1"/>
  <c r="V17" i="119"/>
  <c r="U81" i="119"/>
  <c r="V81" i="119" s="1"/>
  <c r="A4" i="119" s="1"/>
  <c r="V8" i="118"/>
  <c r="U81" i="118"/>
  <c r="U81" i="116"/>
  <c r="V81" i="116" s="1"/>
  <c r="A4" i="116" s="1"/>
  <c r="V61" i="115"/>
  <c r="U81" i="115"/>
  <c r="V81" i="115" s="1"/>
  <c r="A4" i="115" s="1"/>
  <c r="V61" i="114"/>
  <c r="U81" i="114"/>
  <c r="V81" i="114" s="1"/>
  <c r="A4" i="114" s="1"/>
  <c r="V41" i="133"/>
  <c r="U81" i="133"/>
  <c r="V81" i="133" s="1"/>
  <c r="A4" i="133" s="1"/>
  <c r="V67" i="129"/>
  <c r="U81" i="129"/>
  <c r="V81" i="129" s="1"/>
  <c r="A4" i="129" s="1"/>
  <c r="V27" i="131"/>
  <c r="U81" i="131"/>
  <c r="V81" i="131" s="1"/>
  <c r="A4" i="131" s="1"/>
  <c r="V45" i="132"/>
  <c r="U81" i="132"/>
  <c r="V81" i="132" s="1"/>
  <c r="A4" i="132" s="1"/>
  <c r="V17" i="130"/>
  <c r="U81" i="130"/>
  <c r="V81" i="130" s="1"/>
  <c r="A4" i="130" s="1"/>
  <c r="V20" i="128"/>
  <c r="U81" i="128"/>
  <c r="V81" i="128" s="1"/>
  <c r="A4" i="128" s="1"/>
  <c r="V69" i="126"/>
  <c r="U81" i="126"/>
  <c r="V81" i="126" s="1"/>
  <c r="A4" i="126" s="1"/>
  <c r="V20" i="125"/>
  <c r="U81" i="125"/>
  <c r="V81" i="125" s="1"/>
  <c r="A4" i="125" s="1"/>
  <c r="V65" i="124"/>
  <c r="U81" i="124"/>
  <c r="V81" i="124" s="1"/>
  <c r="A4" i="124" s="1"/>
  <c r="V64" i="122"/>
  <c r="U81" i="122"/>
  <c r="V81" i="122" s="1"/>
  <c r="A4" i="122" s="1"/>
  <c r="V8" i="123"/>
  <c r="U81" i="123"/>
  <c r="V81" i="123" s="1"/>
  <c r="A4" i="123" s="1"/>
  <c r="V6" i="132"/>
  <c r="V6" i="113"/>
  <c r="V6" i="135"/>
  <c r="V68" i="110"/>
  <c r="V27" i="111"/>
  <c r="V60" i="109"/>
  <c r="V17" i="108"/>
  <c r="V6" i="134"/>
  <c r="V6" i="133"/>
  <c r="V58" i="105"/>
  <c r="V26" i="107"/>
  <c r="V40" i="111"/>
  <c r="V32" i="109"/>
  <c r="V36" i="119"/>
  <c r="V27" i="118"/>
  <c r="V58" i="115"/>
  <c r="V31" i="114"/>
  <c r="V54" i="113"/>
  <c r="V53" i="112"/>
  <c r="V53" i="135"/>
  <c r="V20" i="129"/>
  <c r="V6" i="110"/>
  <c r="V6" i="129"/>
  <c r="V6" i="122"/>
  <c r="V6" i="111"/>
  <c r="V6" i="126"/>
  <c r="V6" i="115"/>
  <c r="B3" i="114"/>
  <c r="V6" i="116"/>
  <c r="V6" i="118"/>
  <c r="V6" i="120"/>
  <c r="V6" i="131"/>
  <c r="V6" i="114"/>
  <c r="V6" i="107"/>
  <c r="V6" i="127"/>
  <c r="V22" i="113"/>
  <c r="V40" i="112"/>
  <c r="V13" i="135"/>
  <c r="V53" i="134"/>
  <c r="V28" i="133"/>
  <c r="V27" i="132"/>
  <c r="V26" i="130"/>
  <c r="V60" i="128"/>
  <c r="B3" i="116"/>
  <c r="B3" i="133"/>
  <c r="B3" i="110"/>
  <c r="B3" i="123"/>
  <c r="B3" i="108"/>
  <c r="B3" i="126"/>
  <c r="B3" i="111"/>
  <c r="B3" i="115"/>
  <c r="B3" i="122"/>
  <c r="B3" i="135"/>
  <c r="B3" i="125"/>
  <c r="B3" i="120"/>
  <c r="B3" i="131"/>
  <c r="B3" i="106"/>
  <c r="B3" i="113"/>
  <c r="B3" i="119"/>
  <c r="B3" i="107"/>
  <c r="B3" i="112"/>
  <c r="B3" i="124"/>
  <c r="B3" i="121"/>
  <c r="B3" i="105"/>
  <c r="V6" i="106"/>
  <c r="V6" i="125"/>
  <c r="V60" i="106"/>
  <c r="B3" i="129"/>
  <c r="B3" i="130"/>
  <c r="B3" i="128"/>
  <c r="V6" i="128"/>
  <c r="B3" i="127"/>
  <c r="V6" i="123"/>
  <c r="V65" i="107"/>
  <c r="V6" i="109"/>
  <c r="B3" i="109"/>
  <c r="B3" i="132"/>
  <c r="V6" i="124"/>
  <c r="V7" i="128"/>
  <c r="V6" i="130"/>
  <c r="V38" i="133"/>
  <c r="V6" i="121"/>
  <c r="V8" i="135"/>
  <c r="V28" i="135"/>
  <c r="V6" i="112"/>
  <c r="V35" i="134"/>
  <c r="V6" i="119"/>
  <c r="V18" i="116"/>
  <c r="V6" i="108"/>
  <c r="V7" i="110"/>
  <c r="V6" i="105"/>
  <c r="U44" i="72"/>
  <c r="V44" i="72" s="1"/>
  <c r="U46" i="72"/>
  <c r="V46" i="72" s="1"/>
  <c r="U48" i="72"/>
  <c r="V48" i="72" s="1"/>
  <c r="U50" i="72"/>
  <c r="V50" i="72" s="1"/>
  <c r="U54" i="72"/>
  <c r="V54" i="72" s="1"/>
  <c r="U56" i="72"/>
  <c r="V56" i="72" s="1"/>
  <c r="U64" i="72"/>
  <c r="V64" i="72" s="1"/>
  <c r="V68" i="72"/>
  <c r="V32" i="111"/>
  <c r="V51" i="109"/>
  <c r="V61" i="108"/>
  <c r="U42" i="72"/>
  <c r="V42" i="72" s="1"/>
  <c r="B3" i="118"/>
  <c r="V6" i="117"/>
  <c r="B3" i="117"/>
  <c r="U6" i="72"/>
  <c r="U8" i="72"/>
  <c r="V8" i="72" s="1"/>
  <c r="U10" i="72"/>
  <c r="V10" i="72" s="1"/>
  <c r="U12" i="72"/>
  <c r="V12" i="72" s="1"/>
  <c r="U14" i="72"/>
  <c r="V14" i="72" s="1"/>
  <c r="U16" i="72"/>
  <c r="V16" i="72" s="1"/>
  <c r="U18" i="72"/>
  <c r="V18" i="72" s="1"/>
  <c r="U20" i="72"/>
  <c r="V20" i="72" s="1"/>
  <c r="U22" i="72"/>
  <c r="V22" i="72" s="1"/>
  <c r="U24" i="72"/>
  <c r="V24" i="72" s="1"/>
  <c r="U30" i="72"/>
  <c r="V30" i="72" s="1"/>
  <c r="U34" i="72"/>
  <c r="V34" i="72" s="1"/>
  <c r="U38" i="72"/>
  <c r="V38" i="72" s="1"/>
  <c r="U43" i="72"/>
  <c r="V43" i="72" s="1"/>
  <c r="U45" i="72"/>
  <c r="V45" i="72" s="1"/>
  <c r="U47" i="72"/>
  <c r="V47" i="72" s="1"/>
  <c r="U49" i="72"/>
  <c r="V49" i="72" s="1"/>
  <c r="U55" i="72"/>
  <c r="V55" i="72" s="1"/>
  <c r="U61" i="72"/>
  <c r="V61" i="72" s="1"/>
  <c r="U65" i="72"/>
  <c r="V65" i="72" s="1"/>
  <c r="V67" i="72"/>
  <c r="U7" i="72"/>
  <c r="V7" i="72" s="1"/>
  <c r="U9" i="72"/>
  <c r="V9" i="72" s="1"/>
  <c r="U11" i="72"/>
  <c r="V11" i="72" s="1"/>
  <c r="U13" i="72"/>
  <c r="V13" i="72" s="1"/>
  <c r="U15" i="72"/>
  <c r="V15" i="72" s="1"/>
  <c r="U17" i="72"/>
  <c r="U19" i="72"/>
  <c r="V19" i="72" s="1"/>
  <c r="U21" i="72"/>
  <c r="V21" i="72" s="1"/>
  <c r="U23" i="72"/>
  <c r="V23" i="72" s="1"/>
  <c r="U25" i="72"/>
  <c r="V25" i="72" s="1"/>
  <c r="U27" i="72"/>
  <c r="U29" i="72"/>
  <c r="V29" i="72" s="1"/>
  <c r="U31" i="72"/>
  <c r="V31" i="72" s="1"/>
  <c r="U33" i="72"/>
  <c r="V33" i="72" s="1"/>
  <c r="U35" i="72"/>
  <c r="V35" i="72" s="1"/>
  <c r="V28" i="118"/>
  <c r="U39" i="72"/>
  <c r="V39" i="72" s="1"/>
  <c r="U57" i="72"/>
  <c r="V57" i="72" s="1"/>
  <c r="U58" i="72"/>
  <c r="V58" i="72" s="1"/>
  <c r="U63" i="72"/>
  <c r="V63" i="72" s="1"/>
  <c r="V15" i="115"/>
  <c r="V62" i="115"/>
  <c r="U62" i="72"/>
  <c r="V62" i="72" s="1"/>
  <c r="U52" i="72"/>
  <c r="V52" i="72" s="1"/>
  <c r="V60" i="114"/>
  <c r="U60" i="72"/>
  <c r="U51" i="72"/>
  <c r="V51" i="72" s="1"/>
  <c r="U26" i="72"/>
  <c r="V26" i="72" s="1"/>
  <c r="U36" i="72"/>
  <c r="V36" i="72" s="1"/>
  <c r="U40" i="72"/>
  <c r="V40" i="72" s="1"/>
  <c r="U37" i="72"/>
  <c r="V37" i="72" s="1"/>
  <c r="U41" i="72"/>
  <c r="V41" i="72" s="1"/>
  <c r="U59" i="72"/>
  <c r="V59" i="72" s="1"/>
  <c r="U66" i="72"/>
  <c r="V66" i="72" s="1"/>
  <c r="U28" i="72"/>
  <c r="V28" i="72" s="1"/>
  <c r="B2" i="134"/>
  <c r="B3" i="134" s="1"/>
  <c r="V36" i="133"/>
  <c r="U53" i="72"/>
  <c r="V53" i="72" s="1"/>
  <c r="V32" i="131"/>
  <c r="U32" i="72"/>
  <c r="V32" i="72" s="1"/>
  <c r="V81" i="118" l="1"/>
  <c r="A4" i="118" s="1"/>
  <c r="V17" i="72"/>
  <c r="U81" i="72"/>
  <c r="V81" i="72" s="1"/>
  <c r="A4" i="72" s="1"/>
  <c r="V6" i="72"/>
  <c r="U3" i="72"/>
  <c r="U2" i="72"/>
  <c r="V27" i="72"/>
  <c r="V60" i="7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tc={6260B55E-CA37-495A-AED4-40CEBC3E5081}</author>
  </authors>
  <commentList>
    <comment ref="S59" authorId="0" shapeId="0" xr:uid="{6260B55E-CA37-495A-AED4-40CEBC3E5081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중량불량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tc={AC9605CB-E052-4308-A35A-35C82FCD374B}</author>
    <author>tc={AC78B389-791D-42EB-9A6D-249447430BB5}</author>
  </authors>
  <commentList>
    <comment ref="S58" authorId="0" shapeId="0" xr:uid="{AC9605CB-E052-4308-A35A-35C82FCD374B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발부급변</t>
      </text>
    </comment>
    <comment ref="S64" authorId="1" shapeId="0" xr:uid="{AC78B389-791D-42EB-9A6D-249447430BB5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제품 쓰러짐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tc={A2D817CC-13A9-40E9-ABDF-FD5BE5F81D42}</author>
  </authors>
  <commentList>
    <comment ref="S64" authorId="0" shapeId="0" xr:uid="{A2D817CC-13A9-40E9-ABDF-FD5BE5F81D42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쓰러짐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tc={4EF36C15-5837-4A28-BA0E-0E3AD04817EC}</author>
  </authors>
  <commentList>
    <comment ref="S32" authorId="0" shapeId="0" xr:uid="{4EF36C15-5837-4A28-BA0E-0E3AD04817EC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Key 수정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tc={9D8C6183-9045-4731-9ACB-9B65DCD1EC35}</author>
  </authors>
  <commentList>
    <comment ref="S22" authorId="0" shapeId="0" xr:uid="{9D8C6183-9045-4731-9ACB-9B65DCD1EC35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설비Error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tc={BA04EBCF-3DBB-4859-9195-99BC06B01A09}</author>
  </authors>
  <commentList>
    <comment ref="S17" authorId="0" shapeId="0" xr:uid="{BA04EBCF-3DBB-4859-9195-99BC06B01A09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쓰러짐 수정</t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tc={58BE40DE-9D67-4099-AB42-23430E4A19C6}</author>
  </authors>
  <commentList>
    <comment ref="S76" authorId="0" shapeId="0" xr:uid="{58BE40DE-9D67-4099-AB42-23430E4A19C6}">
      <text>
        <t xml:space="preserve">[스레드 댓글]
사용 중인 버전의 Excel에서 이 스레드 댓글을 읽을 수 있지만 파일을 이후 버전의 Excel에서 열면 편집 내용이 모두 제거됩니다. 자세한 정보: https://go.microsoft.com/fwlink/?linkid=870924.
댓글:
    상P래핑
</t>
      </text>
    </comment>
  </commentList>
</comments>
</file>

<file path=xl/sharedStrings.xml><?xml version="1.0" encoding="utf-8"?>
<sst xmlns="http://schemas.openxmlformats.org/spreadsheetml/2006/main" count="5728" uniqueCount="141">
  <si>
    <t>생산수량</t>
  </si>
  <si>
    <t>불량금액</t>
  </si>
  <si>
    <t>불량수량</t>
  </si>
  <si>
    <t>TM NO.</t>
  </si>
  <si>
    <t>품     명</t>
  </si>
  <si>
    <t>거래선</t>
  </si>
  <si>
    <t>단가</t>
  </si>
  <si>
    <t>불량금액
(단가x수량)</t>
  </si>
  <si>
    <t>불량율
 (PPM)</t>
  </si>
  <si>
    <t>소계 SUBTOTAL(가로)</t>
  </si>
  <si>
    <t>형상</t>
    <phoneticPr fontId="3" type="noConversion"/>
  </si>
  <si>
    <t>밀도수정</t>
    <phoneticPr fontId="3" type="noConversion"/>
  </si>
  <si>
    <t>CRACK
 수정</t>
    <phoneticPr fontId="3" type="noConversion"/>
  </si>
  <si>
    <t>발란스</t>
    <phoneticPr fontId="3" type="noConversion"/>
  </si>
  <si>
    <t>자동화
셋팅</t>
    <phoneticPr fontId="3" type="noConversion"/>
  </si>
  <si>
    <t>거래선 및 불량금액</t>
    <phoneticPr fontId="3" type="noConversion"/>
  </si>
  <si>
    <t>종합</t>
    <phoneticPr fontId="3" type="noConversion"/>
  </si>
  <si>
    <t>시험성형</t>
    <phoneticPr fontId="3" type="noConversion"/>
  </si>
  <si>
    <t>합계</t>
    <phoneticPr fontId="3" type="noConversion"/>
  </si>
  <si>
    <t>오기
유/무</t>
    <phoneticPr fontId="3" type="noConversion"/>
  </si>
  <si>
    <t>셋팅</t>
    <phoneticPr fontId="3" type="noConversion"/>
  </si>
  <si>
    <t>기타</t>
    <phoneticPr fontId="3" type="noConversion"/>
  </si>
  <si>
    <t>폐기</t>
    <phoneticPr fontId="3" type="noConversion"/>
  </si>
  <si>
    <t>5001-00</t>
  </si>
  <si>
    <t>5002-00</t>
  </si>
  <si>
    <t>5004-00</t>
  </si>
  <si>
    <t>5006-00</t>
  </si>
  <si>
    <t>5010-00</t>
  </si>
  <si>
    <t>생산수량</t>
    <phoneticPr fontId="3" type="noConversion"/>
  </si>
  <si>
    <t>불량수량</t>
    <phoneticPr fontId="3" type="noConversion"/>
  </si>
  <si>
    <t>불량율(ppm)</t>
    <phoneticPr fontId="3" type="noConversion"/>
  </si>
  <si>
    <t>차종</t>
    <phoneticPr fontId="3" type="noConversion"/>
  </si>
  <si>
    <t>CODE - 성형
(ERP)</t>
    <phoneticPr fontId="3" type="noConversion"/>
  </si>
  <si>
    <t>1360-00</t>
  </si>
  <si>
    <t>1464-00</t>
  </si>
  <si>
    <t>1510-00</t>
  </si>
  <si>
    <t>1510-01</t>
  </si>
  <si>
    <t>5003-00</t>
  </si>
  <si>
    <t>5003-01</t>
  </si>
  <si>
    <t>5005-00</t>
  </si>
  <si>
    <t>5007-00</t>
  </si>
  <si>
    <t>5008-00</t>
  </si>
  <si>
    <t>5009-00</t>
  </si>
  <si>
    <t>6009-00</t>
  </si>
  <si>
    <t>6009-01</t>
  </si>
  <si>
    <t>성형-MOTOR PULLEY</t>
  </si>
  <si>
    <t>성형-BALL NUT PULLEY</t>
  </si>
  <si>
    <t>성형-PULLEY</t>
  </si>
  <si>
    <t>성형-PULLEY LARGE</t>
  </si>
  <si>
    <t>성형-PLATE 1-2-3-4 CLU BKG</t>
  </si>
  <si>
    <t>성형-PLATE 4-5-6 CLU BKG</t>
  </si>
  <si>
    <t>성형-PLATE 3-5-REV CLU BKG</t>
  </si>
  <si>
    <t>성형-PLATE LOW &amp; REV CLU BKG</t>
  </si>
  <si>
    <t>성형-WHEEL-A/TRANS INPUT SHF SPD SEN RELUCTOR</t>
  </si>
  <si>
    <t>성형-WHEEL-A/TRANS INPUT SHF SPD</t>
  </si>
  <si>
    <t>성형-CARRIER-REACTION</t>
  </si>
  <si>
    <t>성형-CARRIER-INPUT</t>
  </si>
  <si>
    <t>5012-20</t>
  </si>
  <si>
    <t>5013-20</t>
  </si>
  <si>
    <t>5014-20</t>
  </si>
  <si>
    <t>성형-CARRIER - REACTION</t>
  </si>
  <si>
    <t>5015-20</t>
  </si>
  <si>
    <t>성형-CARRIER - INPUT</t>
  </si>
  <si>
    <t>5016-20</t>
  </si>
  <si>
    <t>성형-CARRIER PLANET</t>
  </si>
  <si>
    <t>6001-20</t>
  </si>
  <si>
    <t>6002-20</t>
  </si>
  <si>
    <t>성형-PRESSURE PLATE</t>
  </si>
  <si>
    <t>성형-CARRIER PALNET</t>
  </si>
  <si>
    <t>6011-20</t>
  </si>
  <si>
    <t>5011-10</t>
  </si>
  <si>
    <t>5012-10</t>
  </si>
  <si>
    <t>5013-10</t>
  </si>
  <si>
    <t>5014-10</t>
  </si>
  <si>
    <t>5015-10</t>
  </si>
  <si>
    <t>5016-10</t>
  </si>
  <si>
    <t>6001-10</t>
  </si>
  <si>
    <t>6011-10</t>
  </si>
  <si>
    <t>성형-CARRIER PLANET MID</t>
  </si>
  <si>
    <t>6007-20</t>
  </si>
  <si>
    <t>1464-01</t>
  </si>
  <si>
    <t>5018-20</t>
  </si>
  <si>
    <t>1510-02</t>
  </si>
  <si>
    <t>5017-20</t>
  </si>
  <si>
    <t>1786-00</t>
  </si>
  <si>
    <t>1785-00</t>
  </si>
  <si>
    <t>1695-00</t>
  </si>
  <si>
    <t>1781-00</t>
  </si>
  <si>
    <t>1883-00</t>
  </si>
  <si>
    <t>성형-SLIDE</t>
  </si>
  <si>
    <t>6017-20</t>
  </si>
  <si>
    <t>6019-00</t>
  </si>
  <si>
    <t>성형-HOUSING GUIDE RING</t>
  </si>
  <si>
    <t>불량수량</t>
    <phoneticPr fontId="3" type="noConversion"/>
  </si>
  <si>
    <t>성형-Driven Pulley</t>
  </si>
  <si>
    <t>1361-00J</t>
  </si>
  <si>
    <t>1361-01J</t>
  </si>
  <si>
    <t>1361-02J</t>
  </si>
  <si>
    <t>1903-00</t>
  </si>
  <si>
    <t>1935-00</t>
  </si>
  <si>
    <t>5017-10</t>
  </si>
  <si>
    <t>5018-10</t>
  </si>
  <si>
    <t>6004-10</t>
  </si>
  <si>
    <t>6004-20</t>
  </si>
  <si>
    <t>6007-10</t>
  </si>
  <si>
    <t>6017-10</t>
  </si>
  <si>
    <t>6020-10</t>
  </si>
  <si>
    <t>6020-20</t>
  </si>
  <si>
    <t>1914-00</t>
  </si>
  <si>
    <t>1987-00J</t>
  </si>
  <si>
    <t>성형-BELT PULLEY</t>
  </si>
  <si>
    <t>1986-00</t>
  </si>
  <si>
    <t>2059-00</t>
  </si>
  <si>
    <t>6023-10</t>
    <phoneticPr fontId="3" type="noConversion"/>
  </si>
  <si>
    <t>불량수량</t>
    <phoneticPr fontId="3" type="noConversion"/>
  </si>
  <si>
    <t>불량수량</t>
    <phoneticPr fontId="3" type="noConversion"/>
  </si>
  <si>
    <t>6023-10</t>
  </si>
  <si>
    <t>2140-00</t>
  </si>
  <si>
    <t>성형-CAM PLATE</t>
  </si>
  <si>
    <t>성형-SUB ASSY-CARRIER PLANET, MID&amp;RR</t>
  </si>
  <si>
    <t>6027-10</t>
    <phoneticPr fontId="3" type="noConversion"/>
  </si>
  <si>
    <t>2206-00</t>
  </si>
  <si>
    <t>1676-00</t>
  </si>
  <si>
    <t>성형-CAM APPLY</t>
  </si>
  <si>
    <t>2202-00</t>
  </si>
  <si>
    <t>1948-00</t>
  </si>
  <si>
    <t>성형-Flange</t>
  </si>
  <si>
    <t>1360-00</t>
    <phoneticPr fontId="3" type="noConversion"/>
  </si>
  <si>
    <t>5010-00</t>
    <phoneticPr fontId="3" type="noConversion"/>
  </si>
  <si>
    <t>OK</t>
  </si>
  <si>
    <t>6026-10</t>
  </si>
  <si>
    <t>6026-10</t>
    <phoneticPr fontId="3" type="noConversion"/>
  </si>
  <si>
    <t>6027-20</t>
  </si>
  <si>
    <t>6027-20</t>
    <phoneticPr fontId="3" type="noConversion"/>
  </si>
  <si>
    <t>6026-20</t>
    <phoneticPr fontId="3" type="noConversion"/>
  </si>
  <si>
    <t>성형-SLIDE</t>
    <phoneticPr fontId="3" type="noConversion"/>
  </si>
  <si>
    <t>6027-30</t>
    <phoneticPr fontId="3" type="noConversion"/>
  </si>
  <si>
    <t>성형-SUB ASSY-CARRIER PLANET, MID&amp;RR</t>
    <phoneticPr fontId="3" type="noConversion"/>
  </si>
  <si>
    <t>6026-30</t>
  </si>
  <si>
    <t>6026-30</t>
    <phoneticPr fontId="3" type="noConversion"/>
  </si>
  <si>
    <t>성형-PLATE 1-2-3-4 CLU BKG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</si>
</sst>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₩&quot;* #,##0_-;\-&quot;₩&quot;* #,##0_-;_-&quot;₩&quot;* &quot;-&quot;_-;_-@_-"/>
    <numFmt numFmtId="41" formatCode="_-* #,##0_-;\-* #,##0_-;_-* &quot;-&quot;_-;_-@_-"/>
    <numFmt numFmtId="176" formatCode="mm&quot;월&quot;\ dd&quot;일&quot;"/>
  </numFmts>
  <fonts count="28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  <scheme val="major"/>
    </font>
    <font>
      <sz val="8"/>
      <name val="맑은 고딕"/>
      <family val="2"/>
      <charset val="129"/>
      <scheme val="minor"/>
    </font>
    <font>
      <sz val="11"/>
      <name val="맑은 고딕"/>
      <family val="3"/>
      <charset val="129"/>
      <scheme val="major"/>
    </font>
    <font>
      <sz val="11"/>
      <color indexed="10"/>
      <name val="맑은 고딕"/>
      <family val="3"/>
      <charset val="129"/>
      <scheme val="major"/>
    </font>
    <font>
      <b/>
      <sz val="11"/>
      <color rgb="FFFF0000"/>
      <name val="돋움"/>
      <family val="3"/>
      <charset val="129"/>
    </font>
    <font>
      <b/>
      <sz val="11"/>
      <color rgb="FFFF0000"/>
      <name val="맑은 고딕"/>
      <family val="3"/>
      <charset val="129"/>
      <scheme val="major"/>
    </font>
    <font>
      <sz val="11"/>
      <name val="돋움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b/>
      <sz val="11"/>
      <color theme="1"/>
      <name val="맑은 고딕"/>
      <family val="3"/>
      <charset val="129"/>
      <scheme val="major"/>
    </font>
    <font>
      <b/>
      <sz val="36"/>
      <color indexed="10"/>
      <name val="맑은 고딕"/>
      <family val="3"/>
      <charset val="129"/>
      <scheme val="major"/>
    </font>
  </fonts>
  <fills count="32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FFCC"/>
        <bgColor indexed="64"/>
      </patternFill>
    </fill>
  </fills>
  <borders count="72">
    <border>
      <left/>
      <right/>
      <top/>
      <bottom/>
      <diagonal/>
    </border>
    <border>
      <left/>
      <right style="medium">
        <color indexed="62"/>
      </right>
      <top/>
      <bottom/>
      <diagonal/>
    </border>
    <border>
      <left/>
      <right style="thin">
        <color indexed="17"/>
      </right>
      <top style="medium">
        <color indexed="17"/>
      </top>
      <bottom style="thin">
        <color indexed="17"/>
      </bottom>
      <diagonal/>
    </border>
    <border>
      <left/>
      <right style="thin">
        <color indexed="17"/>
      </right>
      <top style="thin">
        <color indexed="17"/>
      </top>
      <bottom/>
      <diagonal/>
    </border>
    <border>
      <left style="thin">
        <color indexed="17"/>
      </left>
      <right style="thin">
        <color indexed="17"/>
      </right>
      <top style="thin">
        <color indexed="17"/>
      </top>
      <bottom/>
      <diagonal/>
    </border>
    <border>
      <left style="medium">
        <color indexed="62"/>
      </left>
      <right style="medium">
        <color indexed="62"/>
      </right>
      <top/>
      <bottom/>
      <diagonal/>
    </border>
    <border>
      <left style="medium">
        <color indexed="62"/>
      </left>
      <right style="thin">
        <color indexed="17"/>
      </right>
      <top style="thin">
        <color indexed="17"/>
      </top>
      <bottom/>
      <diagonal/>
    </border>
    <border>
      <left style="medium">
        <color indexed="62"/>
      </left>
      <right style="thin">
        <color indexed="17"/>
      </right>
      <top/>
      <bottom style="medium">
        <color indexed="17"/>
      </bottom>
      <diagonal/>
    </border>
    <border>
      <left style="thin">
        <color indexed="17"/>
      </left>
      <right style="thin">
        <color indexed="17"/>
      </right>
      <top/>
      <bottom style="medium">
        <color indexed="17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 style="thin">
        <color indexed="62"/>
      </left>
      <right style="thin">
        <color indexed="22"/>
      </right>
      <top/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1"/>
      </left>
      <right style="thin">
        <color indexed="21"/>
      </right>
      <top style="medium">
        <color indexed="21"/>
      </top>
      <bottom style="thin">
        <color indexed="21"/>
      </bottom>
      <diagonal/>
    </border>
    <border>
      <left/>
      <right style="thin">
        <color indexed="21"/>
      </right>
      <top style="medium">
        <color indexed="21"/>
      </top>
      <bottom style="thin">
        <color indexed="21"/>
      </bottom>
      <diagonal/>
    </border>
    <border>
      <left style="thin">
        <color indexed="62"/>
      </left>
      <right style="thin">
        <color indexed="21"/>
      </right>
      <top style="medium">
        <color indexed="21"/>
      </top>
      <bottom style="thin">
        <color indexed="21"/>
      </bottom>
      <diagonal/>
    </border>
    <border>
      <left style="thin">
        <color indexed="21"/>
      </left>
      <right style="thin">
        <color indexed="62"/>
      </right>
      <top style="medium">
        <color indexed="21"/>
      </top>
      <bottom style="thin">
        <color indexed="21"/>
      </bottom>
      <diagonal/>
    </border>
    <border>
      <left style="medium">
        <color theme="0"/>
      </left>
      <right style="medium">
        <color theme="0"/>
      </right>
      <top/>
      <bottom style="medium">
        <color theme="0"/>
      </bottom>
      <diagonal/>
    </border>
    <border>
      <left/>
      <right style="thin">
        <color indexed="22"/>
      </right>
      <top/>
      <bottom style="thin">
        <color indexed="22"/>
      </bottom>
      <diagonal/>
    </border>
    <border>
      <left style="thin">
        <color indexed="18"/>
      </left>
      <right/>
      <top style="medium">
        <color indexed="18"/>
      </top>
      <bottom style="thin">
        <color indexed="18"/>
      </bottom>
      <diagonal/>
    </border>
    <border>
      <left style="thin">
        <color indexed="18"/>
      </left>
      <right/>
      <top style="thin">
        <color indexed="18"/>
      </top>
      <bottom style="thin">
        <color indexed="18"/>
      </bottom>
      <diagonal/>
    </border>
    <border>
      <left style="thin">
        <color indexed="18"/>
      </left>
      <right/>
      <top style="thin">
        <color indexed="18"/>
      </top>
      <bottom style="medium">
        <color indexed="18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/>
      <right style="thin">
        <color indexed="18"/>
      </right>
      <top style="thin">
        <color indexed="18"/>
      </top>
      <bottom style="thin">
        <color indexed="18"/>
      </bottom>
      <diagonal/>
    </border>
    <border>
      <left/>
      <right style="thin">
        <color indexed="18"/>
      </right>
      <top style="thin">
        <color indexed="18"/>
      </top>
      <bottom style="medium">
        <color indexed="18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indexed="18"/>
      </bottom>
      <diagonal/>
    </border>
    <border>
      <left/>
      <right/>
      <top/>
      <bottom style="medium">
        <color indexed="18"/>
      </bottom>
      <diagonal/>
    </border>
    <border>
      <left style="thin">
        <color rgb="FF02255E"/>
      </left>
      <right style="thin">
        <color rgb="FF02255E"/>
      </right>
      <top style="thin">
        <color indexed="18"/>
      </top>
      <bottom style="medium">
        <color indexed="17"/>
      </bottom>
      <diagonal/>
    </border>
    <border>
      <left/>
      <right style="medium">
        <color indexed="62"/>
      </right>
      <top/>
      <bottom style="medium">
        <color indexed="17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 style="thin">
        <color indexed="22"/>
      </left>
      <right/>
      <top/>
      <bottom style="thin">
        <color indexed="22"/>
      </bottom>
      <diagonal/>
    </border>
    <border>
      <left style="thin">
        <color indexed="17"/>
      </left>
      <right/>
      <top style="thin">
        <color indexed="17"/>
      </top>
      <bottom/>
      <diagonal/>
    </border>
    <border>
      <left style="thin">
        <color indexed="17"/>
      </left>
      <right/>
      <top/>
      <bottom style="medium">
        <color indexed="17"/>
      </bottom>
      <diagonal/>
    </border>
    <border>
      <left style="thin">
        <color indexed="62"/>
      </left>
      <right style="thin">
        <color indexed="17"/>
      </right>
      <top/>
      <bottom/>
      <diagonal/>
    </border>
    <border>
      <left style="thin">
        <color indexed="62"/>
      </left>
      <right style="thin">
        <color indexed="17"/>
      </right>
      <top/>
      <bottom style="medium">
        <color indexed="17"/>
      </bottom>
      <diagonal/>
    </border>
    <border>
      <left style="thin">
        <color indexed="17"/>
      </left>
      <right style="thin">
        <color indexed="17"/>
      </right>
      <top style="medium">
        <color indexed="17"/>
      </top>
      <bottom/>
      <diagonal/>
    </border>
    <border>
      <left style="thin">
        <color indexed="17"/>
      </left>
      <right style="thin">
        <color indexed="17"/>
      </right>
      <top/>
      <bottom style="thin">
        <color indexed="17"/>
      </bottom>
      <diagonal/>
    </border>
    <border>
      <left style="thin">
        <color theme="0" tint="-0.14996795556505021"/>
      </left>
      <right style="thin">
        <color theme="0" tint="-0.14996795556505021"/>
      </right>
      <top style="medium">
        <color indexed="17"/>
      </top>
      <bottom style="thin">
        <color indexed="22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indexed="22"/>
      </top>
      <bottom style="thin">
        <color indexed="22"/>
      </bottom>
      <diagonal/>
    </border>
    <border>
      <left/>
      <right/>
      <top/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 style="double">
        <color indexed="17"/>
      </left>
      <right style="thin">
        <color indexed="17"/>
      </right>
      <top style="medium">
        <color indexed="17"/>
      </top>
      <bottom style="thin">
        <color indexed="17"/>
      </bottom>
      <diagonal/>
    </border>
    <border>
      <left style="double">
        <color indexed="17"/>
      </left>
      <right style="thin">
        <color indexed="17"/>
      </right>
      <top style="thin">
        <color indexed="17"/>
      </top>
      <bottom style="thin">
        <color indexed="17"/>
      </bottom>
      <diagonal/>
    </border>
    <border>
      <left style="double">
        <color indexed="17"/>
      </left>
      <right/>
      <top/>
      <bottom/>
      <diagonal/>
    </border>
    <border>
      <left style="double">
        <color indexed="17"/>
      </left>
      <right/>
      <top/>
      <bottom style="medium">
        <color indexed="17"/>
      </bottom>
      <diagonal/>
    </border>
    <border>
      <left style="double">
        <color indexed="17"/>
      </left>
      <right style="thin">
        <color indexed="22"/>
      </right>
      <top/>
      <bottom style="thin">
        <color indexed="22"/>
      </bottom>
      <diagonal/>
    </border>
    <border>
      <left style="double">
        <color indexed="17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 style="thin">
        <color indexed="18"/>
      </right>
      <top style="medium">
        <color indexed="18"/>
      </top>
      <bottom style="thin">
        <color indexed="18"/>
      </bottom>
      <diagonal/>
    </border>
    <border>
      <left style="thin">
        <color indexed="18"/>
      </left>
      <right/>
      <top/>
      <bottom/>
      <diagonal/>
    </border>
    <border>
      <left style="thin">
        <color indexed="18"/>
      </left>
      <right/>
      <top/>
      <bottom style="medium">
        <color indexed="18"/>
      </bottom>
      <diagonal/>
    </border>
    <border>
      <left/>
      <right/>
      <top style="medium">
        <color indexed="18"/>
      </top>
      <bottom style="thin">
        <color indexed="18"/>
      </bottom>
      <diagonal/>
    </border>
    <border>
      <left/>
      <right style="medium">
        <color theme="0"/>
      </right>
      <top/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indexed="18"/>
      </bottom>
      <diagonal/>
    </border>
    <border>
      <left style="thin">
        <color indexed="17"/>
      </left>
      <right style="double">
        <color indexed="17"/>
      </right>
      <top style="thin">
        <color indexed="17"/>
      </top>
      <bottom/>
      <diagonal/>
    </border>
    <border>
      <left style="thin">
        <color indexed="17"/>
      </left>
      <right style="double">
        <color indexed="17"/>
      </right>
      <top/>
      <bottom style="medium">
        <color indexed="17"/>
      </bottom>
      <diagonal/>
    </border>
    <border>
      <left style="thin">
        <color indexed="21"/>
      </left>
      <right style="thin">
        <color indexed="21"/>
      </right>
      <top/>
      <bottom style="thin">
        <color indexed="21"/>
      </bottom>
      <diagonal/>
    </border>
    <border>
      <left/>
      <right style="thin">
        <color indexed="21"/>
      </right>
      <top/>
      <bottom style="thin">
        <color indexed="21"/>
      </bottom>
      <diagonal/>
    </border>
    <border>
      <left style="thin">
        <color indexed="62"/>
      </left>
      <right style="thin">
        <color indexed="21"/>
      </right>
      <top/>
      <bottom style="thin">
        <color indexed="21"/>
      </bottom>
      <diagonal/>
    </border>
    <border>
      <left style="medium">
        <color indexed="62"/>
      </left>
      <right style="medium">
        <color indexed="62"/>
      </right>
      <top/>
      <bottom style="thin">
        <color indexed="22"/>
      </bottom>
      <diagonal/>
    </border>
    <border>
      <left/>
      <right style="double">
        <color indexed="17"/>
      </right>
      <top style="thin">
        <color indexed="22"/>
      </top>
      <bottom style="thin">
        <color indexed="22"/>
      </bottom>
      <diagonal/>
    </border>
    <border>
      <left style="thin">
        <color indexed="18"/>
      </left>
      <right style="thin">
        <color indexed="18"/>
      </right>
      <top style="medium">
        <color indexed="18"/>
      </top>
      <bottom style="thin">
        <color indexed="1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medium">
        <color rgb="FF00660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</borders>
  <cellStyleXfs count="5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8" fillId="0" borderId="0"/>
    <xf numFmtId="0" fontId="12" fillId="5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23" borderId="30" applyNumberFormat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8" fillId="24" borderId="11" applyNumberFormat="0" applyFont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26" borderId="31" applyNumberFormat="0" applyAlignment="0" applyProtection="0">
      <alignment vertical="center"/>
    </xf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0" fontId="20" fillId="0" borderId="32" applyNumberFormat="0" applyFill="0" applyAlignment="0" applyProtection="0">
      <alignment vertical="center"/>
    </xf>
    <xf numFmtId="0" fontId="21" fillId="0" borderId="33" applyNumberFormat="0" applyFill="0" applyAlignment="0" applyProtection="0">
      <alignment vertical="center"/>
    </xf>
    <xf numFmtId="0" fontId="22" fillId="10" borderId="30" applyNumberForma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4" applyNumberFormat="0" applyFill="0" applyAlignment="0" applyProtection="0">
      <alignment vertical="center"/>
    </xf>
    <xf numFmtId="0" fontId="23" fillId="0" borderId="35" applyNumberFormat="0" applyFill="0" applyAlignment="0" applyProtection="0">
      <alignment vertical="center"/>
    </xf>
    <xf numFmtId="0" fontId="11" fillId="0" borderId="3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23" borderId="37" applyNumberFormat="0" applyAlignment="0" applyProtection="0">
      <alignment vertical="center"/>
    </xf>
    <xf numFmtId="42" fontId="8" fillId="0" borderId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</cellStyleXfs>
  <cellXfs count="174">
    <xf numFmtId="0" fontId="0" fillId="0" borderId="0" xfId="0">
      <alignment vertical="center"/>
    </xf>
    <xf numFmtId="0" fontId="4" fillId="0" borderId="0" xfId="0" applyFont="1" applyAlignment="1">
      <alignment horizontal="center" vertical="center"/>
    </xf>
    <xf numFmtId="41" fontId="4" fillId="0" borderId="18" xfId="1" applyFont="1" applyFill="1" applyBorder="1" applyAlignment="1">
      <alignment vertical="center" shrinkToFit="1"/>
    </xf>
    <xf numFmtId="41" fontId="4" fillId="0" borderId="2" xfId="0" applyNumberFormat="1" applyFont="1" applyBorder="1" applyAlignment="1">
      <alignment horizontal="center" vertical="center"/>
    </xf>
    <xf numFmtId="41" fontId="4" fillId="0" borderId="3" xfId="0" applyNumberFormat="1" applyFont="1" applyBorder="1" applyAlignment="1">
      <alignment horizontal="center" vertical="center"/>
    </xf>
    <xf numFmtId="41" fontId="2" fillId="0" borderId="5" xfId="1" applyFont="1" applyFill="1" applyBorder="1" applyAlignment="1">
      <alignment horizontal="center" vertical="center"/>
    </xf>
    <xf numFmtId="0" fontId="4" fillId="0" borderId="9" xfId="0" applyFont="1" applyBorder="1" applyAlignment="1">
      <alignment horizontal="center" vertical="center" shrinkToFit="1"/>
    </xf>
    <xf numFmtId="0" fontId="4" fillId="0" borderId="19" xfId="0" applyFont="1" applyBorder="1" applyAlignment="1">
      <alignment horizontal="center" vertical="center" shrinkToFit="1"/>
    </xf>
    <xf numFmtId="42" fontId="4" fillId="0" borderId="19" xfId="0" applyNumberFormat="1" applyFont="1" applyBorder="1" applyAlignment="1">
      <alignment horizontal="center" vertical="center" shrinkToFit="1"/>
    </xf>
    <xf numFmtId="41" fontId="4" fillId="0" borderId="10" xfId="1" applyFont="1" applyFill="1" applyBorder="1" applyAlignment="1">
      <alignment horizontal="center" vertical="center"/>
    </xf>
    <xf numFmtId="41" fontId="4" fillId="0" borderId="9" xfId="1" applyFont="1" applyFill="1" applyBorder="1" applyAlignment="1">
      <alignment horizontal="center" vertical="center"/>
    </xf>
    <xf numFmtId="41" fontId="4" fillId="0" borderId="5" xfId="1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 shrinkToFit="1"/>
    </xf>
    <xf numFmtId="42" fontId="4" fillId="3" borderId="13" xfId="0" applyNumberFormat="1" applyFont="1" applyFill="1" applyBorder="1" applyAlignment="1">
      <alignment horizontal="center" vertical="center" shrinkToFit="1"/>
    </xf>
    <xf numFmtId="41" fontId="4" fillId="3" borderId="12" xfId="1" applyFont="1" applyFill="1" applyBorder="1" applyAlignment="1">
      <alignment horizontal="center" vertical="center"/>
    </xf>
    <xf numFmtId="41" fontId="4" fillId="3" borderId="11" xfId="1" applyFont="1" applyFill="1" applyBorder="1" applyAlignment="1">
      <alignment horizontal="center" vertical="center"/>
    </xf>
    <xf numFmtId="41" fontId="7" fillId="2" borderId="11" xfId="1" applyFont="1" applyFill="1" applyBorder="1" applyAlignment="1">
      <alignment horizontal="center" vertical="center"/>
    </xf>
    <xf numFmtId="0" fontId="4" fillId="0" borderId="11" xfId="0" applyFont="1" applyBorder="1" applyAlignment="1">
      <alignment horizontal="center" vertical="center" shrinkToFit="1"/>
    </xf>
    <xf numFmtId="0" fontId="4" fillId="0" borderId="13" xfId="0" applyFont="1" applyBorder="1" applyAlignment="1">
      <alignment horizontal="center" vertical="center" shrinkToFit="1"/>
    </xf>
    <xf numFmtId="42" fontId="4" fillId="0" borderId="13" xfId="0" applyNumberFormat="1" applyFont="1" applyBorder="1" applyAlignment="1">
      <alignment horizontal="center" vertical="center" shrinkToFit="1"/>
    </xf>
    <xf numFmtId="41" fontId="4" fillId="0" borderId="12" xfId="1" applyFont="1" applyFill="1" applyBorder="1" applyAlignment="1">
      <alignment horizontal="center" vertical="center"/>
    </xf>
    <xf numFmtId="41" fontId="4" fillId="0" borderId="11" xfId="1" applyFont="1" applyFill="1" applyBorder="1" applyAlignment="1">
      <alignment horizontal="center" vertical="center"/>
    </xf>
    <xf numFmtId="41" fontId="7" fillId="0" borderId="11" xfId="1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41" fontId="6" fillId="0" borderId="9" xfId="1" applyFont="1" applyFill="1" applyBorder="1" applyAlignment="1">
      <alignment horizontal="center" vertical="center"/>
    </xf>
    <xf numFmtId="41" fontId="4" fillId="0" borderId="26" xfId="1" applyFont="1" applyFill="1" applyBorder="1" applyAlignment="1">
      <alignment vertical="center" shrinkToFit="1"/>
    </xf>
    <xf numFmtId="41" fontId="2" fillId="0" borderId="29" xfId="1" applyFont="1" applyFill="1" applyBorder="1" applyAlignment="1">
      <alignment horizontal="center" vertical="center"/>
    </xf>
    <xf numFmtId="0" fontId="2" fillId="0" borderId="28" xfId="0" applyFont="1" applyBorder="1" applyAlignment="1">
      <alignment horizontal="center" vertical="center" shrinkToFit="1"/>
    </xf>
    <xf numFmtId="0" fontId="2" fillId="0" borderId="28" xfId="0" applyFont="1" applyBorder="1" applyAlignment="1">
      <alignment horizontal="center" vertical="center" wrapText="1" shrinkToFit="1"/>
    </xf>
    <xf numFmtId="41" fontId="2" fillId="0" borderId="28" xfId="1" applyFont="1" applyFill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/>
    </xf>
    <xf numFmtId="41" fontId="2" fillId="0" borderId="25" xfId="1" applyFont="1" applyFill="1" applyBorder="1" applyAlignment="1">
      <alignment horizontal="center" vertical="center"/>
    </xf>
    <xf numFmtId="41" fontId="4" fillId="0" borderId="39" xfId="1" applyFont="1" applyFill="1" applyBorder="1" applyAlignment="1">
      <alignment horizontal="center" vertical="center"/>
    </xf>
    <xf numFmtId="41" fontId="4" fillId="3" borderId="38" xfId="1" applyFont="1" applyFill="1" applyBorder="1" applyAlignment="1">
      <alignment horizontal="center" vertical="center"/>
    </xf>
    <xf numFmtId="41" fontId="4" fillId="0" borderId="38" xfId="1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 shrinkToFit="1"/>
    </xf>
    <xf numFmtId="41" fontId="2" fillId="2" borderId="14" xfId="1" applyFont="1" applyFill="1" applyBorder="1" applyAlignment="1">
      <alignment horizontal="center" vertical="center"/>
    </xf>
    <xf numFmtId="41" fontId="2" fillId="2" borderId="16" xfId="1" applyFont="1" applyFill="1" applyBorder="1" applyAlignment="1">
      <alignment horizontal="center" vertical="center" wrapText="1"/>
    </xf>
    <xf numFmtId="41" fontId="2" fillId="2" borderId="17" xfId="1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41" fontId="4" fillId="0" borderId="46" xfId="1" applyFont="1" applyFill="1" applyBorder="1" applyAlignment="1">
      <alignment horizontal="center" vertical="center"/>
    </xf>
    <xf numFmtId="41" fontId="4" fillId="3" borderId="47" xfId="1" applyFont="1" applyFill="1" applyBorder="1" applyAlignment="1">
      <alignment horizontal="center" vertical="center"/>
    </xf>
    <xf numFmtId="41" fontId="4" fillId="0" borderId="47" xfId="1" applyFont="1" applyFill="1" applyBorder="1" applyAlignment="1">
      <alignment horizontal="center" vertical="center"/>
    </xf>
    <xf numFmtId="41" fontId="4" fillId="0" borderId="48" xfId="1" applyFont="1" applyFill="1" applyBorder="1" applyAlignment="1">
      <alignment horizontal="center" vertical="center"/>
    </xf>
    <xf numFmtId="41" fontId="4" fillId="3" borderId="49" xfId="1" applyFont="1" applyFill="1" applyBorder="1" applyAlignment="1">
      <alignment horizontal="center" vertical="center"/>
    </xf>
    <xf numFmtId="41" fontId="4" fillId="0" borderId="49" xfId="1" applyFont="1" applyFill="1" applyBorder="1" applyAlignment="1">
      <alignment horizontal="center" vertical="center"/>
    </xf>
    <xf numFmtId="41" fontId="4" fillId="0" borderId="50" xfId="0" applyNumberFormat="1" applyFont="1" applyBorder="1" applyAlignment="1">
      <alignment horizontal="center" vertical="center"/>
    </xf>
    <xf numFmtId="41" fontId="4" fillId="0" borderId="51" xfId="0" applyNumberFormat="1" applyFont="1" applyBorder="1" applyAlignment="1">
      <alignment horizontal="center" vertical="center"/>
    </xf>
    <xf numFmtId="41" fontId="4" fillId="0" borderId="54" xfId="1" applyFont="1" applyFill="1" applyBorder="1" applyAlignment="1">
      <alignment horizontal="center" vertical="center"/>
    </xf>
    <xf numFmtId="41" fontId="4" fillId="3" borderId="55" xfId="1" applyFont="1" applyFill="1" applyBorder="1" applyAlignment="1">
      <alignment horizontal="center" vertical="center"/>
    </xf>
    <xf numFmtId="41" fontId="4" fillId="0" borderId="55" xfId="1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17" fontId="4" fillId="0" borderId="11" xfId="0" quotePrefix="1" applyNumberFormat="1" applyFont="1" applyBorder="1" applyAlignment="1">
      <alignment horizontal="center" vertical="center"/>
    </xf>
    <xf numFmtId="41" fontId="4" fillId="0" borderId="57" xfId="1" applyFont="1" applyFill="1" applyBorder="1" applyAlignment="1">
      <alignment horizontal="center" vertical="center" shrinkToFit="1"/>
    </xf>
    <xf numFmtId="41" fontId="5" fillId="0" borderId="57" xfId="1" applyFont="1" applyFill="1" applyBorder="1" applyAlignment="1">
      <alignment horizontal="center" vertical="center" shrinkToFit="1"/>
    </xf>
    <xf numFmtId="41" fontId="4" fillId="0" borderId="58" xfId="1" applyFont="1" applyFill="1" applyBorder="1" applyAlignment="1">
      <alignment horizontal="center" vertical="center" shrinkToFit="1"/>
    </xf>
    <xf numFmtId="41" fontId="2" fillId="4" borderId="0" xfId="1" applyFont="1" applyFill="1" applyBorder="1" applyAlignment="1">
      <alignment horizontal="center" vertical="center" shrinkToFit="1"/>
    </xf>
    <xf numFmtId="41" fontId="4" fillId="0" borderId="60" xfId="1" applyFont="1" applyFill="1" applyBorder="1" applyAlignment="1">
      <alignment vertical="center" shrinkToFit="1"/>
    </xf>
    <xf numFmtId="41" fontId="4" fillId="0" borderId="61" xfId="1" applyFont="1" applyFill="1" applyBorder="1" applyAlignment="1">
      <alignment vertical="center" shrinkToFit="1"/>
    </xf>
    <xf numFmtId="3" fontId="4" fillId="0" borderId="9" xfId="0" applyNumberFormat="1" applyFont="1" applyBorder="1" applyAlignment="1">
      <alignment horizontal="center" vertical="center"/>
    </xf>
    <xf numFmtId="3" fontId="4" fillId="3" borderId="11" xfId="0" applyNumberFormat="1" applyFont="1" applyFill="1" applyBorder="1" applyAlignment="1">
      <alignment horizontal="center" vertical="center"/>
    </xf>
    <xf numFmtId="3" fontId="4" fillId="0" borderId="11" xfId="0" applyNumberFormat="1" applyFont="1" applyBorder="1" applyAlignment="1">
      <alignment horizontal="center" vertical="center"/>
    </xf>
    <xf numFmtId="17" fontId="4" fillId="3" borderId="11" xfId="0" quotePrefix="1" applyNumberFormat="1" applyFont="1" applyFill="1" applyBorder="1" applyAlignment="1">
      <alignment horizontal="center" vertical="center"/>
    </xf>
    <xf numFmtId="41" fontId="0" fillId="0" borderId="0" xfId="0" quotePrefix="1" applyNumberFormat="1">
      <alignment vertical="center"/>
    </xf>
    <xf numFmtId="0" fontId="0" fillId="0" borderId="0" xfId="0" quotePrefix="1">
      <alignment vertical="center"/>
    </xf>
    <xf numFmtId="0" fontId="4" fillId="0" borderId="0" xfId="0" applyFont="1" applyAlignment="1">
      <alignment horizontal="center" vertical="center" shrinkToFit="1"/>
    </xf>
    <xf numFmtId="42" fontId="4" fillId="0" borderId="0" xfId="0" applyNumberFormat="1" applyFont="1" applyAlignment="1">
      <alignment horizontal="center" vertical="center" shrinkToFit="1"/>
    </xf>
    <xf numFmtId="41" fontId="4" fillId="0" borderId="0" xfId="1" applyFont="1" applyFill="1" applyBorder="1" applyAlignment="1">
      <alignment horizontal="center" vertical="center"/>
    </xf>
    <xf numFmtId="0" fontId="4" fillId="30" borderId="11" xfId="0" applyFont="1" applyFill="1" applyBorder="1" applyAlignment="1">
      <alignment horizontal="center" vertical="center" shrinkToFit="1"/>
    </xf>
    <xf numFmtId="41" fontId="4" fillId="29" borderId="55" xfId="1" applyFont="1" applyFill="1" applyBorder="1" applyAlignment="1">
      <alignment horizontal="center" vertical="center"/>
    </xf>
    <xf numFmtId="0" fontId="4" fillId="30" borderId="0" xfId="0" applyFont="1" applyFill="1" applyAlignment="1">
      <alignment horizontal="center" vertical="center" shrinkToFit="1"/>
    </xf>
    <xf numFmtId="42" fontId="4" fillId="30" borderId="0" xfId="0" applyNumberFormat="1" applyFont="1" applyFill="1" applyAlignment="1">
      <alignment horizontal="center" vertical="center" shrinkToFit="1"/>
    </xf>
    <xf numFmtId="41" fontId="4" fillId="30" borderId="0" xfId="1" applyFont="1" applyFill="1" applyBorder="1" applyAlignment="1">
      <alignment horizontal="center" vertical="center"/>
    </xf>
    <xf numFmtId="41" fontId="4" fillId="30" borderId="55" xfId="1" applyFont="1" applyFill="1" applyBorder="1" applyAlignment="1">
      <alignment horizontal="center" vertical="center"/>
    </xf>
    <xf numFmtId="3" fontId="4" fillId="30" borderId="11" xfId="0" applyNumberFormat="1" applyFont="1" applyFill="1" applyBorder="1" applyAlignment="1">
      <alignment horizontal="center" vertical="center"/>
    </xf>
    <xf numFmtId="0" fontId="4" fillId="30" borderId="11" xfId="0" applyFont="1" applyFill="1" applyBorder="1" applyAlignment="1">
      <alignment horizontal="center" vertical="center"/>
    </xf>
    <xf numFmtId="0" fontId="4" fillId="30" borderId="13" xfId="0" applyFont="1" applyFill="1" applyBorder="1" applyAlignment="1">
      <alignment horizontal="center" vertical="center"/>
    </xf>
    <xf numFmtId="0" fontId="4" fillId="30" borderId="13" xfId="0" applyFont="1" applyFill="1" applyBorder="1" applyAlignment="1">
      <alignment horizontal="center" vertical="center" shrinkToFit="1"/>
    </xf>
    <xf numFmtId="42" fontId="4" fillId="30" borderId="13" xfId="0" applyNumberFormat="1" applyFont="1" applyFill="1" applyBorder="1" applyAlignment="1">
      <alignment horizontal="center" vertical="center" shrinkToFit="1"/>
    </xf>
    <xf numFmtId="41" fontId="4" fillId="30" borderId="12" xfId="1" applyFont="1" applyFill="1" applyBorder="1" applyAlignment="1">
      <alignment horizontal="center" vertical="center"/>
    </xf>
    <xf numFmtId="41" fontId="4" fillId="30" borderId="11" xfId="1" applyFont="1" applyFill="1" applyBorder="1" applyAlignment="1">
      <alignment horizontal="center" vertical="center"/>
    </xf>
    <xf numFmtId="41" fontId="4" fillId="30" borderId="38" xfId="1" applyFont="1" applyFill="1" applyBorder="1" applyAlignment="1">
      <alignment horizontal="center" vertical="center"/>
    </xf>
    <xf numFmtId="41" fontId="4" fillId="30" borderId="47" xfId="1" applyFont="1" applyFill="1" applyBorder="1" applyAlignment="1">
      <alignment horizontal="center" vertical="center"/>
    </xf>
    <xf numFmtId="41" fontId="4" fillId="30" borderId="49" xfId="1" applyFont="1" applyFill="1" applyBorder="1" applyAlignment="1">
      <alignment horizontal="center" vertical="center"/>
    </xf>
    <xf numFmtId="0" fontId="4" fillId="2" borderId="64" xfId="0" applyFont="1" applyFill="1" applyBorder="1" applyAlignment="1">
      <alignment horizontal="center" vertical="center"/>
    </xf>
    <xf numFmtId="0" fontId="2" fillId="2" borderId="65" xfId="0" applyFont="1" applyFill="1" applyBorder="1" applyAlignment="1">
      <alignment horizontal="center" vertical="center" shrinkToFit="1"/>
    </xf>
    <xf numFmtId="41" fontId="2" fillId="2" borderId="64" xfId="1" applyFont="1" applyFill="1" applyBorder="1" applyAlignment="1">
      <alignment horizontal="center" vertical="center"/>
    </xf>
    <xf numFmtId="41" fontId="2" fillId="2" borderId="66" xfId="1" applyFont="1" applyFill="1" applyBorder="1" applyAlignment="1">
      <alignment horizontal="center" vertical="center" wrapText="1"/>
    </xf>
    <xf numFmtId="17" fontId="4" fillId="30" borderId="11" xfId="0" quotePrefix="1" applyNumberFormat="1" applyFont="1" applyFill="1" applyBorder="1" applyAlignment="1">
      <alignment horizontal="center" vertical="center"/>
    </xf>
    <xf numFmtId="42" fontId="4" fillId="30" borderId="11" xfId="0" applyNumberFormat="1" applyFont="1" applyFill="1" applyBorder="1" applyAlignment="1">
      <alignment horizontal="center" vertical="center" shrinkToFit="1"/>
    </xf>
    <xf numFmtId="42" fontId="4" fillId="0" borderId="11" xfId="0" applyNumberFormat="1" applyFont="1" applyBorder="1" applyAlignment="1">
      <alignment horizontal="center" vertical="center" shrinkToFit="1"/>
    </xf>
    <xf numFmtId="41" fontId="7" fillId="31" borderId="11" xfId="1" applyFont="1" applyFill="1" applyBorder="1" applyAlignment="1">
      <alignment horizontal="center" vertical="center"/>
    </xf>
    <xf numFmtId="0" fontId="0" fillId="29" borderId="0" xfId="0" applyFill="1">
      <alignment vertical="center"/>
    </xf>
    <xf numFmtId="41" fontId="7" fillId="29" borderId="11" xfId="1" applyFont="1" applyFill="1" applyBorder="1" applyAlignment="1">
      <alignment horizontal="center" vertical="center"/>
    </xf>
    <xf numFmtId="17" fontId="4" fillId="30" borderId="11" xfId="0" applyNumberFormat="1" applyFont="1" applyFill="1" applyBorder="1" applyAlignment="1">
      <alignment horizontal="center" vertical="center"/>
    </xf>
    <xf numFmtId="41" fontId="4" fillId="30" borderId="48" xfId="1" applyFont="1" applyFill="1" applyBorder="1" applyAlignment="1">
      <alignment horizontal="center" vertical="center"/>
    </xf>
    <xf numFmtId="17" fontId="4" fillId="3" borderId="11" xfId="1" applyNumberFormat="1" applyFont="1" applyFill="1" applyBorder="1" applyAlignment="1">
      <alignment horizontal="center" vertical="center"/>
    </xf>
    <xf numFmtId="49" fontId="4" fillId="30" borderId="11" xfId="1" applyNumberFormat="1" applyFont="1" applyFill="1" applyBorder="1" applyAlignment="1">
      <alignment horizontal="center" vertical="center"/>
    </xf>
    <xf numFmtId="41" fontId="4" fillId="30" borderId="68" xfId="1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176" fontId="0" fillId="0" borderId="0" xfId="0" applyNumberFormat="1">
      <alignment vertical="center"/>
    </xf>
    <xf numFmtId="49" fontId="4" fillId="29" borderId="11" xfId="1" applyNumberFormat="1" applyFont="1" applyFill="1" applyBorder="1" applyAlignment="1">
      <alignment horizontal="center" vertical="center"/>
    </xf>
    <xf numFmtId="3" fontId="4" fillId="29" borderId="11" xfId="0" applyNumberFormat="1" applyFont="1" applyFill="1" applyBorder="1" applyAlignment="1">
      <alignment horizontal="center" vertical="center"/>
    </xf>
    <xf numFmtId="41" fontId="4" fillId="29" borderId="11" xfId="1" applyFont="1" applyFill="1" applyBorder="1" applyAlignment="1">
      <alignment horizontal="center" vertical="center"/>
    </xf>
    <xf numFmtId="0" fontId="4" fillId="29" borderId="0" xfId="0" applyFont="1" applyFill="1" applyAlignment="1">
      <alignment horizontal="center" vertical="center" shrinkToFit="1"/>
    </xf>
    <xf numFmtId="42" fontId="4" fillId="29" borderId="0" xfId="0" applyNumberFormat="1" applyFont="1" applyFill="1" applyAlignment="1">
      <alignment horizontal="center" vertical="center" shrinkToFit="1"/>
    </xf>
    <xf numFmtId="41" fontId="4" fillId="29" borderId="12" xfId="1" applyFont="1" applyFill="1" applyBorder="1" applyAlignment="1">
      <alignment horizontal="center" vertical="center"/>
    </xf>
    <xf numFmtId="41" fontId="4" fillId="29" borderId="38" xfId="1" applyFont="1" applyFill="1" applyBorder="1" applyAlignment="1">
      <alignment horizontal="center" vertical="center"/>
    </xf>
    <xf numFmtId="41" fontId="4" fillId="29" borderId="47" xfId="1" applyFont="1" applyFill="1" applyBorder="1" applyAlignment="1">
      <alignment horizontal="center" vertical="center"/>
    </xf>
    <xf numFmtId="41" fontId="4" fillId="29" borderId="49" xfId="1" applyFont="1" applyFill="1" applyBorder="1" applyAlignment="1">
      <alignment horizontal="center" vertical="center"/>
    </xf>
    <xf numFmtId="41" fontId="4" fillId="0" borderId="67" xfId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1" fontId="4" fillId="0" borderId="1" xfId="0" applyNumberFormat="1" applyFont="1" applyBorder="1" applyAlignment="1">
      <alignment horizontal="center" vertical="center"/>
    </xf>
    <xf numFmtId="41" fontId="2" fillId="0" borderId="14" xfId="1" applyFont="1" applyFill="1" applyBorder="1" applyAlignment="1">
      <alignment horizontal="center" vertical="center"/>
    </xf>
    <xf numFmtId="41" fontId="4" fillId="0" borderId="68" xfId="1" applyFont="1" applyFill="1" applyBorder="1" applyAlignment="1">
      <alignment horizontal="center" vertical="center"/>
    </xf>
    <xf numFmtId="0" fontId="4" fillId="2" borderId="65" xfId="0" applyFont="1" applyFill="1" applyBorder="1" applyAlignment="1">
      <alignment horizontal="center" vertical="center"/>
    </xf>
    <xf numFmtId="41" fontId="4" fillId="30" borderId="5" xfId="1" applyFont="1" applyFill="1" applyBorder="1" applyAlignment="1">
      <alignment horizontal="center" vertical="center"/>
    </xf>
    <xf numFmtId="41" fontId="4" fillId="30" borderId="67" xfId="1" applyFont="1" applyFill="1" applyBorder="1" applyAlignment="1">
      <alignment horizontal="center" vertical="center"/>
    </xf>
    <xf numFmtId="49" fontId="4" fillId="0" borderId="71" xfId="1" quotePrefix="1" applyNumberFormat="1" applyFont="1" applyFill="1" applyBorder="1" applyAlignment="1">
      <alignment horizontal="center" vertical="center"/>
    </xf>
    <xf numFmtId="3" fontId="4" fillId="0" borderId="71" xfId="0" applyNumberFormat="1" applyFont="1" applyBorder="1" applyAlignment="1">
      <alignment horizontal="center" vertical="center"/>
    </xf>
    <xf numFmtId="41" fontId="4" fillId="0" borderId="71" xfId="1" applyFont="1" applyFill="1" applyBorder="1" applyAlignment="1">
      <alignment horizontal="center" vertical="center"/>
    </xf>
    <xf numFmtId="17" fontId="4" fillId="0" borderId="71" xfId="0" quotePrefix="1" applyNumberFormat="1" applyFont="1" applyBorder="1" applyAlignment="1">
      <alignment horizontal="center" vertical="center"/>
    </xf>
    <xf numFmtId="0" fontId="4" fillId="0" borderId="71" xfId="0" applyFont="1" applyBorder="1" applyAlignment="1">
      <alignment horizontal="center" vertical="center" shrinkToFit="1"/>
    </xf>
    <xf numFmtId="42" fontId="4" fillId="0" borderId="71" xfId="0" applyNumberFormat="1" applyFont="1" applyBorder="1" applyAlignment="1">
      <alignment horizontal="center" vertical="center" shrinkToFit="1"/>
    </xf>
    <xf numFmtId="49" fontId="4" fillId="0" borderId="70" xfId="1" applyNumberFormat="1" applyFont="1" applyFill="1" applyBorder="1" applyAlignment="1">
      <alignment horizontal="center" vertical="center"/>
    </xf>
    <xf numFmtId="3" fontId="4" fillId="0" borderId="70" xfId="0" applyNumberFormat="1" applyFont="1" applyBorder="1" applyAlignment="1">
      <alignment horizontal="center" vertical="center"/>
    </xf>
    <xf numFmtId="41" fontId="4" fillId="0" borderId="70" xfId="1" applyFont="1" applyFill="1" applyBorder="1" applyAlignment="1">
      <alignment horizontal="center" vertical="center"/>
    </xf>
    <xf numFmtId="17" fontId="4" fillId="0" borderId="70" xfId="0" quotePrefix="1" applyNumberFormat="1" applyFont="1" applyBorder="1" applyAlignment="1">
      <alignment horizontal="center" vertical="center"/>
    </xf>
    <xf numFmtId="0" fontId="4" fillId="0" borderId="70" xfId="0" applyFont="1" applyBorder="1" applyAlignment="1">
      <alignment horizontal="center" vertical="center" shrinkToFit="1"/>
    </xf>
    <xf numFmtId="42" fontId="4" fillId="0" borderId="70" xfId="0" applyNumberFormat="1" applyFont="1" applyBorder="1" applyAlignment="1">
      <alignment horizontal="center" vertical="center" shrinkToFit="1"/>
    </xf>
    <xf numFmtId="17" fontId="4" fillId="30" borderId="71" xfId="0" quotePrefix="1" applyNumberFormat="1" applyFont="1" applyFill="1" applyBorder="1" applyAlignment="1">
      <alignment horizontal="center" vertical="center"/>
    </xf>
    <xf numFmtId="3" fontId="4" fillId="30" borderId="71" xfId="0" applyNumberFormat="1" applyFont="1" applyFill="1" applyBorder="1" applyAlignment="1">
      <alignment horizontal="center" vertical="center"/>
    </xf>
    <xf numFmtId="0" fontId="4" fillId="30" borderId="71" xfId="0" applyFont="1" applyFill="1" applyBorder="1" applyAlignment="1">
      <alignment horizontal="center" vertical="center" shrinkToFit="1"/>
    </xf>
    <xf numFmtId="42" fontId="4" fillId="30" borderId="71" xfId="0" applyNumberFormat="1" applyFont="1" applyFill="1" applyBorder="1" applyAlignment="1">
      <alignment horizontal="center" vertical="center" shrinkToFit="1"/>
    </xf>
    <xf numFmtId="49" fontId="4" fillId="30" borderId="71" xfId="1" quotePrefix="1" applyNumberFormat="1" applyFont="1" applyFill="1" applyBorder="1" applyAlignment="1">
      <alignment horizontal="center" vertical="center"/>
    </xf>
    <xf numFmtId="41" fontId="4" fillId="30" borderId="71" xfId="1" applyFont="1" applyFill="1" applyBorder="1" applyAlignment="1">
      <alignment horizontal="center" vertical="center"/>
    </xf>
    <xf numFmtId="0" fontId="2" fillId="27" borderId="4" xfId="0" applyFont="1" applyFill="1" applyBorder="1" applyAlignment="1">
      <alignment horizontal="center" vertical="center" wrapText="1"/>
    </xf>
    <xf numFmtId="0" fontId="2" fillId="27" borderId="8" xfId="0" applyFont="1" applyFill="1" applyBorder="1" applyAlignment="1">
      <alignment horizontal="center" vertical="center"/>
    </xf>
    <xf numFmtId="0" fontId="2" fillId="27" borderId="40" xfId="0" applyFont="1" applyFill="1" applyBorder="1" applyAlignment="1">
      <alignment horizontal="center" vertical="center"/>
    </xf>
    <xf numFmtId="0" fontId="2" fillId="27" borderId="41" xfId="0" applyFont="1" applyFill="1" applyBorder="1" applyAlignment="1">
      <alignment horizontal="center" vertical="center"/>
    </xf>
    <xf numFmtId="0" fontId="2" fillId="27" borderId="4" xfId="0" applyFont="1" applyFill="1" applyBorder="1" applyAlignment="1">
      <alignment horizontal="center" vertical="center"/>
    </xf>
    <xf numFmtId="0" fontId="2" fillId="28" borderId="40" xfId="0" applyFont="1" applyFill="1" applyBorder="1" applyAlignment="1">
      <alignment horizontal="center" vertical="center" wrapText="1"/>
    </xf>
    <xf numFmtId="0" fontId="2" fillId="28" borderId="41" xfId="0" applyFont="1" applyFill="1" applyBorder="1" applyAlignment="1">
      <alignment horizontal="center" vertical="center" wrapText="1"/>
    </xf>
    <xf numFmtId="41" fontId="4" fillId="2" borderId="44" xfId="0" applyNumberFormat="1" applyFont="1" applyFill="1" applyBorder="1" applyAlignment="1">
      <alignment horizontal="center" vertical="center"/>
    </xf>
    <xf numFmtId="41" fontId="4" fillId="2" borderId="45" xfId="0" applyNumberFormat="1" applyFont="1" applyFill="1" applyBorder="1" applyAlignment="1">
      <alignment horizontal="center" vertical="center"/>
    </xf>
    <xf numFmtId="0" fontId="26" fillId="0" borderId="52" xfId="0" applyFont="1" applyBorder="1" applyAlignment="1">
      <alignment horizontal="center" vertical="center"/>
    </xf>
    <xf numFmtId="0" fontId="26" fillId="0" borderId="53" xfId="0" applyFont="1" applyBorder="1" applyAlignment="1">
      <alignment horizontal="center" vertical="center"/>
    </xf>
    <xf numFmtId="0" fontId="26" fillId="0" borderId="42" xfId="0" applyFont="1" applyBorder="1" applyAlignment="1">
      <alignment horizontal="center" vertical="center" wrapText="1"/>
    </xf>
    <xf numFmtId="0" fontId="26" fillId="0" borderId="43" xfId="0" applyFont="1" applyBorder="1" applyAlignment="1">
      <alignment horizontal="center" vertical="center"/>
    </xf>
    <xf numFmtId="41" fontId="4" fillId="0" borderId="22" xfId="1" applyFont="1" applyFill="1" applyBorder="1" applyAlignment="1">
      <alignment horizontal="center" vertical="center" shrinkToFit="1"/>
    </xf>
    <xf numFmtId="41" fontId="4" fillId="0" borderId="25" xfId="1" applyFont="1" applyFill="1" applyBorder="1" applyAlignment="1">
      <alignment horizontal="center" vertical="center" shrinkToFit="1"/>
    </xf>
    <xf numFmtId="41" fontId="4" fillId="0" borderId="20" xfId="1" applyFont="1" applyFill="1" applyBorder="1" applyAlignment="1">
      <alignment horizontal="center" vertical="center" shrinkToFit="1"/>
    </xf>
    <xf numFmtId="41" fontId="4" fillId="0" borderId="56" xfId="1" applyFont="1" applyFill="1" applyBorder="1" applyAlignment="1">
      <alignment horizontal="center" vertical="center" shrinkToFit="1"/>
    </xf>
    <xf numFmtId="42" fontId="2" fillId="4" borderId="0" xfId="2" applyFont="1" applyFill="1" applyBorder="1" applyAlignment="1">
      <alignment horizontal="center" vertical="center" shrinkToFit="1"/>
    </xf>
    <xf numFmtId="41" fontId="4" fillId="0" borderId="0" xfId="1" applyFont="1" applyFill="1" applyBorder="1" applyAlignment="1">
      <alignment horizontal="center" vertical="center" shrinkToFit="1"/>
    </xf>
    <xf numFmtId="41" fontId="4" fillId="0" borderId="27" xfId="1" applyFont="1" applyFill="1" applyBorder="1" applyAlignment="1">
      <alignment horizontal="center" vertical="center" shrinkToFit="1"/>
    </xf>
    <xf numFmtId="41" fontId="5" fillId="0" borderId="21" xfId="1" applyFont="1" applyFill="1" applyBorder="1" applyAlignment="1">
      <alignment horizontal="center" vertical="center" shrinkToFit="1"/>
    </xf>
    <xf numFmtId="41" fontId="5" fillId="0" borderId="24" xfId="1" applyFont="1" applyFill="1" applyBorder="1" applyAlignment="1">
      <alignment horizontal="center" vertical="center" shrinkToFit="1"/>
    </xf>
    <xf numFmtId="0" fontId="27" fillId="2" borderId="59" xfId="0" applyFont="1" applyFill="1" applyBorder="1" applyAlignment="1">
      <alignment horizontal="center" vertical="center" shrinkToFit="1"/>
    </xf>
    <xf numFmtId="0" fontId="27" fillId="2" borderId="56" xfId="0" applyFont="1" applyFill="1" applyBorder="1" applyAlignment="1">
      <alignment horizontal="center" vertical="center" shrinkToFit="1"/>
    </xf>
    <xf numFmtId="0" fontId="2" fillId="0" borderId="23" xfId="0" applyFont="1" applyBorder="1" applyAlignment="1">
      <alignment horizontal="center" vertical="center" wrapText="1"/>
    </xf>
    <xf numFmtId="0" fontId="2" fillId="0" borderId="69" xfId="0" applyFont="1" applyBorder="1" applyAlignment="1">
      <alignment horizontal="center" vertical="center" wrapText="1"/>
    </xf>
    <xf numFmtId="0" fontId="2" fillId="27" borderId="6" xfId="0" applyFont="1" applyFill="1" applyBorder="1" applyAlignment="1">
      <alignment horizontal="center" vertical="center"/>
    </xf>
    <xf numFmtId="0" fontId="2" fillId="27" borderId="7" xfId="0" applyFont="1" applyFill="1" applyBorder="1" applyAlignment="1">
      <alignment horizontal="center" vertical="center"/>
    </xf>
    <xf numFmtId="0" fontId="2" fillId="27" borderId="8" xfId="0" applyFont="1" applyFill="1" applyBorder="1" applyAlignment="1">
      <alignment horizontal="center" vertical="center" wrapText="1"/>
    </xf>
    <xf numFmtId="0" fontId="2" fillId="28" borderId="62" xfId="0" applyFont="1" applyFill="1" applyBorder="1" applyAlignment="1">
      <alignment horizontal="center" vertical="center" wrapText="1"/>
    </xf>
    <xf numFmtId="0" fontId="2" fillId="28" borderId="63" xfId="0" applyFont="1" applyFill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0" borderId="59" xfId="0" applyFont="1" applyBorder="1" applyAlignment="1">
      <alignment horizontal="center" vertical="center" wrapText="1"/>
    </xf>
    <xf numFmtId="0" fontId="2" fillId="0" borderId="56" xfId="0" applyFont="1" applyBorder="1" applyAlignment="1">
      <alignment horizontal="center" vertical="center" wrapText="1"/>
    </xf>
    <xf numFmtId="0" fontId="2" fillId="0" borderId="40" xfId="0" applyFont="1" applyBorder="1" applyAlignment="1">
      <alignment horizontal="center" vertical="center" wrapText="1"/>
    </xf>
    <xf numFmtId="0" fontId="2" fillId="0" borderId="41" xfId="0" applyFont="1" applyBorder="1" applyAlignment="1">
      <alignment horizontal="center" vertical="center" wrapText="1"/>
    </xf>
  </cellXfs>
  <cellStyles count="52">
    <cellStyle name="20% - 강조색1 2" xfId="4" xr:uid="{00000000-0005-0000-0000-000000000000}"/>
    <cellStyle name="20% - 강조색2 2" xfId="5" xr:uid="{00000000-0005-0000-0000-000001000000}"/>
    <cellStyle name="20% - 강조색3 2" xfId="6" xr:uid="{00000000-0005-0000-0000-000002000000}"/>
    <cellStyle name="20% - 강조색4 2" xfId="7" xr:uid="{00000000-0005-0000-0000-000003000000}"/>
    <cellStyle name="20% - 강조색5 2" xfId="8" xr:uid="{00000000-0005-0000-0000-000004000000}"/>
    <cellStyle name="20% - 강조색6 2" xfId="9" xr:uid="{00000000-0005-0000-0000-000005000000}"/>
    <cellStyle name="40% - 강조색1 2" xfId="10" xr:uid="{00000000-0005-0000-0000-000006000000}"/>
    <cellStyle name="40% - 강조색2 2" xfId="11" xr:uid="{00000000-0005-0000-0000-000007000000}"/>
    <cellStyle name="40% - 강조색3 2" xfId="12" xr:uid="{00000000-0005-0000-0000-000008000000}"/>
    <cellStyle name="40% - 강조색4 2" xfId="13" xr:uid="{00000000-0005-0000-0000-000009000000}"/>
    <cellStyle name="40% - 강조색5 2" xfId="14" xr:uid="{00000000-0005-0000-0000-00000A000000}"/>
    <cellStyle name="40% - 강조색6 2" xfId="15" xr:uid="{00000000-0005-0000-0000-00000B000000}"/>
    <cellStyle name="60% - 강조색1 2" xfId="16" xr:uid="{00000000-0005-0000-0000-00000C000000}"/>
    <cellStyle name="60% - 강조색2 2" xfId="17" xr:uid="{00000000-0005-0000-0000-00000D000000}"/>
    <cellStyle name="60% - 강조색3 2" xfId="18" xr:uid="{00000000-0005-0000-0000-00000E000000}"/>
    <cellStyle name="60% - 강조색4 2" xfId="19" xr:uid="{00000000-0005-0000-0000-00000F000000}"/>
    <cellStyle name="60% - 강조색5 2" xfId="20" xr:uid="{00000000-0005-0000-0000-000010000000}"/>
    <cellStyle name="60% - 강조색6 2" xfId="21" xr:uid="{00000000-0005-0000-0000-000011000000}"/>
    <cellStyle name="강조색1 2" xfId="22" xr:uid="{00000000-0005-0000-0000-000012000000}"/>
    <cellStyle name="강조색2 2" xfId="23" xr:uid="{00000000-0005-0000-0000-000013000000}"/>
    <cellStyle name="강조색3 2" xfId="24" xr:uid="{00000000-0005-0000-0000-000014000000}"/>
    <cellStyle name="강조색4 2" xfId="25" xr:uid="{00000000-0005-0000-0000-000015000000}"/>
    <cellStyle name="강조색5 2" xfId="26" xr:uid="{00000000-0005-0000-0000-000016000000}"/>
    <cellStyle name="강조색6 2" xfId="27" xr:uid="{00000000-0005-0000-0000-000017000000}"/>
    <cellStyle name="경고문 2" xfId="28" xr:uid="{00000000-0005-0000-0000-000018000000}"/>
    <cellStyle name="계산 2" xfId="29" xr:uid="{00000000-0005-0000-0000-000019000000}"/>
    <cellStyle name="나쁨 2" xfId="30" xr:uid="{00000000-0005-0000-0000-00001A000000}"/>
    <cellStyle name="메모 2" xfId="31" xr:uid="{00000000-0005-0000-0000-00001B000000}"/>
    <cellStyle name="보통 2" xfId="32" xr:uid="{00000000-0005-0000-0000-00001C000000}"/>
    <cellStyle name="설명 텍스트 2" xfId="33" xr:uid="{00000000-0005-0000-0000-00001D000000}"/>
    <cellStyle name="셀 확인 2" xfId="34" xr:uid="{00000000-0005-0000-0000-00001E000000}"/>
    <cellStyle name="쉼표 [0]" xfId="1" builtinId="6"/>
    <cellStyle name="쉼표 [0] 2" xfId="36" xr:uid="{00000000-0005-0000-0000-000020000000}"/>
    <cellStyle name="쉼표 [0] 3" xfId="35" xr:uid="{00000000-0005-0000-0000-000021000000}"/>
    <cellStyle name="연결된 셀 2" xfId="37" xr:uid="{00000000-0005-0000-0000-000022000000}"/>
    <cellStyle name="요약 2" xfId="38" xr:uid="{00000000-0005-0000-0000-000023000000}"/>
    <cellStyle name="입력 2" xfId="39" xr:uid="{00000000-0005-0000-0000-000024000000}"/>
    <cellStyle name="제목 1 2" xfId="41" xr:uid="{00000000-0005-0000-0000-000025000000}"/>
    <cellStyle name="제목 2 2" xfId="42" xr:uid="{00000000-0005-0000-0000-000026000000}"/>
    <cellStyle name="제목 3 2" xfId="43" xr:uid="{00000000-0005-0000-0000-000027000000}"/>
    <cellStyle name="제목 4 2" xfId="44" xr:uid="{00000000-0005-0000-0000-000028000000}"/>
    <cellStyle name="제목 5" xfId="40" xr:uid="{00000000-0005-0000-0000-000029000000}"/>
    <cellStyle name="좋음 2" xfId="45" xr:uid="{00000000-0005-0000-0000-00002A000000}"/>
    <cellStyle name="출력 2" xfId="46" xr:uid="{00000000-0005-0000-0000-00002B000000}"/>
    <cellStyle name="통화 [0]" xfId="2" builtinId="7"/>
    <cellStyle name="통화 [0] 2" xfId="47" xr:uid="{00000000-0005-0000-0000-00002D000000}"/>
    <cellStyle name="표준" xfId="0" builtinId="0"/>
    <cellStyle name="표준 2" xfId="48" xr:uid="{00000000-0005-0000-0000-00002F000000}"/>
    <cellStyle name="표준 3" xfId="49" xr:uid="{00000000-0005-0000-0000-000030000000}"/>
    <cellStyle name="표준 4" xfId="50" xr:uid="{00000000-0005-0000-0000-000031000000}"/>
    <cellStyle name="표준 5" xfId="51" xr:uid="{00000000-0005-0000-0000-000032000000}"/>
    <cellStyle name="표준 6" xfId="3" xr:uid="{00000000-0005-0000-0000-000033000000}"/>
  </cellStyles>
  <dxfs count="66">
    <dxf>
      <font>
        <b/>
        <i val="0"/>
        <color rgb="FF0000FF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b/>
        <i val="0"/>
        <color rgb="FFFF0000"/>
      </font>
    </dxf>
    <dxf>
      <font>
        <b/>
        <i val="0"/>
        <color rgb="FF0000FF"/>
      </font>
    </dxf>
    <dxf>
      <font>
        <b/>
        <i val="0"/>
        <color rgb="FFFF0000"/>
      </font>
    </dxf>
  </dxfs>
  <tableStyles count="0" defaultTableStyle="TableStyleMedium9" defaultPivotStyle="PivotStyleLight16"/>
  <colors>
    <mruColors>
      <color rgb="FFCCFFCC"/>
      <color rgb="FFFFFF99"/>
      <color rgb="FF006600"/>
      <color rgb="FFFFFF66"/>
      <color rgb="FF0000FF"/>
      <color rgb="FF02255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HeeJi Choi" id="{ED2362F1-D614-42DF-AFE1-73B00E17EBC1}" userId="S::HeeJi.Choi@johnsonelectric.com::25b8a739-2c2b-46f4-b6fc-c36b0c52dc57" providerId="AD"/>
  <person displayName="TaeHee Kim" id="{C0604C11-2D88-4F5F-ACA3-75F2CE4F2C6F}" userId="S::TaeHee.Kim@johnsonelectric.com::a1f7f084-14a1-441c-8ed2-1429cdf7aba1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S59" dT="2026-04-03T02:13:42.34" personId="{ED2362F1-D614-42DF-AFE1-73B00E17EBC1}" id="{6260B55E-CA37-495A-AED4-40CEBC3E5081}">
    <text>중량불량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S58" dT="2026-07-06T00:08:08.95" personId="{ED2362F1-D614-42DF-AFE1-73B00E17EBC1}" id="{AC9605CB-E052-4308-A35A-35C82FCD374B}">
    <text>발부급변</text>
  </threadedComment>
  <threadedComment ref="S64" dT="2026-02-05T03:41:11.58" personId="{ED2362F1-D614-42DF-AFE1-73B00E17EBC1}" id="{AC78B389-791D-42EB-9A6D-249447430BB5}">
    <text>제품 쓰러짐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S64" dT="2026-07-08T01:52:32.20" personId="{ED2362F1-D614-42DF-AFE1-73B00E17EBC1}" id="{A2D817CC-13A9-40E9-ABDF-FD5BE5F81D42}">
    <text>쓰러짐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S32" dT="2024-01-12T05:48:36.80" personId="{C0604C11-2D88-4F5F-ACA3-75F2CE4F2C6F}" id="{4EF36C15-5837-4A28-BA0E-0E3AD04817EC}">
    <text>Key 수정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S22" dT="2026-01-16T00:10:31.46" personId="{ED2362F1-D614-42DF-AFE1-73B00E17EBC1}" id="{9D8C6183-9045-4731-9ACB-9B65DCD1EC35}">
    <text>설비Error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S17" dT="2026-06-19T00:45:50.85" personId="{ED2362F1-D614-42DF-AFE1-73B00E17EBC1}" id="{BA04EBCF-3DBB-4859-9195-99BC06B01A09}">
    <text>쓰러짐 수정</text>
  </threadedComment>
</ThreadedComments>
</file>

<file path=xl/threadedComments/threadedComment7.xml><?xml version="1.0" encoding="utf-8"?>
<ThreadedComments xmlns="http://schemas.microsoft.com/office/spreadsheetml/2018/threadedcomments" xmlns:x="http://schemas.openxmlformats.org/spreadsheetml/2006/main">
  <threadedComment ref="S76" dT="2026-01-20T02:04:06.93" personId="{ED2362F1-D614-42DF-AFE1-73B00E17EBC1}" id="{58BE40DE-9D67-4099-AB42-23430E4A19C6}">
    <text xml:space="preserve">상P래핑
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Relationship Id="rId4" Type="http://schemas.microsoft.com/office/2017/10/relationships/threadedComment" Target="../threadedComments/threadedComment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7.bin"/><Relationship Id="rId4" Type="http://schemas.microsoft.com/office/2017/10/relationships/threadedComment" Target="../threadedComments/threadedComment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11.bin"/><Relationship Id="rId4" Type="http://schemas.microsoft.com/office/2017/10/relationships/threadedComment" Target="../threadedComments/threadedComment4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15.bin"/><Relationship Id="rId4" Type="http://schemas.microsoft.com/office/2017/10/relationships/threadedComment" Target="../threadedComments/threadedComment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18.bin"/><Relationship Id="rId4" Type="http://schemas.microsoft.com/office/2017/10/relationships/threadedComment" Target="../threadedComments/threadedComment6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19.bin"/><Relationship Id="rId4" Type="http://schemas.microsoft.com/office/2017/10/relationships/threadedComment" Target="../threadedComments/threadedComment7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 filterMode="1">
    <pageSetUpPr fitToPage="1"/>
  </sheetPr>
  <dimension ref="A1:V81"/>
  <sheetViews>
    <sheetView showGridLines="0" zoomScale="85" zoomScaleNormal="85" workbookViewId="0">
      <pane ySplit="5" topLeftCell="A8" activePane="bottomLeft" state="frozen"/>
      <selection activeCell="W73" sqref="W73"/>
      <selection pane="bottomLeft" activeCell="L8" sqref="L8:M51"/>
    </sheetView>
  </sheetViews>
  <sheetFormatPr defaultColWidth="9" defaultRowHeight="16.5" x14ac:dyDescent="0.3"/>
  <cols>
    <col min="1" max="1" width="12.625" bestFit="1" customWidth="1"/>
    <col min="2" max="2" width="14.125" bestFit="1" customWidth="1"/>
    <col min="3" max="3" width="35.125" customWidth="1"/>
    <col min="4" max="4" width="11.75" hidden="1" customWidth="1"/>
    <col min="5" max="6" width="9" hidden="1" customWidth="1"/>
    <col min="7" max="7" width="15.375" hidden="1" customWidth="1"/>
    <col min="8" max="8" width="13.25" hidden="1" customWidth="1"/>
    <col min="9" max="9" width="13.25" customWidth="1"/>
    <col min="10" max="10" width="13.25" hidden="1" customWidth="1"/>
    <col min="11" max="11" width="0.875" customWidth="1"/>
    <col min="20" max="20" width="11" bestFit="1" customWidth="1"/>
  </cols>
  <sheetData>
    <row r="1" spans="1:22" ht="22.5" customHeight="1" thickBot="1" x14ac:dyDescent="0.35">
      <c r="A1" s="32" t="s">
        <v>28</v>
      </c>
      <c r="B1" s="153">
        <f>H81</f>
        <v>0</v>
      </c>
      <c r="C1" s="154"/>
      <c r="D1" s="55"/>
      <c r="E1" s="58" t="s">
        <v>1</v>
      </c>
      <c r="F1" s="155">
        <f>G69</f>
        <v>0</v>
      </c>
      <c r="G1" s="155"/>
      <c r="H1" s="156"/>
      <c r="I1" s="156"/>
      <c r="J1" s="156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22.5" customHeight="1" thickBot="1" x14ac:dyDescent="0.35">
      <c r="A2" s="32" t="s">
        <v>29</v>
      </c>
      <c r="B2" s="158">
        <f>I81</f>
        <v>8</v>
      </c>
      <c r="C2" s="159"/>
      <c r="D2" s="56"/>
      <c r="E2" s="59"/>
      <c r="F2" s="2"/>
      <c r="G2" s="2"/>
      <c r="H2" s="156"/>
      <c r="I2" s="156"/>
      <c r="J2" s="156"/>
      <c r="K2" s="113"/>
      <c r="L2" s="3">
        <f>SUBTOTAL(9,L6:L80)</f>
        <v>0</v>
      </c>
      <c r="M2" s="3">
        <f t="shared" ref="M2:T2" si="0">SUBTOTAL(9,M6:M80)</f>
        <v>8</v>
      </c>
      <c r="N2" s="3">
        <f t="shared" si="0"/>
        <v>0</v>
      </c>
      <c r="O2" s="3">
        <f t="shared" si="0"/>
        <v>0</v>
      </c>
      <c r="P2" s="3">
        <f t="shared" si="0"/>
        <v>0</v>
      </c>
      <c r="Q2" s="3">
        <f t="shared" si="0"/>
        <v>0</v>
      </c>
      <c r="R2" s="3">
        <f t="shared" si="0"/>
        <v>0</v>
      </c>
      <c r="S2" s="3">
        <f t="shared" si="0"/>
        <v>0</v>
      </c>
      <c r="T2" s="3">
        <f t="shared" si="0"/>
        <v>0</v>
      </c>
      <c r="U2" s="48">
        <f>SUBTOTAL(9,U6:U80)</f>
        <v>8</v>
      </c>
      <c r="V2" s="145"/>
    </row>
    <row r="3" spans="1:22" ht="22.5" customHeight="1" thickBot="1" x14ac:dyDescent="0.35">
      <c r="A3" s="33" t="s">
        <v>30</v>
      </c>
      <c r="B3" s="151">
        <f>IF(ISERROR(B2/(B2+B1)*1000000),"",(B2/(B2+B1)*1000000))</f>
        <v>1000000</v>
      </c>
      <c r="C3" s="152"/>
      <c r="D3" s="57"/>
      <c r="E3" s="60"/>
      <c r="F3" s="27"/>
      <c r="G3" s="27"/>
      <c r="H3" s="157"/>
      <c r="I3" s="157"/>
      <c r="J3" s="157"/>
      <c r="K3" s="114"/>
      <c r="L3" s="4">
        <f t="shared" ref="L3:U3" si="1">SUM(L6:L80)</f>
        <v>0</v>
      </c>
      <c r="M3" s="4">
        <f t="shared" si="1"/>
        <v>8</v>
      </c>
      <c r="N3" s="4">
        <f t="shared" si="1"/>
        <v>0</v>
      </c>
      <c r="O3" s="4">
        <f t="shared" si="1"/>
        <v>0</v>
      </c>
      <c r="P3" s="4">
        <f t="shared" si="1"/>
        <v>0</v>
      </c>
      <c r="Q3" s="4">
        <f t="shared" si="1"/>
        <v>0</v>
      </c>
      <c r="R3" s="4">
        <f t="shared" si="1"/>
        <v>0</v>
      </c>
      <c r="S3" s="4">
        <f t="shared" si="1"/>
        <v>0</v>
      </c>
      <c r="T3" s="4">
        <f t="shared" si="1"/>
        <v>0</v>
      </c>
      <c r="U3" s="49">
        <f t="shared" si="1"/>
        <v>8</v>
      </c>
      <c r="V3" s="146"/>
    </row>
    <row r="4" spans="1:22" ht="43.5" customHeight="1" x14ac:dyDescent="0.3">
      <c r="A4" s="160" t="str">
        <f>V81</f>
        <v>OK</v>
      </c>
      <c r="B4" s="160"/>
      <c r="C4" s="160"/>
      <c r="D4" s="161"/>
      <c r="E4" s="162" t="s">
        <v>15</v>
      </c>
      <c r="F4" s="162"/>
      <c r="G4" s="162"/>
      <c r="H4" s="163" t="s">
        <v>16</v>
      </c>
      <c r="I4" s="163"/>
      <c r="J4" s="163"/>
      <c r="K4" s="113"/>
      <c r="L4" s="164" t="s">
        <v>10</v>
      </c>
      <c r="M4" s="142" t="s">
        <v>17</v>
      </c>
      <c r="N4" s="142" t="s">
        <v>11</v>
      </c>
      <c r="O4" s="138" t="s">
        <v>12</v>
      </c>
      <c r="P4" s="142" t="s">
        <v>13</v>
      </c>
      <c r="Q4" s="138" t="s">
        <v>14</v>
      </c>
      <c r="R4" s="140" t="s">
        <v>20</v>
      </c>
      <c r="S4" s="142" t="s">
        <v>21</v>
      </c>
      <c r="T4" s="143" t="s">
        <v>22</v>
      </c>
      <c r="U4" s="147" t="s">
        <v>18</v>
      </c>
      <c r="V4" s="149" t="s">
        <v>19</v>
      </c>
    </row>
    <row r="5" spans="1:22" ht="33.75" thickBot="1" x14ac:dyDescent="0.35">
      <c r="A5" s="29" t="s">
        <v>3</v>
      </c>
      <c r="B5" s="30" t="s">
        <v>32</v>
      </c>
      <c r="C5" s="29" t="s">
        <v>4</v>
      </c>
      <c r="D5" s="29" t="s">
        <v>31</v>
      </c>
      <c r="E5" s="29" t="s">
        <v>5</v>
      </c>
      <c r="F5" s="29" t="s">
        <v>6</v>
      </c>
      <c r="G5" s="30" t="s">
        <v>7</v>
      </c>
      <c r="H5" s="31" t="s">
        <v>0</v>
      </c>
      <c r="I5" s="31" t="s">
        <v>2</v>
      </c>
      <c r="J5" s="31" t="s">
        <v>8</v>
      </c>
      <c r="K5" s="28"/>
      <c r="L5" s="165"/>
      <c r="M5" s="139"/>
      <c r="N5" s="139"/>
      <c r="O5" s="139"/>
      <c r="P5" s="139"/>
      <c r="Q5" s="139"/>
      <c r="R5" s="141"/>
      <c r="S5" s="139"/>
      <c r="T5" s="144"/>
      <c r="U5" s="148"/>
      <c r="V5" s="150"/>
    </row>
    <row r="6" spans="1:22" hidden="1" x14ac:dyDescent="0.3">
      <c r="A6" s="61" t="s">
        <v>33</v>
      </c>
      <c r="B6" s="61">
        <v>8092</v>
      </c>
      <c r="C6" s="6" t="s">
        <v>45</v>
      </c>
      <c r="D6" s="7"/>
      <c r="E6" s="7"/>
      <c r="F6" s="7"/>
      <c r="G6" s="8"/>
      <c r="H6" s="9"/>
      <c r="I6" s="10">
        <f>SUM(L6:T6)</f>
        <v>0</v>
      </c>
      <c r="J6" s="10"/>
      <c r="K6" s="11"/>
      <c r="L6" s="10"/>
      <c r="M6" s="10"/>
      <c r="N6" s="10"/>
      <c r="O6" s="10"/>
      <c r="P6" s="10"/>
      <c r="Q6" s="10"/>
      <c r="R6" s="34"/>
      <c r="S6" s="42"/>
      <c r="T6" s="45"/>
      <c r="U6" s="50">
        <f t="shared" ref="U6:U36" si="2">SUM(L6:T6)</f>
        <v>0</v>
      </c>
      <c r="V6" s="26" t="str">
        <f t="shared" ref="V6:V67" si="3">IF(U6=I6,"OK","NG")</f>
        <v>OK</v>
      </c>
    </row>
    <row r="7" spans="1:22" hidden="1" x14ac:dyDescent="0.3">
      <c r="A7" s="62" t="s">
        <v>95</v>
      </c>
      <c r="B7" s="62">
        <v>8088</v>
      </c>
      <c r="C7" s="12" t="s">
        <v>46</v>
      </c>
      <c r="D7" s="53"/>
      <c r="E7" s="13"/>
      <c r="F7" s="13"/>
      <c r="G7" s="14"/>
      <c r="H7" s="15"/>
      <c r="I7" s="16">
        <f t="shared" ref="I7:I70" si="4">SUM(L7:T7)</f>
        <v>0</v>
      </c>
      <c r="J7" s="16"/>
      <c r="K7" s="11"/>
      <c r="L7" s="16"/>
      <c r="M7" s="16"/>
      <c r="N7" s="16"/>
      <c r="O7" s="16"/>
      <c r="P7" s="16"/>
      <c r="Q7" s="16"/>
      <c r="R7" s="35"/>
      <c r="S7" s="43"/>
      <c r="T7" s="46"/>
      <c r="U7" s="51">
        <f t="shared" si="2"/>
        <v>0</v>
      </c>
      <c r="V7" s="17" t="str">
        <f t="shared" si="3"/>
        <v>OK</v>
      </c>
    </row>
    <row r="8" spans="1:22" x14ac:dyDescent="0.3">
      <c r="A8" s="63" t="s">
        <v>96</v>
      </c>
      <c r="B8" s="63">
        <v>8081</v>
      </c>
      <c r="C8" s="18" t="s">
        <v>46</v>
      </c>
      <c r="D8" s="19"/>
      <c r="E8" s="19"/>
      <c r="F8" s="19"/>
      <c r="G8" s="20"/>
      <c r="H8" s="21"/>
      <c r="I8" s="22">
        <f t="shared" si="4"/>
        <v>3</v>
      </c>
      <c r="J8" s="22"/>
      <c r="K8" s="11"/>
      <c r="L8" s="22"/>
      <c r="M8" s="22">
        <v>3</v>
      </c>
      <c r="N8" s="22"/>
      <c r="O8" s="22"/>
      <c r="P8" s="22"/>
      <c r="Q8" s="22"/>
      <c r="R8" s="36"/>
      <c r="S8" s="44"/>
      <c r="T8" s="47"/>
      <c r="U8" s="52">
        <f t="shared" si="2"/>
        <v>3</v>
      </c>
      <c r="V8" s="23" t="str">
        <f t="shared" si="3"/>
        <v>OK</v>
      </c>
    </row>
    <row r="9" spans="1:22" hidden="1" x14ac:dyDescent="0.3">
      <c r="A9" s="62" t="s">
        <v>97</v>
      </c>
      <c r="B9" s="62">
        <v>18524</v>
      </c>
      <c r="C9" s="12" t="s">
        <v>46</v>
      </c>
      <c r="D9" s="53"/>
      <c r="E9" s="13"/>
      <c r="F9" s="13"/>
      <c r="G9" s="14"/>
      <c r="H9" s="15"/>
      <c r="I9" s="16">
        <f t="shared" si="4"/>
        <v>0</v>
      </c>
      <c r="J9" s="16"/>
      <c r="K9" s="11"/>
      <c r="L9" s="16"/>
      <c r="M9" s="16"/>
      <c r="N9" s="16"/>
      <c r="O9" s="16"/>
      <c r="P9" s="16"/>
      <c r="Q9" s="16"/>
      <c r="R9" s="35"/>
      <c r="S9" s="43"/>
      <c r="T9" s="46"/>
      <c r="U9" s="51">
        <f t="shared" si="2"/>
        <v>0</v>
      </c>
      <c r="V9" s="17" t="str">
        <f t="shared" si="3"/>
        <v>OK</v>
      </c>
    </row>
    <row r="10" spans="1:22" hidden="1" x14ac:dyDescent="0.3">
      <c r="A10" s="63" t="s">
        <v>34</v>
      </c>
      <c r="B10" s="63">
        <v>6234</v>
      </c>
      <c r="C10" s="18" t="s">
        <v>47</v>
      </c>
      <c r="D10" s="19"/>
      <c r="E10" s="19"/>
      <c r="F10" s="19"/>
      <c r="G10" s="20"/>
      <c r="H10" s="21"/>
      <c r="I10" s="22">
        <f t="shared" si="4"/>
        <v>0</v>
      </c>
      <c r="J10" s="22"/>
      <c r="K10" s="11"/>
      <c r="L10" s="22"/>
      <c r="M10" s="22"/>
      <c r="N10" s="22"/>
      <c r="O10" s="22"/>
      <c r="P10" s="22"/>
      <c r="Q10" s="22"/>
      <c r="R10" s="36"/>
      <c r="S10" s="44"/>
      <c r="T10" s="47"/>
      <c r="U10" s="52">
        <f t="shared" si="2"/>
        <v>0</v>
      </c>
      <c r="V10" s="23" t="str">
        <f t="shared" si="3"/>
        <v>OK</v>
      </c>
    </row>
    <row r="11" spans="1:22" hidden="1" x14ac:dyDescent="0.3">
      <c r="A11" s="62" t="s">
        <v>80</v>
      </c>
      <c r="B11" s="62">
        <v>14830</v>
      </c>
      <c r="C11" s="12" t="s">
        <v>47</v>
      </c>
      <c r="D11" s="53"/>
      <c r="E11" s="13"/>
      <c r="F11" s="13"/>
      <c r="G11" s="14"/>
      <c r="H11" s="15"/>
      <c r="I11" s="16">
        <f t="shared" si="4"/>
        <v>0</v>
      </c>
      <c r="J11" s="16"/>
      <c r="K11" s="11"/>
      <c r="L11" s="16"/>
      <c r="M11" s="16"/>
      <c r="N11" s="16"/>
      <c r="O11" s="16"/>
      <c r="P11" s="16"/>
      <c r="Q11" s="16"/>
      <c r="R11" s="35"/>
      <c r="S11" s="43"/>
      <c r="T11" s="46"/>
      <c r="U11" s="51">
        <f t="shared" si="2"/>
        <v>0</v>
      </c>
      <c r="V11" s="17" t="str">
        <f t="shared" si="3"/>
        <v>OK</v>
      </c>
    </row>
    <row r="12" spans="1:22" hidden="1" x14ac:dyDescent="0.3">
      <c r="A12" s="63" t="s">
        <v>35</v>
      </c>
      <c r="B12" s="63">
        <v>6004</v>
      </c>
      <c r="C12" s="18" t="s">
        <v>48</v>
      </c>
      <c r="D12" s="19"/>
      <c r="E12" s="19"/>
      <c r="F12" s="19"/>
      <c r="G12" s="20"/>
      <c r="H12" s="21"/>
      <c r="I12" s="22">
        <f t="shared" si="4"/>
        <v>0</v>
      </c>
      <c r="J12" s="22"/>
      <c r="K12" s="11"/>
      <c r="L12" s="22"/>
      <c r="M12" s="22"/>
      <c r="N12" s="22"/>
      <c r="O12" s="22"/>
      <c r="P12" s="22"/>
      <c r="Q12" s="22"/>
      <c r="R12" s="36"/>
      <c r="S12" s="44"/>
      <c r="T12" s="47"/>
      <c r="U12" s="52">
        <f t="shared" si="2"/>
        <v>0</v>
      </c>
      <c r="V12" s="23" t="str">
        <f t="shared" si="3"/>
        <v>OK</v>
      </c>
    </row>
    <row r="13" spans="1:22" hidden="1" x14ac:dyDescent="0.3">
      <c r="A13" s="62" t="s">
        <v>36</v>
      </c>
      <c r="B13" s="62">
        <v>11857</v>
      </c>
      <c r="C13" s="12" t="s">
        <v>48</v>
      </c>
      <c r="D13" s="53"/>
      <c r="E13" s="13"/>
      <c r="F13" s="13"/>
      <c r="G13" s="14"/>
      <c r="H13" s="15"/>
      <c r="I13" s="16">
        <f t="shared" si="4"/>
        <v>0</v>
      </c>
      <c r="J13" s="16"/>
      <c r="K13" s="11"/>
      <c r="L13" s="16"/>
      <c r="M13" s="16"/>
      <c r="N13" s="16"/>
      <c r="O13" s="16"/>
      <c r="P13" s="16"/>
      <c r="Q13" s="16"/>
      <c r="R13" s="35"/>
      <c r="S13" s="43"/>
      <c r="T13" s="46"/>
      <c r="U13" s="51">
        <f t="shared" si="2"/>
        <v>0</v>
      </c>
      <c r="V13" s="17" t="str">
        <f t="shared" si="3"/>
        <v>OK</v>
      </c>
    </row>
    <row r="14" spans="1:22" hidden="1" x14ac:dyDescent="0.3">
      <c r="A14" s="63" t="s">
        <v>82</v>
      </c>
      <c r="B14" s="63">
        <v>15004</v>
      </c>
      <c r="C14" s="18" t="s">
        <v>48</v>
      </c>
      <c r="D14" s="19"/>
      <c r="E14" s="19"/>
      <c r="F14" s="19"/>
      <c r="G14" s="20"/>
      <c r="H14" s="21"/>
      <c r="I14" s="22">
        <f t="shared" si="4"/>
        <v>0</v>
      </c>
      <c r="J14" s="22"/>
      <c r="K14" s="11"/>
      <c r="L14" s="22"/>
      <c r="M14" s="22"/>
      <c r="N14" s="22"/>
      <c r="O14" s="22"/>
      <c r="P14" s="22"/>
      <c r="Q14" s="22"/>
      <c r="R14" s="36"/>
      <c r="S14" s="44"/>
      <c r="T14" s="47"/>
      <c r="U14" s="52">
        <f t="shared" si="2"/>
        <v>0</v>
      </c>
      <c r="V14" s="23" t="str">
        <f t="shared" si="3"/>
        <v>OK</v>
      </c>
    </row>
    <row r="15" spans="1:22" hidden="1" x14ac:dyDescent="0.3">
      <c r="A15" s="62" t="s">
        <v>86</v>
      </c>
      <c r="B15" s="62">
        <v>15174</v>
      </c>
      <c r="C15" s="12" t="s">
        <v>45</v>
      </c>
      <c r="D15" s="53"/>
      <c r="E15" s="13"/>
      <c r="F15" s="13"/>
      <c r="G15" s="14"/>
      <c r="H15" s="15"/>
      <c r="I15" s="16">
        <f t="shared" si="4"/>
        <v>0</v>
      </c>
      <c r="J15" s="16"/>
      <c r="K15" s="11"/>
      <c r="L15" s="16"/>
      <c r="M15" s="16"/>
      <c r="N15" s="16"/>
      <c r="O15" s="16"/>
      <c r="P15" s="16"/>
      <c r="Q15" s="16"/>
      <c r="R15" s="35"/>
      <c r="S15" s="43"/>
      <c r="T15" s="46"/>
      <c r="U15" s="51">
        <f t="shared" si="2"/>
        <v>0</v>
      </c>
      <c r="V15" s="17" t="str">
        <f t="shared" si="3"/>
        <v>OK</v>
      </c>
    </row>
    <row r="16" spans="1:22" hidden="1" x14ac:dyDescent="0.3">
      <c r="A16" s="63" t="s">
        <v>87</v>
      </c>
      <c r="B16" s="63">
        <v>15520</v>
      </c>
      <c r="C16" s="18" t="s">
        <v>47</v>
      </c>
      <c r="D16" s="19"/>
      <c r="E16" s="19"/>
      <c r="F16" s="19"/>
      <c r="G16" s="20"/>
      <c r="H16" s="21"/>
      <c r="I16" s="22">
        <f t="shared" si="4"/>
        <v>0</v>
      </c>
      <c r="J16" s="22"/>
      <c r="K16" s="11"/>
      <c r="L16" s="22"/>
      <c r="M16" s="22"/>
      <c r="N16" s="22"/>
      <c r="O16" s="22"/>
      <c r="P16" s="22"/>
      <c r="Q16" s="22"/>
      <c r="R16" s="36"/>
      <c r="S16" s="44"/>
      <c r="T16" s="47"/>
      <c r="U16" s="52">
        <f t="shared" si="2"/>
        <v>0</v>
      </c>
      <c r="V16" s="23" t="str">
        <f t="shared" si="3"/>
        <v>OK</v>
      </c>
    </row>
    <row r="17" spans="1:22" hidden="1" x14ac:dyDescent="0.3">
      <c r="A17" s="62" t="s">
        <v>85</v>
      </c>
      <c r="B17" s="62">
        <v>14989</v>
      </c>
      <c r="C17" s="12" t="s">
        <v>45</v>
      </c>
      <c r="D17" s="53"/>
      <c r="E17" s="13"/>
      <c r="F17" s="13"/>
      <c r="G17" s="14"/>
      <c r="H17" s="15"/>
      <c r="I17" s="16">
        <f t="shared" si="4"/>
        <v>0</v>
      </c>
      <c r="J17" s="16"/>
      <c r="K17" s="11"/>
      <c r="L17" s="16"/>
      <c r="M17" s="16"/>
      <c r="N17" s="16"/>
      <c r="O17" s="16"/>
      <c r="P17" s="16"/>
      <c r="Q17" s="16"/>
      <c r="R17" s="35"/>
      <c r="S17" s="43"/>
      <c r="T17" s="46"/>
      <c r="U17" s="51">
        <f t="shared" si="2"/>
        <v>0</v>
      </c>
      <c r="V17" s="17" t="str">
        <f t="shared" si="3"/>
        <v>OK</v>
      </c>
    </row>
    <row r="18" spans="1:22" hidden="1" x14ac:dyDescent="0.3">
      <c r="A18" s="63" t="s">
        <v>84</v>
      </c>
      <c r="B18" s="63">
        <v>14984</v>
      </c>
      <c r="C18" s="18" t="s">
        <v>46</v>
      </c>
      <c r="D18" s="19"/>
      <c r="E18" s="19"/>
      <c r="F18" s="19"/>
      <c r="G18" s="20"/>
      <c r="H18" s="21"/>
      <c r="I18" s="22">
        <f t="shared" si="4"/>
        <v>0</v>
      </c>
      <c r="J18" s="22"/>
      <c r="K18" s="11"/>
      <c r="L18" s="22"/>
      <c r="M18" s="22"/>
      <c r="N18" s="22"/>
      <c r="O18" s="22"/>
      <c r="P18" s="22"/>
      <c r="Q18" s="22"/>
      <c r="R18" s="36"/>
      <c r="S18" s="44"/>
      <c r="T18" s="47"/>
      <c r="U18" s="52">
        <f t="shared" si="2"/>
        <v>0</v>
      </c>
      <c r="V18" s="23" t="str">
        <f t="shared" si="3"/>
        <v>OK</v>
      </c>
    </row>
    <row r="19" spans="1:22" hidden="1" x14ac:dyDescent="0.3">
      <c r="A19" s="62" t="s">
        <v>88</v>
      </c>
      <c r="B19" s="62">
        <v>16270</v>
      </c>
      <c r="C19" s="12" t="s">
        <v>89</v>
      </c>
      <c r="D19" s="53"/>
      <c r="E19" s="13"/>
      <c r="F19" s="13"/>
      <c r="G19" s="14"/>
      <c r="H19" s="15"/>
      <c r="I19" s="16">
        <f t="shared" si="4"/>
        <v>0</v>
      </c>
      <c r="J19" s="16"/>
      <c r="K19" s="11"/>
      <c r="L19" s="16"/>
      <c r="M19" s="16"/>
      <c r="N19" s="16"/>
      <c r="O19" s="16"/>
      <c r="P19" s="16"/>
      <c r="Q19" s="16"/>
      <c r="R19" s="35"/>
      <c r="S19" s="43"/>
      <c r="T19" s="46"/>
      <c r="U19" s="51">
        <f t="shared" si="2"/>
        <v>0</v>
      </c>
      <c r="V19" s="17" t="str">
        <f t="shared" si="3"/>
        <v>OK</v>
      </c>
    </row>
    <row r="20" spans="1:22" hidden="1" x14ac:dyDescent="0.3">
      <c r="A20" s="63" t="s">
        <v>98</v>
      </c>
      <c r="B20" s="63">
        <v>19060</v>
      </c>
      <c r="C20" s="18" t="s">
        <v>47</v>
      </c>
      <c r="D20" s="19"/>
      <c r="E20" s="19"/>
      <c r="F20" s="19"/>
      <c r="G20" s="20"/>
      <c r="H20" s="21"/>
      <c r="I20" s="22">
        <f t="shared" si="4"/>
        <v>0</v>
      </c>
      <c r="J20" s="22"/>
      <c r="K20" s="11"/>
      <c r="L20" s="22"/>
      <c r="M20" s="22"/>
      <c r="N20" s="22"/>
      <c r="O20" s="22"/>
      <c r="P20" s="22"/>
      <c r="Q20" s="22"/>
      <c r="R20" s="36"/>
      <c r="S20" s="44"/>
      <c r="T20" s="47"/>
      <c r="U20" s="52">
        <f t="shared" si="2"/>
        <v>0</v>
      </c>
      <c r="V20" s="23" t="str">
        <f t="shared" si="3"/>
        <v>OK</v>
      </c>
    </row>
    <row r="21" spans="1:22" hidden="1" x14ac:dyDescent="0.3">
      <c r="A21" s="62" t="s">
        <v>99</v>
      </c>
      <c r="B21" s="62">
        <v>18828</v>
      </c>
      <c r="C21" s="12" t="s">
        <v>94</v>
      </c>
      <c r="D21" s="53"/>
      <c r="E21" s="13"/>
      <c r="F21" s="13"/>
      <c r="G21" s="14"/>
      <c r="H21" s="15"/>
      <c r="I21" s="16">
        <f t="shared" si="4"/>
        <v>0</v>
      </c>
      <c r="J21" s="16"/>
      <c r="K21" s="11"/>
      <c r="L21" s="16"/>
      <c r="M21" s="16"/>
      <c r="N21" s="16"/>
      <c r="O21" s="16"/>
      <c r="P21" s="16"/>
      <c r="Q21" s="16"/>
      <c r="R21" s="35"/>
      <c r="S21" s="43"/>
      <c r="T21" s="46"/>
      <c r="U21" s="51">
        <f t="shared" si="2"/>
        <v>0</v>
      </c>
      <c r="V21" s="17" t="str">
        <f t="shared" si="3"/>
        <v>OK</v>
      </c>
    </row>
    <row r="22" spans="1:22" hidden="1" x14ac:dyDescent="0.3">
      <c r="A22" s="63" t="s">
        <v>23</v>
      </c>
      <c r="B22" s="63">
        <v>5695</v>
      </c>
      <c r="C22" s="18" t="s">
        <v>49</v>
      </c>
      <c r="D22" s="19"/>
      <c r="E22" s="19"/>
      <c r="F22" s="19"/>
      <c r="G22" s="20"/>
      <c r="H22" s="21"/>
      <c r="I22" s="22">
        <f t="shared" si="4"/>
        <v>0</v>
      </c>
      <c r="J22" s="22"/>
      <c r="K22" s="11"/>
      <c r="L22" s="22"/>
      <c r="M22" s="22"/>
      <c r="N22" s="22"/>
      <c r="O22" s="22"/>
      <c r="P22" s="22"/>
      <c r="Q22" s="22"/>
      <c r="R22" s="36"/>
      <c r="S22" s="44"/>
      <c r="T22" s="47"/>
      <c r="U22" s="52">
        <f t="shared" si="2"/>
        <v>0</v>
      </c>
      <c r="V22" s="23" t="str">
        <f t="shared" si="3"/>
        <v>OK</v>
      </c>
    </row>
    <row r="23" spans="1:22" hidden="1" x14ac:dyDescent="0.3">
      <c r="A23" s="62" t="s">
        <v>24</v>
      </c>
      <c r="B23" s="62">
        <v>5691</v>
      </c>
      <c r="C23" s="12" t="s">
        <v>50</v>
      </c>
      <c r="D23" s="53"/>
      <c r="E23" s="13"/>
      <c r="F23" s="13"/>
      <c r="G23" s="14"/>
      <c r="H23" s="15"/>
      <c r="I23" s="16">
        <f t="shared" si="4"/>
        <v>0</v>
      </c>
      <c r="J23" s="16"/>
      <c r="K23" s="11"/>
      <c r="L23" s="16"/>
      <c r="M23" s="16"/>
      <c r="N23" s="16"/>
      <c r="O23" s="16"/>
      <c r="P23" s="16"/>
      <c r="Q23" s="16"/>
      <c r="R23" s="35"/>
      <c r="S23" s="43"/>
      <c r="T23" s="46"/>
      <c r="U23" s="51">
        <f t="shared" si="2"/>
        <v>0</v>
      </c>
      <c r="V23" s="17" t="str">
        <f t="shared" si="3"/>
        <v>OK</v>
      </c>
    </row>
    <row r="24" spans="1:22" hidden="1" x14ac:dyDescent="0.3">
      <c r="A24" s="63" t="s">
        <v>37</v>
      </c>
      <c r="B24" s="63">
        <v>5687</v>
      </c>
      <c r="C24" s="18" t="s">
        <v>51</v>
      </c>
      <c r="D24" s="19"/>
      <c r="E24" s="19"/>
      <c r="F24" s="19"/>
      <c r="G24" s="20"/>
      <c r="H24" s="21"/>
      <c r="I24" s="22">
        <f t="shared" si="4"/>
        <v>0</v>
      </c>
      <c r="J24" s="22"/>
      <c r="K24" s="11"/>
      <c r="L24" s="22"/>
      <c r="M24" s="22"/>
      <c r="N24" s="22"/>
      <c r="O24" s="22"/>
      <c r="P24" s="22"/>
      <c r="Q24" s="22"/>
      <c r="R24" s="36"/>
      <c r="S24" s="44"/>
      <c r="T24" s="47"/>
      <c r="U24" s="52">
        <f t="shared" si="2"/>
        <v>0</v>
      </c>
      <c r="V24" s="23" t="str">
        <f t="shared" si="3"/>
        <v>OK</v>
      </c>
    </row>
    <row r="25" spans="1:22" hidden="1" x14ac:dyDescent="0.3">
      <c r="A25" s="62" t="s">
        <v>38</v>
      </c>
      <c r="B25" s="62">
        <v>5683</v>
      </c>
      <c r="C25" s="12" t="s">
        <v>51</v>
      </c>
      <c r="D25" s="53"/>
      <c r="E25" s="13"/>
      <c r="F25" s="13"/>
      <c r="G25" s="14"/>
      <c r="H25" s="15"/>
      <c r="I25" s="16">
        <f t="shared" si="4"/>
        <v>0</v>
      </c>
      <c r="J25" s="16"/>
      <c r="K25" s="11"/>
      <c r="L25" s="16"/>
      <c r="M25" s="16"/>
      <c r="N25" s="16"/>
      <c r="O25" s="16"/>
      <c r="P25" s="16"/>
      <c r="Q25" s="16"/>
      <c r="R25" s="35"/>
      <c r="S25" s="43"/>
      <c r="T25" s="46"/>
      <c r="U25" s="51">
        <f t="shared" si="2"/>
        <v>0</v>
      </c>
      <c r="V25" s="17" t="str">
        <f t="shared" si="3"/>
        <v>OK</v>
      </c>
    </row>
    <row r="26" spans="1:22" hidden="1" x14ac:dyDescent="0.3">
      <c r="A26" s="63" t="s">
        <v>25</v>
      </c>
      <c r="B26" s="63">
        <v>5679</v>
      </c>
      <c r="C26" s="18" t="s">
        <v>52</v>
      </c>
      <c r="D26" s="19"/>
      <c r="E26" s="19"/>
      <c r="F26" s="19"/>
      <c r="G26" s="20"/>
      <c r="H26" s="21"/>
      <c r="I26" s="22">
        <f t="shared" si="4"/>
        <v>0</v>
      </c>
      <c r="J26" s="22"/>
      <c r="K26" s="11"/>
      <c r="L26" s="22"/>
      <c r="M26" s="22"/>
      <c r="N26" s="22"/>
      <c r="O26" s="22"/>
      <c r="P26" s="22"/>
      <c r="Q26" s="22"/>
      <c r="R26" s="36"/>
      <c r="S26" s="44"/>
      <c r="T26" s="47"/>
      <c r="U26" s="52">
        <f t="shared" si="2"/>
        <v>0</v>
      </c>
      <c r="V26" s="23" t="str">
        <f t="shared" si="3"/>
        <v>OK</v>
      </c>
    </row>
    <row r="27" spans="1:22" hidden="1" x14ac:dyDescent="0.3">
      <c r="A27" s="62" t="s">
        <v>39</v>
      </c>
      <c r="B27" s="62">
        <v>5675</v>
      </c>
      <c r="C27" s="12" t="s">
        <v>53</v>
      </c>
      <c r="D27" s="53"/>
      <c r="E27" s="13"/>
      <c r="F27" s="13"/>
      <c r="G27" s="14"/>
      <c r="H27" s="15"/>
      <c r="I27" s="16">
        <f t="shared" si="4"/>
        <v>0</v>
      </c>
      <c r="J27" s="16"/>
      <c r="K27" s="11"/>
      <c r="L27" s="16"/>
      <c r="M27" s="16"/>
      <c r="N27" s="16"/>
      <c r="O27" s="16"/>
      <c r="P27" s="16"/>
      <c r="Q27" s="16"/>
      <c r="R27" s="35"/>
      <c r="S27" s="43"/>
      <c r="T27" s="46"/>
      <c r="U27" s="51">
        <f t="shared" si="2"/>
        <v>0</v>
      </c>
      <c r="V27" s="17" t="str">
        <f t="shared" si="3"/>
        <v>OK</v>
      </c>
    </row>
    <row r="28" spans="1:22" hidden="1" x14ac:dyDescent="0.3">
      <c r="A28" s="63" t="s">
        <v>26</v>
      </c>
      <c r="B28" s="63">
        <v>5671</v>
      </c>
      <c r="C28" s="18" t="s">
        <v>49</v>
      </c>
      <c r="D28" s="19"/>
      <c r="E28" s="19"/>
      <c r="F28" s="19"/>
      <c r="G28" s="20"/>
      <c r="H28" s="21"/>
      <c r="I28" s="22">
        <f t="shared" si="4"/>
        <v>0</v>
      </c>
      <c r="J28" s="22"/>
      <c r="K28" s="11"/>
      <c r="L28" s="22"/>
      <c r="M28" s="22"/>
      <c r="N28" s="22"/>
      <c r="O28" s="22"/>
      <c r="P28" s="22"/>
      <c r="Q28" s="22"/>
      <c r="R28" s="36"/>
      <c r="S28" s="44"/>
      <c r="T28" s="47"/>
      <c r="U28" s="52">
        <f t="shared" si="2"/>
        <v>0</v>
      </c>
      <c r="V28" s="23" t="str">
        <f t="shared" si="3"/>
        <v>OK</v>
      </c>
    </row>
    <row r="29" spans="1:22" hidden="1" x14ac:dyDescent="0.3">
      <c r="A29" s="62" t="s">
        <v>40</v>
      </c>
      <c r="B29" s="62">
        <v>5667</v>
      </c>
      <c r="C29" s="12" t="s">
        <v>50</v>
      </c>
      <c r="D29" s="53"/>
      <c r="E29" s="13"/>
      <c r="F29" s="13"/>
      <c r="G29" s="14"/>
      <c r="H29" s="15"/>
      <c r="I29" s="16">
        <f t="shared" si="4"/>
        <v>0</v>
      </c>
      <c r="J29" s="16"/>
      <c r="K29" s="11"/>
      <c r="L29" s="16"/>
      <c r="M29" s="16"/>
      <c r="N29" s="16"/>
      <c r="O29" s="16"/>
      <c r="P29" s="16"/>
      <c r="Q29" s="16"/>
      <c r="R29" s="35"/>
      <c r="S29" s="43"/>
      <c r="T29" s="46"/>
      <c r="U29" s="51">
        <f t="shared" si="2"/>
        <v>0</v>
      </c>
      <c r="V29" s="17" t="str">
        <f t="shared" si="3"/>
        <v>OK</v>
      </c>
    </row>
    <row r="30" spans="1:22" hidden="1" x14ac:dyDescent="0.3">
      <c r="A30" s="63" t="s">
        <v>41</v>
      </c>
      <c r="B30" s="63">
        <v>5663</v>
      </c>
      <c r="C30" s="18" t="s">
        <v>51</v>
      </c>
      <c r="D30" s="19"/>
      <c r="E30" s="19"/>
      <c r="F30" s="19"/>
      <c r="G30" s="20"/>
      <c r="H30" s="21"/>
      <c r="I30" s="22">
        <f t="shared" si="4"/>
        <v>0</v>
      </c>
      <c r="J30" s="22"/>
      <c r="K30" s="11"/>
      <c r="L30" s="22"/>
      <c r="M30" s="22"/>
      <c r="N30" s="22"/>
      <c r="O30" s="22"/>
      <c r="P30" s="22"/>
      <c r="Q30" s="22"/>
      <c r="R30" s="36"/>
      <c r="S30" s="44"/>
      <c r="T30" s="47"/>
      <c r="U30" s="52">
        <f t="shared" si="2"/>
        <v>0</v>
      </c>
      <c r="V30" s="23" t="str">
        <f t="shared" si="3"/>
        <v>OK</v>
      </c>
    </row>
    <row r="31" spans="1:22" hidden="1" x14ac:dyDescent="0.3">
      <c r="A31" s="62" t="s">
        <v>42</v>
      </c>
      <c r="B31" s="62">
        <v>5659</v>
      </c>
      <c r="C31" s="12" t="s">
        <v>52</v>
      </c>
      <c r="D31" s="53"/>
      <c r="E31" s="13"/>
      <c r="F31" s="13"/>
      <c r="G31" s="14"/>
      <c r="H31" s="15"/>
      <c r="I31" s="16">
        <f t="shared" si="4"/>
        <v>0</v>
      </c>
      <c r="J31" s="16"/>
      <c r="K31" s="11"/>
      <c r="L31" s="16"/>
      <c r="M31" s="16"/>
      <c r="N31" s="16"/>
      <c r="O31" s="16"/>
      <c r="P31" s="16"/>
      <c r="Q31" s="16"/>
      <c r="R31" s="35"/>
      <c r="S31" s="43"/>
      <c r="T31" s="46"/>
      <c r="U31" s="51">
        <f t="shared" si="2"/>
        <v>0</v>
      </c>
      <c r="V31" s="17" t="str">
        <f t="shared" si="3"/>
        <v>OK</v>
      </c>
    </row>
    <row r="32" spans="1:22" hidden="1" x14ac:dyDescent="0.3">
      <c r="A32" s="63" t="s">
        <v>27</v>
      </c>
      <c r="B32" s="63">
        <v>5655</v>
      </c>
      <c r="C32" s="18" t="s">
        <v>54</v>
      </c>
      <c r="D32" s="19"/>
      <c r="E32" s="19"/>
      <c r="F32" s="19"/>
      <c r="G32" s="20"/>
      <c r="H32" s="21"/>
      <c r="I32" s="22">
        <f t="shared" si="4"/>
        <v>0</v>
      </c>
      <c r="J32" s="22"/>
      <c r="K32" s="11"/>
      <c r="L32" s="22"/>
      <c r="M32" s="22"/>
      <c r="N32" s="22"/>
      <c r="O32" s="22"/>
      <c r="P32" s="22"/>
      <c r="Q32" s="22"/>
      <c r="R32" s="36"/>
      <c r="S32" s="44"/>
      <c r="T32" s="47"/>
      <c r="U32" s="52">
        <f t="shared" si="2"/>
        <v>0</v>
      </c>
      <c r="V32" s="23" t="str">
        <f t="shared" si="3"/>
        <v>OK</v>
      </c>
    </row>
    <row r="33" spans="1:22" hidden="1" x14ac:dyDescent="0.3">
      <c r="A33" s="62" t="s">
        <v>70</v>
      </c>
      <c r="B33" s="62">
        <v>5651</v>
      </c>
      <c r="C33" s="12" t="s">
        <v>55</v>
      </c>
      <c r="D33" s="53"/>
      <c r="E33" s="13"/>
      <c r="F33" s="13"/>
      <c r="G33" s="14"/>
      <c r="H33" s="15"/>
      <c r="I33" s="16">
        <f t="shared" si="4"/>
        <v>0</v>
      </c>
      <c r="J33" s="16"/>
      <c r="K33" s="11"/>
      <c r="L33" s="16"/>
      <c r="M33" s="16"/>
      <c r="N33" s="16"/>
      <c r="O33" s="16"/>
      <c r="P33" s="16"/>
      <c r="Q33" s="16"/>
      <c r="R33" s="35"/>
      <c r="S33" s="43"/>
      <c r="T33" s="46"/>
      <c r="U33" s="51">
        <f t="shared" si="2"/>
        <v>0</v>
      </c>
      <c r="V33" s="17" t="str">
        <f t="shared" si="3"/>
        <v>OK</v>
      </c>
    </row>
    <row r="34" spans="1:22" hidden="1" x14ac:dyDescent="0.3">
      <c r="A34" s="63" t="s">
        <v>71</v>
      </c>
      <c r="B34" s="63">
        <v>5643</v>
      </c>
      <c r="C34" s="18" t="s">
        <v>56</v>
      </c>
      <c r="D34" s="19"/>
      <c r="E34" s="19"/>
      <c r="F34" s="19"/>
      <c r="G34" s="20"/>
      <c r="H34" s="21"/>
      <c r="I34" s="22">
        <f t="shared" si="4"/>
        <v>0</v>
      </c>
      <c r="J34" s="22"/>
      <c r="K34" s="11"/>
      <c r="L34" s="22"/>
      <c r="M34" s="22"/>
      <c r="N34" s="22"/>
      <c r="O34" s="22"/>
      <c r="P34" s="22"/>
      <c r="Q34" s="22"/>
      <c r="R34" s="36"/>
      <c r="S34" s="44"/>
      <c r="T34" s="47"/>
      <c r="U34" s="52">
        <f t="shared" si="2"/>
        <v>0</v>
      </c>
      <c r="V34" s="23" t="str">
        <f t="shared" si="3"/>
        <v>OK</v>
      </c>
    </row>
    <row r="35" spans="1:22" hidden="1" x14ac:dyDescent="0.3">
      <c r="A35" s="62" t="s">
        <v>57</v>
      </c>
      <c r="B35" s="62">
        <v>11350</v>
      </c>
      <c r="C35" s="12" t="s">
        <v>56</v>
      </c>
      <c r="D35" s="53"/>
      <c r="E35" s="13"/>
      <c r="F35" s="13"/>
      <c r="G35" s="14"/>
      <c r="H35" s="15"/>
      <c r="I35" s="16">
        <f t="shared" si="4"/>
        <v>0</v>
      </c>
      <c r="J35" s="16"/>
      <c r="K35" s="11"/>
      <c r="L35" s="16"/>
      <c r="M35" s="16"/>
      <c r="N35" s="16"/>
      <c r="O35" s="16"/>
      <c r="P35" s="16"/>
      <c r="Q35" s="16"/>
      <c r="R35" s="35"/>
      <c r="S35" s="43"/>
      <c r="T35" s="46"/>
      <c r="U35" s="51">
        <f t="shared" si="2"/>
        <v>0</v>
      </c>
      <c r="V35" s="17" t="str">
        <f t="shared" si="3"/>
        <v>OK</v>
      </c>
    </row>
    <row r="36" spans="1:22" hidden="1" x14ac:dyDescent="0.3">
      <c r="A36" s="63" t="s">
        <v>72</v>
      </c>
      <c r="B36" s="63">
        <v>5635</v>
      </c>
      <c r="C36" s="18" t="s">
        <v>55</v>
      </c>
      <c r="D36" s="19"/>
      <c r="E36" s="19"/>
      <c r="F36" s="19"/>
      <c r="G36" s="20"/>
      <c r="H36" s="21"/>
      <c r="I36" s="22">
        <f t="shared" si="4"/>
        <v>0</v>
      </c>
      <c r="J36" s="22"/>
      <c r="K36" s="11"/>
      <c r="L36" s="22"/>
      <c r="M36" s="22"/>
      <c r="N36" s="22"/>
      <c r="O36" s="22"/>
      <c r="P36" s="22"/>
      <c r="Q36" s="22"/>
      <c r="R36" s="36"/>
      <c r="S36" s="44"/>
      <c r="T36" s="47"/>
      <c r="U36" s="52">
        <f t="shared" si="2"/>
        <v>0</v>
      </c>
      <c r="V36" s="23" t="str">
        <f t="shared" si="3"/>
        <v>OK</v>
      </c>
    </row>
    <row r="37" spans="1:22" hidden="1" x14ac:dyDescent="0.3">
      <c r="A37" s="62" t="s">
        <v>58</v>
      </c>
      <c r="B37" s="62">
        <v>11349</v>
      </c>
      <c r="C37" s="12" t="s">
        <v>55</v>
      </c>
      <c r="D37" s="53"/>
      <c r="E37" s="13"/>
      <c r="F37" s="13"/>
      <c r="G37" s="14"/>
      <c r="H37" s="15"/>
      <c r="I37" s="16">
        <f t="shared" si="4"/>
        <v>0</v>
      </c>
      <c r="J37" s="16"/>
      <c r="K37" s="11"/>
      <c r="L37" s="16"/>
      <c r="M37" s="16"/>
      <c r="N37" s="16"/>
      <c r="O37" s="16"/>
      <c r="P37" s="16"/>
      <c r="Q37" s="16"/>
      <c r="R37" s="35"/>
      <c r="S37" s="43"/>
      <c r="T37" s="46"/>
      <c r="U37" s="51">
        <f t="shared" ref="U37:U55" si="5">SUM(L37:T37)</f>
        <v>0</v>
      </c>
      <c r="V37" s="17" t="str">
        <f t="shared" si="3"/>
        <v>OK</v>
      </c>
    </row>
    <row r="38" spans="1:22" hidden="1" x14ac:dyDescent="0.3">
      <c r="A38" s="63" t="s">
        <v>73</v>
      </c>
      <c r="B38" s="63">
        <v>5627</v>
      </c>
      <c r="C38" s="18" t="s">
        <v>56</v>
      </c>
      <c r="D38" s="19"/>
      <c r="E38" s="19"/>
      <c r="F38" s="19"/>
      <c r="G38" s="20"/>
      <c r="H38" s="21"/>
      <c r="I38" s="22">
        <f t="shared" si="4"/>
        <v>0</v>
      </c>
      <c r="J38" s="22"/>
      <c r="K38" s="11"/>
      <c r="L38" s="22"/>
      <c r="M38" s="22"/>
      <c r="N38" s="22"/>
      <c r="O38" s="22"/>
      <c r="P38" s="22"/>
      <c r="Q38" s="22"/>
      <c r="R38" s="36"/>
      <c r="S38" s="44"/>
      <c r="T38" s="47"/>
      <c r="U38" s="52">
        <f t="shared" si="5"/>
        <v>0</v>
      </c>
      <c r="V38" s="23" t="str">
        <f t="shared" si="3"/>
        <v>OK</v>
      </c>
    </row>
    <row r="39" spans="1:22" hidden="1" x14ac:dyDescent="0.3">
      <c r="A39" s="62" t="s">
        <v>59</v>
      </c>
      <c r="B39" s="62">
        <v>11348</v>
      </c>
      <c r="C39" s="12" t="s">
        <v>56</v>
      </c>
      <c r="D39" s="53"/>
      <c r="E39" s="13"/>
      <c r="F39" s="13"/>
      <c r="G39" s="14"/>
      <c r="H39" s="15"/>
      <c r="I39" s="16">
        <f t="shared" si="4"/>
        <v>0</v>
      </c>
      <c r="J39" s="16"/>
      <c r="K39" s="11"/>
      <c r="L39" s="16"/>
      <c r="M39" s="16"/>
      <c r="N39" s="16"/>
      <c r="O39" s="16"/>
      <c r="P39" s="16"/>
      <c r="Q39" s="16"/>
      <c r="R39" s="35"/>
      <c r="S39" s="43"/>
      <c r="T39" s="46"/>
      <c r="U39" s="51">
        <f t="shared" si="5"/>
        <v>0</v>
      </c>
      <c r="V39" s="17" t="str">
        <f t="shared" si="3"/>
        <v>OK</v>
      </c>
    </row>
    <row r="40" spans="1:22" hidden="1" x14ac:dyDescent="0.3">
      <c r="A40" s="63" t="s">
        <v>74</v>
      </c>
      <c r="B40" s="63">
        <v>5619</v>
      </c>
      <c r="C40" s="18" t="s">
        <v>60</v>
      </c>
      <c r="D40" s="19"/>
      <c r="E40" s="19"/>
      <c r="F40" s="19"/>
      <c r="G40" s="20"/>
      <c r="H40" s="21"/>
      <c r="I40" s="22">
        <f t="shared" si="4"/>
        <v>0</v>
      </c>
      <c r="J40" s="22"/>
      <c r="K40" s="11"/>
      <c r="L40" s="22"/>
      <c r="M40" s="22"/>
      <c r="N40" s="22"/>
      <c r="O40" s="22"/>
      <c r="P40" s="22"/>
      <c r="Q40" s="22"/>
      <c r="R40" s="36"/>
      <c r="S40" s="44"/>
      <c r="T40" s="47"/>
      <c r="U40" s="52">
        <f t="shared" si="5"/>
        <v>0</v>
      </c>
      <c r="V40" s="23" t="str">
        <f t="shared" si="3"/>
        <v>OK</v>
      </c>
    </row>
    <row r="41" spans="1:22" hidden="1" x14ac:dyDescent="0.3">
      <c r="A41" s="64" t="s">
        <v>61</v>
      </c>
      <c r="B41" s="62">
        <v>11347</v>
      </c>
      <c r="C41" s="12" t="s">
        <v>60</v>
      </c>
      <c r="D41" s="53"/>
      <c r="E41" s="13"/>
      <c r="F41" s="13"/>
      <c r="G41" s="14"/>
      <c r="H41" s="15"/>
      <c r="I41" s="16">
        <f t="shared" si="4"/>
        <v>0</v>
      </c>
      <c r="J41" s="16"/>
      <c r="K41" s="11"/>
      <c r="L41" s="16"/>
      <c r="M41" s="16"/>
      <c r="N41" s="16"/>
      <c r="O41" s="16"/>
      <c r="P41" s="16"/>
      <c r="Q41" s="16"/>
      <c r="R41" s="35"/>
      <c r="S41" s="43"/>
      <c r="T41" s="46"/>
      <c r="U41" s="51">
        <f t="shared" si="5"/>
        <v>0</v>
      </c>
      <c r="V41" s="17" t="str">
        <f t="shared" si="3"/>
        <v>OK</v>
      </c>
    </row>
    <row r="42" spans="1:22" hidden="1" x14ac:dyDescent="0.3">
      <c r="A42" s="54" t="s">
        <v>75</v>
      </c>
      <c r="B42" s="63">
        <v>5611</v>
      </c>
      <c r="C42" s="18" t="s">
        <v>62</v>
      </c>
      <c r="D42" s="19"/>
      <c r="E42" s="19"/>
      <c r="F42" s="19"/>
      <c r="G42" s="20"/>
      <c r="H42" s="21"/>
      <c r="I42" s="22">
        <f t="shared" si="4"/>
        <v>0</v>
      </c>
      <c r="J42" s="22"/>
      <c r="K42" s="11"/>
      <c r="L42" s="22"/>
      <c r="M42" s="22"/>
      <c r="N42" s="22"/>
      <c r="O42" s="22"/>
      <c r="P42" s="22"/>
      <c r="Q42" s="22"/>
      <c r="R42" s="36"/>
      <c r="S42" s="44"/>
      <c r="T42" s="47"/>
      <c r="U42" s="52">
        <f t="shared" si="5"/>
        <v>0</v>
      </c>
      <c r="V42" s="23" t="str">
        <f t="shared" si="3"/>
        <v>OK</v>
      </c>
    </row>
    <row r="43" spans="1:22" hidden="1" x14ac:dyDescent="0.3">
      <c r="A43" s="12" t="s">
        <v>63</v>
      </c>
      <c r="B43" s="62">
        <v>11336</v>
      </c>
      <c r="C43" s="12" t="s">
        <v>62</v>
      </c>
      <c r="D43" s="53"/>
      <c r="E43" s="13"/>
      <c r="F43" s="13"/>
      <c r="G43" s="14"/>
      <c r="H43" s="15"/>
      <c r="I43" s="16">
        <f t="shared" si="4"/>
        <v>0</v>
      </c>
      <c r="J43" s="16"/>
      <c r="K43" s="11"/>
      <c r="L43" s="16"/>
      <c r="M43" s="16"/>
      <c r="N43" s="16"/>
      <c r="O43" s="16"/>
      <c r="P43" s="16"/>
      <c r="Q43" s="16"/>
      <c r="R43" s="35"/>
      <c r="S43" s="43"/>
      <c r="T43" s="46"/>
      <c r="U43" s="51">
        <f t="shared" si="5"/>
        <v>0</v>
      </c>
      <c r="V43" s="17" t="str">
        <f t="shared" si="3"/>
        <v>OK</v>
      </c>
    </row>
    <row r="44" spans="1:22" hidden="1" x14ac:dyDescent="0.3">
      <c r="A44" s="54" t="s">
        <v>100</v>
      </c>
      <c r="B44" s="63">
        <v>14860</v>
      </c>
      <c r="C44" s="18" t="s">
        <v>56</v>
      </c>
      <c r="D44" s="19"/>
      <c r="E44" s="19"/>
      <c r="F44" s="19"/>
      <c r="G44" s="20"/>
      <c r="H44" s="21"/>
      <c r="I44" s="22">
        <f t="shared" si="4"/>
        <v>0</v>
      </c>
      <c r="J44" s="22"/>
      <c r="K44" s="11"/>
      <c r="L44" s="22"/>
      <c r="M44" s="22"/>
      <c r="N44" s="22"/>
      <c r="O44" s="22"/>
      <c r="P44" s="22"/>
      <c r="Q44" s="22"/>
      <c r="R44" s="36"/>
      <c r="S44" s="44"/>
      <c r="T44" s="47"/>
      <c r="U44" s="52">
        <f t="shared" si="5"/>
        <v>0</v>
      </c>
      <c r="V44" s="23" t="str">
        <f t="shared" si="3"/>
        <v>OK</v>
      </c>
    </row>
    <row r="45" spans="1:22" hidden="1" x14ac:dyDescent="0.3">
      <c r="A45" s="64" t="s">
        <v>83</v>
      </c>
      <c r="B45" s="62">
        <v>14861</v>
      </c>
      <c r="C45" s="12" t="s">
        <v>56</v>
      </c>
      <c r="D45" s="53"/>
      <c r="E45" s="13"/>
      <c r="F45" s="13"/>
      <c r="G45" s="14"/>
      <c r="H45" s="15"/>
      <c r="I45" s="16">
        <f t="shared" si="4"/>
        <v>0</v>
      </c>
      <c r="J45" s="16"/>
      <c r="K45" s="11"/>
      <c r="L45" s="16"/>
      <c r="M45" s="16"/>
      <c r="N45" s="16"/>
      <c r="O45" s="16"/>
      <c r="P45" s="16"/>
      <c r="Q45" s="16"/>
      <c r="R45" s="35"/>
      <c r="S45" s="43"/>
      <c r="T45" s="46"/>
      <c r="U45" s="51">
        <f t="shared" si="5"/>
        <v>0</v>
      </c>
      <c r="V45" s="17" t="str">
        <f t="shared" si="3"/>
        <v>OK</v>
      </c>
    </row>
    <row r="46" spans="1:22" hidden="1" x14ac:dyDescent="0.3">
      <c r="A46" s="54" t="s">
        <v>101</v>
      </c>
      <c r="B46" s="63">
        <v>15096</v>
      </c>
      <c r="C46" s="18" t="s">
        <v>56</v>
      </c>
      <c r="D46" s="19"/>
      <c r="E46" s="19"/>
      <c r="F46" s="19"/>
      <c r="G46" s="20"/>
      <c r="H46" s="21"/>
      <c r="I46" s="22">
        <f t="shared" si="4"/>
        <v>0</v>
      </c>
      <c r="J46" s="22"/>
      <c r="K46" s="11"/>
      <c r="L46" s="22"/>
      <c r="M46" s="22"/>
      <c r="N46" s="22"/>
      <c r="O46" s="22"/>
      <c r="P46" s="22"/>
      <c r="Q46" s="22"/>
      <c r="R46" s="36"/>
      <c r="S46" s="44"/>
      <c r="T46" s="47"/>
      <c r="U46" s="52">
        <f t="shared" si="5"/>
        <v>0</v>
      </c>
      <c r="V46" s="23" t="str">
        <f t="shared" si="3"/>
        <v>OK</v>
      </c>
    </row>
    <row r="47" spans="1:22" hidden="1" x14ac:dyDescent="0.3">
      <c r="A47" s="12" t="s">
        <v>81</v>
      </c>
      <c r="B47" s="62">
        <v>15097</v>
      </c>
      <c r="C47" s="12" t="s">
        <v>56</v>
      </c>
      <c r="D47" s="53"/>
      <c r="E47" s="13"/>
      <c r="F47" s="13"/>
      <c r="G47" s="14"/>
      <c r="H47" s="15"/>
      <c r="I47" s="16">
        <f t="shared" si="4"/>
        <v>0</v>
      </c>
      <c r="J47" s="16"/>
      <c r="K47" s="11"/>
      <c r="L47" s="16"/>
      <c r="M47" s="16"/>
      <c r="N47" s="16"/>
      <c r="O47" s="16"/>
      <c r="P47" s="16"/>
      <c r="Q47" s="16"/>
      <c r="R47" s="35"/>
      <c r="S47" s="43"/>
      <c r="T47" s="46"/>
      <c r="U47" s="51">
        <f t="shared" si="5"/>
        <v>0</v>
      </c>
      <c r="V47" s="17" t="str">
        <f t="shared" si="3"/>
        <v>OK</v>
      </c>
    </row>
    <row r="48" spans="1:22" hidden="1" x14ac:dyDescent="0.3">
      <c r="A48" s="54" t="s">
        <v>76</v>
      </c>
      <c r="B48" s="63">
        <v>5585</v>
      </c>
      <c r="C48" s="18" t="s">
        <v>64</v>
      </c>
      <c r="D48" s="19"/>
      <c r="E48" s="19"/>
      <c r="F48" s="19"/>
      <c r="G48" s="20"/>
      <c r="H48" s="21"/>
      <c r="I48" s="22">
        <f t="shared" si="4"/>
        <v>0</v>
      </c>
      <c r="J48" s="22"/>
      <c r="K48" s="11"/>
      <c r="L48" s="22"/>
      <c r="M48" s="22"/>
      <c r="N48" s="22"/>
      <c r="O48" s="22"/>
      <c r="P48" s="22"/>
      <c r="Q48" s="22"/>
      <c r="R48" s="36"/>
      <c r="S48" s="44"/>
      <c r="T48" s="47"/>
      <c r="U48" s="52">
        <f t="shared" si="5"/>
        <v>0</v>
      </c>
      <c r="V48" s="23" t="str">
        <f t="shared" si="3"/>
        <v>OK</v>
      </c>
    </row>
    <row r="49" spans="1:22" hidden="1" x14ac:dyDescent="0.3">
      <c r="A49" s="12" t="s">
        <v>65</v>
      </c>
      <c r="B49" s="62">
        <v>11351</v>
      </c>
      <c r="C49" s="12" t="s">
        <v>64</v>
      </c>
      <c r="D49" s="53"/>
      <c r="E49" s="13"/>
      <c r="F49" s="13"/>
      <c r="G49" s="14"/>
      <c r="H49" s="15"/>
      <c r="I49" s="16">
        <f t="shared" si="4"/>
        <v>0</v>
      </c>
      <c r="J49" s="16"/>
      <c r="K49" s="11"/>
      <c r="L49" s="16"/>
      <c r="M49" s="16"/>
      <c r="N49" s="16"/>
      <c r="O49" s="16"/>
      <c r="P49" s="16"/>
      <c r="Q49" s="16"/>
      <c r="R49" s="35"/>
      <c r="S49" s="43"/>
      <c r="T49" s="46"/>
      <c r="U49" s="51">
        <f t="shared" si="5"/>
        <v>0</v>
      </c>
      <c r="V49" s="17" t="str">
        <f t="shared" si="3"/>
        <v>OK</v>
      </c>
    </row>
    <row r="50" spans="1:22" hidden="1" x14ac:dyDescent="0.3">
      <c r="A50" s="54" t="s">
        <v>66</v>
      </c>
      <c r="B50" s="63">
        <v>11352</v>
      </c>
      <c r="C50" s="18" t="s">
        <v>64</v>
      </c>
      <c r="D50" s="19"/>
      <c r="E50" s="19"/>
      <c r="F50" s="19"/>
      <c r="G50" s="20"/>
      <c r="H50" s="21"/>
      <c r="I50" s="22">
        <f t="shared" si="4"/>
        <v>0</v>
      </c>
      <c r="J50" s="22"/>
      <c r="K50" s="11"/>
      <c r="L50" s="22"/>
      <c r="M50" s="22"/>
      <c r="N50" s="22"/>
      <c r="O50" s="22"/>
      <c r="P50" s="22"/>
      <c r="Q50" s="22"/>
      <c r="R50" s="36"/>
      <c r="S50" s="44"/>
      <c r="T50" s="47"/>
      <c r="U50" s="52">
        <f t="shared" si="5"/>
        <v>0</v>
      </c>
      <c r="V50" s="23" t="str">
        <f t="shared" si="3"/>
        <v>OK</v>
      </c>
    </row>
    <row r="51" spans="1:22" ht="17.25" thickBot="1" x14ac:dyDescent="0.35">
      <c r="A51" s="90" t="s">
        <v>102</v>
      </c>
      <c r="B51" s="76">
        <v>13515</v>
      </c>
      <c r="C51" s="70" t="s">
        <v>78</v>
      </c>
      <c r="D51" s="70"/>
      <c r="E51" s="70"/>
      <c r="F51" s="70"/>
      <c r="G51" s="91"/>
      <c r="H51" s="82"/>
      <c r="I51" s="82">
        <f t="shared" si="4"/>
        <v>5</v>
      </c>
      <c r="J51" s="74"/>
      <c r="K51" s="11"/>
      <c r="L51" s="16"/>
      <c r="M51" s="16">
        <v>5</v>
      </c>
      <c r="N51" s="16"/>
      <c r="O51" s="16"/>
      <c r="P51" s="16"/>
      <c r="Q51" s="16"/>
      <c r="R51" s="35"/>
      <c r="S51" s="43"/>
      <c r="T51" s="46"/>
      <c r="U51" s="75">
        <f t="shared" si="5"/>
        <v>5</v>
      </c>
      <c r="V51" s="93" t="str">
        <f t="shared" si="3"/>
        <v>OK</v>
      </c>
    </row>
    <row r="52" spans="1:22" ht="17.25" hidden="1" thickBot="1" x14ac:dyDescent="0.35">
      <c r="A52" s="54" t="s">
        <v>103</v>
      </c>
      <c r="B52" s="63">
        <v>13516</v>
      </c>
      <c r="C52" s="18" t="s">
        <v>78</v>
      </c>
      <c r="D52" s="18"/>
      <c r="E52" s="18"/>
      <c r="F52" s="18"/>
      <c r="G52" s="92"/>
      <c r="H52" s="22"/>
      <c r="I52" s="22">
        <f t="shared" si="4"/>
        <v>0</v>
      </c>
      <c r="J52" s="69"/>
      <c r="K52" s="11"/>
      <c r="L52" s="22"/>
      <c r="M52" s="22"/>
      <c r="N52" s="22"/>
      <c r="O52" s="22"/>
      <c r="P52" s="22"/>
      <c r="Q52" s="22"/>
      <c r="R52" s="36"/>
      <c r="S52" s="44"/>
      <c r="T52" s="47"/>
      <c r="U52" s="52">
        <f t="shared" si="5"/>
        <v>0</v>
      </c>
      <c r="V52" s="23" t="str">
        <f t="shared" si="3"/>
        <v>OK</v>
      </c>
    </row>
    <row r="53" spans="1:22" ht="17.25" hidden="1" thickBot="1" x14ac:dyDescent="0.35">
      <c r="A53" s="90" t="s">
        <v>104</v>
      </c>
      <c r="B53" s="76">
        <v>13468</v>
      </c>
      <c r="C53" s="70" t="s">
        <v>78</v>
      </c>
      <c r="D53" s="70"/>
      <c r="E53" s="70"/>
      <c r="F53" s="70"/>
      <c r="G53" s="91"/>
      <c r="H53" s="82"/>
      <c r="I53" s="82">
        <f t="shared" si="4"/>
        <v>0</v>
      </c>
      <c r="J53" s="74"/>
      <c r="K53" s="11"/>
      <c r="L53" s="16"/>
      <c r="M53" s="16"/>
      <c r="N53" s="16"/>
      <c r="O53" s="16"/>
      <c r="P53" s="16"/>
      <c r="Q53" s="16"/>
      <c r="R53" s="35"/>
      <c r="S53" s="43"/>
      <c r="T53" s="46"/>
      <c r="U53" s="75">
        <f t="shared" si="5"/>
        <v>0</v>
      </c>
      <c r="V53" s="93" t="str">
        <f t="shared" si="3"/>
        <v>OK</v>
      </c>
    </row>
    <row r="54" spans="1:22" ht="17.25" hidden="1" thickBot="1" x14ac:dyDescent="0.35">
      <c r="A54" s="54" t="s">
        <v>79</v>
      </c>
      <c r="B54" s="63">
        <v>13469</v>
      </c>
      <c r="C54" s="18" t="s">
        <v>78</v>
      </c>
      <c r="D54" s="18"/>
      <c r="E54" s="18"/>
      <c r="F54" s="18"/>
      <c r="G54" s="92"/>
      <c r="H54" s="22"/>
      <c r="I54" s="22">
        <f t="shared" si="4"/>
        <v>0</v>
      </c>
      <c r="J54" s="69"/>
      <c r="K54" s="11"/>
      <c r="L54" s="22"/>
      <c r="M54" s="22"/>
      <c r="N54" s="22"/>
      <c r="O54" s="22"/>
      <c r="P54" s="22"/>
      <c r="Q54" s="22"/>
      <c r="R54" s="36"/>
      <c r="S54" s="44"/>
      <c r="T54" s="47"/>
      <c r="U54" s="52">
        <f t="shared" si="5"/>
        <v>0</v>
      </c>
      <c r="V54" s="23" t="str">
        <f t="shared" si="3"/>
        <v>OK</v>
      </c>
    </row>
    <row r="55" spans="1:22" ht="17.25" hidden="1" thickBot="1" x14ac:dyDescent="0.35">
      <c r="A55" s="90" t="s">
        <v>43</v>
      </c>
      <c r="B55" s="76">
        <v>11820</v>
      </c>
      <c r="C55" s="70" t="s">
        <v>67</v>
      </c>
      <c r="D55" s="70"/>
      <c r="E55" s="70"/>
      <c r="F55" s="70"/>
      <c r="G55" s="91"/>
      <c r="H55" s="82"/>
      <c r="I55" s="82">
        <f t="shared" si="4"/>
        <v>0</v>
      </c>
      <c r="J55" s="74"/>
      <c r="K55" s="11"/>
      <c r="L55" s="16"/>
      <c r="M55" s="16"/>
      <c r="N55" s="16"/>
      <c r="O55" s="16"/>
      <c r="P55" s="16"/>
      <c r="Q55" s="16"/>
      <c r="R55" s="35"/>
      <c r="S55" s="43"/>
      <c r="T55" s="46"/>
      <c r="U55" s="75">
        <f t="shared" si="5"/>
        <v>0</v>
      </c>
      <c r="V55" s="93" t="str">
        <f t="shared" si="3"/>
        <v>OK</v>
      </c>
    </row>
    <row r="56" spans="1:22" ht="17.25" hidden="1" thickBot="1" x14ac:dyDescent="0.35">
      <c r="A56" s="54" t="s">
        <v>44</v>
      </c>
      <c r="B56" s="63">
        <v>11816</v>
      </c>
      <c r="C56" s="18" t="s">
        <v>67</v>
      </c>
      <c r="D56" s="18"/>
      <c r="E56" s="18"/>
      <c r="F56" s="18"/>
      <c r="G56" s="92"/>
      <c r="H56" s="22"/>
      <c r="I56" s="22">
        <f t="shared" si="4"/>
        <v>0</v>
      </c>
      <c r="J56" s="69"/>
      <c r="K56" s="11"/>
      <c r="L56" s="22"/>
      <c r="M56" s="22"/>
      <c r="N56" s="22"/>
      <c r="O56" s="22"/>
      <c r="P56" s="22"/>
      <c r="Q56" s="22"/>
      <c r="R56" s="36"/>
      <c r="S56" s="44"/>
      <c r="T56" s="47"/>
      <c r="U56" s="52">
        <f>SUM(L56:T56)</f>
        <v>0</v>
      </c>
      <c r="V56" s="23" t="str">
        <f t="shared" si="3"/>
        <v>OK</v>
      </c>
    </row>
    <row r="57" spans="1:22" ht="17.25" hidden="1" thickBot="1" x14ac:dyDescent="0.35">
      <c r="A57" s="76" t="s">
        <v>77</v>
      </c>
      <c r="B57" s="76">
        <v>11381</v>
      </c>
      <c r="C57" s="77" t="s">
        <v>68</v>
      </c>
      <c r="D57" s="70"/>
      <c r="E57" s="70"/>
      <c r="F57" s="70"/>
      <c r="G57" s="91"/>
      <c r="H57" s="82"/>
      <c r="I57" s="82">
        <f t="shared" si="4"/>
        <v>0</v>
      </c>
      <c r="J57" s="74"/>
      <c r="K57" s="11"/>
      <c r="L57" s="16"/>
      <c r="M57" s="16"/>
      <c r="N57" s="16"/>
      <c r="O57" s="16"/>
      <c r="P57" s="16"/>
      <c r="Q57" s="16"/>
      <c r="R57" s="35"/>
      <c r="S57" s="43"/>
      <c r="T57" s="46"/>
      <c r="U57" s="75">
        <f>SUM(L57:T57)</f>
        <v>0</v>
      </c>
      <c r="V57" s="93" t="str">
        <f t="shared" si="3"/>
        <v>OK</v>
      </c>
    </row>
    <row r="58" spans="1:22" ht="17.25" hidden="1" thickBot="1" x14ac:dyDescent="0.35">
      <c r="A58" s="54" t="s">
        <v>69</v>
      </c>
      <c r="B58" s="63">
        <v>11382</v>
      </c>
      <c r="C58" s="18" t="s">
        <v>68</v>
      </c>
      <c r="D58" s="18"/>
      <c r="E58" s="18"/>
      <c r="F58" s="18"/>
      <c r="G58" s="92"/>
      <c r="H58" s="22"/>
      <c r="I58" s="22">
        <f t="shared" si="4"/>
        <v>0</v>
      </c>
      <c r="J58" s="69"/>
      <c r="K58" s="11"/>
      <c r="L58" s="22"/>
      <c r="M58" s="22"/>
      <c r="N58" s="22"/>
      <c r="O58" s="22"/>
      <c r="P58" s="22"/>
      <c r="Q58" s="22"/>
      <c r="R58" s="36"/>
      <c r="S58" s="44"/>
      <c r="T58" s="47"/>
      <c r="U58" s="52">
        <f>SUM(L58:T58)</f>
        <v>0</v>
      </c>
      <c r="V58" s="23" t="str">
        <f t="shared" si="3"/>
        <v>OK</v>
      </c>
    </row>
    <row r="59" spans="1:22" ht="17.25" hidden="1" thickBot="1" x14ac:dyDescent="0.35">
      <c r="A59" s="96" t="s">
        <v>105</v>
      </c>
      <c r="B59" s="76">
        <v>16586</v>
      </c>
      <c r="C59" s="70" t="s">
        <v>78</v>
      </c>
      <c r="D59" s="70"/>
      <c r="E59" s="70"/>
      <c r="F59" s="70"/>
      <c r="G59" s="91"/>
      <c r="H59" s="82"/>
      <c r="I59" s="82">
        <f t="shared" si="4"/>
        <v>0</v>
      </c>
      <c r="J59" s="74"/>
      <c r="K59" s="11"/>
      <c r="L59" s="16"/>
      <c r="M59" s="16"/>
      <c r="N59" s="16"/>
      <c r="O59" s="16"/>
      <c r="P59" s="16"/>
      <c r="Q59" s="16"/>
      <c r="R59" s="35"/>
      <c r="S59" s="43"/>
      <c r="T59" s="46"/>
      <c r="U59" s="75">
        <f t="shared" ref="U59:U69" si="6">SUM(L59:T59)</f>
        <v>0</v>
      </c>
      <c r="V59" s="93" t="str">
        <f t="shared" si="3"/>
        <v>OK</v>
      </c>
    </row>
    <row r="60" spans="1:22" ht="17.25" hidden="1" thickBot="1" x14ac:dyDescent="0.35">
      <c r="A60" s="54" t="s">
        <v>90</v>
      </c>
      <c r="B60" s="63">
        <v>16587</v>
      </c>
      <c r="C60" s="18" t="s">
        <v>78</v>
      </c>
      <c r="D60" s="18"/>
      <c r="E60" s="18"/>
      <c r="F60" s="18"/>
      <c r="G60" s="92"/>
      <c r="H60" s="22"/>
      <c r="I60" s="22">
        <f t="shared" si="4"/>
        <v>0</v>
      </c>
      <c r="J60" s="69"/>
      <c r="K60" s="11"/>
      <c r="L60" s="22"/>
      <c r="M60" s="22"/>
      <c r="N60" s="22"/>
      <c r="O60" s="22"/>
      <c r="P60" s="22"/>
      <c r="Q60" s="22"/>
      <c r="R60" s="36"/>
      <c r="S60" s="44"/>
      <c r="T60" s="47"/>
      <c r="U60" s="52">
        <f t="shared" si="6"/>
        <v>0</v>
      </c>
      <c r="V60" s="23" t="str">
        <f t="shared" si="3"/>
        <v>OK</v>
      </c>
    </row>
    <row r="61" spans="1:22" ht="17.25" hidden="1" thickBot="1" x14ac:dyDescent="0.35">
      <c r="A61" s="90" t="s">
        <v>91</v>
      </c>
      <c r="B61" s="76">
        <v>17121</v>
      </c>
      <c r="C61" s="70" t="s">
        <v>92</v>
      </c>
      <c r="D61" s="70"/>
      <c r="E61" s="70"/>
      <c r="F61" s="70"/>
      <c r="G61" s="91"/>
      <c r="H61" s="82"/>
      <c r="I61" s="82">
        <f t="shared" si="4"/>
        <v>0</v>
      </c>
      <c r="J61" s="74"/>
      <c r="K61" s="11"/>
      <c r="L61" s="16"/>
      <c r="M61" s="16"/>
      <c r="N61" s="16"/>
      <c r="O61" s="16"/>
      <c r="P61" s="16"/>
      <c r="Q61" s="16"/>
      <c r="R61" s="35"/>
      <c r="S61" s="43"/>
      <c r="T61" s="46"/>
      <c r="U61" s="75">
        <f t="shared" si="6"/>
        <v>0</v>
      </c>
      <c r="V61" s="93" t="str">
        <f t="shared" si="3"/>
        <v>OK</v>
      </c>
    </row>
    <row r="62" spans="1:22" ht="17.25" hidden="1" thickBot="1" x14ac:dyDescent="0.35">
      <c r="A62" s="54" t="s">
        <v>106</v>
      </c>
      <c r="B62" s="63">
        <v>19270</v>
      </c>
      <c r="C62" s="18" t="s">
        <v>68</v>
      </c>
      <c r="D62" s="18"/>
      <c r="E62" s="18"/>
      <c r="F62" s="18"/>
      <c r="G62" s="92"/>
      <c r="H62" s="22"/>
      <c r="I62" s="22">
        <f t="shared" si="4"/>
        <v>0</v>
      </c>
      <c r="J62" s="69"/>
      <c r="K62" s="11"/>
      <c r="L62" s="22"/>
      <c r="M62" s="22"/>
      <c r="N62" s="22"/>
      <c r="O62" s="22"/>
      <c r="P62" s="22"/>
      <c r="Q62" s="22"/>
      <c r="R62" s="36"/>
      <c r="S62" s="44"/>
      <c r="T62" s="47"/>
      <c r="U62" s="71">
        <f t="shared" si="6"/>
        <v>0</v>
      </c>
      <c r="V62" s="23" t="str">
        <f t="shared" si="3"/>
        <v>OK</v>
      </c>
    </row>
    <row r="63" spans="1:22" ht="17.25" hidden="1" thickBot="1" x14ac:dyDescent="0.35">
      <c r="A63" s="90" t="s">
        <v>107</v>
      </c>
      <c r="B63" s="76">
        <v>19276</v>
      </c>
      <c r="C63" s="70" t="s">
        <v>68</v>
      </c>
      <c r="D63" s="70"/>
      <c r="E63" s="70"/>
      <c r="F63" s="70"/>
      <c r="G63" s="91"/>
      <c r="H63" s="82"/>
      <c r="I63" s="82">
        <f t="shared" si="4"/>
        <v>0</v>
      </c>
      <c r="J63" s="74"/>
      <c r="K63" s="11"/>
      <c r="L63" s="16"/>
      <c r="M63" s="16"/>
      <c r="N63" s="16"/>
      <c r="O63" s="16"/>
      <c r="P63" s="16"/>
      <c r="Q63" s="16"/>
      <c r="R63" s="35"/>
      <c r="S63" s="43"/>
      <c r="T63" s="46"/>
      <c r="U63" s="75">
        <f t="shared" si="6"/>
        <v>0</v>
      </c>
      <c r="V63" s="93" t="str">
        <f t="shared" si="3"/>
        <v>OK</v>
      </c>
    </row>
    <row r="64" spans="1:22" ht="17.25" hidden="1" thickBot="1" x14ac:dyDescent="0.35">
      <c r="A64" s="54" t="s">
        <v>108</v>
      </c>
      <c r="B64" s="63">
        <v>19836</v>
      </c>
      <c r="C64" s="18" t="s">
        <v>45</v>
      </c>
      <c r="D64" s="18"/>
      <c r="E64" s="18"/>
      <c r="F64" s="18"/>
      <c r="G64" s="92"/>
      <c r="H64" s="22"/>
      <c r="I64" s="22">
        <f t="shared" si="4"/>
        <v>0</v>
      </c>
      <c r="J64" s="69"/>
      <c r="K64" s="11"/>
      <c r="L64" s="22"/>
      <c r="M64" s="22"/>
      <c r="N64" s="22"/>
      <c r="O64" s="22"/>
      <c r="P64" s="22"/>
      <c r="Q64" s="22"/>
      <c r="R64" s="36"/>
      <c r="S64" s="44"/>
      <c r="T64" s="47"/>
      <c r="U64" s="52">
        <f t="shared" si="6"/>
        <v>0</v>
      </c>
      <c r="V64" s="23" t="str">
        <f t="shared" si="3"/>
        <v>OK</v>
      </c>
    </row>
    <row r="65" spans="1:22" ht="17.25" hidden="1" thickBot="1" x14ac:dyDescent="0.35">
      <c r="A65" s="90" t="s">
        <v>109</v>
      </c>
      <c r="B65" s="76">
        <v>20278</v>
      </c>
      <c r="C65" s="70" t="s">
        <v>110</v>
      </c>
      <c r="D65" s="70"/>
      <c r="E65" s="70"/>
      <c r="F65" s="70"/>
      <c r="G65" s="91"/>
      <c r="H65" s="82"/>
      <c r="I65" s="82">
        <f t="shared" si="4"/>
        <v>0</v>
      </c>
      <c r="J65" s="74"/>
      <c r="K65" s="11"/>
      <c r="L65" s="16"/>
      <c r="M65" s="16"/>
      <c r="N65" s="16"/>
      <c r="O65" s="16"/>
      <c r="P65" s="16"/>
      <c r="Q65" s="16"/>
      <c r="R65" s="35"/>
      <c r="S65" s="43"/>
      <c r="T65" s="46"/>
      <c r="U65" s="75">
        <f t="shared" si="6"/>
        <v>0</v>
      </c>
      <c r="V65" s="93" t="str">
        <f t="shared" si="3"/>
        <v>OK</v>
      </c>
    </row>
    <row r="66" spans="1:22" ht="17.25" hidden="1" thickBot="1" x14ac:dyDescent="0.35">
      <c r="A66" s="54" t="s">
        <v>111</v>
      </c>
      <c r="B66" s="63">
        <v>20272</v>
      </c>
      <c r="C66" s="18" t="s">
        <v>110</v>
      </c>
      <c r="D66" s="18"/>
      <c r="E66" s="18"/>
      <c r="F66" s="18"/>
      <c r="G66" s="92"/>
      <c r="H66" s="22"/>
      <c r="I66" s="22">
        <f t="shared" si="4"/>
        <v>0</v>
      </c>
      <c r="J66" s="69"/>
      <c r="K66" s="11"/>
      <c r="L66" s="22"/>
      <c r="M66" s="22"/>
      <c r="N66" s="22"/>
      <c r="O66" s="22"/>
      <c r="P66" s="22"/>
      <c r="Q66" s="22"/>
      <c r="R66" s="36"/>
      <c r="S66" s="44"/>
      <c r="T66" s="47"/>
      <c r="U66" s="52">
        <f t="shared" si="6"/>
        <v>0</v>
      </c>
      <c r="V66" s="23" t="str">
        <f t="shared" si="3"/>
        <v>OK</v>
      </c>
    </row>
    <row r="67" spans="1:22" ht="17.25" hidden="1" thickBot="1" x14ac:dyDescent="0.35">
      <c r="A67" s="90" t="s">
        <v>112</v>
      </c>
      <c r="B67" s="76">
        <v>20956</v>
      </c>
      <c r="C67" s="70" t="s">
        <v>110</v>
      </c>
      <c r="D67" s="70"/>
      <c r="E67" s="70"/>
      <c r="F67" s="70"/>
      <c r="G67" s="91"/>
      <c r="H67" s="82"/>
      <c r="I67" s="82">
        <f t="shared" si="4"/>
        <v>0</v>
      </c>
      <c r="J67" s="74"/>
      <c r="K67" s="11"/>
      <c r="L67" s="16"/>
      <c r="M67" s="16"/>
      <c r="N67" s="16"/>
      <c r="O67" s="16"/>
      <c r="P67" s="16"/>
      <c r="Q67" s="16"/>
      <c r="R67" s="35"/>
      <c r="S67" s="43"/>
      <c r="T67" s="46"/>
      <c r="U67" s="75">
        <f t="shared" si="6"/>
        <v>0</v>
      </c>
      <c r="V67" s="93" t="str">
        <f t="shared" si="3"/>
        <v>OK</v>
      </c>
    </row>
    <row r="68" spans="1:22" ht="17.25" hidden="1" thickBot="1" x14ac:dyDescent="0.35">
      <c r="A68" s="54" t="s">
        <v>116</v>
      </c>
      <c r="B68" s="63">
        <v>21299</v>
      </c>
      <c r="C68" s="18" t="s">
        <v>78</v>
      </c>
      <c r="D68" s="18"/>
      <c r="E68" s="18"/>
      <c r="F68" s="18"/>
      <c r="G68" s="92"/>
      <c r="H68" s="22"/>
      <c r="I68" s="22">
        <f t="shared" si="4"/>
        <v>0</v>
      </c>
      <c r="J68" s="69"/>
      <c r="K68" s="11"/>
      <c r="L68" s="22"/>
      <c r="M68" s="22"/>
      <c r="N68" s="22"/>
      <c r="O68" s="22"/>
      <c r="P68" s="22"/>
      <c r="Q68" s="22"/>
      <c r="R68" s="36"/>
      <c r="S68" s="44"/>
      <c r="T68" s="47"/>
      <c r="U68" s="71">
        <f t="shared" si="6"/>
        <v>0</v>
      </c>
      <c r="V68" s="23" t="str">
        <f>IF(U68=I68,"OK","NG")</f>
        <v>OK</v>
      </c>
    </row>
    <row r="69" spans="1:22" ht="17.25" hidden="1" thickBot="1" x14ac:dyDescent="0.35">
      <c r="A69" s="99" t="s">
        <v>117</v>
      </c>
      <c r="B69" s="76">
        <v>22115</v>
      </c>
      <c r="C69" s="82" t="s">
        <v>118</v>
      </c>
      <c r="D69" s="82"/>
      <c r="E69" s="82"/>
      <c r="F69" s="82"/>
      <c r="G69" s="82"/>
      <c r="H69" s="82"/>
      <c r="I69" s="82">
        <f t="shared" si="4"/>
        <v>0</v>
      </c>
      <c r="J69" s="97"/>
      <c r="K69" s="112"/>
      <c r="L69" s="82"/>
      <c r="M69" s="82"/>
      <c r="N69" s="82"/>
      <c r="O69" s="82"/>
      <c r="P69" s="82"/>
      <c r="Q69" s="82"/>
      <c r="R69" s="83"/>
      <c r="S69" s="84"/>
      <c r="T69" s="100"/>
      <c r="U69" s="75">
        <f t="shared" si="6"/>
        <v>0</v>
      </c>
      <c r="V69" s="93" t="str">
        <f>IF(U69=I69,"OK","NG")</f>
        <v>OK</v>
      </c>
    </row>
    <row r="70" spans="1:22" ht="17.25" hidden="1" thickBot="1" x14ac:dyDescent="0.35">
      <c r="A70" s="54" t="s">
        <v>120</v>
      </c>
      <c r="B70" s="63">
        <v>22706</v>
      </c>
      <c r="C70" s="18" t="s">
        <v>119</v>
      </c>
      <c r="D70" s="18"/>
      <c r="E70" s="18"/>
      <c r="F70" s="18"/>
      <c r="G70" s="92"/>
      <c r="H70" s="22"/>
      <c r="I70" s="22">
        <f t="shared" si="4"/>
        <v>0</v>
      </c>
      <c r="J70" s="69"/>
      <c r="K70" s="11"/>
      <c r="L70" s="22"/>
      <c r="M70" s="22"/>
      <c r="N70" s="22"/>
      <c r="O70" s="22"/>
      <c r="P70" s="22"/>
      <c r="Q70" s="22"/>
      <c r="R70" s="36"/>
      <c r="S70" s="44"/>
      <c r="T70" s="47"/>
      <c r="U70" s="71">
        <f t="shared" ref="U70" si="7">SUM(L70:T70)</f>
        <v>0</v>
      </c>
      <c r="V70" s="23" t="str">
        <f>IF(U70=I70,"OK","NG")</f>
        <v>OK</v>
      </c>
    </row>
    <row r="71" spans="1:22" ht="17.25" hidden="1" thickBot="1" x14ac:dyDescent="0.35">
      <c r="A71" s="99" t="s">
        <v>121</v>
      </c>
      <c r="B71" s="76">
        <v>22886</v>
      </c>
      <c r="C71" s="82" t="s">
        <v>46</v>
      </c>
      <c r="D71" s="82"/>
      <c r="E71" s="82"/>
      <c r="F71" s="82"/>
      <c r="G71" s="82"/>
      <c r="H71" s="82"/>
      <c r="I71" s="82">
        <f t="shared" ref="I71:I80" si="8">SUM(L71:T71)</f>
        <v>0</v>
      </c>
      <c r="J71" s="97"/>
      <c r="K71" s="112"/>
      <c r="L71" s="82"/>
      <c r="M71" s="82"/>
      <c r="N71" s="82"/>
      <c r="O71" s="82"/>
      <c r="P71" s="82"/>
      <c r="Q71" s="82"/>
      <c r="R71" s="83"/>
      <c r="S71" s="84"/>
      <c r="T71" s="100"/>
      <c r="U71" s="75">
        <f>SUM(L71:T71)</f>
        <v>0</v>
      </c>
      <c r="V71" s="93" t="str">
        <f>IF(U71=I71,"OK","NG")</f>
        <v>OK</v>
      </c>
    </row>
    <row r="72" spans="1:22" ht="17.25" hidden="1" thickBot="1" x14ac:dyDescent="0.35">
      <c r="A72" s="54" t="s">
        <v>122</v>
      </c>
      <c r="B72" s="63">
        <v>17528</v>
      </c>
      <c r="C72" s="18" t="s">
        <v>123</v>
      </c>
      <c r="D72" s="18"/>
      <c r="E72" s="18"/>
      <c r="F72" s="18"/>
      <c r="G72" s="92"/>
      <c r="H72" s="22"/>
      <c r="I72" s="22">
        <f t="shared" si="8"/>
        <v>0</v>
      </c>
      <c r="J72" s="69"/>
      <c r="K72" s="11"/>
      <c r="L72" s="22"/>
      <c r="M72" s="22"/>
      <c r="N72" s="22"/>
      <c r="O72" s="22"/>
      <c r="P72" s="22"/>
      <c r="Q72" s="22"/>
      <c r="R72" s="36"/>
      <c r="S72" s="44"/>
      <c r="T72" s="47"/>
      <c r="U72" s="71">
        <f t="shared" ref="U72:U80" si="9">SUM(L72:T72)</f>
        <v>0</v>
      </c>
      <c r="V72" s="95" t="str">
        <f t="shared" ref="V72:V80" si="10">IF(U72=I72,"OK","NG")</f>
        <v>OK</v>
      </c>
    </row>
    <row r="73" spans="1:22" ht="17.25" hidden="1" thickBot="1" x14ac:dyDescent="0.35">
      <c r="A73" s="99" t="s">
        <v>124</v>
      </c>
      <c r="B73" s="76">
        <v>22380</v>
      </c>
      <c r="C73" s="82" t="s">
        <v>47</v>
      </c>
      <c r="D73" s="82"/>
      <c r="E73" s="82"/>
      <c r="F73" s="82"/>
      <c r="G73" s="82"/>
      <c r="H73" s="82"/>
      <c r="I73" s="82">
        <f t="shared" si="8"/>
        <v>0</v>
      </c>
      <c r="J73" s="97"/>
      <c r="K73" s="112"/>
      <c r="L73" s="82"/>
      <c r="M73" s="82"/>
      <c r="N73" s="82"/>
      <c r="O73" s="82"/>
      <c r="P73" s="82"/>
      <c r="Q73" s="82"/>
      <c r="R73" s="83"/>
      <c r="S73" s="84"/>
      <c r="T73" s="100"/>
      <c r="U73" s="75">
        <f t="shared" si="9"/>
        <v>0</v>
      </c>
      <c r="V73" s="93" t="str">
        <f t="shared" si="10"/>
        <v>OK</v>
      </c>
    </row>
    <row r="74" spans="1:22" ht="17.25" hidden="1" thickBot="1" x14ac:dyDescent="0.35">
      <c r="A74" s="54" t="s">
        <v>125</v>
      </c>
      <c r="B74" s="63">
        <v>19279</v>
      </c>
      <c r="C74" s="18" t="s">
        <v>126</v>
      </c>
      <c r="D74" s="18"/>
      <c r="E74" s="18"/>
      <c r="F74" s="18"/>
      <c r="G74" s="92"/>
      <c r="H74" s="22"/>
      <c r="I74" s="22">
        <f t="shared" si="8"/>
        <v>0</v>
      </c>
      <c r="J74" s="69"/>
      <c r="K74" s="11"/>
      <c r="L74" s="22"/>
      <c r="M74" s="22"/>
      <c r="N74" s="22"/>
      <c r="O74" s="22"/>
      <c r="P74" s="22"/>
      <c r="Q74" s="22"/>
      <c r="R74" s="36"/>
      <c r="S74" s="44"/>
      <c r="T74" s="47"/>
      <c r="U74" s="71">
        <f t="shared" si="9"/>
        <v>0</v>
      </c>
      <c r="V74" s="95" t="str">
        <f t="shared" si="10"/>
        <v>OK</v>
      </c>
    </row>
    <row r="75" spans="1:22" ht="17.25" hidden="1" thickBot="1" x14ac:dyDescent="0.35">
      <c r="A75" s="90" t="s">
        <v>131</v>
      </c>
      <c r="B75" s="76">
        <v>22724</v>
      </c>
      <c r="C75" s="70" t="s">
        <v>119</v>
      </c>
      <c r="D75" s="70"/>
      <c r="E75" s="70"/>
      <c r="F75" s="70"/>
      <c r="G75" s="91"/>
      <c r="H75" s="82"/>
      <c r="I75" s="82">
        <f t="shared" si="8"/>
        <v>0</v>
      </c>
      <c r="J75" s="74"/>
      <c r="K75" s="11"/>
      <c r="L75" s="82"/>
      <c r="M75" s="82"/>
      <c r="N75" s="82"/>
      <c r="O75" s="82"/>
      <c r="P75" s="82"/>
      <c r="Q75" s="82"/>
      <c r="R75" s="83"/>
      <c r="S75" s="84"/>
      <c r="T75" s="85"/>
      <c r="U75" s="75">
        <f t="shared" si="9"/>
        <v>0</v>
      </c>
      <c r="V75" s="93" t="s">
        <v>129</v>
      </c>
    </row>
    <row r="76" spans="1:22" ht="17.25" hidden="1" thickBot="1" x14ac:dyDescent="0.35">
      <c r="A76" s="54" t="s">
        <v>132</v>
      </c>
      <c r="B76" s="63">
        <v>22705</v>
      </c>
      <c r="C76" s="18" t="s">
        <v>119</v>
      </c>
      <c r="D76" s="18"/>
      <c r="E76" s="18"/>
      <c r="F76" s="18"/>
      <c r="G76" s="92"/>
      <c r="H76" s="22"/>
      <c r="I76" s="22">
        <f t="shared" si="8"/>
        <v>0</v>
      </c>
      <c r="J76" s="69"/>
      <c r="K76" s="11"/>
      <c r="L76" s="22"/>
      <c r="M76" s="22"/>
      <c r="N76" s="22"/>
      <c r="O76" s="22"/>
      <c r="P76" s="22"/>
      <c r="Q76" s="22"/>
      <c r="R76" s="36"/>
      <c r="S76" s="44"/>
      <c r="T76" s="47"/>
      <c r="U76" s="71">
        <f t="shared" si="9"/>
        <v>0</v>
      </c>
      <c r="V76" s="95" t="str">
        <f t="shared" si="10"/>
        <v>OK</v>
      </c>
    </row>
    <row r="77" spans="1:22" ht="17.25" hidden="1" thickBot="1" x14ac:dyDescent="0.35">
      <c r="A77" s="99" t="s">
        <v>128</v>
      </c>
      <c r="B77" s="76">
        <v>5655</v>
      </c>
      <c r="C77" s="82" t="s">
        <v>54</v>
      </c>
      <c r="D77" s="82"/>
      <c r="E77" s="82"/>
      <c r="F77" s="82"/>
      <c r="G77" s="82"/>
      <c r="H77" s="82"/>
      <c r="I77" s="82">
        <f t="shared" si="8"/>
        <v>0</v>
      </c>
      <c r="J77" s="97"/>
      <c r="K77" s="112"/>
      <c r="L77" s="82"/>
      <c r="M77" s="82"/>
      <c r="N77" s="82"/>
      <c r="O77" s="82"/>
      <c r="P77" s="82"/>
      <c r="Q77" s="82"/>
      <c r="R77" s="83"/>
      <c r="S77" s="84"/>
      <c r="T77" s="100"/>
      <c r="U77" s="75">
        <f t="shared" si="9"/>
        <v>0</v>
      </c>
      <c r="V77" s="93" t="str">
        <f t="shared" si="10"/>
        <v>OK</v>
      </c>
    </row>
    <row r="78" spans="1:22" ht="17.25" hidden="1" thickBot="1" x14ac:dyDescent="0.35">
      <c r="A78" s="54" t="s">
        <v>136</v>
      </c>
      <c r="B78" s="63">
        <v>22704</v>
      </c>
      <c r="C78" s="18" t="s">
        <v>137</v>
      </c>
      <c r="D78" s="18"/>
      <c r="E78" s="18"/>
      <c r="F78" s="18"/>
      <c r="G78" s="92"/>
      <c r="H78" s="22"/>
      <c r="I78" s="22">
        <f t="shared" si="8"/>
        <v>0</v>
      </c>
      <c r="J78" s="69"/>
      <c r="K78" s="11"/>
      <c r="L78" s="22"/>
      <c r="M78" s="22"/>
      <c r="N78" s="22"/>
      <c r="O78" s="22"/>
      <c r="P78" s="22"/>
      <c r="Q78" s="22"/>
      <c r="R78" s="36"/>
      <c r="S78" s="44"/>
      <c r="T78" s="47"/>
      <c r="U78" s="71">
        <f t="shared" si="9"/>
        <v>0</v>
      </c>
      <c r="V78" s="95" t="str">
        <f t="shared" si="10"/>
        <v>OK</v>
      </c>
    </row>
    <row r="79" spans="1:22" ht="17.25" hidden="1" thickBot="1" x14ac:dyDescent="0.35">
      <c r="A79" s="132" t="s">
        <v>139</v>
      </c>
      <c r="B79" s="133">
        <v>22722</v>
      </c>
      <c r="C79" s="134" t="s">
        <v>119</v>
      </c>
      <c r="D79" s="134"/>
      <c r="E79" s="134"/>
      <c r="F79" s="134"/>
      <c r="G79" s="135"/>
      <c r="H79" s="137"/>
      <c r="I79" s="82">
        <f t="shared" si="8"/>
        <v>0</v>
      </c>
      <c r="J79" s="74"/>
      <c r="K79" s="118"/>
      <c r="L79" s="82"/>
      <c r="M79" s="82"/>
      <c r="N79" s="82"/>
      <c r="O79" s="82"/>
      <c r="P79" s="82"/>
      <c r="Q79" s="82"/>
      <c r="R79" s="83"/>
      <c r="S79" s="84"/>
      <c r="T79" s="85"/>
      <c r="U79" s="75">
        <f t="shared" si="9"/>
        <v>0</v>
      </c>
      <c r="V79" s="93"/>
    </row>
    <row r="80" spans="1:22" ht="17.25" hidden="1" thickBot="1" x14ac:dyDescent="0.35">
      <c r="A80" s="126" t="s">
        <v>134</v>
      </c>
      <c r="B80" s="127">
        <v>22723</v>
      </c>
      <c r="C80" s="128" t="s">
        <v>119</v>
      </c>
      <c r="D80" s="128"/>
      <c r="E80" s="128"/>
      <c r="F80" s="128"/>
      <c r="G80" s="128"/>
      <c r="H80" s="128"/>
      <c r="I80" s="128">
        <f t="shared" si="8"/>
        <v>0</v>
      </c>
      <c r="J80" s="45"/>
      <c r="K80" s="112"/>
      <c r="L80" s="22"/>
      <c r="M80" s="22"/>
      <c r="N80" s="22"/>
      <c r="O80" s="22"/>
      <c r="P80" s="22"/>
      <c r="Q80" s="22"/>
      <c r="R80" s="36"/>
      <c r="S80" s="44"/>
      <c r="T80" s="116"/>
      <c r="U80" s="52">
        <f t="shared" si="9"/>
        <v>0</v>
      </c>
      <c r="V80" s="23" t="str">
        <f t="shared" si="10"/>
        <v>OK</v>
      </c>
    </row>
    <row r="81" spans="1:22" x14ac:dyDescent="0.3">
      <c r="A81" s="86"/>
      <c r="B81" s="86"/>
      <c r="C81" s="87" t="s">
        <v>9</v>
      </c>
      <c r="D81" s="87"/>
      <c r="E81" s="87"/>
      <c r="F81" s="87"/>
      <c r="G81" s="88">
        <f>SUM(G6:G49)</f>
        <v>0</v>
      </c>
      <c r="H81" s="89">
        <f>SUM(H6:H49)</f>
        <v>0</v>
      </c>
      <c r="I81" s="88">
        <f>SUM(I6:I80)</f>
        <v>8</v>
      </c>
      <c r="J81" s="40">
        <f>SUM(J6:J49)</f>
        <v>0</v>
      </c>
      <c r="K81" s="115">
        <f>SUM(K6:K51)</f>
        <v>0</v>
      </c>
      <c r="L81" s="38">
        <f t="shared" ref="L81:U81" si="11">SUM(L6:L80)</f>
        <v>0</v>
      </c>
      <c r="M81" s="38">
        <f t="shared" si="11"/>
        <v>8</v>
      </c>
      <c r="N81" s="38">
        <f t="shared" si="11"/>
        <v>0</v>
      </c>
      <c r="O81" s="38">
        <f t="shared" si="11"/>
        <v>0</v>
      </c>
      <c r="P81" s="38">
        <f t="shared" si="11"/>
        <v>0</v>
      </c>
      <c r="Q81" s="38">
        <f t="shared" si="11"/>
        <v>0</v>
      </c>
      <c r="R81" s="38">
        <f t="shared" si="11"/>
        <v>0</v>
      </c>
      <c r="S81" s="38">
        <f t="shared" si="11"/>
        <v>0</v>
      </c>
      <c r="T81" s="38">
        <f t="shared" si="11"/>
        <v>0</v>
      </c>
      <c r="U81" s="38">
        <f t="shared" si="11"/>
        <v>8</v>
      </c>
      <c r="V81" s="41" t="str">
        <f>IF(U81=SUM(I81),"OK","NG")</f>
        <v>OK</v>
      </c>
    </row>
  </sheetData>
  <autoFilter ref="A5:V81" xr:uid="{00000000-0001-0000-0000-000000000000}">
    <filterColumn colId="8">
      <filters>
        <filter val="3"/>
        <filter val="5"/>
        <filter val="8"/>
      </filters>
    </filterColumn>
  </autoFilter>
  <mergeCells count="20">
    <mergeCell ref="O4:O5"/>
    <mergeCell ref="P4:P5"/>
    <mergeCell ref="B3:C3"/>
    <mergeCell ref="N4:N5"/>
    <mergeCell ref="B1:C1"/>
    <mergeCell ref="F1:G1"/>
    <mergeCell ref="H1:J3"/>
    <mergeCell ref="B2:C2"/>
    <mergeCell ref="A4:D4"/>
    <mergeCell ref="E4:G4"/>
    <mergeCell ref="H4:J4"/>
    <mergeCell ref="L4:L5"/>
    <mergeCell ref="M4:M5"/>
    <mergeCell ref="Q4:Q5"/>
    <mergeCell ref="R4:R5"/>
    <mergeCell ref="S4:S5"/>
    <mergeCell ref="T4:T5"/>
    <mergeCell ref="V2:V3"/>
    <mergeCell ref="U4:U5"/>
    <mergeCell ref="V4:V5"/>
  </mergeCells>
  <phoneticPr fontId="3" type="noConversion"/>
  <conditionalFormatting sqref="A4 V6:V81">
    <cfRule type="containsText" dxfId="65" priority="11" operator="containsText" text="NG">
      <formula>NOT(ISERROR(SEARCH("NG",A4)))</formula>
    </cfRule>
    <cfRule type="containsText" dxfId="64" priority="12" operator="containsText" text="OK">
      <formula>NOT(ISERROR(SEARCH("OK",A4)))</formula>
    </cfRule>
  </conditionalFormatting>
  <pageMargins left="0.70866141732283472" right="0.70866141732283472" top="0.74803149606299213" bottom="0.74803149606299213" header="0.31496062992125984" footer="0.31496062992125984"/>
  <pageSetup paperSize="8" scale="1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 filterMode="1">
    <pageSetUpPr fitToPage="1"/>
  </sheetPr>
  <dimension ref="A1:V81"/>
  <sheetViews>
    <sheetView showGridLines="0" zoomScale="85" zoomScaleNormal="85" workbookViewId="0">
      <pane ySplit="5" topLeftCell="A17" activePane="bottomLeft" state="frozen"/>
      <selection activeCell="W73" sqref="W73"/>
      <selection pane="bottomLeft" activeCell="N81" sqref="N81"/>
    </sheetView>
  </sheetViews>
  <sheetFormatPr defaultColWidth="9" defaultRowHeight="16.5" x14ac:dyDescent="0.3"/>
  <cols>
    <col min="1" max="1" width="12.625" bestFit="1" customWidth="1"/>
    <col min="2" max="2" width="14.125" bestFit="1" customWidth="1"/>
    <col min="3" max="3" width="35.125" customWidth="1"/>
    <col min="4" max="4" width="11.75" hidden="1" customWidth="1"/>
    <col min="5" max="6" width="9" hidden="1" customWidth="1"/>
    <col min="7" max="7" width="15.375" hidden="1" customWidth="1"/>
    <col min="8" max="8" width="13.25" hidden="1" customWidth="1"/>
    <col min="9" max="9" width="13.25" customWidth="1"/>
    <col min="10" max="10" width="13.25" hidden="1" customWidth="1"/>
    <col min="11" max="11" width="0.875" customWidth="1"/>
    <col min="20" max="20" width="11" bestFit="1" customWidth="1"/>
  </cols>
  <sheetData>
    <row r="1" spans="1:22" ht="22.5" customHeight="1" thickBot="1" x14ac:dyDescent="0.35">
      <c r="A1" s="32" t="s">
        <v>28</v>
      </c>
      <c r="B1" s="153">
        <f>H69</f>
        <v>0</v>
      </c>
      <c r="C1" s="154"/>
      <c r="D1" s="55"/>
      <c r="E1" s="58" t="s">
        <v>1</v>
      </c>
      <c r="F1" s="155">
        <f>G69</f>
        <v>0</v>
      </c>
      <c r="G1" s="155"/>
      <c r="H1" s="156"/>
      <c r="I1" s="156"/>
      <c r="J1" s="156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22.5" customHeight="1" thickBot="1" x14ac:dyDescent="0.35">
      <c r="A2" s="32" t="s">
        <v>29</v>
      </c>
      <c r="B2" s="158">
        <f>I81</f>
        <v>30</v>
      </c>
      <c r="C2" s="159"/>
      <c r="D2" s="56"/>
      <c r="E2" s="59"/>
      <c r="F2" s="2"/>
      <c r="G2" s="2"/>
      <c r="H2" s="156"/>
      <c r="I2" s="156"/>
      <c r="J2" s="156"/>
      <c r="K2" s="113"/>
      <c r="L2" s="3">
        <f>SUBTOTAL(9,L6:L80)</f>
        <v>0</v>
      </c>
      <c r="M2" s="3">
        <f t="shared" ref="M2:T2" si="0">SUBTOTAL(9,M6:M80)</f>
        <v>30</v>
      </c>
      <c r="N2" s="3">
        <f t="shared" si="0"/>
        <v>0</v>
      </c>
      <c r="O2" s="3">
        <f t="shared" si="0"/>
        <v>0</v>
      </c>
      <c r="P2" s="3">
        <f t="shared" si="0"/>
        <v>0</v>
      </c>
      <c r="Q2" s="3">
        <f t="shared" si="0"/>
        <v>0</v>
      </c>
      <c r="R2" s="3">
        <f t="shared" si="0"/>
        <v>0</v>
      </c>
      <c r="S2" s="3">
        <f t="shared" si="0"/>
        <v>0</v>
      </c>
      <c r="T2" s="3">
        <f t="shared" si="0"/>
        <v>0</v>
      </c>
      <c r="U2" s="48">
        <f>SUBTOTAL(9,U6:U80)</f>
        <v>30</v>
      </c>
      <c r="V2" s="145"/>
    </row>
    <row r="3" spans="1:22" ht="22.5" customHeight="1" thickBot="1" x14ac:dyDescent="0.35">
      <c r="A3" s="33" t="s">
        <v>30</v>
      </c>
      <c r="B3" s="151">
        <f>IF(ISERROR(B2/(B2+B1)*1000000),"",(B2/(B2+B1)*1000000))</f>
        <v>1000000</v>
      </c>
      <c r="C3" s="152"/>
      <c r="D3" s="57"/>
      <c r="E3" s="60"/>
      <c r="F3" s="27"/>
      <c r="G3" s="27"/>
      <c r="H3" s="157"/>
      <c r="I3" s="157"/>
      <c r="J3" s="157"/>
      <c r="K3" s="114"/>
      <c r="L3" s="4">
        <f t="shared" ref="L3:U3" si="1">SUM(L6:L80)</f>
        <v>0</v>
      </c>
      <c r="M3" s="4">
        <f t="shared" si="1"/>
        <v>30</v>
      </c>
      <c r="N3" s="4">
        <f t="shared" si="1"/>
        <v>0</v>
      </c>
      <c r="O3" s="4">
        <f t="shared" si="1"/>
        <v>0</v>
      </c>
      <c r="P3" s="4">
        <f t="shared" si="1"/>
        <v>0</v>
      </c>
      <c r="Q3" s="4">
        <f t="shared" si="1"/>
        <v>0</v>
      </c>
      <c r="R3" s="4">
        <f t="shared" si="1"/>
        <v>0</v>
      </c>
      <c r="S3" s="4">
        <f t="shared" si="1"/>
        <v>0</v>
      </c>
      <c r="T3" s="4">
        <f t="shared" si="1"/>
        <v>0</v>
      </c>
      <c r="U3" s="49">
        <f t="shared" si="1"/>
        <v>30</v>
      </c>
      <c r="V3" s="146"/>
    </row>
    <row r="4" spans="1:22" ht="43.5" customHeight="1" x14ac:dyDescent="0.3">
      <c r="A4" s="160" t="str">
        <f>V81</f>
        <v>OK</v>
      </c>
      <c r="B4" s="160"/>
      <c r="C4" s="160"/>
      <c r="D4" s="161"/>
      <c r="E4" s="162" t="s">
        <v>15</v>
      </c>
      <c r="F4" s="162"/>
      <c r="G4" s="162"/>
      <c r="H4" s="163" t="s">
        <v>16</v>
      </c>
      <c r="I4" s="163"/>
      <c r="J4" s="163"/>
      <c r="K4" s="113"/>
      <c r="L4" s="164" t="s">
        <v>10</v>
      </c>
      <c r="M4" s="142" t="s">
        <v>17</v>
      </c>
      <c r="N4" s="142" t="s">
        <v>11</v>
      </c>
      <c r="O4" s="138" t="s">
        <v>12</v>
      </c>
      <c r="P4" s="142" t="s">
        <v>13</v>
      </c>
      <c r="Q4" s="138" t="s">
        <v>14</v>
      </c>
      <c r="R4" s="140" t="s">
        <v>20</v>
      </c>
      <c r="S4" s="142" t="s">
        <v>21</v>
      </c>
      <c r="T4" s="143" t="s">
        <v>22</v>
      </c>
      <c r="U4" s="147" t="s">
        <v>18</v>
      </c>
      <c r="V4" s="149" t="s">
        <v>19</v>
      </c>
    </row>
    <row r="5" spans="1:22" ht="33.75" thickBot="1" x14ac:dyDescent="0.35">
      <c r="A5" s="29" t="s">
        <v>3</v>
      </c>
      <c r="B5" s="30" t="s">
        <v>32</v>
      </c>
      <c r="C5" s="29" t="s">
        <v>4</v>
      </c>
      <c r="D5" s="29" t="s">
        <v>31</v>
      </c>
      <c r="E5" s="29" t="s">
        <v>5</v>
      </c>
      <c r="F5" s="29" t="s">
        <v>6</v>
      </c>
      <c r="G5" s="30" t="s">
        <v>7</v>
      </c>
      <c r="H5" s="31" t="s">
        <v>0</v>
      </c>
      <c r="I5" s="31" t="s">
        <v>2</v>
      </c>
      <c r="J5" s="31" t="s">
        <v>8</v>
      </c>
      <c r="K5" s="28"/>
      <c r="L5" s="165"/>
      <c r="M5" s="139"/>
      <c r="N5" s="139"/>
      <c r="O5" s="139"/>
      <c r="P5" s="139"/>
      <c r="Q5" s="139"/>
      <c r="R5" s="141"/>
      <c r="S5" s="139"/>
      <c r="T5" s="144"/>
      <c r="U5" s="148"/>
      <c r="V5" s="150"/>
    </row>
    <row r="6" spans="1:22" hidden="1" x14ac:dyDescent="0.3">
      <c r="A6" s="61" t="s">
        <v>33</v>
      </c>
      <c r="B6" s="61">
        <v>8092</v>
      </c>
      <c r="C6" s="6" t="s">
        <v>45</v>
      </c>
      <c r="D6" s="7"/>
      <c r="E6" s="7"/>
      <c r="F6" s="7"/>
      <c r="G6" s="8"/>
      <c r="H6" s="9"/>
      <c r="I6" s="10">
        <f>SUM(L6:T6)</f>
        <v>0</v>
      </c>
      <c r="J6" s="10"/>
      <c r="K6" s="11"/>
      <c r="L6" s="10"/>
      <c r="M6" s="10"/>
      <c r="N6" s="10"/>
      <c r="O6" s="10"/>
      <c r="P6" s="10"/>
      <c r="Q6" s="10"/>
      <c r="R6" s="34"/>
      <c r="S6" s="42"/>
      <c r="T6" s="45"/>
      <c r="U6" s="50">
        <f t="shared" ref="U6:U36" si="2">SUM(L6:T6)</f>
        <v>0</v>
      </c>
      <c r="V6" s="26" t="str">
        <f t="shared" ref="V6:V67" si="3">IF(U6=I6,"OK","NG")</f>
        <v>OK</v>
      </c>
    </row>
    <row r="7" spans="1:22" hidden="1" x14ac:dyDescent="0.3">
      <c r="A7" s="62" t="s">
        <v>95</v>
      </c>
      <c r="B7" s="62">
        <v>8088</v>
      </c>
      <c r="C7" s="12" t="s">
        <v>46</v>
      </c>
      <c r="D7" s="53"/>
      <c r="E7" s="13"/>
      <c r="F7" s="13"/>
      <c r="G7" s="14"/>
      <c r="H7" s="15"/>
      <c r="I7" s="16">
        <f t="shared" ref="I7:I70" si="4">SUM(L7:T7)</f>
        <v>0</v>
      </c>
      <c r="J7" s="16"/>
      <c r="K7" s="11"/>
      <c r="L7" s="16"/>
      <c r="M7" s="16"/>
      <c r="N7" s="16"/>
      <c r="O7" s="16"/>
      <c r="P7" s="16"/>
      <c r="Q7" s="16"/>
      <c r="R7" s="35"/>
      <c r="S7" s="43"/>
      <c r="T7" s="46"/>
      <c r="U7" s="51">
        <f t="shared" si="2"/>
        <v>0</v>
      </c>
      <c r="V7" s="17" t="str">
        <f t="shared" si="3"/>
        <v>OK</v>
      </c>
    </row>
    <row r="8" spans="1:22" hidden="1" x14ac:dyDescent="0.3">
      <c r="A8" s="63" t="s">
        <v>96</v>
      </c>
      <c r="B8" s="63">
        <v>8081</v>
      </c>
      <c r="C8" s="18" t="s">
        <v>46</v>
      </c>
      <c r="D8" s="19"/>
      <c r="E8" s="19"/>
      <c r="F8" s="19"/>
      <c r="G8" s="20"/>
      <c r="H8" s="21"/>
      <c r="I8" s="22">
        <f t="shared" si="4"/>
        <v>0</v>
      </c>
      <c r="J8" s="22"/>
      <c r="K8" s="11"/>
      <c r="L8" s="22"/>
      <c r="M8" s="22"/>
      <c r="N8" s="22"/>
      <c r="O8" s="22"/>
      <c r="P8" s="22"/>
      <c r="Q8" s="22"/>
      <c r="R8" s="36"/>
      <c r="S8" s="44"/>
      <c r="T8" s="47"/>
      <c r="U8" s="52">
        <f t="shared" si="2"/>
        <v>0</v>
      </c>
      <c r="V8" s="23" t="str">
        <f t="shared" si="3"/>
        <v>OK</v>
      </c>
    </row>
    <row r="9" spans="1:22" hidden="1" x14ac:dyDescent="0.3">
      <c r="A9" s="62" t="s">
        <v>97</v>
      </c>
      <c r="B9" s="62">
        <v>18524</v>
      </c>
      <c r="C9" s="12" t="s">
        <v>46</v>
      </c>
      <c r="D9" s="53"/>
      <c r="E9" s="13"/>
      <c r="F9" s="13"/>
      <c r="G9" s="14"/>
      <c r="H9" s="15"/>
      <c r="I9" s="16">
        <f t="shared" si="4"/>
        <v>0</v>
      </c>
      <c r="J9" s="16"/>
      <c r="K9" s="11"/>
      <c r="L9" s="16"/>
      <c r="M9" s="16"/>
      <c r="N9" s="16"/>
      <c r="O9" s="16"/>
      <c r="P9" s="16"/>
      <c r="Q9" s="16"/>
      <c r="R9" s="35"/>
      <c r="S9" s="43"/>
      <c r="T9" s="46"/>
      <c r="U9" s="51">
        <f t="shared" si="2"/>
        <v>0</v>
      </c>
      <c r="V9" s="17" t="str">
        <f t="shared" si="3"/>
        <v>OK</v>
      </c>
    </row>
    <row r="10" spans="1:22" hidden="1" x14ac:dyDescent="0.3">
      <c r="A10" s="63" t="s">
        <v>34</v>
      </c>
      <c r="B10" s="63">
        <v>6234</v>
      </c>
      <c r="C10" s="18" t="s">
        <v>47</v>
      </c>
      <c r="D10" s="19"/>
      <c r="E10" s="19"/>
      <c r="F10" s="19"/>
      <c r="G10" s="20"/>
      <c r="H10" s="21"/>
      <c r="I10" s="22">
        <f t="shared" si="4"/>
        <v>0</v>
      </c>
      <c r="J10" s="22"/>
      <c r="K10" s="11"/>
      <c r="L10" s="22"/>
      <c r="M10" s="22"/>
      <c r="N10" s="22"/>
      <c r="O10" s="22"/>
      <c r="P10" s="22"/>
      <c r="Q10" s="22"/>
      <c r="R10" s="36"/>
      <c r="S10" s="44"/>
      <c r="T10" s="47"/>
      <c r="U10" s="52">
        <f t="shared" si="2"/>
        <v>0</v>
      </c>
      <c r="V10" s="23" t="str">
        <f t="shared" si="3"/>
        <v>OK</v>
      </c>
    </row>
    <row r="11" spans="1:22" hidden="1" x14ac:dyDescent="0.3">
      <c r="A11" s="62" t="s">
        <v>80</v>
      </c>
      <c r="B11" s="62">
        <v>14830</v>
      </c>
      <c r="C11" s="12" t="s">
        <v>47</v>
      </c>
      <c r="D11" s="53"/>
      <c r="E11" s="13"/>
      <c r="F11" s="13"/>
      <c r="G11" s="14"/>
      <c r="H11" s="15"/>
      <c r="I11" s="16">
        <f t="shared" si="4"/>
        <v>0</v>
      </c>
      <c r="J11" s="16"/>
      <c r="K11" s="11"/>
      <c r="L11" s="16"/>
      <c r="M11" s="16"/>
      <c r="N11" s="16"/>
      <c r="O11" s="16"/>
      <c r="P11" s="16"/>
      <c r="Q11" s="16"/>
      <c r="R11" s="35"/>
      <c r="S11" s="43"/>
      <c r="T11" s="46"/>
      <c r="U11" s="51">
        <f t="shared" si="2"/>
        <v>0</v>
      </c>
      <c r="V11" s="17" t="str">
        <f t="shared" si="3"/>
        <v>OK</v>
      </c>
    </row>
    <row r="12" spans="1:22" hidden="1" x14ac:dyDescent="0.3">
      <c r="A12" s="63" t="s">
        <v>35</v>
      </c>
      <c r="B12" s="63">
        <v>6004</v>
      </c>
      <c r="C12" s="18" t="s">
        <v>48</v>
      </c>
      <c r="D12" s="19"/>
      <c r="E12" s="19"/>
      <c r="F12" s="19"/>
      <c r="G12" s="20"/>
      <c r="H12" s="21"/>
      <c r="I12" s="22">
        <f t="shared" si="4"/>
        <v>0</v>
      </c>
      <c r="J12" s="22"/>
      <c r="K12" s="11"/>
      <c r="L12" s="22"/>
      <c r="M12" s="22"/>
      <c r="N12" s="22"/>
      <c r="O12" s="22"/>
      <c r="P12" s="22"/>
      <c r="Q12" s="22"/>
      <c r="R12" s="36"/>
      <c r="S12" s="44"/>
      <c r="T12" s="47"/>
      <c r="U12" s="52">
        <f t="shared" si="2"/>
        <v>0</v>
      </c>
      <c r="V12" s="23" t="str">
        <f t="shared" si="3"/>
        <v>OK</v>
      </c>
    </row>
    <row r="13" spans="1:22" hidden="1" x14ac:dyDescent="0.3">
      <c r="A13" s="62" t="s">
        <v>36</v>
      </c>
      <c r="B13" s="62">
        <v>11857</v>
      </c>
      <c r="C13" s="12" t="s">
        <v>48</v>
      </c>
      <c r="D13" s="53"/>
      <c r="E13" s="13"/>
      <c r="F13" s="13"/>
      <c r="G13" s="14"/>
      <c r="H13" s="15"/>
      <c r="I13" s="16">
        <f t="shared" si="4"/>
        <v>0</v>
      </c>
      <c r="J13" s="16"/>
      <c r="K13" s="11"/>
      <c r="L13" s="16"/>
      <c r="M13" s="16"/>
      <c r="N13" s="16"/>
      <c r="O13" s="16"/>
      <c r="P13" s="16"/>
      <c r="Q13" s="16"/>
      <c r="R13" s="35"/>
      <c r="S13" s="43"/>
      <c r="T13" s="46"/>
      <c r="U13" s="51">
        <f t="shared" si="2"/>
        <v>0</v>
      </c>
      <c r="V13" s="17" t="str">
        <f t="shared" si="3"/>
        <v>OK</v>
      </c>
    </row>
    <row r="14" spans="1:22" hidden="1" x14ac:dyDescent="0.3">
      <c r="A14" s="63" t="s">
        <v>82</v>
      </c>
      <c r="B14" s="63">
        <v>15004</v>
      </c>
      <c r="C14" s="18" t="s">
        <v>48</v>
      </c>
      <c r="D14" s="19"/>
      <c r="E14" s="19"/>
      <c r="F14" s="19"/>
      <c r="G14" s="20"/>
      <c r="H14" s="21"/>
      <c r="I14" s="22">
        <f t="shared" si="4"/>
        <v>0</v>
      </c>
      <c r="J14" s="22"/>
      <c r="K14" s="11"/>
      <c r="L14" s="22"/>
      <c r="M14" s="22"/>
      <c r="N14" s="22"/>
      <c r="O14" s="22"/>
      <c r="P14" s="22"/>
      <c r="Q14" s="22"/>
      <c r="R14" s="36"/>
      <c r="S14" s="44"/>
      <c r="T14" s="47"/>
      <c r="U14" s="52">
        <f t="shared" si="2"/>
        <v>0</v>
      </c>
      <c r="V14" s="23" t="str">
        <f t="shared" si="3"/>
        <v>OK</v>
      </c>
    </row>
    <row r="15" spans="1:22" hidden="1" x14ac:dyDescent="0.3">
      <c r="A15" s="62" t="s">
        <v>86</v>
      </c>
      <c r="B15" s="62">
        <v>15174</v>
      </c>
      <c r="C15" s="12" t="s">
        <v>45</v>
      </c>
      <c r="D15" s="53"/>
      <c r="E15" s="13"/>
      <c r="F15" s="13"/>
      <c r="G15" s="14"/>
      <c r="H15" s="15"/>
      <c r="I15" s="16">
        <f t="shared" si="4"/>
        <v>0</v>
      </c>
      <c r="J15" s="16"/>
      <c r="K15" s="11"/>
      <c r="L15" s="16"/>
      <c r="M15" s="16"/>
      <c r="N15" s="16"/>
      <c r="O15" s="16"/>
      <c r="P15" s="16"/>
      <c r="Q15" s="16"/>
      <c r="R15" s="35"/>
      <c r="S15" s="43"/>
      <c r="T15" s="46"/>
      <c r="U15" s="51">
        <f t="shared" si="2"/>
        <v>0</v>
      </c>
      <c r="V15" s="17" t="str">
        <f t="shared" si="3"/>
        <v>OK</v>
      </c>
    </row>
    <row r="16" spans="1:22" hidden="1" x14ac:dyDescent="0.3">
      <c r="A16" s="63" t="s">
        <v>87</v>
      </c>
      <c r="B16" s="63">
        <v>15520</v>
      </c>
      <c r="C16" s="18" t="s">
        <v>47</v>
      </c>
      <c r="D16" s="19"/>
      <c r="E16" s="19"/>
      <c r="F16" s="19"/>
      <c r="G16" s="20"/>
      <c r="H16" s="21"/>
      <c r="I16" s="22">
        <f t="shared" si="4"/>
        <v>0</v>
      </c>
      <c r="J16" s="22"/>
      <c r="K16" s="11"/>
      <c r="L16" s="22"/>
      <c r="M16" s="22"/>
      <c r="N16" s="22"/>
      <c r="O16" s="22"/>
      <c r="P16" s="22"/>
      <c r="Q16" s="22"/>
      <c r="R16" s="36"/>
      <c r="S16" s="44"/>
      <c r="T16" s="47"/>
      <c r="U16" s="52">
        <f t="shared" si="2"/>
        <v>0</v>
      </c>
      <c r="V16" s="23" t="str">
        <f t="shared" si="3"/>
        <v>OK</v>
      </c>
    </row>
    <row r="17" spans="1:22" x14ac:dyDescent="0.3">
      <c r="A17" s="62" t="s">
        <v>85</v>
      </c>
      <c r="B17" s="62">
        <v>14989</v>
      </c>
      <c r="C17" s="12" t="s">
        <v>45</v>
      </c>
      <c r="D17" s="53"/>
      <c r="E17" s="13"/>
      <c r="F17" s="13"/>
      <c r="G17" s="14"/>
      <c r="H17" s="15"/>
      <c r="I17" s="16">
        <f t="shared" si="4"/>
        <v>5</v>
      </c>
      <c r="J17" s="16"/>
      <c r="K17" s="11"/>
      <c r="L17" s="16"/>
      <c r="M17" s="16">
        <v>5</v>
      </c>
      <c r="N17" s="16"/>
      <c r="O17" s="16"/>
      <c r="P17" s="16"/>
      <c r="Q17" s="16"/>
      <c r="R17" s="35"/>
      <c r="S17" s="43"/>
      <c r="T17" s="46"/>
      <c r="U17" s="51">
        <f t="shared" si="2"/>
        <v>5</v>
      </c>
      <c r="V17" s="17" t="str">
        <f t="shared" si="3"/>
        <v>OK</v>
      </c>
    </row>
    <row r="18" spans="1:22" hidden="1" x14ac:dyDescent="0.3">
      <c r="A18" s="63" t="s">
        <v>84</v>
      </c>
      <c r="B18" s="63">
        <v>14984</v>
      </c>
      <c r="C18" s="18" t="s">
        <v>46</v>
      </c>
      <c r="D18" s="19"/>
      <c r="E18" s="19"/>
      <c r="F18" s="19"/>
      <c r="G18" s="20"/>
      <c r="H18" s="21"/>
      <c r="I18" s="22">
        <f t="shared" si="4"/>
        <v>0</v>
      </c>
      <c r="J18" s="22"/>
      <c r="K18" s="11"/>
      <c r="L18" s="22"/>
      <c r="M18" s="22"/>
      <c r="N18" s="22"/>
      <c r="O18" s="22"/>
      <c r="P18" s="22"/>
      <c r="Q18" s="22"/>
      <c r="R18" s="36"/>
      <c r="S18" s="44"/>
      <c r="T18" s="47"/>
      <c r="U18" s="52">
        <f t="shared" si="2"/>
        <v>0</v>
      </c>
      <c r="V18" s="23" t="str">
        <f t="shared" si="3"/>
        <v>OK</v>
      </c>
    </row>
    <row r="19" spans="1:22" hidden="1" x14ac:dyDescent="0.3">
      <c r="A19" s="62" t="s">
        <v>88</v>
      </c>
      <c r="B19" s="62">
        <v>16270</v>
      </c>
      <c r="C19" s="12" t="s">
        <v>89</v>
      </c>
      <c r="D19" s="53"/>
      <c r="E19" s="13"/>
      <c r="F19" s="13"/>
      <c r="G19" s="14"/>
      <c r="H19" s="15"/>
      <c r="I19" s="16">
        <f t="shared" si="4"/>
        <v>0</v>
      </c>
      <c r="J19" s="16"/>
      <c r="K19" s="11"/>
      <c r="L19" s="16"/>
      <c r="M19" s="16"/>
      <c r="N19" s="16"/>
      <c r="O19" s="16"/>
      <c r="P19" s="16"/>
      <c r="Q19" s="16"/>
      <c r="R19" s="35"/>
      <c r="S19" s="43"/>
      <c r="T19" s="46"/>
      <c r="U19" s="51">
        <f t="shared" si="2"/>
        <v>0</v>
      </c>
      <c r="V19" s="17" t="str">
        <f t="shared" si="3"/>
        <v>OK</v>
      </c>
    </row>
    <row r="20" spans="1:22" hidden="1" x14ac:dyDescent="0.3">
      <c r="A20" s="63" t="s">
        <v>98</v>
      </c>
      <c r="B20" s="63">
        <v>19060</v>
      </c>
      <c r="C20" s="18" t="s">
        <v>47</v>
      </c>
      <c r="D20" s="19"/>
      <c r="E20" s="19"/>
      <c r="F20" s="19"/>
      <c r="G20" s="20"/>
      <c r="H20" s="21"/>
      <c r="I20" s="22">
        <f t="shared" si="4"/>
        <v>0</v>
      </c>
      <c r="J20" s="22"/>
      <c r="K20" s="11"/>
      <c r="L20" s="22"/>
      <c r="M20" s="22"/>
      <c r="N20" s="22"/>
      <c r="O20" s="22"/>
      <c r="P20" s="22"/>
      <c r="Q20" s="22"/>
      <c r="R20" s="36"/>
      <c r="S20" s="44"/>
      <c r="T20" s="47"/>
      <c r="U20" s="52">
        <f t="shared" si="2"/>
        <v>0</v>
      </c>
      <c r="V20" s="23" t="str">
        <f t="shared" si="3"/>
        <v>OK</v>
      </c>
    </row>
    <row r="21" spans="1:22" hidden="1" x14ac:dyDescent="0.3">
      <c r="A21" s="62" t="s">
        <v>99</v>
      </c>
      <c r="B21" s="62">
        <v>18828</v>
      </c>
      <c r="C21" s="12" t="s">
        <v>94</v>
      </c>
      <c r="D21" s="53"/>
      <c r="E21" s="13"/>
      <c r="F21" s="13"/>
      <c r="G21" s="14"/>
      <c r="H21" s="15"/>
      <c r="I21" s="16">
        <f t="shared" si="4"/>
        <v>0</v>
      </c>
      <c r="J21" s="16"/>
      <c r="K21" s="11"/>
      <c r="L21" s="16"/>
      <c r="M21" s="16"/>
      <c r="N21" s="16"/>
      <c r="O21" s="16"/>
      <c r="P21" s="16"/>
      <c r="Q21" s="16"/>
      <c r="R21" s="35"/>
      <c r="S21" s="43"/>
      <c r="T21" s="46"/>
      <c r="U21" s="51">
        <f t="shared" si="2"/>
        <v>0</v>
      </c>
      <c r="V21" s="17" t="str">
        <f t="shared" si="3"/>
        <v>OK</v>
      </c>
    </row>
    <row r="22" spans="1:22" hidden="1" x14ac:dyDescent="0.3">
      <c r="A22" s="63" t="s">
        <v>23</v>
      </c>
      <c r="B22" s="63">
        <v>5695</v>
      </c>
      <c r="C22" s="18" t="s">
        <v>49</v>
      </c>
      <c r="D22" s="19"/>
      <c r="E22" s="19"/>
      <c r="F22" s="19"/>
      <c r="G22" s="20"/>
      <c r="H22" s="21"/>
      <c r="I22" s="22">
        <f t="shared" si="4"/>
        <v>0</v>
      </c>
      <c r="J22" s="22"/>
      <c r="K22" s="11"/>
      <c r="L22" s="22"/>
      <c r="M22" s="22"/>
      <c r="N22" s="22"/>
      <c r="O22" s="22"/>
      <c r="P22" s="22"/>
      <c r="Q22" s="22"/>
      <c r="R22" s="36"/>
      <c r="S22" s="44"/>
      <c r="T22" s="47"/>
      <c r="U22" s="52">
        <f t="shared" si="2"/>
        <v>0</v>
      </c>
      <c r="V22" s="23" t="str">
        <f t="shared" si="3"/>
        <v>OK</v>
      </c>
    </row>
    <row r="23" spans="1:22" hidden="1" x14ac:dyDescent="0.3">
      <c r="A23" s="62" t="s">
        <v>24</v>
      </c>
      <c r="B23" s="62">
        <v>5691</v>
      </c>
      <c r="C23" s="12" t="s">
        <v>50</v>
      </c>
      <c r="D23" s="53"/>
      <c r="E23" s="13"/>
      <c r="F23" s="13"/>
      <c r="G23" s="14"/>
      <c r="H23" s="15"/>
      <c r="I23" s="16">
        <f t="shared" si="4"/>
        <v>0</v>
      </c>
      <c r="J23" s="16"/>
      <c r="K23" s="11"/>
      <c r="L23" s="16"/>
      <c r="M23" s="16"/>
      <c r="N23" s="16"/>
      <c r="O23" s="16"/>
      <c r="P23" s="16"/>
      <c r="Q23" s="16"/>
      <c r="R23" s="35"/>
      <c r="S23" s="43"/>
      <c r="T23" s="46"/>
      <c r="U23" s="51">
        <f t="shared" si="2"/>
        <v>0</v>
      </c>
      <c r="V23" s="17" t="str">
        <f t="shared" si="3"/>
        <v>OK</v>
      </c>
    </row>
    <row r="24" spans="1:22" hidden="1" x14ac:dyDescent="0.3">
      <c r="A24" s="63" t="s">
        <v>37</v>
      </c>
      <c r="B24" s="63">
        <v>5687</v>
      </c>
      <c r="C24" s="18" t="s">
        <v>51</v>
      </c>
      <c r="D24" s="19"/>
      <c r="E24" s="19"/>
      <c r="F24" s="19"/>
      <c r="G24" s="20"/>
      <c r="H24" s="21"/>
      <c r="I24" s="22">
        <f t="shared" si="4"/>
        <v>0</v>
      </c>
      <c r="J24" s="22"/>
      <c r="K24" s="11"/>
      <c r="L24" s="22"/>
      <c r="M24" s="22"/>
      <c r="N24" s="22"/>
      <c r="O24" s="22"/>
      <c r="P24" s="22"/>
      <c r="Q24" s="22"/>
      <c r="R24" s="36"/>
      <c r="S24" s="44"/>
      <c r="T24" s="47"/>
      <c r="U24" s="52">
        <f t="shared" si="2"/>
        <v>0</v>
      </c>
      <c r="V24" s="23" t="str">
        <f t="shared" si="3"/>
        <v>OK</v>
      </c>
    </row>
    <row r="25" spans="1:22" hidden="1" x14ac:dyDescent="0.3">
      <c r="A25" s="62" t="s">
        <v>38</v>
      </c>
      <c r="B25" s="62">
        <v>5683</v>
      </c>
      <c r="C25" s="12" t="s">
        <v>51</v>
      </c>
      <c r="D25" s="53"/>
      <c r="E25" s="13"/>
      <c r="F25" s="13"/>
      <c r="G25" s="14"/>
      <c r="H25" s="15"/>
      <c r="I25" s="16">
        <f t="shared" si="4"/>
        <v>0</v>
      </c>
      <c r="J25" s="16"/>
      <c r="K25" s="11"/>
      <c r="L25" s="16"/>
      <c r="M25" s="16"/>
      <c r="N25" s="16"/>
      <c r="O25" s="16"/>
      <c r="P25" s="16"/>
      <c r="Q25" s="16"/>
      <c r="R25" s="35"/>
      <c r="S25" s="43"/>
      <c r="T25" s="46"/>
      <c r="U25" s="51">
        <f t="shared" si="2"/>
        <v>0</v>
      </c>
      <c r="V25" s="17" t="str">
        <f t="shared" si="3"/>
        <v>OK</v>
      </c>
    </row>
    <row r="26" spans="1:22" hidden="1" x14ac:dyDescent="0.3">
      <c r="A26" s="63" t="s">
        <v>25</v>
      </c>
      <c r="B26" s="63">
        <v>5679</v>
      </c>
      <c r="C26" s="18" t="s">
        <v>52</v>
      </c>
      <c r="D26" s="19"/>
      <c r="E26" s="19"/>
      <c r="F26" s="19"/>
      <c r="G26" s="20"/>
      <c r="H26" s="21"/>
      <c r="I26" s="22">
        <f t="shared" si="4"/>
        <v>0</v>
      </c>
      <c r="J26" s="22"/>
      <c r="K26" s="11"/>
      <c r="L26" s="22"/>
      <c r="M26" s="22"/>
      <c r="N26" s="22"/>
      <c r="O26" s="22"/>
      <c r="P26" s="22"/>
      <c r="Q26" s="22"/>
      <c r="R26" s="36"/>
      <c r="S26" s="44"/>
      <c r="T26" s="47"/>
      <c r="U26" s="52">
        <f t="shared" si="2"/>
        <v>0</v>
      </c>
      <c r="V26" s="23" t="str">
        <f t="shared" si="3"/>
        <v>OK</v>
      </c>
    </row>
    <row r="27" spans="1:22" x14ac:dyDescent="0.3">
      <c r="A27" s="62" t="s">
        <v>39</v>
      </c>
      <c r="B27" s="62">
        <v>5675</v>
      </c>
      <c r="C27" s="12" t="s">
        <v>53</v>
      </c>
      <c r="D27" s="53"/>
      <c r="E27" s="13"/>
      <c r="F27" s="13"/>
      <c r="G27" s="14"/>
      <c r="H27" s="15"/>
      <c r="I27" s="16">
        <f t="shared" si="4"/>
        <v>4</v>
      </c>
      <c r="J27" s="16"/>
      <c r="K27" s="11"/>
      <c r="L27" s="16"/>
      <c r="M27" s="16">
        <v>4</v>
      </c>
      <c r="N27" s="16"/>
      <c r="O27" s="16"/>
      <c r="P27" s="16"/>
      <c r="Q27" s="16"/>
      <c r="R27" s="35"/>
      <c r="S27" s="43"/>
      <c r="T27" s="46"/>
      <c r="U27" s="51">
        <f t="shared" si="2"/>
        <v>4</v>
      </c>
      <c r="V27" s="17" t="str">
        <f t="shared" si="3"/>
        <v>OK</v>
      </c>
    </row>
    <row r="28" spans="1:22" hidden="1" x14ac:dyDescent="0.3">
      <c r="A28" s="63" t="s">
        <v>26</v>
      </c>
      <c r="B28" s="63">
        <v>5671</v>
      </c>
      <c r="C28" s="18" t="s">
        <v>49</v>
      </c>
      <c r="D28" s="19"/>
      <c r="E28" s="19"/>
      <c r="F28" s="19"/>
      <c r="G28" s="20"/>
      <c r="H28" s="21"/>
      <c r="I28" s="22">
        <f t="shared" si="4"/>
        <v>0</v>
      </c>
      <c r="J28" s="22"/>
      <c r="K28" s="11"/>
      <c r="L28" s="22"/>
      <c r="M28" s="22"/>
      <c r="N28" s="22"/>
      <c r="O28" s="22"/>
      <c r="P28" s="22"/>
      <c r="Q28" s="22"/>
      <c r="R28" s="36"/>
      <c r="S28" s="44"/>
      <c r="T28" s="47"/>
      <c r="U28" s="52">
        <f t="shared" si="2"/>
        <v>0</v>
      </c>
      <c r="V28" s="23" t="str">
        <f t="shared" si="3"/>
        <v>OK</v>
      </c>
    </row>
    <row r="29" spans="1:22" hidden="1" x14ac:dyDescent="0.3">
      <c r="A29" s="62" t="s">
        <v>40</v>
      </c>
      <c r="B29" s="62">
        <v>5667</v>
      </c>
      <c r="C29" s="12" t="s">
        <v>50</v>
      </c>
      <c r="D29" s="53"/>
      <c r="E29" s="13"/>
      <c r="F29" s="13"/>
      <c r="G29" s="14"/>
      <c r="H29" s="15"/>
      <c r="I29" s="16">
        <f t="shared" si="4"/>
        <v>0</v>
      </c>
      <c r="J29" s="16"/>
      <c r="K29" s="11"/>
      <c r="L29" s="16"/>
      <c r="M29" s="16"/>
      <c r="N29" s="16"/>
      <c r="O29" s="16"/>
      <c r="P29" s="16"/>
      <c r="Q29" s="16"/>
      <c r="R29" s="35"/>
      <c r="S29" s="43"/>
      <c r="T29" s="46"/>
      <c r="U29" s="51">
        <f t="shared" si="2"/>
        <v>0</v>
      </c>
      <c r="V29" s="17" t="str">
        <f t="shared" si="3"/>
        <v>OK</v>
      </c>
    </row>
    <row r="30" spans="1:22" hidden="1" x14ac:dyDescent="0.3">
      <c r="A30" s="63" t="s">
        <v>41</v>
      </c>
      <c r="B30" s="63">
        <v>5663</v>
      </c>
      <c r="C30" s="18" t="s">
        <v>51</v>
      </c>
      <c r="D30" s="19"/>
      <c r="E30" s="19"/>
      <c r="F30" s="19"/>
      <c r="G30" s="20"/>
      <c r="H30" s="21"/>
      <c r="I30" s="22">
        <f t="shared" si="4"/>
        <v>0</v>
      </c>
      <c r="J30" s="22"/>
      <c r="K30" s="11"/>
      <c r="L30" s="22"/>
      <c r="M30" s="22"/>
      <c r="N30" s="22"/>
      <c r="O30" s="22"/>
      <c r="P30" s="22"/>
      <c r="Q30" s="22"/>
      <c r="R30" s="36"/>
      <c r="S30" s="44"/>
      <c r="T30" s="47"/>
      <c r="U30" s="52">
        <f t="shared" si="2"/>
        <v>0</v>
      </c>
      <c r="V30" s="23" t="str">
        <f t="shared" si="3"/>
        <v>OK</v>
      </c>
    </row>
    <row r="31" spans="1:22" hidden="1" x14ac:dyDescent="0.3">
      <c r="A31" s="62" t="s">
        <v>42</v>
      </c>
      <c r="B31" s="62">
        <v>5659</v>
      </c>
      <c r="C31" s="12" t="s">
        <v>52</v>
      </c>
      <c r="D31" s="53"/>
      <c r="E31" s="13"/>
      <c r="F31" s="13"/>
      <c r="G31" s="14"/>
      <c r="H31" s="15"/>
      <c r="I31" s="16">
        <f t="shared" si="4"/>
        <v>0</v>
      </c>
      <c r="J31" s="16"/>
      <c r="K31" s="11"/>
      <c r="L31" s="16"/>
      <c r="M31" s="16"/>
      <c r="N31" s="16"/>
      <c r="O31" s="16"/>
      <c r="P31" s="16"/>
      <c r="Q31" s="16"/>
      <c r="R31" s="35"/>
      <c r="S31" s="43"/>
      <c r="T31" s="46"/>
      <c r="U31" s="51">
        <f t="shared" si="2"/>
        <v>0</v>
      </c>
      <c r="V31" s="17" t="str">
        <f t="shared" si="3"/>
        <v>OK</v>
      </c>
    </row>
    <row r="32" spans="1:22" hidden="1" x14ac:dyDescent="0.3">
      <c r="A32" s="63" t="s">
        <v>27</v>
      </c>
      <c r="B32" s="63">
        <v>5655</v>
      </c>
      <c r="C32" s="18" t="s">
        <v>54</v>
      </c>
      <c r="D32" s="19"/>
      <c r="E32" s="19"/>
      <c r="F32" s="19"/>
      <c r="G32" s="20"/>
      <c r="H32" s="21"/>
      <c r="I32" s="22">
        <f t="shared" si="4"/>
        <v>0</v>
      </c>
      <c r="J32" s="22"/>
      <c r="K32" s="11"/>
      <c r="L32" s="22"/>
      <c r="M32" s="22"/>
      <c r="N32" s="22"/>
      <c r="O32" s="22"/>
      <c r="P32" s="22"/>
      <c r="Q32" s="22"/>
      <c r="R32" s="36"/>
      <c r="S32" s="44"/>
      <c r="T32" s="47"/>
      <c r="U32" s="52">
        <f t="shared" si="2"/>
        <v>0</v>
      </c>
      <c r="V32" s="23" t="str">
        <f t="shared" si="3"/>
        <v>OK</v>
      </c>
    </row>
    <row r="33" spans="1:22" hidden="1" x14ac:dyDescent="0.3">
      <c r="A33" s="62" t="s">
        <v>70</v>
      </c>
      <c r="B33" s="62">
        <v>5651</v>
      </c>
      <c r="C33" s="12" t="s">
        <v>55</v>
      </c>
      <c r="D33" s="53"/>
      <c r="E33" s="13"/>
      <c r="F33" s="13"/>
      <c r="G33" s="14"/>
      <c r="H33" s="15"/>
      <c r="I33" s="16">
        <f t="shared" si="4"/>
        <v>0</v>
      </c>
      <c r="J33" s="16"/>
      <c r="K33" s="11"/>
      <c r="L33" s="16"/>
      <c r="M33" s="16"/>
      <c r="N33" s="16"/>
      <c r="O33" s="16"/>
      <c r="P33" s="16"/>
      <c r="Q33" s="16"/>
      <c r="R33" s="35"/>
      <c r="S33" s="43"/>
      <c r="T33" s="46"/>
      <c r="U33" s="51">
        <f t="shared" si="2"/>
        <v>0</v>
      </c>
      <c r="V33" s="17" t="str">
        <f t="shared" si="3"/>
        <v>OK</v>
      </c>
    </row>
    <row r="34" spans="1:22" hidden="1" x14ac:dyDescent="0.3">
      <c r="A34" s="63" t="s">
        <v>71</v>
      </c>
      <c r="B34" s="63">
        <v>5643</v>
      </c>
      <c r="C34" s="18" t="s">
        <v>56</v>
      </c>
      <c r="D34" s="19"/>
      <c r="E34" s="19"/>
      <c r="F34" s="19"/>
      <c r="G34" s="20"/>
      <c r="H34" s="21"/>
      <c r="I34" s="22">
        <f t="shared" si="4"/>
        <v>0</v>
      </c>
      <c r="J34" s="22"/>
      <c r="K34" s="11"/>
      <c r="L34" s="22"/>
      <c r="M34" s="22"/>
      <c r="N34" s="22"/>
      <c r="O34" s="22"/>
      <c r="P34" s="22"/>
      <c r="Q34" s="22"/>
      <c r="R34" s="36"/>
      <c r="S34" s="44"/>
      <c r="T34" s="47"/>
      <c r="U34" s="52">
        <f t="shared" si="2"/>
        <v>0</v>
      </c>
      <c r="V34" s="23" t="str">
        <f t="shared" si="3"/>
        <v>OK</v>
      </c>
    </row>
    <row r="35" spans="1:22" hidden="1" x14ac:dyDescent="0.3">
      <c r="A35" s="62" t="s">
        <v>57</v>
      </c>
      <c r="B35" s="62">
        <v>11350</v>
      </c>
      <c r="C35" s="12" t="s">
        <v>56</v>
      </c>
      <c r="D35" s="53"/>
      <c r="E35" s="13"/>
      <c r="F35" s="13"/>
      <c r="G35" s="14"/>
      <c r="H35" s="15"/>
      <c r="I35" s="16">
        <f t="shared" si="4"/>
        <v>0</v>
      </c>
      <c r="J35" s="16"/>
      <c r="K35" s="11"/>
      <c r="L35" s="16"/>
      <c r="M35" s="16"/>
      <c r="N35" s="16"/>
      <c r="O35" s="16"/>
      <c r="P35" s="16"/>
      <c r="Q35" s="16"/>
      <c r="R35" s="35"/>
      <c r="S35" s="43"/>
      <c r="T35" s="46"/>
      <c r="U35" s="51">
        <f t="shared" si="2"/>
        <v>0</v>
      </c>
      <c r="V35" s="17" t="str">
        <f t="shared" si="3"/>
        <v>OK</v>
      </c>
    </row>
    <row r="36" spans="1:22" hidden="1" x14ac:dyDescent="0.3">
      <c r="A36" s="63" t="s">
        <v>72</v>
      </c>
      <c r="B36" s="63">
        <v>5635</v>
      </c>
      <c r="C36" s="18" t="s">
        <v>55</v>
      </c>
      <c r="D36" s="19"/>
      <c r="E36" s="19"/>
      <c r="F36" s="19"/>
      <c r="G36" s="20"/>
      <c r="H36" s="21"/>
      <c r="I36" s="22">
        <f t="shared" si="4"/>
        <v>0</v>
      </c>
      <c r="J36" s="22"/>
      <c r="K36" s="11"/>
      <c r="L36" s="22"/>
      <c r="M36" s="22"/>
      <c r="N36" s="22"/>
      <c r="O36" s="22"/>
      <c r="P36" s="22"/>
      <c r="Q36" s="22"/>
      <c r="R36" s="36"/>
      <c r="S36" s="44"/>
      <c r="T36" s="47"/>
      <c r="U36" s="52">
        <f t="shared" si="2"/>
        <v>0</v>
      </c>
      <c r="V36" s="23" t="str">
        <f t="shared" si="3"/>
        <v>OK</v>
      </c>
    </row>
    <row r="37" spans="1:22" hidden="1" x14ac:dyDescent="0.3">
      <c r="A37" s="62" t="s">
        <v>58</v>
      </c>
      <c r="B37" s="62">
        <v>11349</v>
      </c>
      <c r="C37" s="12" t="s">
        <v>55</v>
      </c>
      <c r="D37" s="53"/>
      <c r="E37" s="13"/>
      <c r="F37" s="13"/>
      <c r="G37" s="14"/>
      <c r="H37" s="15"/>
      <c r="I37" s="16">
        <f t="shared" si="4"/>
        <v>0</v>
      </c>
      <c r="J37" s="16"/>
      <c r="K37" s="11"/>
      <c r="L37" s="16"/>
      <c r="M37" s="16"/>
      <c r="N37" s="16"/>
      <c r="O37" s="16"/>
      <c r="P37" s="16"/>
      <c r="Q37" s="16"/>
      <c r="R37" s="35"/>
      <c r="S37" s="43"/>
      <c r="T37" s="46"/>
      <c r="U37" s="51">
        <f t="shared" ref="U37:U55" si="5">SUM(L37:T37)</f>
        <v>0</v>
      </c>
      <c r="V37" s="17" t="str">
        <f t="shared" si="3"/>
        <v>OK</v>
      </c>
    </row>
    <row r="38" spans="1:22" hidden="1" x14ac:dyDescent="0.3">
      <c r="A38" s="63" t="s">
        <v>73</v>
      </c>
      <c r="B38" s="63">
        <v>5627</v>
      </c>
      <c r="C38" s="18" t="s">
        <v>56</v>
      </c>
      <c r="D38" s="19"/>
      <c r="E38" s="19"/>
      <c r="F38" s="19"/>
      <c r="G38" s="20"/>
      <c r="H38" s="21"/>
      <c r="I38" s="22">
        <f t="shared" si="4"/>
        <v>0</v>
      </c>
      <c r="J38" s="22"/>
      <c r="K38" s="11"/>
      <c r="L38" s="22"/>
      <c r="M38" s="22"/>
      <c r="N38" s="22"/>
      <c r="O38" s="22"/>
      <c r="P38" s="22"/>
      <c r="Q38" s="22"/>
      <c r="R38" s="36"/>
      <c r="S38" s="44"/>
      <c r="T38" s="47"/>
      <c r="U38" s="52">
        <f t="shared" si="5"/>
        <v>0</v>
      </c>
      <c r="V38" s="23" t="str">
        <f t="shared" si="3"/>
        <v>OK</v>
      </c>
    </row>
    <row r="39" spans="1:22" hidden="1" x14ac:dyDescent="0.3">
      <c r="A39" s="62" t="s">
        <v>59</v>
      </c>
      <c r="B39" s="62">
        <v>11348</v>
      </c>
      <c r="C39" s="12" t="s">
        <v>56</v>
      </c>
      <c r="D39" s="53"/>
      <c r="E39" s="13"/>
      <c r="F39" s="13"/>
      <c r="G39" s="14"/>
      <c r="H39" s="15"/>
      <c r="I39" s="16">
        <f t="shared" si="4"/>
        <v>0</v>
      </c>
      <c r="J39" s="16"/>
      <c r="K39" s="11"/>
      <c r="L39" s="16"/>
      <c r="M39" s="16"/>
      <c r="N39" s="16"/>
      <c r="O39" s="16"/>
      <c r="P39" s="16"/>
      <c r="Q39" s="16"/>
      <c r="R39" s="35"/>
      <c r="S39" s="43"/>
      <c r="T39" s="46"/>
      <c r="U39" s="51">
        <f t="shared" si="5"/>
        <v>0</v>
      </c>
      <c r="V39" s="17" t="str">
        <f t="shared" si="3"/>
        <v>OK</v>
      </c>
    </row>
    <row r="40" spans="1:22" hidden="1" x14ac:dyDescent="0.3">
      <c r="A40" s="63" t="s">
        <v>74</v>
      </c>
      <c r="B40" s="63">
        <v>5619</v>
      </c>
      <c r="C40" s="18" t="s">
        <v>60</v>
      </c>
      <c r="D40" s="19"/>
      <c r="E40" s="19"/>
      <c r="F40" s="19"/>
      <c r="G40" s="20"/>
      <c r="H40" s="21"/>
      <c r="I40" s="22">
        <f t="shared" si="4"/>
        <v>0</v>
      </c>
      <c r="J40" s="22"/>
      <c r="K40" s="11"/>
      <c r="L40" s="22"/>
      <c r="M40" s="22"/>
      <c r="N40" s="22"/>
      <c r="O40" s="22"/>
      <c r="P40" s="22"/>
      <c r="Q40" s="22"/>
      <c r="R40" s="36"/>
      <c r="S40" s="44"/>
      <c r="T40" s="47"/>
      <c r="U40" s="52">
        <f t="shared" si="5"/>
        <v>0</v>
      </c>
      <c r="V40" s="23" t="str">
        <f t="shared" si="3"/>
        <v>OK</v>
      </c>
    </row>
    <row r="41" spans="1:22" hidden="1" x14ac:dyDescent="0.3">
      <c r="A41" s="64" t="s">
        <v>61</v>
      </c>
      <c r="B41" s="62">
        <v>11347</v>
      </c>
      <c r="C41" s="12" t="s">
        <v>60</v>
      </c>
      <c r="D41" s="53"/>
      <c r="E41" s="13"/>
      <c r="F41" s="13"/>
      <c r="G41" s="14"/>
      <c r="H41" s="15"/>
      <c r="I41" s="16">
        <f t="shared" si="4"/>
        <v>0</v>
      </c>
      <c r="J41" s="16"/>
      <c r="K41" s="11"/>
      <c r="L41" s="16"/>
      <c r="M41" s="16"/>
      <c r="N41" s="16"/>
      <c r="O41" s="16"/>
      <c r="P41" s="16"/>
      <c r="Q41" s="16"/>
      <c r="R41" s="35"/>
      <c r="S41" s="43"/>
      <c r="T41" s="46"/>
      <c r="U41" s="51">
        <f t="shared" si="5"/>
        <v>0</v>
      </c>
      <c r="V41" s="17" t="str">
        <f t="shared" si="3"/>
        <v>OK</v>
      </c>
    </row>
    <row r="42" spans="1:22" x14ac:dyDescent="0.3">
      <c r="A42" s="54" t="s">
        <v>75</v>
      </c>
      <c r="B42" s="63">
        <v>5611</v>
      </c>
      <c r="C42" s="18" t="s">
        <v>62</v>
      </c>
      <c r="D42" s="19"/>
      <c r="E42" s="19"/>
      <c r="F42" s="19"/>
      <c r="G42" s="20"/>
      <c r="H42" s="21"/>
      <c r="I42" s="22">
        <f t="shared" si="4"/>
        <v>9</v>
      </c>
      <c r="J42" s="22"/>
      <c r="K42" s="11"/>
      <c r="L42" s="22"/>
      <c r="M42" s="22">
        <v>9</v>
      </c>
      <c r="N42" s="22"/>
      <c r="O42" s="22"/>
      <c r="P42" s="22"/>
      <c r="Q42" s="22"/>
      <c r="R42" s="36"/>
      <c r="S42" s="44"/>
      <c r="T42" s="47"/>
      <c r="U42" s="52">
        <f t="shared" si="5"/>
        <v>9</v>
      </c>
      <c r="V42" s="23" t="str">
        <f t="shared" si="3"/>
        <v>OK</v>
      </c>
    </row>
    <row r="43" spans="1:22" ht="17.25" thickBot="1" x14ac:dyDescent="0.35">
      <c r="A43" s="12" t="s">
        <v>63</v>
      </c>
      <c r="B43" s="62">
        <v>11336</v>
      </c>
      <c r="C43" s="12" t="s">
        <v>62</v>
      </c>
      <c r="D43" s="53"/>
      <c r="E43" s="13"/>
      <c r="F43" s="13"/>
      <c r="G43" s="14"/>
      <c r="H43" s="15"/>
      <c r="I43" s="16">
        <f t="shared" si="4"/>
        <v>12</v>
      </c>
      <c r="J43" s="16"/>
      <c r="K43" s="11"/>
      <c r="L43" s="16"/>
      <c r="M43" s="16">
        <v>12</v>
      </c>
      <c r="N43" s="16"/>
      <c r="O43" s="16"/>
      <c r="P43" s="16"/>
      <c r="Q43" s="16"/>
      <c r="R43" s="35"/>
      <c r="S43" s="43"/>
      <c r="T43" s="46"/>
      <c r="U43" s="51">
        <f t="shared" si="5"/>
        <v>12</v>
      </c>
      <c r="V43" s="17" t="str">
        <f t="shared" si="3"/>
        <v>OK</v>
      </c>
    </row>
    <row r="44" spans="1:22" ht="17.25" hidden="1" thickBot="1" x14ac:dyDescent="0.35">
      <c r="A44" s="54" t="s">
        <v>100</v>
      </c>
      <c r="B44" s="63">
        <v>14860</v>
      </c>
      <c r="C44" s="18" t="s">
        <v>56</v>
      </c>
      <c r="D44" s="19"/>
      <c r="E44" s="19"/>
      <c r="F44" s="19"/>
      <c r="G44" s="20"/>
      <c r="H44" s="21"/>
      <c r="I44" s="22">
        <f t="shared" si="4"/>
        <v>0</v>
      </c>
      <c r="J44" s="22"/>
      <c r="K44" s="11"/>
      <c r="L44" s="22"/>
      <c r="M44" s="22"/>
      <c r="N44" s="22"/>
      <c r="O44" s="22"/>
      <c r="P44" s="22"/>
      <c r="Q44" s="22"/>
      <c r="R44" s="36"/>
      <c r="S44" s="44"/>
      <c r="T44" s="47"/>
      <c r="U44" s="52">
        <f t="shared" si="5"/>
        <v>0</v>
      </c>
      <c r="V44" s="23" t="str">
        <f t="shared" si="3"/>
        <v>OK</v>
      </c>
    </row>
    <row r="45" spans="1:22" ht="17.25" hidden="1" thickBot="1" x14ac:dyDescent="0.35">
      <c r="A45" s="64" t="s">
        <v>83</v>
      </c>
      <c r="B45" s="62">
        <v>14861</v>
      </c>
      <c r="C45" s="12" t="s">
        <v>56</v>
      </c>
      <c r="D45" s="53"/>
      <c r="E45" s="13"/>
      <c r="F45" s="13"/>
      <c r="G45" s="14"/>
      <c r="H45" s="15"/>
      <c r="I45" s="16">
        <f t="shared" si="4"/>
        <v>0</v>
      </c>
      <c r="J45" s="16"/>
      <c r="K45" s="11"/>
      <c r="L45" s="16"/>
      <c r="M45" s="16"/>
      <c r="N45" s="16"/>
      <c r="O45" s="16"/>
      <c r="P45" s="16"/>
      <c r="Q45" s="16"/>
      <c r="R45" s="35"/>
      <c r="S45" s="43"/>
      <c r="T45" s="46"/>
      <c r="U45" s="51">
        <f t="shared" si="5"/>
        <v>0</v>
      </c>
      <c r="V45" s="17" t="str">
        <f t="shared" si="3"/>
        <v>OK</v>
      </c>
    </row>
    <row r="46" spans="1:22" ht="17.25" hidden="1" thickBot="1" x14ac:dyDescent="0.35">
      <c r="A46" s="54" t="s">
        <v>101</v>
      </c>
      <c r="B46" s="63">
        <v>15096</v>
      </c>
      <c r="C46" s="18" t="s">
        <v>56</v>
      </c>
      <c r="D46" s="19"/>
      <c r="E46" s="19"/>
      <c r="F46" s="19"/>
      <c r="G46" s="20"/>
      <c r="H46" s="21"/>
      <c r="I46" s="22">
        <f t="shared" si="4"/>
        <v>0</v>
      </c>
      <c r="J46" s="22"/>
      <c r="K46" s="11"/>
      <c r="L46" s="22"/>
      <c r="M46" s="22"/>
      <c r="N46" s="22"/>
      <c r="O46" s="22"/>
      <c r="P46" s="22"/>
      <c r="Q46" s="22"/>
      <c r="R46" s="36"/>
      <c r="S46" s="44"/>
      <c r="T46" s="47"/>
      <c r="U46" s="52">
        <f t="shared" si="5"/>
        <v>0</v>
      </c>
      <c r="V46" s="23" t="str">
        <f t="shared" si="3"/>
        <v>OK</v>
      </c>
    </row>
    <row r="47" spans="1:22" ht="17.25" hidden="1" thickBot="1" x14ac:dyDescent="0.35">
      <c r="A47" s="12" t="s">
        <v>81</v>
      </c>
      <c r="B47" s="62">
        <v>15097</v>
      </c>
      <c r="C47" s="12" t="s">
        <v>56</v>
      </c>
      <c r="D47" s="53"/>
      <c r="E47" s="13"/>
      <c r="F47" s="13"/>
      <c r="G47" s="14"/>
      <c r="H47" s="15"/>
      <c r="I47" s="16">
        <f t="shared" si="4"/>
        <v>0</v>
      </c>
      <c r="J47" s="16"/>
      <c r="K47" s="11"/>
      <c r="L47" s="16"/>
      <c r="M47" s="16"/>
      <c r="N47" s="16"/>
      <c r="O47" s="16"/>
      <c r="P47" s="16"/>
      <c r="Q47" s="16"/>
      <c r="R47" s="35"/>
      <c r="S47" s="43"/>
      <c r="T47" s="46"/>
      <c r="U47" s="51">
        <f t="shared" si="5"/>
        <v>0</v>
      </c>
      <c r="V47" s="17" t="str">
        <f t="shared" si="3"/>
        <v>OK</v>
      </c>
    </row>
    <row r="48" spans="1:22" ht="17.25" hidden="1" thickBot="1" x14ac:dyDescent="0.35">
      <c r="A48" s="54" t="s">
        <v>76</v>
      </c>
      <c r="B48" s="63">
        <v>5585</v>
      </c>
      <c r="C48" s="18" t="s">
        <v>64</v>
      </c>
      <c r="D48" s="19"/>
      <c r="E48" s="19"/>
      <c r="F48" s="19"/>
      <c r="G48" s="20"/>
      <c r="H48" s="21"/>
      <c r="I48" s="22">
        <f t="shared" si="4"/>
        <v>0</v>
      </c>
      <c r="J48" s="22"/>
      <c r="K48" s="11"/>
      <c r="L48" s="22"/>
      <c r="M48" s="22"/>
      <c r="N48" s="22"/>
      <c r="O48" s="22"/>
      <c r="P48" s="22"/>
      <c r="Q48" s="22"/>
      <c r="R48" s="36"/>
      <c r="S48" s="44"/>
      <c r="T48" s="47"/>
      <c r="U48" s="52">
        <f t="shared" si="5"/>
        <v>0</v>
      </c>
      <c r="V48" s="23" t="str">
        <f t="shared" si="3"/>
        <v>OK</v>
      </c>
    </row>
    <row r="49" spans="1:22" ht="17.25" hidden="1" thickBot="1" x14ac:dyDescent="0.35">
      <c r="A49" s="12" t="s">
        <v>65</v>
      </c>
      <c r="B49" s="62">
        <v>11351</v>
      </c>
      <c r="C49" s="12" t="s">
        <v>64</v>
      </c>
      <c r="D49" s="53"/>
      <c r="E49" s="13"/>
      <c r="F49" s="13"/>
      <c r="G49" s="14"/>
      <c r="H49" s="15"/>
      <c r="I49" s="16">
        <f t="shared" si="4"/>
        <v>0</v>
      </c>
      <c r="J49" s="16"/>
      <c r="K49" s="11"/>
      <c r="L49" s="16"/>
      <c r="M49" s="16"/>
      <c r="N49" s="16"/>
      <c r="O49" s="16"/>
      <c r="P49" s="16"/>
      <c r="Q49" s="16"/>
      <c r="R49" s="35"/>
      <c r="S49" s="43"/>
      <c r="T49" s="46"/>
      <c r="U49" s="51">
        <f t="shared" si="5"/>
        <v>0</v>
      </c>
      <c r="V49" s="17" t="str">
        <f t="shared" si="3"/>
        <v>OK</v>
      </c>
    </row>
    <row r="50" spans="1:22" ht="17.25" hidden="1" thickBot="1" x14ac:dyDescent="0.35">
      <c r="A50" s="54" t="s">
        <v>66</v>
      </c>
      <c r="B50" s="63">
        <v>11352</v>
      </c>
      <c r="C50" s="18" t="s">
        <v>64</v>
      </c>
      <c r="D50" s="19"/>
      <c r="E50" s="19"/>
      <c r="F50" s="19"/>
      <c r="G50" s="20"/>
      <c r="H50" s="21"/>
      <c r="I50" s="22">
        <f t="shared" si="4"/>
        <v>0</v>
      </c>
      <c r="J50" s="22"/>
      <c r="K50" s="11"/>
      <c r="L50" s="22"/>
      <c r="M50" s="22"/>
      <c r="N50" s="22"/>
      <c r="O50" s="22"/>
      <c r="P50" s="22"/>
      <c r="Q50" s="22"/>
      <c r="R50" s="36"/>
      <c r="S50" s="44"/>
      <c r="T50" s="47"/>
      <c r="U50" s="52">
        <f t="shared" si="5"/>
        <v>0</v>
      </c>
      <c r="V50" s="23" t="str">
        <f t="shared" si="3"/>
        <v>OK</v>
      </c>
    </row>
    <row r="51" spans="1:22" ht="17.25" hidden="1" thickBot="1" x14ac:dyDescent="0.35">
      <c r="A51" s="90" t="s">
        <v>102</v>
      </c>
      <c r="B51" s="76">
        <v>13515</v>
      </c>
      <c r="C51" s="70" t="s">
        <v>78</v>
      </c>
      <c r="D51" s="70"/>
      <c r="E51" s="70"/>
      <c r="F51" s="70"/>
      <c r="G51" s="91"/>
      <c r="H51" s="82"/>
      <c r="I51" s="82">
        <f t="shared" si="4"/>
        <v>0</v>
      </c>
      <c r="J51" s="74"/>
      <c r="K51" s="11"/>
      <c r="L51" s="16"/>
      <c r="M51" s="16"/>
      <c r="N51" s="16"/>
      <c r="O51" s="16"/>
      <c r="P51" s="16"/>
      <c r="Q51" s="16"/>
      <c r="R51" s="35"/>
      <c r="S51" s="43"/>
      <c r="T51" s="46"/>
      <c r="U51" s="75">
        <f t="shared" si="5"/>
        <v>0</v>
      </c>
      <c r="V51" s="93" t="str">
        <f t="shared" si="3"/>
        <v>OK</v>
      </c>
    </row>
    <row r="52" spans="1:22" ht="17.25" hidden="1" thickBot="1" x14ac:dyDescent="0.35">
      <c r="A52" s="54" t="s">
        <v>103</v>
      </c>
      <c r="B52" s="63">
        <v>13516</v>
      </c>
      <c r="C52" s="18" t="s">
        <v>78</v>
      </c>
      <c r="D52" s="18"/>
      <c r="E52" s="18"/>
      <c r="F52" s="18"/>
      <c r="G52" s="92"/>
      <c r="H52" s="22"/>
      <c r="I52" s="22">
        <f t="shared" si="4"/>
        <v>0</v>
      </c>
      <c r="J52" s="69"/>
      <c r="K52" s="11"/>
      <c r="L52" s="22"/>
      <c r="M52" s="22"/>
      <c r="N52" s="22"/>
      <c r="O52" s="22"/>
      <c r="P52" s="22"/>
      <c r="Q52" s="22"/>
      <c r="R52" s="36"/>
      <c r="S52" s="44"/>
      <c r="T52" s="47"/>
      <c r="U52" s="52">
        <f t="shared" si="5"/>
        <v>0</v>
      </c>
      <c r="V52" s="23" t="str">
        <f t="shared" si="3"/>
        <v>OK</v>
      </c>
    </row>
    <row r="53" spans="1:22" ht="17.25" hidden="1" thickBot="1" x14ac:dyDescent="0.35">
      <c r="A53" s="90" t="s">
        <v>104</v>
      </c>
      <c r="B53" s="76">
        <v>13468</v>
      </c>
      <c r="C53" s="70" t="s">
        <v>78</v>
      </c>
      <c r="D53" s="70"/>
      <c r="E53" s="70"/>
      <c r="F53" s="70"/>
      <c r="G53" s="91"/>
      <c r="H53" s="82"/>
      <c r="I53" s="82">
        <f t="shared" si="4"/>
        <v>0</v>
      </c>
      <c r="J53" s="74"/>
      <c r="K53" s="11"/>
      <c r="L53" s="16"/>
      <c r="M53" s="16"/>
      <c r="N53" s="16"/>
      <c r="O53" s="16"/>
      <c r="P53" s="16"/>
      <c r="Q53" s="16"/>
      <c r="R53" s="35"/>
      <c r="S53" s="43"/>
      <c r="T53" s="46"/>
      <c r="U53" s="75">
        <f t="shared" si="5"/>
        <v>0</v>
      </c>
      <c r="V53" s="93" t="str">
        <f t="shared" si="3"/>
        <v>OK</v>
      </c>
    </row>
    <row r="54" spans="1:22" ht="17.25" hidden="1" thickBot="1" x14ac:dyDescent="0.35">
      <c r="A54" s="54" t="s">
        <v>79</v>
      </c>
      <c r="B54" s="63">
        <v>13469</v>
      </c>
      <c r="C54" s="18" t="s">
        <v>78</v>
      </c>
      <c r="D54" s="18"/>
      <c r="E54" s="18"/>
      <c r="F54" s="18"/>
      <c r="G54" s="92"/>
      <c r="H54" s="22"/>
      <c r="I54" s="22">
        <f t="shared" si="4"/>
        <v>0</v>
      </c>
      <c r="J54" s="69"/>
      <c r="K54" s="11"/>
      <c r="L54" s="22"/>
      <c r="M54" s="22"/>
      <c r="N54" s="22"/>
      <c r="O54" s="22"/>
      <c r="P54" s="22"/>
      <c r="Q54" s="22"/>
      <c r="R54" s="36"/>
      <c r="S54" s="44"/>
      <c r="T54" s="47"/>
      <c r="U54" s="52">
        <f t="shared" si="5"/>
        <v>0</v>
      </c>
      <c r="V54" s="23" t="str">
        <f t="shared" si="3"/>
        <v>OK</v>
      </c>
    </row>
    <row r="55" spans="1:22" ht="17.25" hidden="1" thickBot="1" x14ac:dyDescent="0.35">
      <c r="A55" s="90" t="s">
        <v>43</v>
      </c>
      <c r="B55" s="76">
        <v>11820</v>
      </c>
      <c r="C55" s="70" t="s">
        <v>67</v>
      </c>
      <c r="D55" s="70"/>
      <c r="E55" s="70"/>
      <c r="F55" s="70"/>
      <c r="G55" s="91"/>
      <c r="H55" s="82"/>
      <c r="I55" s="82">
        <f t="shared" si="4"/>
        <v>0</v>
      </c>
      <c r="J55" s="74"/>
      <c r="K55" s="11"/>
      <c r="L55" s="16"/>
      <c r="M55" s="16"/>
      <c r="N55" s="16"/>
      <c r="O55" s="16"/>
      <c r="P55" s="16"/>
      <c r="Q55" s="16"/>
      <c r="R55" s="35"/>
      <c r="S55" s="43"/>
      <c r="T55" s="46"/>
      <c r="U55" s="75">
        <f t="shared" si="5"/>
        <v>0</v>
      </c>
      <c r="V55" s="93" t="str">
        <f t="shared" si="3"/>
        <v>OK</v>
      </c>
    </row>
    <row r="56" spans="1:22" ht="17.25" hidden="1" thickBot="1" x14ac:dyDescent="0.35">
      <c r="A56" s="54" t="s">
        <v>44</v>
      </c>
      <c r="B56" s="63">
        <v>11816</v>
      </c>
      <c r="C56" s="18" t="s">
        <v>67</v>
      </c>
      <c r="D56" s="18"/>
      <c r="E56" s="18"/>
      <c r="F56" s="18"/>
      <c r="G56" s="92"/>
      <c r="H56" s="22"/>
      <c r="I56" s="22">
        <f t="shared" si="4"/>
        <v>0</v>
      </c>
      <c r="J56" s="69"/>
      <c r="K56" s="11"/>
      <c r="L56" s="22"/>
      <c r="M56" s="22"/>
      <c r="N56" s="22"/>
      <c r="O56" s="22"/>
      <c r="P56" s="22"/>
      <c r="Q56" s="22"/>
      <c r="R56" s="36"/>
      <c r="S56" s="44"/>
      <c r="T56" s="47"/>
      <c r="U56" s="52">
        <f>SUM(L56:T56)</f>
        <v>0</v>
      </c>
      <c r="V56" s="23" t="str">
        <f t="shared" si="3"/>
        <v>OK</v>
      </c>
    </row>
    <row r="57" spans="1:22" ht="17.25" hidden="1" thickBot="1" x14ac:dyDescent="0.35">
      <c r="A57" s="76" t="s">
        <v>77</v>
      </c>
      <c r="B57" s="76">
        <v>11381</v>
      </c>
      <c r="C57" s="77" t="s">
        <v>68</v>
      </c>
      <c r="D57" s="70"/>
      <c r="E57" s="70"/>
      <c r="F57" s="70"/>
      <c r="G57" s="91"/>
      <c r="H57" s="82"/>
      <c r="I57" s="82">
        <f t="shared" si="4"/>
        <v>0</v>
      </c>
      <c r="J57" s="74"/>
      <c r="K57" s="11"/>
      <c r="L57" s="16"/>
      <c r="M57" s="16"/>
      <c r="N57" s="16"/>
      <c r="O57" s="16"/>
      <c r="P57" s="16"/>
      <c r="Q57" s="16"/>
      <c r="R57" s="35"/>
      <c r="S57" s="43"/>
      <c r="T57" s="46"/>
      <c r="U57" s="75">
        <f>SUM(L57:T57)</f>
        <v>0</v>
      </c>
      <c r="V57" s="93" t="str">
        <f t="shared" si="3"/>
        <v>OK</v>
      </c>
    </row>
    <row r="58" spans="1:22" ht="17.25" hidden="1" thickBot="1" x14ac:dyDescent="0.35">
      <c r="A58" s="54" t="s">
        <v>69</v>
      </c>
      <c r="B58" s="63">
        <v>11382</v>
      </c>
      <c r="C58" s="18" t="s">
        <v>68</v>
      </c>
      <c r="D58" s="18"/>
      <c r="E58" s="18"/>
      <c r="F58" s="18"/>
      <c r="G58" s="92"/>
      <c r="H58" s="22"/>
      <c r="I58" s="22">
        <f t="shared" si="4"/>
        <v>0</v>
      </c>
      <c r="J58" s="69"/>
      <c r="K58" s="11"/>
      <c r="L58" s="22"/>
      <c r="M58" s="22"/>
      <c r="N58" s="22"/>
      <c r="O58" s="22"/>
      <c r="P58" s="22"/>
      <c r="Q58" s="22"/>
      <c r="R58" s="36"/>
      <c r="S58" s="44"/>
      <c r="T58" s="47"/>
      <c r="U58" s="52">
        <f>SUM(L58:T58)</f>
        <v>0</v>
      </c>
      <c r="V58" s="23" t="str">
        <f t="shared" si="3"/>
        <v>OK</v>
      </c>
    </row>
    <row r="59" spans="1:22" ht="17.25" hidden="1" thickBot="1" x14ac:dyDescent="0.35">
      <c r="A59" s="96" t="s">
        <v>105</v>
      </c>
      <c r="B59" s="76">
        <v>16586</v>
      </c>
      <c r="C59" s="70" t="s">
        <v>78</v>
      </c>
      <c r="D59" s="70"/>
      <c r="E59" s="70"/>
      <c r="F59" s="70"/>
      <c r="G59" s="91"/>
      <c r="H59" s="82"/>
      <c r="I59" s="82">
        <f t="shared" si="4"/>
        <v>0</v>
      </c>
      <c r="J59" s="74"/>
      <c r="K59" s="11"/>
      <c r="L59" s="16"/>
      <c r="M59" s="16"/>
      <c r="N59" s="16"/>
      <c r="O59" s="16"/>
      <c r="P59" s="16"/>
      <c r="Q59" s="16"/>
      <c r="R59" s="35"/>
      <c r="S59" s="43"/>
      <c r="T59" s="46"/>
      <c r="U59" s="75">
        <f t="shared" ref="U59:U69" si="6">SUM(L59:T59)</f>
        <v>0</v>
      </c>
      <c r="V59" s="93" t="str">
        <f t="shared" si="3"/>
        <v>OK</v>
      </c>
    </row>
    <row r="60" spans="1:22" ht="17.25" hidden="1" thickBot="1" x14ac:dyDescent="0.35">
      <c r="A60" s="54" t="s">
        <v>90</v>
      </c>
      <c r="B60" s="63">
        <v>16587</v>
      </c>
      <c r="C60" s="18" t="s">
        <v>78</v>
      </c>
      <c r="D60" s="18"/>
      <c r="E60" s="18"/>
      <c r="F60" s="18"/>
      <c r="G60" s="92"/>
      <c r="H60" s="22"/>
      <c r="I60" s="22">
        <f t="shared" si="4"/>
        <v>0</v>
      </c>
      <c r="J60" s="69"/>
      <c r="K60" s="11"/>
      <c r="L60" s="22"/>
      <c r="M60" s="22"/>
      <c r="N60" s="22"/>
      <c r="O60" s="22"/>
      <c r="P60" s="22"/>
      <c r="Q60" s="22"/>
      <c r="R60" s="36"/>
      <c r="S60" s="44"/>
      <c r="T60" s="47"/>
      <c r="U60" s="52">
        <f t="shared" si="6"/>
        <v>0</v>
      </c>
      <c r="V60" s="23" t="str">
        <f t="shared" si="3"/>
        <v>OK</v>
      </c>
    </row>
    <row r="61" spans="1:22" ht="17.25" hidden="1" thickBot="1" x14ac:dyDescent="0.35">
      <c r="A61" s="90" t="s">
        <v>91</v>
      </c>
      <c r="B61" s="76">
        <v>17121</v>
      </c>
      <c r="C61" s="70" t="s">
        <v>92</v>
      </c>
      <c r="D61" s="70"/>
      <c r="E61" s="70"/>
      <c r="F61" s="70"/>
      <c r="G61" s="91"/>
      <c r="H61" s="82"/>
      <c r="I61" s="82">
        <f t="shared" si="4"/>
        <v>0</v>
      </c>
      <c r="J61" s="74"/>
      <c r="K61" s="11"/>
      <c r="L61" s="16"/>
      <c r="M61" s="16"/>
      <c r="N61" s="16"/>
      <c r="O61" s="16"/>
      <c r="P61" s="16"/>
      <c r="Q61" s="16"/>
      <c r="R61" s="35"/>
      <c r="S61" s="43"/>
      <c r="T61" s="46"/>
      <c r="U61" s="75">
        <f t="shared" si="6"/>
        <v>0</v>
      </c>
      <c r="V61" s="93" t="str">
        <f t="shared" si="3"/>
        <v>OK</v>
      </c>
    </row>
    <row r="62" spans="1:22" ht="17.25" hidden="1" thickBot="1" x14ac:dyDescent="0.35">
      <c r="A62" s="54" t="s">
        <v>106</v>
      </c>
      <c r="B62" s="63">
        <v>19270</v>
      </c>
      <c r="C62" s="18" t="s">
        <v>68</v>
      </c>
      <c r="D62" s="18"/>
      <c r="E62" s="18"/>
      <c r="F62" s="18"/>
      <c r="G62" s="92"/>
      <c r="H62" s="22"/>
      <c r="I62" s="22">
        <f t="shared" si="4"/>
        <v>0</v>
      </c>
      <c r="J62" s="69"/>
      <c r="K62" s="11"/>
      <c r="L62" s="22"/>
      <c r="M62" s="22"/>
      <c r="N62" s="22"/>
      <c r="O62" s="22"/>
      <c r="P62" s="22"/>
      <c r="Q62" s="22"/>
      <c r="R62" s="36"/>
      <c r="S62" s="44"/>
      <c r="T62" s="47"/>
      <c r="U62" s="71">
        <f t="shared" si="6"/>
        <v>0</v>
      </c>
      <c r="V62" s="23" t="str">
        <f t="shared" si="3"/>
        <v>OK</v>
      </c>
    </row>
    <row r="63" spans="1:22" ht="17.25" hidden="1" thickBot="1" x14ac:dyDescent="0.35">
      <c r="A63" s="90" t="s">
        <v>107</v>
      </c>
      <c r="B63" s="76">
        <v>19276</v>
      </c>
      <c r="C63" s="70" t="s">
        <v>68</v>
      </c>
      <c r="D63" s="70"/>
      <c r="E63" s="70"/>
      <c r="F63" s="70"/>
      <c r="G63" s="91"/>
      <c r="H63" s="82"/>
      <c r="I63" s="82">
        <f t="shared" si="4"/>
        <v>0</v>
      </c>
      <c r="J63" s="74"/>
      <c r="K63" s="11"/>
      <c r="L63" s="16"/>
      <c r="M63" s="16"/>
      <c r="N63" s="16"/>
      <c r="O63" s="16"/>
      <c r="P63" s="16"/>
      <c r="Q63" s="16"/>
      <c r="R63" s="35"/>
      <c r="S63" s="43"/>
      <c r="T63" s="46"/>
      <c r="U63" s="75">
        <f t="shared" si="6"/>
        <v>0</v>
      </c>
      <c r="V63" s="93" t="str">
        <f t="shared" si="3"/>
        <v>OK</v>
      </c>
    </row>
    <row r="64" spans="1:22" ht="17.25" hidden="1" thickBot="1" x14ac:dyDescent="0.35">
      <c r="A64" s="54" t="s">
        <v>108</v>
      </c>
      <c r="B64" s="63">
        <v>19836</v>
      </c>
      <c r="C64" s="18" t="s">
        <v>45</v>
      </c>
      <c r="D64" s="18"/>
      <c r="E64" s="18"/>
      <c r="F64" s="18"/>
      <c r="G64" s="92"/>
      <c r="H64" s="22"/>
      <c r="I64" s="22">
        <f t="shared" si="4"/>
        <v>0</v>
      </c>
      <c r="J64" s="69"/>
      <c r="K64" s="11"/>
      <c r="L64" s="22"/>
      <c r="M64" s="22"/>
      <c r="N64" s="22"/>
      <c r="O64" s="22"/>
      <c r="P64" s="22"/>
      <c r="Q64" s="22"/>
      <c r="R64" s="36"/>
      <c r="S64" s="44"/>
      <c r="T64" s="47"/>
      <c r="U64" s="52">
        <f t="shared" si="6"/>
        <v>0</v>
      </c>
      <c r="V64" s="23" t="str">
        <f t="shared" si="3"/>
        <v>OK</v>
      </c>
    </row>
    <row r="65" spans="1:22" ht="17.25" hidden="1" thickBot="1" x14ac:dyDescent="0.35">
      <c r="A65" s="90" t="s">
        <v>109</v>
      </c>
      <c r="B65" s="76">
        <v>20278</v>
      </c>
      <c r="C65" s="70" t="s">
        <v>110</v>
      </c>
      <c r="D65" s="70"/>
      <c r="E65" s="70"/>
      <c r="F65" s="70"/>
      <c r="G65" s="91"/>
      <c r="H65" s="82"/>
      <c r="I65" s="82">
        <f t="shared" si="4"/>
        <v>0</v>
      </c>
      <c r="J65" s="74"/>
      <c r="K65" s="11"/>
      <c r="L65" s="16"/>
      <c r="M65" s="16"/>
      <c r="N65" s="16"/>
      <c r="O65" s="16"/>
      <c r="P65" s="16"/>
      <c r="Q65" s="16"/>
      <c r="R65" s="35"/>
      <c r="S65" s="43"/>
      <c r="T65" s="46"/>
      <c r="U65" s="75">
        <f t="shared" si="6"/>
        <v>0</v>
      </c>
      <c r="V65" s="93" t="str">
        <f t="shared" si="3"/>
        <v>OK</v>
      </c>
    </row>
    <row r="66" spans="1:22" ht="17.25" hidden="1" thickBot="1" x14ac:dyDescent="0.35">
      <c r="A66" s="54" t="s">
        <v>111</v>
      </c>
      <c r="B66" s="63">
        <v>20272</v>
      </c>
      <c r="C66" s="18" t="s">
        <v>110</v>
      </c>
      <c r="D66" s="18"/>
      <c r="E66" s="18"/>
      <c r="F66" s="18"/>
      <c r="G66" s="92"/>
      <c r="H66" s="22"/>
      <c r="I66" s="22">
        <f t="shared" si="4"/>
        <v>0</v>
      </c>
      <c r="J66" s="69"/>
      <c r="K66" s="11"/>
      <c r="L66" s="22"/>
      <c r="M66" s="22"/>
      <c r="N66" s="22"/>
      <c r="O66" s="22"/>
      <c r="P66" s="22"/>
      <c r="Q66" s="22"/>
      <c r="R66" s="36"/>
      <c r="S66" s="44"/>
      <c r="T66" s="47"/>
      <c r="U66" s="52">
        <f t="shared" si="6"/>
        <v>0</v>
      </c>
      <c r="V66" s="23" t="str">
        <f t="shared" si="3"/>
        <v>OK</v>
      </c>
    </row>
    <row r="67" spans="1:22" ht="17.25" hidden="1" thickBot="1" x14ac:dyDescent="0.35">
      <c r="A67" s="90" t="s">
        <v>112</v>
      </c>
      <c r="B67" s="76">
        <v>20956</v>
      </c>
      <c r="C67" s="70" t="s">
        <v>110</v>
      </c>
      <c r="D67" s="70"/>
      <c r="E67" s="70"/>
      <c r="F67" s="70"/>
      <c r="G67" s="91"/>
      <c r="H67" s="82"/>
      <c r="I67" s="82">
        <f t="shared" si="4"/>
        <v>0</v>
      </c>
      <c r="J67" s="74"/>
      <c r="K67" s="11"/>
      <c r="L67" s="16"/>
      <c r="M67" s="16"/>
      <c r="N67" s="16"/>
      <c r="O67" s="16"/>
      <c r="P67" s="16"/>
      <c r="Q67" s="16"/>
      <c r="R67" s="35"/>
      <c r="S67" s="43"/>
      <c r="T67" s="46"/>
      <c r="U67" s="75">
        <f t="shared" si="6"/>
        <v>0</v>
      </c>
      <c r="V67" s="93" t="str">
        <f t="shared" si="3"/>
        <v>OK</v>
      </c>
    </row>
    <row r="68" spans="1:22" ht="17.25" hidden="1" thickBot="1" x14ac:dyDescent="0.35">
      <c r="A68" s="54" t="s">
        <v>116</v>
      </c>
      <c r="B68" s="63">
        <v>21299</v>
      </c>
      <c r="C68" s="18" t="s">
        <v>78</v>
      </c>
      <c r="D68" s="18"/>
      <c r="E68" s="18"/>
      <c r="F68" s="18"/>
      <c r="G68" s="92"/>
      <c r="H68" s="22"/>
      <c r="I68" s="22">
        <f t="shared" si="4"/>
        <v>0</v>
      </c>
      <c r="J68" s="69"/>
      <c r="K68" s="11"/>
      <c r="L68" s="22"/>
      <c r="M68" s="22"/>
      <c r="N68" s="22"/>
      <c r="O68" s="22"/>
      <c r="P68" s="22"/>
      <c r="Q68" s="22"/>
      <c r="R68" s="36"/>
      <c r="S68" s="44"/>
      <c r="T68" s="47"/>
      <c r="U68" s="71">
        <f t="shared" si="6"/>
        <v>0</v>
      </c>
      <c r="V68" s="23" t="str">
        <f>IF(U68=I68,"OK","NG")</f>
        <v>OK</v>
      </c>
    </row>
    <row r="69" spans="1:22" ht="17.25" hidden="1" thickBot="1" x14ac:dyDescent="0.35">
      <c r="A69" s="99" t="s">
        <v>117</v>
      </c>
      <c r="B69" s="76">
        <v>22115</v>
      </c>
      <c r="C69" s="82" t="s">
        <v>118</v>
      </c>
      <c r="D69" s="82"/>
      <c r="E69" s="82"/>
      <c r="F69" s="82"/>
      <c r="G69" s="82"/>
      <c r="H69" s="82"/>
      <c r="I69" s="82">
        <f t="shared" si="4"/>
        <v>0</v>
      </c>
      <c r="J69" s="97"/>
      <c r="K69" s="112"/>
      <c r="L69" s="82"/>
      <c r="M69" s="82"/>
      <c r="N69" s="82"/>
      <c r="O69" s="82"/>
      <c r="P69" s="82"/>
      <c r="Q69" s="82"/>
      <c r="R69" s="83"/>
      <c r="S69" s="84"/>
      <c r="T69" s="100"/>
      <c r="U69" s="75">
        <f t="shared" si="6"/>
        <v>0</v>
      </c>
      <c r="V69" s="93" t="str">
        <f>IF(U69=I69,"OK","NG")</f>
        <v>OK</v>
      </c>
    </row>
    <row r="70" spans="1:22" ht="17.25" hidden="1" thickBot="1" x14ac:dyDescent="0.35">
      <c r="A70" s="54" t="s">
        <v>120</v>
      </c>
      <c r="B70" s="63">
        <v>22706</v>
      </c>
      <c r="C70" s="18" t="s">
        <v>119</v>
      </c>
      <c r="D70" s="18"/>
      <c r="E70" s="18"/>
      <c r="F70" s="18"/>
      <c r="G70" s="92"/>
      <c r="H70" s="22"/>
      <c r="I70" s="22">
        <f t="shared" si="4"/>
        <v>0</v>
      </c>
      <c r="J70" s="69"/>
      <c r="K70" s="11"/>
      <c r="L70" s="22"/>
      <c r="M70" s="22"/>
      <c r="N70" s="22"/>
      <c r="O70" s="22"/>
      <c r="P70" s="22"/>
      <c r="Q70" s="22"/>
      <c r="R70" s="36"/>
      <c r="S70" s="44"/>
      <c r="T70" s="47"/>
      <c r="U70" s="71">
        <f t="shared" ref="U70" si="7">SUM(L70:T70)</f>
        <v>0</v>
      </c>
      <c r="V70" s="23" t="str">
        <f>IF(U70=I70,"OK","NG")</f>
        <v>OK</v>
      </c>
    </row>
    <row r="71" spans="1:22" ht="17.25" hidden="1" thickBot="1" x14ac:dyDescent="0.35">
      <c r="A71" s="99" t="s">
        <v>121</v>
      </c>
      <c r="B71" s="76">
        <v>22886</v>
      </c>
      <c r="C71" s="82" t="s">
        <v>46</v>
      </c>
      <c r="D71" s="82"/>
      <c r="E71" s="82"/>
      <c r="F71" s="82"/>
      <c r="G71" s="82"/>
      <c r="H71" s="82"/>
      <c r="I71" s="82">
        <f t="shared" ref="I71:I80" si="8">SUM(L71:T71)</f>
        <v>0</v>
      </c>
      <c r="J71" s="97"/>
      <c r="K71" s="112"/>
      <c r="L71" s="82"/>
      <c r="M71" s="82"/>
      <c r="N71" s="82"/>
      <c r="O71" s="82"/>
      <c r="P71" s="82"/>
      <c r="Q71" s="82"/>
      <c r="R71" s="83"/>
      <c r="S71" s="84"/>
      <c r="T71" s="100"/>
      <c r="U71" s="75">
        <f>SUM(L71:T71)</f>
        <v>0</v>
      </c>
      <c r="V71" s="93" t="str">
        <f>IF(U71=I71,"OK","NG")</f>
        <v>OK</v>
      </c>
    </row>
    <row r="72" spans="1:22" ht="17.25" hidden="1" thickBot="1" x14ac:dyDescent="0.35">
      <c r="A72" s="54" t="s">
        <v>122</v>
      </c>
      <c r="B72" s="63">
        <v>17528</v>
      </c>
      <c r="C72" s="18" t="s">
        <v>123</v>
      </c>
      <c r="D72" s="18"/>
      <c r="E72" s="18"/>
      <c r="F72" s="18"/>
      <c r="G72" s="92"/>
      <c r="H72" s="22"/>
      <c r="I72" s="22">
        <f t="shared" si="8"/>
        <v>0</v>
      </c>
      <c r="J72" s="69"/>
      <c r="K72" s="11"/>
      <c r="L72" s="22"/>
      <c r="M72" s="22"/>
      <c r="N72" s="22"/>
      <c r="O72" s="22"/>
      <c r="P72" s="22"/>
      <c r="Q72" s="22"/>
      <c r="R72" s="36"/>
      <c r="S72" s="44"/>
      <c r="T72" s="47"/>
      <c r="U72" s="71">
        <f t="shared" ref="U72:U80" si="9">SUM(L72:T72)</f>
        <v>0</v>
      </c>
      <c r="V72" s="95" t="str">
        <f t="shared" ref="V72:V80" si="10">IF(U72=I72,"OK","NG")</f>
        <v>OK</v>
      </c>
    </row>
    <row r="73" spans="1:22" ht="17.25" hidden="1" thickBot="1" x14ac:dyDescent="0.35">
      <c r="A73" s="99" t="s">
        <v>124</v>
      </c>
      <c r="B73" s="76">
        <v>22380</v>
      </c>
      <c r="C73" s="82" t="s">
        <v>47</v>
      </c>
      <c r="D73" s="82"/>
      <c r="E73" s="82"/>
      <c r="F73" s="82"/>
      <c r="G73" s="82"/>
      <c r="H73" s="82"/>
      <c r="I73" s="82">
        <f t="shared" si="8"/>
        <v>0</v>
      </c>
      <c r="J73" s="97"/>
      <c r="K73" s="112"/>
      <c r="L73" s="82"/>
      <c r="M73" s="82"/>
      <c r="N73" s="82"/>
      <c r="O73" s="82"/>
      <c r="P73" s="82"/>
      <c r="Q73" s="82"/>
      <c r="R73" s="83"/>
      <c r="S73" s="84"/>
      <c r="T73" s="100"/>
      <c r="U73" s="75">
        <f t="shared" si="9"/>
        <v>0</v>
      </c>
      <c r="V73" s="93" t="str">
        <f t="shared" si="10"/>
        <v>OK</v>
      </c>
    </row>
    <row r="74" spans="1:22" ht="17.25" hidden="1" thickBot="1" x14ac:dyDescent="0.35">
      <c r="A74" s="54" t="s">
        <v>125</v>
      </c>
      <c r="B74" s="63">
        <v>19279</v>
      </c>
      <c r="C74" s="18" t="s">
        <v>126</v>
      </c>
      <c r="D74" s="18"/>
      <c r="E74" s="18"/>
      <c r="F74" s="18"/>
      <c r="G74" s="92"/>
      <c r="H74" s="22"/>
      <c r="I74" s="22">
        <f t="shared" si="8"/>
        <v>0</v>
      </c>
      <c r="J74" s="69"/>
      <c r="K74" s="11"/>
      <c r="L74" s="22"/>
      <c r="M74" s="22"/>
      <c r="N74" s="22"/>
      <c r="O74" s="22"/>
      <c r="P74" s="22"/>
      <c r="Q74" s="22"/>
      <c r="R74" s="36"/>
      <c r="S74" s="44"/>
      <c r="T74" s="47"/>
      <c r="U74" s="71">
        <f t="shared" si="9"/>
        <v>0</v>
      </c>
      <c r="V74" s="95" t="str">
        <f t="shared" si="10"/>
        <v>OK</v>
      </c>
    </row>
    <row r="75" spans="1:22" ht="17.25" hidden="1" thickBot="1" x14ac:dyDescent="0.35">
      <c r="A75" s="90" t="s">
        <v>131</v>
      </c>
      <c r="B75" s="76">
        <v>22724</v>
      </c>
      <c r="C75" s="70" t="s">
        <v>119</v>
      </c>
      <c r="D75" s="70"/>
      <c r="E75" s="70"/>
      <c r="F75" s="70"/>
      <c r="G75" s="91"/>
      <c r="H75" s="82"/>
      <c r="I75" s="82">
        <f t="shared" si="8"/>
        <v>0</v>
      </c>
      <c r="J75" s="74"/>
      <c r="K75" s="11"/>
      <c r="L75" s="82"/>
      <c r="M75" s="82"/>
      <c r="N75" s="82"/>
      <c r="O75" s="82"/>
      <c r="P75" s="82"/>
      <c r="Q75" s="82"/>
      <c r="R75" s="83"/>
      <c r="S75" s="84"/>
      <c r="T75" s="85"/>
      <c r="U75" s="75">
        <v>0</v>
      </c>
      <c r="V75" s="93" t="s">
        <v>129</v>
      </c>
    </row>
    <row r="76" spans="1:22" ht="17.25" hidden="1" thickBot="1" x14ac:dyDescent="0.35">
      <c r="A76" s="54" t="s">
        <v>132</v>
      </c>
      <c r="B76" s="63">
        <v>22705</v>
      </c>
      <c r="C76" s="18" t="s">
        <v>119</v>
      </c>
      <c r="D76" s="18"/>
      <c r="E76" s="18"/>
      <c r="F76" s="18"/>
      <c r="G76" s="92"/>
      <c r="H76" s="22"/>
      <c r="I76" s="22">
        <f t="shared" si="8"/>
        <v>0</v>
      </c>
      <c r="J76" s="69"/>
      <c r="K76" s="11"/>
      <c r="L76" s="22"/>
      <c r="M76" s="22"/>
      <c r="N76" s="22"/>
      <c r="O76" s="22"/>
      <c r="P76" s="22"/>
      <c r="Q76" s="22"/>
      <c r="R76" s="36"/>
      <c r="S76" s="44"/>
      <c r="T76" s="47"/>
      <c r="U76" s="71">
        <f t="shared" si="9"/>
        <v>0</v>
      </c>
      <c r="V76" s="95" t="str">
        <f t="shared" si="10"/>
        <v>OK</v>
      </c>
    </row>
    <row r="77" spans="1:22" ht="17.25" hidden="1" thickBot="1" x14ac:dyDescent="0.35">
      <c r="A77" s="99" t="s">
        <v>128</v>
      </c>
      <c r="B77" s="76">
        <v>5655</v>
      </c>
      <c r="C77" s="82" t="s">
        <v>54</v>
      </c>
      <c r="D77" s="82"/>
      <c r="E77" s="82"/>
      <c r="F77" s="82"/>
      <c r="G77" s="82"/>
      <c r="H77" s="82"/>
      <c r="I77" s="82">
        <f t="shared" si="8"/>
        <v>0</v>
      </c>
      <c r="J77" s="97"/>
      <c r="K77" s="112"/>
      <c r="L77" s="82"/>
      <c r="M77" s="82"/>
      <c r="N77" s="82"/>
      <c r="O77" s="82"/>
      <c r="P77" s="82"/>
      <c r="Q77" s="82"/>
      <c r="R77" s="83"/>
      <c r="S77" s="84"/>
      <c r="T77" s="100"/>
      <c r="U77" s="75">
        <f t="shared" si="9"/>
        <v>0</v>
      </c>
      <c r="V77" s="93" t="str">
        <f t="shared" si="10"/>
        <v>OK</v>
      </c>
    </row>
    <row r="78" spans="1:22" ht="17.25" hidden="1" thickBot="1" x14ac:dyDescent="0.35">
      <c r="A78" s="120" t="s">
        <v>136</v>
      </c>
      <c r="B78" s="121">
        <v>22704</v>
      </c>
      <c r="C78" s="122" t="s">
        <v>137</v>
      </c>
      <c r="D78" s="122"/>
      <c r="E78" s="122"/>
      <c r="F78" s="122"/>
      <c r="G78" s="122"/>
      <c r="H78" s="122"/>
      <c r="I78" s="22">
        <f t="shared" si="8"/>
        <v>0</v>
      </c>
      <c r="J78" s="45"/>
      <c r="K78" s="112"/>
      <c r="L78" s="22"/>
      <c r="M78" s="22"/>
      <c r="N78" s="22"/>
      <c r="O78" s="22"/>
      <c r="P78" s="22"/>
      <c r="Q78" s="22"/>
      <c r="R78" s="36"/>
      <c r="S78" s="44"/>
      <c r="T78" s="116"/>
      <c r="U78" s="71">
        <f t="shared" si="9"/>
        <v>0</v>
      </c>
      <c r="V78" s="95" t="str">
        <f t="shared" si="10"/>
        <v>OK</v>
      </c>
    </row>
    <row r="79" spans="1:22" ht="17.25" hidden="1" thickBot="1" x14ac:dyDescent="0.35">
      <c r="A79" s="136" t="s">
        <v>139</v>
      </c>
      <c r="B79" s="133">
        <v>22722</v>
      </c>
      <c r="C79" s="137" t="s">
        <v>119</v>
      </c>
      <c r="D79" s="137"/>
      <c r="E79" s="137"/>
      <c r="F79" s="137"/>
      <c r="G79" s="137"/>
      <c r="H79" s="137"/>
      <c r="I79" s="82">
        <f t="shared" si="8"/>
        <v>0</v>
      </c>
      <c r="J79" s="97"/>
      <c r="K79" s="119"/>
      <c r="L79" s="82"/>
      <c r="M79" s="82"/>
      <c r="N79" s="82"/>
      <c r="O79" s="82"/>
      <c r="P79" s="82"/>
      <c r="Q79" s="82"/>
      <c r="R79" s="83"/>
      <c r="S79" s="84"/>
      <c r="T79" s="100"/>
      <c r="U79" s="75">
        <f t="shared" ref="U79" si="11">SUM(L79:T79)</f>
        <v>0</v>
      </c>
      <c r="V79" s="93" t="str">
        <f t="shared" ref="V79" si="12">IF(U79=I79,"OK","NG")</f>
        <v>OK</v>
      </c>
    </row>
    <row r="80" spans="1:22" ht="17.25" hidden="1" thickBot="1" x14ac:dyDescent="0.35">
      <c r="A80" s="126" t="s">
        <v>134</v>
      </c>
      <c r="B80" s="127">
        <v>22723</v>
      </c>
      <c r="C80" s="128" t="s">
        <v>119</v>
      </c>
      <c r="D80" s="128"/>
      <c r="E80" s="128"/>
      <c r="F80" s="128"/>
      <c r="G80" s="128"/>
      <c r="H80" s="128"/>
      <c r="I80" s="128">
        <f t="shared" si="8"/>
        <v>0</v>
      </c>
      <c r="J80" s="45"/>
      <c r="K80" s="112"/>
      <c r="L80" s="22"/>
      <c r="M80" s="22"/>
      <c r="N80" s="22"/>
      <c r="O80" s="22"/>
      <c r="P80" s="22"/>
      <c r="Q80" s="22"/>
      <c r="R80" s="36"/>
      <c r="S80" s="44"/>
      <c r="T80" s="116"/>
      <c r="U80" s="52">
        <f t="shared" si="9"/>
        <v>0</v>
      </c>
      <c r="V80" s="23" t="str">
        <f t="shared" si="10"/>
        <v>OK</v>
      </c>
    </row>
    <row r="81" spans="1:22" x14ac:dyDescent="0.3">
      <c r="A81" s="86"/>
      <c r="B81" s="86"/>
      <c r="C81" s="87" t="s">
        <v>9</v>
      </c>
      <c r="D81" s="87"/>
      <c r="E81" s="87"/>
      <c r="F81" s="87"/>
      <c r="G81" s="88">
        <f>SUM(G6:G49)</f>
        <v>0</v>
      </c>
      <c r="H81" s="89">
        <f>SUM(H6:H49)</f>
        <v>0</v>
      </c>
      <c r="I81" s="88">
        <f>SUM(I6:I80)</f>
        <v>30</v>
      </c>
      <c r="J81" s="40">
        <f>SUM(J6:J49)</f>
        <v>0</v>
      </c>
      <c r="K81" s="115">
        <f>SUM(K6:K51)</f>
        <v>0</v>
      </c>
      <c r="L81" s="38">
        <f>SUM(L6:L77)</f>
        <v>0</v>
      </c>
      <c r="M81" s="38">
        <f>SUM(M6:M80)</f>
        <v>30</v>
      </c>
      <c r="N81" s="38">
        <f t="shared" ref="N81:T81" si="13">SUM(N6:N77)</f>
        <v>0</v>
      </c>
      <c r="O81" s="38">
        <f t="shared" si="13"/>
        <v>0</v>
      </c>
      <c r="P81" s="38">
        <f t="shared" si="13"/>
        <v>0</v>
      </c>
      <c r="Q81" s="38">
        <f t="shared" si="13"/>
        <v>0</v>
      </c>
      <c r="R81" s="38">
        <f t="shared" si="13"/>
        <v>0</v>
      </c>
      <c r="S81" s="38">
        <f t="shared" si="13"/>
        <v>0</v>
      </c>
      <c r="T81" s="38">
        <f t="shared" si="13"/>
        <v>0</v>
      </c>
      <c r="U81" s="38">
        <f>SUM(U6:U80)</f>
        <v>30</v>
      </c>
      <c r="V81" s="41" t="str">
        <f>IF(U81=SUM(I81),"OK","NG")</f>
        <v>OK</v>
      </c>
    </row>
  </sheetData>
  <autoFilter ref="A5:V81" xr:uid="{00000000-0001-0000-0100-000000000000}">
    <filterColumn colId="8">
      <filters>
        <filter val="12"/>
        <filter val="30"/>
        <filter val="4"/>
        <filter val="5"/>
        <filter val="9"/>
      </filters>
    </filterColumn>
  </autoFilter>
  <mergeCells count="20">
    <mergeCell ref="O4:O5"/>
    <mergeCell ref="P4:P5"/>
    <mergeCell ref="B3:C3"/>
    <mergeCell ref="N4:N5"/>
    <mergeCell ref="B1:C1"/>
    <mergeCell ref="F1:G1"/>
    <mergeCell ref="H1:J3"/>
    <mergeCell ref="B2:C2"/>
    <mergeCell ref="A4:D4"/>
    <mergeCell ref="E4:G4"/>
    <mergeCell ref="H4:J4"/>
    <mergeCell ref="L4:L5"/>
    <mergeCell ref="M4:M5"/>
    <mergeCell ref="Q4:Q5"/>
    <mergeCell ref="R4:R5"/>
    <mergeCell ref="S4:S5"/>
    <mergeCell ref="T4:T5"/>
    <mergeCell ref="V2:V3"/>
    <mergeCell ref="U4:U5"/>
    <mergeCell ref="V4:V5"/>
  </mergeCells>
  <phoneticPr fontId="3" type="noConversion"/>
  <conditionalFormatting sqref="A4 V6:V81">
    <cfRule type="containsText" dxfId="63" priority="5" operator="containsText" text="NG">
      <formula>NOT(ISERROR(SEARCH("NG",A4)))</formula>
    </cfRule>
    <cfRule type="containsText" dxfId="62" priority="6" operator="containsText" text="OK">
      <formula>NOT(ISERROR(SEARCH("OK",A4)))</formula>
    </cfRule>
  </conditionalFormatting>
  <pageMargins left="0.70866141732283472" right="0.70866141732283472" top="0.74803149606299213" bottom="0.74803149606299213" header="0.31496062992125984" footer="0.31496062992125984"/>
  <pageSetup paperSize="8" scale="10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 filterMode="1">
    <pageSetUpPr fitToPage="1"/>
  </sheetPr>
  <dimension ref="A1:V81"/>
  <sheetViews>
    <sheetView showGridLines="0" zoomScale="85" zoomScaleNormal="85" workbookViewId="0">
      <pane ySplit="5" topLeftCell="A8" activePane="bottomLeft" state="frozen"/>
      <selection activeCell="W73" sqref="W73"/>
      <selection pane="bottomLeft" activeCell="O94" sqref="O94"/>
    </sheetView>
  </sheetViews>
  <sheetFormatPr defaultColWidth="9" defaultRowHeight="16.5" x14ac:dyDescent="0.3"/>
  <cols>
    <col min="1" max="1" width="12.625" bestFit="1" customWidth="1"/>
    <col min="2" max="2" width="14.125" bestFit="1" customWidth="1"/>
    <col min="3" max="3" width="35.125" customWidth="1"/>
    <col min="4" max="4" width="11.75" hidden="1" customWidth="1"/>
    <col min="5" max="6" width="9" hidden="1" customWidth="1"/>
    <col min="7" max="7" width="15.375" hidden="1" customWidth="1"/>
    <col min="8" max="8" width="13.25" hidden="1" customWidth="1"/>
    <col min="9" max="9" width="13.25" customWidth="1"/>
    <col min="10" max="10" width="13.25" hidden="1" customWidth="1"/>
    <col min="11" max="11" width="0.875" customWidth="1"/>
    <col min="20" max="20" width="11" bestFit="1" customWidth="1"/>
  </cols>
  <sheetData>
    <row r="1" spans="1:22" ht="22.5" customHeight="1" thickBot="1" x14ac:dyDescent="0.35">
      <c r="A1" s="32" t="s">
        <v>28</v>
      </c>
      <c r="B1" s="153">
        <f>H69</f>
        <v>0</v>
      </c>
      <c r="C1" s="154"/>
      <c r="D1" s="55"/>
      <c r="E1" s="58" t="s">
        <v>1</v>
      </c>
      <c r="F1" s="155">
        <f>G69</f>
        <v>0</v>
      </c>
      <c r="G1" s="155"/>
      <c r="H1" s="156"/>
      <c r="I1" s="156"/>
      <c r="J1" s="156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22.5" customHeight="1" thickBot="1" x14ac:dyDescent="0.35">
      <c r="A2" s="32" t="s">
        <v>29</v>
      </c>
      <c r="B2" s="158">
        <f>I81</f>
        <v>12</v>
      </c>
      <c r="C2" s="159"/>
      <c r="D2" s="56"/>
      <c r="E2" s="59"/>
      <c r="F2" s="2"/>
      <c r="G2" s="2"/>
      <c r="H2" s="156"/>
      <c r="I2" s="156"/>
      <c r="J2" s="156"/>
      <c r="K2" s="113"/>
      <c r="L2" s="3">
        <f>SUBTOTAL(9,L6:L80)</f>
        <v>0</v>
      </c>
      <c r="M2" s="3">
        <f t="shared" ref="M2:T2" si="0">SUBTOTAL(9,M6:M80)</f>
        <v>12</v>
      </c>
      <c r="N2" s="3">
        <f t="shared" si="0"/>
        <v>0</v>
      </c>
      <c r="O2" s="3">
        <f t="shared" si="0"/>
        <v>0</v>
      </c>
      <c r="P2" s="3">
        <f t="shared" si="0"/>
        <v>0</v>
      </c>
      <c r="Q2" s="3">
        <f t="shared" si="0"/>
        <v>0</v>
      </c>
      <c r="R2" s="3">
        <f t="shared" si="0"/>
        <v>0</v>
      </c>
      <c r="S2" s="3">
        <f t="shared" si="0"/>
        <v>0</v>
      </c>
      <c r="T2" s="3">
        <f t="shared" si="0"/>
        <v>0</v>
      </c>
      <c r="U2" s="48">
        <f>SUBTOTAL(9,U6:U80)</f>
        <v>12</v>
      </c>
      <c r="V2" s="145"/>
    </row>
    <row r="3" spans="1:22" ht="22.5" customHeight="1" thickBot="1" x14ac:dyDescent="0.35">
      <c r="A3" s="33" t="s">
        <v>30</v>
      </c>
      <c r="B3" s="151">
        <f>IF(ISERROR(B2/(B2+B1)*1000000),"",(B2/(B2+B1)*1000000))</f>
        <v>1000000</v>
      </c>
      <c r="C3" s="152"/>
      <c r="D3" s="57"/>
      <c r="E3" s="60"/>
      <c r="F3" s="27"/>
      <c r="G3" s="27"/>
      <c r="H3" s="157"/>
      <c r="I3" s="157"/>
      <c r="J3" s="157"/>
      <c r="K3" s="114"/>
      <c r="L3" s="4">
        <f t="shared" ref="L3:U3" si="1">SUM(L6:L80)</f>
        <v>0</v>
      </c>
      <c r="M3" s="4">
        <f t="shared" si="1"/>
        <v>12</v>
      </c>
      <c r="N3" s="4">
        <f t="shared" si="1"/>
        <v>0</v>
      </c>
      <c r="O3" s="4">
        <f t="shared" si="1"/>
        <v>0</v>
      </c>
      <c r="P3" s="4">
        <f t="shared" si="1"/>
        <v>0</v>
      </c>
      <c r="Q3" s="4">
        <f t="shared" si="1"/>
        <v>0</v>
      </c>
      <c r="R3" s="4">
        <f t="shared" si="1"/>
        <v>0</v>
      </c>
      <c r="S3" s="4">
        <f t="shared" si="1"/>
        <v>0</v>
      </c>
      <c r="T3" s="4">
        <f t="shared" si="1"/>
        <v>0</v>
      </c>
      <c r="U3" s="49">
        <f t="shared" si="1"/>
        <v>12</v>
      </c>
      <c r="V3" s="146"/>
    </row>
    <row r="4" spans="1:22" ht="43.5" customHeight="1" x14ac:dyDescent="0.3">
      <c r="A4" s="160" t="str">
        <f>V81</f>
        <v>OK</v>
      </c>
      <c r="B4" s="160"/>
      <c r="C4" s="160"/>
      <c r="D4" s="161"/>
      <c r="E4" s="162" t="s">
        <v>15</v>
      </c>
      <c r="F4" s="162"/>
      <c r="G4" s="162"/>
      <c r="H4" s="163" t="s">
        <v>16</v>
      </c>
      <c r="I4" s="163"/>
      <c r="J4" s="163"/>
      <c r="K4" s="113"/>
      <c r="L4" s="164" t="s">
        <v>10</v>
      </c>
      <c r="M4" s="142" t="s">
        <v>17</v>
      </c>
      <c r="N4" s="142" t="s">
        <v>11</v>
      </c>
      <c r="O4" s="138" t="s">
        <v>12</v>
      </c>
      <c r="P4" s="142" t="s">
        <v>13</v>
      </c>
      <c r="Q4" s="138" t="s">
        <v>14</v>
      </c>
      <c r="R4" s="140" t="s">
        <v>20</v>
      </c>
      <c r="S4" s="142" t="s">
        <v>21</v>
      </c>
      <c r="T4" s="143" t="s">
        <v>22</v>
      </c>
      <c r="U4" s="147" t="s">
        <v>18</v>
      </c>
      <c r="V4" s="149" t="s">
        <v>19</v>
      </c>
    </row>
    <row r="5" spans="1:22" ht="33.75" thickBot="1" x14ac:dyDescent="0.35">
      <c r="A5" s="29" t="s">
        <v>3</v>
      </c>
      <c r="B5" s="30" t="s">
        <v>32</v>
      </c>
      <c r="C5" s="29" t="s">
        <v>4</v>
      </c>
      <c r="D5" s="29" t="s">
        <v>31</v>
      </c>
      <c r="E5" s="29" t="s">
        <v>5</v>
      </c>
      <c r="F5" s="29" t="s">
        <v>6</v>
      </c>
      <c r="G5" s="30" t="s">
        <v>7</v>
      </c>
      <c r="H5" s="31" t="s">
        <v>0</v>
      </c>
      <c r="I5" s="31" t="s">
        <v>2</v>
      </c>
      <c r="J5" s="31" t="s">
        <v>8</v>
      </c>
      <c r="K5" s="28"/>
      <c r="L5" s="165"/>
      <c r="M5" s="139"/>
      <c r="N5" s="139"/>
      <c r="O5" s="139"/>
      <c r="P5" s="139"/>
      <c r="Q5" s="139"/>
      <c r="R5" s="141"/>
      <c r="S5" s="139"/>
      <c r="T5" s="144"/>
      <c r="U5" s="148"/>
      <c r="V5" s="150"/>
    </row>
    <row r="6" spans="1:22" hidden="1" x14ac:dyDescent="0.3">
      <c r="A6" s="61" t="s">
        <v>33</v>
      </c>
      <c r="B6" s="61">
        <v>8092</v>
      </c>
      <c r="C6" s="6" t="s">
        <v>45</v>
      </c>
      <c r="D6" s="7"/>
      <c r="E6" s="7"/>
      <c r="F6" s="7"/>
      <c r="G6" s="8"/>
      <c r="H6" s="9"/>
      <c r="I6" s="10">
        <f>SUM(L6:T6)</f>
        <v>0</v>
      </c>
      <c r="J6" s="10"/>
      <c r="K6" s="11"/>
      <c r="L6" s="10"/>
      <c r="M6" s="10"/>
      <c r="N6" s="10"/>
      <c r="O6" s="10"/>
      <c r="P6" s="10"/>
      <c r="Q6" s="10"/>
      <c r="R6" s="34"/>
      <c r="S6" s="42"/>
      <c r="T6" s="45"/>
      <c r="U6" s="50">
        <f t="shared" ref="U6:U36" si="2">SUM(L6:T6)</f>
        <v>0</v>
      </c>
      <c r="V6" s="26" t="str">
        <f t="shared" ref="V6:V67" si="3">IF(U6=I6,"OK","NG")</f>
        <v>OK</v>
      </c>
    </row>
    <row r="7" spans="1:22" hidden="1" x14ac:dyDescent="0.3">
      <c r="A7" s="62" t="s">
        <v>95</v>
      </c>
      <c r="B7" s="62">
        <v>8088</v>
      </c>
      <c r="C7" s="12" t="s">
        <v>46</v>
      </c>
      <c r="D7" s="53"/>
      <c r="E7" s="13"/>
      <c r="F7" s="13"/>
      <c r="G7" s="14"/>
      <c r="H7" s="15"/>
      <c r="I7" s="16">
        <f t="shared" ref="I7:I70" si="4">SUM(L7:T7)</f>
        <v>0</v>
      </c>
      <c r="J7" s="16"/>
      <c r="K7" s="11"/>
      <c r="L7" s="16"/>
      <c r="M7" s="16"/>
      <c r="N7" s="16"/>
      <c r="O7" s="16"/>
      <c r="P7" s="16"/>
      <c r="Q7" s="16"/>
      <c r="R7" s="35"/>
      <c r="S7" s="43"/>
      <c r="T7" s="46"/>
      <c r="U7" s="51">
        <f t="shared" si="2"/>
        <v>0</v>
      </c>
      <c r="V7" s="17" t="str">
        <f t="shared" si="3"/>
        <v>OK</v>
      </c>
    </row>
    <row r="8" spans="1:22" x14ac:dyDescent="0.3">
      <c r="A8" s="63" t="s">
        <v>96</v>
      </c>
      <c r="B8" s="63">
        <v>8081</v>
      </c>
      <c r="C8" s="18" t="s">
        <v>46</v>
      </c>
      <c r="D8" s="19"/>
      <c r="E8" s="19"/>
      <c r="F8" s="19"/>
      <c r="G8" s="20"/>
      <c r="H8" s="21"/>
      <c r="I8" s="22">
        <f t="shared" si="4"/>
        <v>2</v>
      </c>
      <c r="J8" s="22"/>
      <c r="K8" s="11"/>
      <c r="L8" s="22"/>
      <c r="M8" s="22">
        <v>2</v>
      </c>
      <c r="N8" s="22"/>
      <c r="O8" s="22"/>
      <c r="P8" s="22"/>
      <c r="Q8" s="22"/>
      <c r="R8" s="36"/>
      <c r="S8" s="44"/>
      <c r="T8" s="47"/>
      <c r="U8" s="52">
        <f t="shared" si="2"/>
        <v>2</v>
      </c>
      <c r="V8" s="23" t="str">
        <f t="shared" si="3"/>
        <v>OK</v>
      </c>
    </row>
    <row r="9" spans="1:22" hidden="1" x14ac:dyDescent="0.3">
      <c r="A9" s="62" t="s">
        <v>97</v>
      </c>
      <c r="B9" s="62">
        <v>18524</v>
      </c>
      <c r="C9" s="12" t="s">
        <v>46</v>
      </c>
      <c r="D9" s="53"/>
      <c r="E9" s="13"/>
      <c r="F9" s="13"/>
      <c r="G9" s="14"/>
      <c r="H9" s="15"/>
      <c r="I9" s="16">
        <f t="shared" si="4"/>
        <v>0</v>
      </c>
      <c r="J9" s="16"/>
      <c r="K9" s="11"/>
      <c r="L9" s="16"/>
      <c r="M9" s="16"/>
      <c r="N9" s="16"/>
      <c r="O9" s="16"/>
      <c r="P9" s="16"/>
      <c r="Q9" s="16"/>
      <c r="R9" s="35"/>
      <c r="S9" s="43"/>
      <c r="T9" s="46"/>
      <c r="U9" s="51">
        <f t="shared" si="2"/>
        <v>0</v>
      </c>
      <c r="V9" s="17" t="str">
        <f t="shared" si="3"/>
        <v>OK</v>
      </c>
    </row>
    <row r="10" spans="1:22" hidden="1" x14ac:dyDescent="0.3">
      <c r="A10" s="63" t="s">
        <v>34</v>
      </c>
      <c r="B10" s="63">
        <v>6234</v>
      </c>
      <c r="C10" s="18" t="s">
        <v>47</v>
      </c>
      <c r="D10" s="19"/>
      <c r="E10" s="19"/>
      <c r="F10" s="19"/>
      <c r="G10" s="20"/>
      <c r="H10" s="21"/>
      <c r="I10" s="22">
        <f t="shared" si="4"/>
        <v>0</v>
      </c>
      <c r="J10" s="22"/>
      <c r="K10" s="11"/>
      <c r="L10" s="22"/>
      <c r="M10" s="22"/>
      <c r="N10" s="22"/>
      <c r="O10" s="22"/>
      <c r="P10" s="22"/>
      <c r="Q10" s="22"/>
      <c r="R10" s="36"/>
      <c r="S10" s="44"/>
      <c r="T10" s="47"/>
      <c r="U10" s="52">
        <f t="shared" si="2"/>
        <v>0</v>
      </c>
      <c r="V10" s="23" t="str">
        <f t="shared" si="3"/>
        <v>OK</v>
      </c>
    </row>
    <row r="11" spans="1:22" hidden="1" x14ac:dyDescent="0.3">
      <c r="A11" s="62" t="s">
        <v>80</v>
      </c>
      <c r="B11" s="62">
        <v>14830</v>
      </c>
      <c r="C11" s="12" t="s">
        <v>47</v>
      </c>
      <c r="D11" s="53"/>
      <c r="E11" s="13"/>
      <c r="F11" s="13"/>
      <c r="G11" s="14"/>
      <c r="H11" s="15"/>
      <c r="I11" s="16">
        <f t="shared" si="4"/>
        <v>0</v>
      </c>
      <c r="J11" s="16"/>
      <c r="K11" s="11"/>
      <c r="L11" s="16"/>
      <c r="M11" s="16"/>
      <c r="N11" s="16"/>
      <c r="O11" s="16"/>
      <c r="P11" s="16"/>
      <c r="Q11" s="16"/>
      <c r="R11" s="35"/>
      <c r="S11" s="43"/>
      <c r="T11" s="46"/>
      <c r="U11" s="51">
        <f t="shared" si="2"/>
        <v>0</v>
      </c>
      <c r="V11" s="17" t="str">
        <f t="shared" si="3"/>
        <v>OK</v>
      </c>
    </row>
    <row r="12" spans="1:22" hidden="1" x14ac:dyDescent="0.3">
      <c r="A12" s="63" t="s">
        <v>35</v>
      </c>
      <c r="B12" s="63">
        <v>6004</v>
      </c>
      <c r="C12" s="18" t="s">
        <v>48</v>
      </c>
      <c r="D12" s="19"/>
      <c r="E12" s="19"/>
      <c r="F12" s="19"/>
      <c r="G12" s="20"/>
      <c r="H12" s="21"/>
      <c r="I12" s="22">
        <f t="shared" si="4"/>
        <v>0</v>
      </c>
      <c r="J12" s="22"/>
      <c r="K12" s="11"/>
      <c r="L12" s="22"/>
      <c r="M12" s="22"/>
      <c r="N12" s="22"/>
      <c r="O12" s="22"/>
      <c r="P12" s="22"/>
      <c r="Q12" s="22"/>
      <c r="R12" s="36"/>
      <c r="S12" s="44"/>
      <c r="T12" s="47"/>
      <c r="U12" s="52">
        <f t="shared" si="2"/>
        <v>0</v>
      </c>
      <c r="V12" s="23" t="str">
        <f t="shared" si="3"/>
        <v>OK</v>
      </c>
    </row>
    <row r="13" spans="1:22" hidden="1" x14ac:dyDescent="0.3">
      <c r="A13" s="62" t="s">
        <v>36</v>
      </c>
      <c r="B13" s="62">
        <v>11857</v>
      </c>
      <c r="C13" s="12" t="s">
        <v>48</v>
      </c>
      <c r="D13" s="53"/>
      <c r="E13" s="13"/>
      <c r="F13" s="13"/>
      <c r="G13" s="14"/>
      <c r="H13" s="15"/>
      <c r="I13" s="16">
        <f t="shared" si="4"/>
        <v>0</v>
      </c>
      <c r="J13" s="16"/>
      <c r="K13" s="11"/>
      <c r="L13" s="16"/>
      <c r="M13" s="16"/>
      <c r="N13" s="16"/>
      <c r="O13" s="16"/>
      <c r="P13" s="16"/>
      <c r="Q13" s="16"/>
      <c r="R13" s="35"/>
      <c r="S13" s="43"/>
      <c r="T13" s="46"/>
      <c r="U13" s="51">
        <f t="shared" si="2"/>
        <v>0</v>
      </c>
      <c r="V13" s="17" t="str">
        <f t="shared" si="3"/>
        <v>OK</v>
      </c>
    </row>
    <row r="14" spans="1:22" hidden="1" x14ac:dyDescent="0.3">
      <c r="A14" s="63" t="s">
        <v>82</v>
      </c>
      <c r="B14" s="63">
        <v>15004</v>
      </c>
      <c r="C14" s="18" t="s">
        <v>48</v>
      </c>
      <c r="D14" s="19"/>
      <c r="E14" s="19"/>
      <c r="F14" s="19"/>
      <c r="G14" s="20"/>
      <c r="H14" s="21"/>
      <c r="I14" s="22">
        <f t="shared" si="4"/>
        <v>0</v>
      </c>
      <c r="J14" s="22"/>
      <c r="K14" s="11"/>
      <c r="L14" s="22"/>
      <c r="M14" s="22"/>
      <c r="N14" s="22"/>
      <c r="O14" s="22"/>
      <c r="P14" s="22"/>
      <c r="Q14" s="22"/>
      <c r="R14" s="36"/>
      <c r="S14" s="44"/>
      <c r="T14" s="47"/>
      <c r="U14" s="52">
        <f t="shared" si="2"/>
        <v>0</v>
      </c>
      <c r="V14" s="23" t="str">
        <f t="shared" si="3"/>
        <v>OK</v>
      </c>
    </row>
    <row r="15" spans="1:22" hidden="1" x14ac:dyDescent="0.3">
      <c r="A15" s="62" t="s">
        <v>86</v>
      </c>
      <c r="B15" s="62">
        <v>15174</v>
      </c>
      <c r="C15" s="12" t="s">
        <v>45</v>
      </c>
      <c r="D15" s="53"/>
      <c r="E15" s="13"/>
      <c r="F15" s="13"/>
      <c r="G15" s="14"/>
      <c r="H15" s="15"/>
      <c r="I15" s="16">
        <f t="shared" si="4"/>
        <v>0</v>
      </c>
      <c r="J15" s="16"/>
      <c r="K15" s="11"/>
      <c r="L15" s="16"/>
      <c r="M15" s="16"/>
      <c r="N15" s="16"/>
      <c r="O15" s="16"/>
      <c r="P15" s="16"/>
      <c r="Q15" s="16"/>
      <c r="R15" s="35"/>
      <c r="S15" s="43"/>
      <c r="T15" s="46"/>
      <c r="U15" s="51">
        <f t="shared" si="2"/>
        <v>0</v>
      </c>
      <c r="V15" s="17" t="str">
        <f t="shared" si="3"/>
        <v>OK</v>
      </c>
    </row>
    <row r="16" spans="1:22" hidden="1" x14ac:dyDescent="0.3">
      <c r="A16" s="63" t="s">
        <v>87</v>
      </c>
      <c r="B16" s="63">
        <v>15520</v>
      </c>
      <c r="C16" s="18" t="s">
        <v>47</v>
      </c>
      <c r="D16" s="19"/>
      <c r="E16" s="19"/>
      <c r="F16" s="19"/>
      <c r="G16" s="20"/>
      <c r="H16" s="21"/>
      <c r="I16" s="22">
        <f t="shared" si="4"/>
        <v>0</v>
      </c>
      <c r="J16" s="22"/>
      <c r="K16" s="11"/>
      <c r="L16" s="22"/>
      <c r="M16" s="22"/>
      <c r="N16" s="22"/>
      <c r="O16" s="22"/>
      <c r="P16" s="22"/>
      <c r="Q16" s="22"/>
      <c r="R16" s="36"/>
      <c r="S16" s="44"/>
      <c r="T16" s="47"/>
      <c r="U16" s="52">
        <f t="shared" si="2"/>
        <v>0</v>
      </c>
      <c r="V16" s="23" t="str">
        <f t="shared" si="3"/>
        <v>OK</v>
      </c>
    </row>
    <row r="17" spans="1:22" hidden="1" x14ac:dyDescent="0.3">
      <c r="A17" s="62" t="s">
        <v>85</v>
      </c>
      <c r="B17" s="62">
        <v>14989</v>
      </c>
      <c r="C17" s="12" t="s">
        <v>45</v>
      </c>
      <c r="D17" s="53"/>
      <c r="E17" s="13"/>
      <c r="F17" s="13"/>
      <c r="G17" s="14"/>
      <c r="H17" s="15"/>
      <c r="I17" s="16">
        <f t="shared" si="4"/>
        <v>0</v>
      </c>
      <c r="J17" s="16"/>
      <c r="K17" s="11"/>
      <c r="L17" s="16"/>
      <c r="M17" s="16"/>
      <c r="N17" s="16"/>
      <c r="O17" s="16"/>
      <c r="P17" s="16"/>
      <c r="Q17" s="16"/>
      <c r="R17" s="35"/>
      <c r="S17" s="43"/>
      <c r="T17" s="46"/>
      <c r="U17" s="51">
        <f t="shared" si="2"/>
        <v>0</v>
      </c>
      <c r="V17" s="17" t="str">
        <f t="shared" si="3"/>
        <v>OK</v>
      </c>
    </row>
    <row r="18" spans="1:22" hidden="1" x14ac:dyDescent="0.3">
      <c r="A18" s="63" t="s">
        <v>84</v>
      </c>
      <c r="B18" s="63">
        <v>14984</v>
      </c>
      <c r="C18" s="18" t="s">
        <v>46</v>
      </c>
      <c r="D18" s="19"/>
      <c r="E18" s="19"/>
      <c r="F18" s="19"/>
      <c r="G18" s="20"/>
      <c r="H18" s="21"/>
      <c r="I18" s="22">
        <f t="shared" si="4"/>
        <v>0</v>
      </c>
      <c r="J18" s="22"/>
      <c r="K18" s="11"/>
      <c r="L18" s="22"/>
      <c r="M18" s="22"/>
      <c r="N18" s="22"/>
      <c r="O18" s="22"/>
      <c r="P18" s="22"/>
      <c r="Q18" s="22"/>
      <c r="R18" s="36"/>
      <c r="S18" s="44"/>
      <c r="T18" s="47"/>
      <c r="U18" s="52">
        <f t="shared" si="2"/>
        <v>0</v>
      </c>
      <c r="V18" s="23" t="str">
        <f t="shared" si="3"/>
        <v>OK</v>
      </c>
    </row>
    <row r="19" spans="1:22" hidden="1" x14ac:dyDescent="0.3">
      <c r="A19" s="62" t="s">
        <v>88</v>
      </c>
      <c r="B19" s="62">
        <v>16270</v>
      </c>
      <c r="C19" s="12" t="s">
        <v>89</v>
      </c>
      <c r="D19" s="53"/>
      <c r="E19" s="13"/>
      <c r="F19" s="13"/>
      <c r="G19" s="14"/>
      <c r="H19" s="15"/>
      <c r="I19" s="16">
        <f t="shared" si="4"/>
        <v>0</v>
      </c>
      <c r="J19" s="16"/>
      <c r="K19" s="11"/>
      <c r="L19" s="16"/>
      <c r="M19" s="16"/>
      <c r="N19" s="16"/>
      <c r="O19" s="16"/>
      <c r="P19" s="16"/>
      <c r="Q19" s="16"/>
      <c r="R19" s="35"/>
      <c r="S19" s="43"/>
      <c r="T19" s="46"/>
      <c r="U19" s="51">
        <f t="shared" si="2"/>
        <v>0</v>
      </c>
      <c r="V19" s="17" t="str">
        <f t="shared" si="3"/>
        <v>OK</v>
      </c>
    </row>
    <row r="20" spans="1:22" hidden="1" x14ac:dyDescent="0.3">
      <c r="A20" s="63" t="s">
        <v>98</v>
      </c>
      <c r="B20" s="63">
        <v>19060</v>
      </c>
      <c r="C20" s="18" t="s">
        <v>47</v>
      </c>
      <c r="D20" s="19"/>
      <c r="E20" s="19"/>
      <c r="F20" s="19"/>
      <c r="G20" s="20"/>
      <c r="H20" s="21"/>
      <c r="I20" s="22">
        <f t="shared" si="4"/>
        <v>0</v>
      </c>
      <c r="J20" s="22"/>
      <c r="K20" s="11"/>
      <c r="L20" s="22"/>
      <c r="M20" s="22"/>
      <c r="N20" s="22"/>
      <c r="O20" s="22"/>
      <c r="P20" s="22"/>
      <c r="Q20" s="22"/>
      <c r="R20" s="36"/>
      <c r="S20" s="44"/>
      <c r="T20" s="47"/>
      <c r="U20" s="52">
        <f t="shared" si="2"/>
        <v>0</v>
      </c>
      <c r="V20" s="23" t="str">
        <f t="shared" si="3"/>
        <v>OK</v>
      </c>
    </row>
    <row r="21" spans="1:22" hidden="1" x14ac:dyDescent="0.3">
      <c r="A21" s="62" t="s">
        <v>99</v>
      </c>
      <c r="B21" s="62">
        <v>18828</v>
      </c>
      <c r="C21" s="12" t="s">
        <v>94</v>
      </c>
      <c r="D21" s="53"/>
      <c r="E21" s="13"/>
      <c r="F21" s="13"/>
      <c r="G21" s="14"/>
      <c r="H21" s="15"/>
      <c r="I21" s="16">
        <f t="shared" si="4"/>
        <v>0</v>
      </c>
      <c r="J21" s="16"/>
      <c r="K21" s="11"/>
      <c r="L21" s="16"/>
      <c r="M21" s="16"/>
      <c r="N21" s="16"/>
      <c r="O21" s="16"/>
      <c r="P21" s="16"/>
      <c r="Q21" s="16"/>
      <c r="R21" s="35"/>
      <c r="S21" s="43"/>
      <c r="T21" s="46"/>
      <c r="U21" s="51">
        <f t="shared" si="2"/>
        <v>0</v>
      </c>
      <c r="V21" s="17" t="str">
        <f t="shared" si="3"/>
        <v>OK</v>
      </c>
    </row>
    <row r="22" spans="1:22" hidden="1" x14ac:dyDescent="0.3">
      <c r="A22" s="63" t="s">
        <v>23</v>
      </c>
      <c r="B22" s="63">
        <v>5695</v>
      </c>
      <c r="C22" s="18" t="s">
        <v>49</v>
      </c>
      <c r="D22" s="19"/>
      <c r="E22" s="19"/>
      <c r="F22" s="19"/>
      <c r="G22" s="20"/>
      <c r="H22" s="21"/>
      <c r="I22" s="22">
        <f t="shared" si="4"/>
        <v>0</v>
      </c>
      <c r="J22" s="22"/>
      <c r="K22" s="11"/>
      <c r="L22" s="22"/>
      <c r="M22" s="22"/>
      <c r="N22" s="22"/>
      <c r="O22" s="22"/>
      <c r="P22" s="22"/>
      <c r="Q22" s="22"/>
      <c r="R22" s="36"/>
      <c r="S22" s="44"/>
      <c r="T22" s="47"/>
      <c r="U22" s="52">
        <f t="shared" si="2"/>
        <v>0</v>
      </c>
      <c r="V22" s="23" t="str">
        <f t="shared" si="3"/>
        <v>OK</v>
      </c>
    </row>
    <row r="23" spans="1:22" hidden="1" x14ac:dyDescent="0.3">
      <c r="A23" s="62" t="s">
        <v>24</v>
      </c>
      <c r="B23" s="62">
        <v>5691</v>
      </c>
      <c r="C23" s="12" t="s">
        <v>50</v>
      </c>
      <c r="D23" s="53"/>
      <c r="E23" s="13"/>
      <c r="F23" s="13"/>
      <c r="G23" s="14"/>
      <c r="H23" s="15"/>
      <c r="I23" s="16">
        <f t="shared" si="4"/>
        <v>0</v>
      </c>
      <c r="J23" s="16"/>
      <c r="K23" s="11"/>
      <c r="L23" s="16"/>
      <c r="M23" s="16"/>
      <c r="N23" s="16"/>
      <c r="O23" s="16"/>
      <c r="P23" s="16"/>
      <c r="Q23" s="16"/>
      <c r="R23" s="35"/>
      <c r="S23" s="43"/>
      <c r="T23" s="46"/>
      <c r="U23" s="51">
        <f t="shared" si="2"/>
        <v>0</v>
      </c>
      <c r="V23" s="17" t="str">
        <f t="shared" si="3"/>
        <v>OK</v>
      </c>
    </row>
    <row r="24" spans="1:22" hidden="1" x14ac:dyDescent="0.3">
      <c r="A24" s="63" t="s">
        <v>37</v>
      </c>
      <c r="B24" s="63">
        <v>5687</v>
      </c>
      <c r="C24" s="18" t="s">
        <v>51</v>
      </c>
      <c r="D24" s="19"/>
      <c r="E24" s="19"/>
      <c r="F24" s="19"/>
      <c r="G24" s="20"/>
      <c r="H24" s="21"/>
      <c r="I24" s="22">
        <f t="shared" si="4"/>
        <v>0</v>
      </c>
      <c r="J24" s="22"/>
      <c r="K24" s="11"/>
      <c r="L24" s="22"/>
      <c r="M24" s="22"/>
      <c r="N24" s="22"/>
      <c r="O24" s="22"/>
      <c r="P24" s="22"/>
      <c r="Q24" s="22"/>
      <c r="R24" s="36"/>
      <c r="S24" s="44"/>
      <c r="T24" s="47"/>
      <c r="U24" s="52">
        <f t="shared" si="2"/>
        <v>0</v>
      </c>
      <c r="V24" s="23" t="str">
        <f t="shared" si="3"/>
        <v>OK</v>
      </c>
    </row>
    <row r="25" spans="1:22" hidden="1" x14ac:dyDescent="0.3">
      <c r="A25" s="62" t="s">
        <v>38</v>
      </c>
      <c r="B25" s="62">
        <v>5683</v>
      </c>
      <c r="C25" s="12" t="s">
        <v>51</v>
      </c>
      <c r="D25" s="53"/>
      <c r="E25" s="13"/>
      <c r="F25" s="13"/>
      <c r="G25" s="14"/>
      <c r="H25" s="15"/>
      <c r="I25" s="16">
        <f t="shared" si="4"/>
        <v>0</v>
      </c>
      <c r="J25" s="16"/>
      <c r="K25" s="11"/>
      <c r="L25" s="16"/>
      <c r="M25" s="16"/>
      <c r="N25" s="16"/>
      <c r="O25" s="16"/>
      <c r="P25" s="16"/>
      <c r="Q25" s="16"/>
      <c r="R25" s="35"/>
      <c r="S25" s="43"/>
      <c r="T25" s="46"/>
      <c r="U25" s="51">
        <f t="shared" si="2"/>
        <v>0</v>
      </c>
      <c r="V25" s="17" t="str">
        <f t="shared" si="3"/>
        <v>OK</v>
      </c>
    </row>
    <row r="26" spans="1:22" hidden="1" x14ac:dyDescent="0.3">
      <c r="A26" s="63" t="s">
        <v>25</v>
      </c>
      <c r="B26" s="63">
        <v>5679</v>
      </c>
      <c r="C26" s="18" t="s">
        <v>52</v>
      </c>
      <c r="D26" s="19"/>
      <c r="E26" s="19"/>
      <c r="F26" s="19"/>
      <c r="G26" s="20"/>
      <c r="H26" s="21"/>
      <c r="I26" s="22">
        <f t="shared" si="4"/>
        <v>0</v>
      </c>
      <c r="J26" s="22"/>
      <c r="K26" s="11"/>
      <c r="L26" s="22"/>
      <c r="M26" s="22"/>
      <c r="N26" s="22"/>
      <c r="O26" s="22"/>
      <c r="P26" s="22"/>
      <c r="Q26" s="22"/>
      <c r="R26" s="36"/>
      <c r="S26" s="44"/>
      <c r="T26" s="47"/>
      <c r="U26" s="52">
        <f t="shared" si="2"/>
        <v>0</v>
      </c>
      <c r="V26" s="23" t="str">
        <f t="shared" si="3"/>
        <v>OK</v>
      </c>
    </row>
    <row r="27" spans="1:22" hidden="1" x14ac:dyDescent="0.3">
      <c r="A27" s="62" t="s">
        <v>39</v>
      </c>
      <c r="B27" s="62">
        <v>5675</v>
      </c>
      <c r="C27" s="12" t="s">
        <v>53</v>
      </c>
      <c r="D27" s="53"/>
      <c r="E27" s="13"/>
      <c r="F27" s="13"/>
      <c r="G27" s="14"/>
      <c r="H27" s="15"/>
      <c r="I27" s="16">
        <f t="shared" si="4"/>
        <v>0</v>
      </c>
      <c r="J27" s="16"/>
      <c r="K27" s="11"/>
      <c r="L27" s="16"/>
      <c r="M27" s="16"/>
      <c r="N27" s="16"/>
      <c r="O27" s="16"/>
      <c r="P27" s="16"/>
      <c r="Q27" s="16"/>
      <c r="R27" s="35"/>
      <c r="S27" s="43"/>
      <c r="T27" s="46"/>
      <c r="U27" s="51">
        <f t="shared" si="2"/>
        <v>0</v>
      </c>
      <c r="V27" s="17" t="str">
        <f t="shared" si="3"/>
        <v>OK</v>
      </c>
    </row>
    <row r="28" spans="1:22" hidden="1" x14ac:dyDescent="0.3">
      <c r="A28" s="63" t="s">
        <v>26</v>
      </c>
      <c r="B28" s="63">
        <v>5671</v>
      </c>
      <c r="C28" s="18" t="s">
        <v>49</v>
      </c>
      <c r="D28" s="19"/>
      <c r="E28" s="19"/>
      <c r="F28" s="19"/>
      <c r="G28" s="20"/>
      <c r="H28" s="21"/>
      <c r="I28" s="22">
        <f t="shared" si="4"/>
        <v>0</v>
      </c>
      <c r="J28" s="22"/>
      <c r="K28" s="11"/>
      <c r="L28" s="22"/>
      <c r="M28" s="22"/>
      <c r="N28" s="22"/>
      <c r="O28" s="22"/>
      <c r="P28" s="22"/>
      <c r="Q28" s="22"/>
      <c r="R28" s="36"/>
      <c r="S28" s="44"/>
      <c r="T28" s="47"/>
      <c r="U28" s="52">
        <f t="shared" si="2"/>
        <v>0</v>
      </c>
      <c r="V28" s="23" t="str">
        <f t="shared" si="3"/>
        <v>OK</v>
      </c>
    </row>
    <row r="29" spans="1:22" hidden="1" x14ac:dyDescent="0.3">
      <c r="A29" s="62" t="s">
        <v>40</v>
      </c>
      <c r="B29" s="62">
        <v>5667</v>
      </c>
      <c r="C29" s="12" t="s">
        <v>50</v>
      </c>
      <c r="D29" s="53"/>
      <c r="E29" s="13"/>
      <c r="F29" s="13"/>
      <c r="G29" s="14"/>
      <c r="H29" s="15"/>
      <c r="I29" s="16">
        <f t="shared" si="4"/>
        <v>0</v>
      </c>
      <c r="J29" s="16"/>
      <c r="K29" s="11"/>
      <c r="L29" s="16"/>
      <c r="M29" s="16"/>
      <c r="N29" s="16"/>
      <c r="O29" s="16"/>
      <c r="P29" s="16"/>
      <c r="Q29" s="16"/>
      <c r="R29" s="35"/>
      <c r="S29" s="43"/>
      <c r="T29" s="46"/>
      <c r="U29" s="51">
        <f t="shared" si="2"/>
        <v>0</v>
      </c>
      <c r="V29" s="17" t="str">
        <f t="shared" si="3"/>
        <v>OK</v>
      </c>
    </row>
    <row r="30" spans="1:22" hidden="1" x14ac:dyDescent="0.3">
      <c r="A30" s="63" t="s">
        <v>41</v>
      </c>
      <c r="B30" s="63">
        <v>5663</v>
      </c>
      <c r="C30" s="18" t="s">
        <v>51</v>
      </c>
      <c r="D30" s="19"/>
      <c r="E30" s="19"/>
      <c r="F30" s="19"/>
      <c r="G30" s="20"/>
      <c r="H30" s="21"/>
      <c r="I30" s="22">
        <f t="shared" si="4"/>
        <v>0</v>
      </c>
      <c r="J30" s="22"/>
      <c r="K30" s="11"/>
      <c r="L30" s="22"/>
      <c r="M30" s="22"/>
      <c r="N30" s="22"/>
      <c r="O30" s="22"/>
      <c r="P30" s="22"/>
      <c r="Q30" s="22"/>
      <c r="R30" s="36"/>
      <c r="S30" s="44"/>
      <c r="T30" s="47"/>
      <c r="U30" s="52">
        <f t="shared" si="2"/>
        <v>0</v>
      </c>
      <c r="V30" s="23" t="str">
        <f t="shared" si="3"/>
        <v>OK</v>
      </c>
    </row>
    <row r="31" spans="1:22" hidden="1" x14ac:dyDescent="0.3">
      <c r="A31" s="62" t="s">
        <v>42</v>
      </c>
      <c r="B31" s="62">
        <v>5659</v>
      </c>
      <c r="C31" s="12" t="s">
        <v>52</v>
      </c>
      <c r="D31" s="53"/>
      <c r="E31" s="13"/>
      <c r="F31" s="13"/>
      <c r="G31" s="14"/>
      <c r="H31" s="15"/>
      <c r="I31" s="16">
        <f t="shared" si="4"/>
        <v>0</v>
      </c>
      <c r="J31" s="16"/>
      <c r="K31" s="11"/>
      <c r="L31" s="16"/>
      <c r="M31" s="16"/>
      <c r="N31" s="16"/>
      <c r="O31" s="16"/>
      <c r="P31" s="16"/>
      <c r="Q31" s="16"/>
      <c r="R31" s="35"/>
      <c r="S31" s="43"/>
      <c r="T31" s="46"/>
      <c r="U31" s="51">
        <f t="shared" si="2"/>
        <v>0</v>
      </c>
      <c r="V31" s="17" t="str">
        <f t="shared" si="3"/>
        <v>OK</v>
      </c>
    </row>
    <row r="32" spans="1:22" hidden="1" x14ac:dyDescent="0.3">
      <c r="A32" s="63" t="s">
        <v>27</v>
      </c>
      <c r="B32" s="63">
        <v>5655</v>
      </c>
      <c r="C32" s="18" t="s">
        <v>54</v>
      </c>
      <c r="D32" s="19"/>
      <c r="E32" s="19"/>
      <c r="F32" s="19"/>
      <c r="G32" s="20"/>
      <c r="H32" s="21"/>
      <c r="I32" s="22">
        <f t="shared" si="4"/>
        <v>0</v>
      </c>
      <c r="J32" s="22"/>
      <c r="K32" s="11"/>
      <c r="L32" s="22"/>
      <c r="M32" s="22"/>
      <c r="N32" s="22"/>
      <c r="O32" s="22"/>
      <c r="P32" s="22"/>
      <c r="Q32" s="22"/>
      <c r="R32" s="36"/>
      <c r="S32" s="44"/>
      <c r="T32" s="47"/>
      <c r="U32" s="52">
        <f t="shared" si="2"/>
        <v>0</v>
      </c>
      <c r="V32" s="23" t="str">
        <f t="shared" si="3"/>
        <v>OK</v>
      </c>
    </row>
    <row r="33" spans="1:22" hidden="1" x14ac:dyDescent="0.3">
      <c r="A33" s="62" t="s">
        <v>70</v>
      </c>
      <c r="B33" s="62">
        <v>5651</v>
      </c>
      <c r="C33" s="12" t="s">
        <v>55</v>
      </c>
      <c r="D33" s="53"/>
      <c r="E33" s="13"/>
      <c r="F33" s="13"/>
      <c r="G33" s="14"/>
      <c r="H33" s="15"/>
      <c r="I33" s="16">
        <f t="shared" si="4"/>
        <v>0</v>
      </c>
      <c r="J33" s="16"/>
      <c r="K33" s="11"/>
      <c r="L33" s="16"/>
      <c r="M33" s="16"/>
      <c r="N33" s="16"/>
      <c r="O33" s="16"/>
      <c r="P33" s="16"/>
      <c r="Q33" s="16"/>
      <c r="R33" s="35"/>
      <c r="S33" s="43"/>
      <c r="T33" s="46"/>
      <c r="U33" s="51">
        <f t="shared" si="2"/>
        <v>0</v>
      </c>
      <c r="V33" s="17" t="str">
        <f t="shared" si="3"/>
        <v>OK</v>
      </c>
    </row>
    <row r="34" spans="1:22" hidden="1" x14ac:dyDescent="0.3">
      <c r="A34" s="63" t="s">
        <v>71</v>
      </c>
      <c r="B34" s="63">
        <v>5643</v>
      </c>
      <c r="C34" s="18" t="s">
        <v>56</v>
      </c>
      <c r="D34" s="19"/>
      <c r="E34" s="19"/>
      <c r="F34" s="19"/>
      <c r="G34" s="20"/>
      <c r="H34" s="21"/>
      <c r="I34" s="22">
        <f t="shared" si="4"/>
        <v>0</v>
      </c>
      <c r="J34" s="22"/>
      <c r="K34" s="11"/>
      <c r="L34" s="22"/>
      <c r="M34" s="22"/>
      <c r="N34" s="22"/>
      <c r="O34" s="22"/>
      <c r="P34" s="22"/>
      <c r="Q34" s="22"/>
      <c r="R34" s="36"/>
      <c r="S34" s="44"/>
      <c r="T34" s="47"/>
      <c r="U34" s="52">
        <f t="shared" si="2"/>
        <v>0</v>
      </c>
      <c r="V34" s="23" t="str">
        <f t="shared" si="3"/>
        <v>OK</v>
      </c>
    </row>
    <row r="35" spans="1:22" hidden="1" x14ac:dyDescent="0.3">
      <c r="A35" s="62" t="s">
        <v>57</v>
      </c>
      <c r="B35" s="62">
        <v>11350</v>
      </c>
      <c r="C35" s="12" t="s">
        <v>56</v>
      </c>
      <c r="D35" s="53"/>
      <c r="E35" s="13"/>
      <c r="F35" s="13"/>
      <c r="G35" s="14"/>
      <c r="H35" s="15"/>
      <c r="I35" s="16">
        <f t="shared" si="4"/>
        <v>0</v>
      </c>
      <c r="J35" s="16"/>
      <c r="K35" s="11"/>
      <c r="L35" s="16"/>
      <c r="M35" s="16"/>
      <c r="N35" s="16"/>
      <c r="O35" s="16"/>
      <c r="P35" s="16"/>
      <c r="Q35" s="16"/>
      <c r="R35" s="35"/>
      <c r="S35" s="43"/>
      <c r="T35" s="46"/>
      <c r="U35" s="51">
        <f t="shared" si="2"/>
        <v>0</v>
      </c>
      <c r="V35" s="17" t="str">
        <f t="shared" si="3"/>
        <v>OK</v>
      </c>
    </row>
    <row r="36" spans="1:22" hidden="1" x14ac:dyDescent="0.3">
      <c r="A36" s="63" t="s">
        <v>72</v>
      </c>
      <c r="B36" s="63">
        <v>5635</v>
      </c>
      <c r="C36" s="18" t="s">
        <v>55</v>
      </c>
      <c r="D36" s="19"/>
      <c r="E36" s="19"/>
      <c r="F36" s="19"/>
      <c r="G36" s="20"/>
      <c r="H36" s="21"/>
      <c r="I36" s="22">
        <f t="shared" si="4"/>
        <v>0</v>
      </c>
      <c r="J36" s="22"/>
      <c r="K36" s="11"/>
      <c r="L36" s="22"/>
      <c r="M36" s="22"/>
      <c r="N36" s="22"/>
      <c r="O36" s="22"/>
      <c r="P36" s="22"/>
      <c r="Q36" s="22"/>
      <c r="R36" s="36"/>
      <c r="S36" s="44"/>
      <c r="T36" s="47"/>
      <c r="U36" s="52">
        <f t="shared" si="2"/>
        <v>0</v>
      </c>
      <c r="V36" s="23" t="str">
        <f t="shared" si="3"/>
        <v>OK</v>
      </c>
    </row>
    <row r="37" spans="1:22" hidden="1" x14ac:dyDescent="0.3">
      <c r="A37" s="62" t="s">
        <v>58</v>
      </c>
      <c r="B37" s="62">
        <v>11349</v>
      </c>
      <c r="C37" s="12" t="s">
        <v>55</v>
      </c>
      <c r="D37" s="53"/>
      <c r="E37" s="13"/>
      <c r="F37" s="13"/>
      <c r="G37" s="14"/>
      <c r="H37" s="15"/>
      <c r="I37" s="16">
        <f t="shared" si="4"/>
        <v>0</v>
      </c>
      <c r="J37" s="16"/>
      <c r="K37" s="11"/>
      <c r="L37" s="16"/>
      <c r="M37" s="16"/>
      <c r="N37" s="16"/>
      <c r="O37" s="16"/>
      <c r="P37" s="16"/>
      <c r="Q37" s="16"/>
      <c r="R37" s="35"/>
      <c r="S37" s="43"/>
      <c r="T37" s="46"/>
      <c r="U37" s="51">
        <f t="shared" ref="U37:U55" si="5">SUM(L37:T37)</f>
        <v>0</v>
      </c>
      <c r="V37" s="17" t="str">
        <f t="shared" si="3"/>
        <v>OK</v>
      </c>
    </row>
    <row r="38" spans="1:22" hidden="1" x14ac:dyDescent="0.3">
      <c r="A38" s="63" t="s">
        <v>73</v>
      </c>
      <c r="B38" s="63">
        <v>5627</v>
      </c>
      <c r="C38" s="18" t="s">
        <v>56</v>
      </c>
      <c r="D38" s="19"/>
      <c r="E38" s="19"/>
      <c r="F38" s="19"/>
      <c r="G38" s="20"/>
      <c r="H38" s="21"/>
      <c r="I38" s="22">
        <f t="shared" si="4"/>
        <v>0</v>
      </c>
      <c r="J38" s="22"/>
      <c r="K38" s="11"/>
      <c r="L38" s="22"/>
      <c r="M38" s="22"/>
      <c r="N38" s="22"/>
      <c r="O38" s="22"/>
      <c r="P38" s="22"/>
      <c r="Q38" s="22"/>
      <c r="R38" s="36"/>
      <c r="S38" s="44"/>
      <c r="T38" s="47"/>
      <c r="U38" s="52">
        <f t="shared" si="5"/>
        <v>0</v>
      </c>
      <c r="V38" s="23" t="str">
        <f t="shared" si="3"/>
        <v>OK</v>
      </c>
    </row>
    <row r="39" spans="1:22" hidden="1" x14ac:dyDescent="0.3">
      <c r="A39" s="62" t="s">
        <v>59</v>
      </c>
      <c r="B39" s="62">
        <v>11348</v>
      </c>
      <c r="C39" s="12" t="s">
        <v>56</v>
      </c>
      <c r="D39" s="53"/>
      <c r="E39" s="13"/>
      <c r="F39" s="13"/>
      <c r="G39" s="14"/>
      <c r="H39" s="15"/>
      <c r="I39" s="16">
        <f t="shared" si="4"/>
        <v>0</v>
      </c>
      <c r="J39" s="16"/>
      <c r="K39" s="11"/>
      <c r="L39" s="16"/>
      <c r="M39" s="16"/>
      <c r="N39" s="16"/>
      <c r="O39" s="16"/>
      <c r="P39" s="16"/>
      <c r="Q39" s="16"/>
      <c r="R39" s="35"/>
      <c r="S39" s="43"/>
      <c r="T39" s="46"/>
      <c r="U39" s="51">
        <f t="shared" si="5"/>
        <v>0</v>
      </c>
      <c r="V39" s="17" t="str">
        <f t="shared" si="3"/>
        <v>OK</v>
      </c>
    </row>
    <row r="40" spans="1:22" hidden="1" x14ac:dyDescent="0.3">
      <c r="A40" s="63" t="s">
        <v>74</v>
      </c>
      <c r="B40" s="63">
        <v>5619</v>
      </c>
      <c r="C40" s="18" t="s">
        <v>60</v>
      </c>
      <c r="D40" s="19"/>
      <c r="E40" s="19"/>
      <c r="F40" s="19"/>
      <c r="G40" s="20"/>
      <c r="H40" s="21"/>
      <c r="I40" s="22">
        <f t="shared" si="4"/>
        <v>0</v>
      </c>
      <c r="J40" s="22"/>
      <c r="K40" s="11"/>
      <c r="L40" s="22"/>
      <c r="M40" s="22"/>
      <c r="N40" s="22"/>
      <c r="O40" s="22"/>
      <c r="P40" s="22"/>
      <c r="Q40" s="22"/>
      <c r="R40" s="36"/>
      <c r="S40" s="44"/>
      <c r="T40" s="47"/>
      <c r="U40" s="52">
        <f t="shared" si="5"/>
        <v>0</v>
      </c>
      <c r="V40" s="23" t="str">
        <f t="shared" si="3"/>
        <v>OK</v>
      </c>
    </row>
    <row r="41" spans="1:22" hidden="1" x14ac:dyDescent="0.3">
      <c r="A41" s="64" t="s">
        <v>61</v>
      </c>
      <c r="B41" s="62">
        <v>11347</v>
      </c>
      <c r="C41" s="12" t="s">
        <v>60</v>
      </c>
      <c r="D41" s="53"/>
      <c r="E41" s="13"/>
      <c r="F41" s="13"/>
      <c r="G41" s="14"/>
      <c r="H41" s="15"/>
      <c r="I41" s="16">
        <f t="shared" si="4"/>
        <v>0</v>
      </c>
      <c r="J41" s="16"/>
      <c r="K41" s="11"/>
      <c r="L41" s="16"/>
      <c r="M41" s="16"/>
      <c r="N41" s="16"/>
      <c r="O41" s="16"/>
      <c r="P41" s="16"/>
      <c r="Q41" s="16"/>
      <c r="R41" s="35"/>
      <c r="S41" s="43"/>
      <c r="T41" s="46"/>
      <c r="U41" s="51">
        <f t="shared" si="5"/>
        <v>0</v>
      </c>
      <c r="V41" s="17" t="str">
        <f t="shared" si="3"/>
        <v>OK</v>
      </c>
    </row>
    <row r="42" spans="1:22" hidden="1" x14ac:dyDescent="0.3">
      <c r="A42" s="54" t="s">
        <v>75</v>
      </c>
      <c r="B42" s="63">
        <v>5611</v>
      </c>
      <c r="C42" s="18" t="s">
        <v>62</v>
      </c>
      <c r="D42" s="19"/>
      <c r="E42" s="19"/>
      <c r="F42" s="19"/>
      <c r="G42" s="20"/>
      <c r="H42" s="21"/>
      <c r="I42" s="22">
        <f t="shared" si="4"/>
        <v>0</v>
      </c>
      <c r="J42" s="22"/>
      <c r="K42" s="11"/>
      <c r="L42" s="22"/>
      <c r="M42" s="22"/>
      <c r="N42" s="22"/>
      <c r="O42" s="22"/>
      <c r="P42" s="22"/>
      <c r="Q42" s="22"/>
      <c r="R42" s="36"/>
      <c r="S42" s="44"/>
      <c r="T42" s="47"/>
      <c r="U42" s="52">
        <f t="shared" si="5"/>
        <v>0</v>
      </c>
      <c r="V42" s="23" t="str">
        <f t="shared" si="3"/>
        <v>OK</v>
      </c>
    </row>
    <row r="43" spans="1:22" hidden="1" x14ac:dyDescent="0.3">
      <c r="A43" s="12" t="s">
        <v>63</v>
      </c>
      <c r="B43" s="62">
        <v>11336</v>
      </c>
      <c r="C43" s="12" t="s">
        <v>62</v>
      </c>
      <c r="D43" s="53"/>
      <c r="E43" s="13"/>
      <c r="F43" s="13"/>
      <c r="G43" s="14"/>
      <c r="H43" s="15"/>
      <c r="I43" s="16">
        <f t="shared" si="4"/>
        <v>0</v>
      </c>
      <c r="J43" s="16"/>
      <c r="K43" s="11"/>
      <c r="L43" s="16"/>
      <c r="M43" s="16"/>
      <c r="N43" s="16"/>
      <c r="O43" s="16"/>
      <c r="P43" s="16"/>
      <c r="Q43" s="16"/>
      <c r="R43" s="35"/>
      <c r="S43" s="43"/>
      <c r="T43" s="46"/>
      <c r="U43" s="51">
        <f t="shared" si="5"/>
        <v>0</v>
      </c>
      <c r="V43" s="17" t="str">
        <f t="shared" si="3"/>
        <v>OK</v>
      </c>
    </row>
    <row r="44" spans="1:22" hidden="1" x14ac:dyDescent="0.3">
      <c r="A44" s="54" t="s">
        <v>100</v>
      </c>
      <c r="B44" s="63">
        <v>14860</v>
      </c>
      <c r="C44" s="18" t="s">
        <v>56</v>
      </c>
      <c r="D44" s="19"/>
      <c r="E44" s="19"/>
      <c r="F44" s="19"/>
      <c r="G44" s="20"/>
      <c r="H44" s="21"/>
      <c r="I44" s="22">
        <f t="shared" si="4"/>
        <v>0</v>
      </c>
      <c r="J44" s="22"/>
      <c r="K44" s="11"/>
      <c r="L44" s="22"/>
      <c r="M44" s="22"/>
      <c r="N44" s="22"/>
      <c r="O44" s="22"/>
      <c r="P44" s="22"/>
      <c r="Q44" s="22"/>
      <c r="R44" s="36"/>
      <c r="S44" s="44"/>
      <c r="T44" s="47"/>
      <c r="U44" s="52">
        <f t="shared" si="5"/>
        <v>0</v>
      </c>
      <c r="V44" s="23" t="str">
        <f t="shared" si="3"/>
        <v>OK</v>
      </c>
    </row>
    <row r="45" spans="1:22" hidden="1" x14ac:dyDescent="0.3">
      <c r="A45" s="64" t="s">
        <v>83</v>
      </c>
      <c r="B45" s="62">
        <v>14861</v>
      </c>
      <c r="C45" s="12" t="s">
        <v>56</v>
      </c>
      <c r="D45" s="53"/>
      <c r="E45" s="13"/>
      <c r="F45" s="13"/>
      <c r="G45" s="14"/>
      <c r="H45" s="15"/>
      <c r="I45" s="16">
        <f t="shared" si="4"/>
        <v>0</v>
      </c>
      <c r="J45" s="16"/>
      <c r="K45" s="11"/>
      <c r="L45" s="16"/>
      <c r="M45" s="16"/>
      <c r="N45" s="16"/>
      <c r="O45" s="16"/>
      <c r="P45" s="16"/>
      <c r="Q45" s="16"/>
      <c r="R45" s="35"/>
      <c r="S45" s="43"/>
      <c r="T45" s="46"/>
      <c r="U45" s="51">
        <f t="shared" si="5"/>
        <v>0</v>
      </c>
      <c r="V45" s="17" t="str">
        <f t="shared" si="3"/>
        <v>OK</v>
      </c>
    </row>
    <row r="46" spans="1:22" hidden="1" x14ac:dyDescent="0.3">
      <c r="A46" s="54" t="s">
        <v>101</v>
      </c>
      <c r="B46" s="63">
        <v>15096</v>
      </c>
      <c r="C46" s="18" t="s">
        <v>56</v>
      </c>
      <c r="D46" s="19"/>
      <c r="E46" s="19"/>
      <c r="F46" s="19"/>
      <c r="G46" s="20"/>
      <c r="H46" s="21"/>
      <c r="I46" s="22">
        <f t="shared" si="4"/>
        <v>0</v>
      </c>
      <c r="J46" s="22"/>
      <c r="K46" s="11"/>
      <c r="L46" s="22"/>
      <c r="M46" s="22"/>
      <c r="N46" s="22"/>
      <c r="O46" s="22"/>
      <c r="P46" s="22"/>
      <c r="Q46" s="22"/>
      <c r="R46" s="36"/>
      <c r="S46" s="44"/>
      <c r="T46" s="47"/>
      <c r="U46" s="52">
        <f t="shared" si="5"/>
        <v>0</v>
      </c>
      <c r="V46" s="23" t="str">
        <f t="shared" si="3"/>
        <v>OK</v>
      </c>
    </row>
    <row r="47" spans="1:22" hidden="1" x14ac:dyDescent="0.3">
      <c r="A47" s="12" t="s">
        <v>81</v>
      </c>
      <c r="B47" s="62">
        <v>15097</v>
      </c>
      <c r="C47" s="12" t="s">
        <v>56</v>
      </c>
      <c r="D47" s="53"/>
      <c r="E47" s="13"/>
      <c r="F47" s="13"/>
      <c r="G47" s="14"/>
      <c r="H47" s="15"/>
      <c r="I47" s="16">
        <f t="shared" si="4"/>
        <v>0</v>
      </c>
      <c r="J47" s="16"/>
      <c r="K47" s="11"/>
      <c r="L47" s="16"/>
      <c r="M47" s="16"/>
      <c r="N47" s="16"/>
      <c r="O47" s="16"/>
      <c r="P47" s="16"/>
      <c r="Q47" s="16"/>
      <c r="R47" s="35"/>
      <c r="S47" s="43"/>
      <c r="T47" s="46"/>
      <c r="U47" s="51">
        <f t="shared" si="5"/>
        <v>0</v>
      </c>
      <c r="V47" s="17" t="str">
        <f t="shared" si="3"/>
        <v>OK</v>
      </c>
    </row>
    <row r="48" spans="1:22" hidden="1" x14ac:dyDescent="0.3">
      <c r="A48" s="54" t="s">
        <v>76</v>
      </c>
      <c r="B48" s="63">
        <v>5585</v>
      </c>
      <c r="C48" s="18" t="s">
        <v>64</v>
      </c>
      <c r="D48" s="19"/>
      <c r="E48" s="19"/>
      <c r="F48" s="19"/>
      <c r="G48" s="20"/>
      <c r="H48" s="21"/>
      <c r="I48" s="22">
        <f t="shared" si="4"/>
        <v>0</v>
      </c>
      <c r="J48" s="22"/>
      <c r="K48" s="11"/>
      <c r="L48" s="22"/>
      <c r="M48" s="22"/>
      <c r="N48" s="22"/>
      <c r="O48" s="22"/>
      <c r="P48" s="22"/>
      <c r="Q48" s="22"/>
      <c r="R48" s="36"/>
      <c r="S48" s="44"/>
      <c r="T48" s="47"/>
      <c r="U48" s="52">
        <f t="shared" si="5"/>
        <v>0</v>
      </c>
      <c r="V48" s="23" t="str">
        <f t="shared" si="3"/>
        <v>OK</v>
      </c>
    </row>
    <row r="49" spans="1:22" hidden="1" x14ac:dyDescent="0.3">
      <c r="A49" s="12" t="s">
        <v>65</v>
      </c>
      <c r="B49" s="62">
        <v>11351</v>
      </c>
      <c r="C49" s="12" t="s">
        <v>64</v>
      </c>
      <c r="D49" s="53"/>
      <c r="E49" s="13"/>
      <c r="F49" s="13"/>
      <c r="G49" s="14"/>
      <c r="H49" s="15"/>
      <c r="I49" s="16">
        <f t="shared" si="4"/>
        <v>0</v>
      </c>
      <c r="J49" s="16"/>
      <c r="K49" s="11"/>
      <c r="L49" s="16"/>
      <c r="M49" s="16"/>
      <c r="N49" s="16"/>
      <c r="O49" s="16"/>
      <c r="P49" s="16"/>
      <c r="Q49" s="16"/>
      <c r="R49" s="35"/>
      <c r="S49" s="43"/>
      <c r="T49" s="46"/>
      <c r="U49" s="51">
        <f t="shared" si="5"/>
        <v>0</v>
      </c>
      <c r="V49" s="17" t="str">
        <f t="shared" si="3"/>
        <v>OK</v>
      </c>
    </row>
    <row r="50" spans="1:22" hidden="1" x14ac:dyDescent="0.3">
      <c r="A50" s="54" t="s">
        <v>66</v>
      </c>
      <c r="B50" s="63">
        <v>11352</v>
      </c>
      <c r="C50" s="18" t="s">
        <v>64</v>
      </c>
      <c r="D50" s="19"/>
      <c r="E50" s="19"/>
      <c r="F50" s="19"/>
      <c r="G50" s="20"/>
      <c r="H50" s="21"/>
      <c r="I50" s="22">
        <f t="shared" si="4"/>
        <v>0</v>
      </c>
      <c r="J50" s="22"/>
      <c r="K50" s="11"/>
      <c r="L50" s="22"/>
      <c r="M50" s="22"/>
      <c r="N50" s="22"/>
      <c r="O50" s="22"/>
      <c r="P50" s="22"/>
      <c r="Q50" s="22"/>
      <c r="R50" s="36"/>
      <c r="S50" s="44"/>
      <c r="T50" s="47"/>
      <c r="U50" s="52">
        <f t="shared" si="5"/>
        <v>0</v>
      </c>
      <c r="V50" s="23" t="str">
        <f t="shared" si="3"/>
        <v>OK</v>
      </c>
    </row>
    <row r="51" spans="1:22" hidden="1" x14ac:dyDescent="0.3">
      <c r="A51" s="90" t="s">
        <v>102</v>
      </c>
      <c r="B51" s="76">
        <v>13515</v>
      </c>
      <c r="C51" s="70" t="s">
        <v>78</v>
      </c>
      <c r="D51" s="70"/>
      <c r="E51" s="70"/>
      <c r="F51" s="70"/>
      <c r="G51" s="91"/>
      <c r="H51" s="82"/>
      <c r="I51" s="82">
        <f t="shared" si="4"/>
        <v>0</v>
      </c>
      <c r="J51" s="74"/>
      <c r="K51" s="11"/>
      <c r="L51" s="16"/>
      <c r="M51" s="16"/>
      <c r="N51" s="16"/>
      <c r="O51" s="16"/>
      <c r="P51" s="16"/>
      <c r="Q51" s="16"/>
      <c r="R51" s="35"/>
      <c r="S51" s="43"/>
      <c r="T51" s="46"/>
      <c r="U51" s="75">
        <f t="shared" si="5"/>
        <v>0</v>
      </c>
      <c r="V51" s="93" t="str">
        <f t="shared" si="3"/>
        <v>OK</v>
      </c>
    </row>
    <row r="52" spans="1:22" hidden="1" x14ac:dyDescent="0.3">
      <c r="A52" s="54" t="s">
        <v>103</v>
      </c>
      <c r="B52" s="63">
        <v>13516</v>
      </c>
      <c r="C52" s="18" t="s">
        <v>78</v>
      </c>
      <c r="D52" s="18"/>
      <c r="E52" s="18"/>
      <c r="F52" s="18"/>
      <c r="G52" s="92"/>
      <c r="H52" s="22"/>
      <c r="I52" s="22">
        <f t="shared" si="4"/>
        <v>0</v>
      </c>
      <c r="J52" s="69"/>
      <c r="K52" s="11"/>
      <c r="L52" s="22"/>
      <c r="M52" s="22"/>
      <c r="N52" s="22"/>
      <c r="O52" s="22"/>
      <c r="P52" s="22"/>
      <c r="Q52" s="22"/>
      <c r="R52" s="36"/>
      <c r="S52" s="44"/>
      <c r="T52" s="47"/>
      <c r="U52" s="52">
        <f t="shared" si="5"/>
        <v>0</v>
      </c>
      <c r="V52" s="23" t="str">
        <f t="shared" si="3"/>
        <v>OK</v>
      </c>
    </row>
    <row r="53" spans="1:22" hidden="1" x14ac:dyDescent="0.3">
      <c r="A53" s="90" t="s">
        <v>104</v>
      </c>
      <c r="B53" s="76">
        <v>13468</v>
      </c>
      <c r="C53" s="70" t="s">
        <v>78</v>
      </c>
      <c r="D53" s="70"/>
      <c r="E53" s="70"/>
      <c r="F53" s="70"/>
      <c r="G53" s="91"/>
      <c r="H53" s="82"/>
      <c r="I53" s="82">
        <f t="shared" si="4"/>
        <v>0</v>
      </c>
      <c r="J53" s="74"/>
      <c r="K53" s="11"/>
      <c r="L53" s="16"/>
      <c r="M53" s="16"/>
      <c r="N53" s="16"/>
      <c r="O53" s="16"/>
      <c r="P53" s="16"/>
      <c r="Q53" s="16"/>
      <c r="R53" s="35"/>
      <c r="S53" s="43"/>
      <c r="T53" s="46"/>
      <c r="U53" s="75">
        <f t="shared" si="5"/>
        <v>0</v>
      </c>
      <c r="V53" s="93" t="str">
        <f t="shared" si="3"/>
        <v>OK</v>
      </c>
    </row>
    <row r="54" spans="1:22" hidden="1" x14ac:dyDescent="0.3">
      <c r="A54" s="54" t="s">
        <v>79</v>
      </c>
      <c r="B54" s="63">
        <v>13469</v>
      </c>
      <c r="C54" s="18" t="s">
        <v>78</v>
      </c>
      <c r="D54" s="18"/>
      <c r="E54" s="18"/>
      <c r="F54" s="18"/>
      <c r="G54" s="92"/>
      <c r="H54" s="22"/>
      <c r="I54" s="22">
        <f t="shared" si="4"/>
        <v>0</v>
      </c>
      <c r="J54" s="69"/>
      <c r="K54" s="11"/>
      <c r="L54" s="22"/>
      <c r="M54" s="22"/>
      <c r="N54" s="22"/>
      <c r="O54" s="22"/>
      <c r="P54" s="22"/>
      <c r="Q54" s="22"/>
      <c r="R54" s="36"/>
      <c r="S54" s="44"/>
      <c r="T54" s="47"/>
      <c r="U54" s="52">
        <f t="shared" si="5"/>
        <v>0</v>
      </c>
      <c r="V54" s="23" t="str">
        <f t="shared" si="3"/>
        <v>OK</v>
      </c>
    </row>
    <row r="55" spans="1:22" hidden="1" x14ac:dyDescent="0.3">
      <c r="A55" s="90" t="s">
        <v>43</v>
      </c>
      <c r="B55" s="76">
        <v>11820</v>
      </c>
      <c r="C55" s="70" t="s">
        <v>67</v>
      </c>
      <c r="D55" s="70"/>
      <c r="E55" s="70"/>
      <c r="F55" s="70"/>
      <c r="G55" s="91"/>
      <c r="H55" s="82"/>
      <c r="I55" s="82">
        <f t="shared" si="4"/>
        <v>0</v>
      </c>
      <c r="J55" s="74"/>
      <c r="K55" s="11"/>
      <c r="L55" s="16"/>
      <c r="M55" s="16"/>
      <c r="N55" s="16"/>
      <c r="O55" s="16"/>
      <c r="P55" s="16"/>
      <c r="Q55" s="16"/>
      <c r="R55" s="35"/>
      <c r="S55" s="43"/>
      <c r="T55" s="46"/>
      <c r="U55" s="75">
        <f t="shared" si="5"/>
        <v>0</v>
      </c>
      <c r="V55" s="93" t="str">
        <f t="shared" si="3"/>
        <v>OK</v>
      </c>
    </row>
    <row r="56" spans="1:22" hidden="1" x14ac:dyDescent="0.3">
      <c r="A56" s="54" t="s">
        <v>44</v>
      </c>
      <c r="B56" s="63">
        <v>11816</v>
      </c>
      <c r="C56" s="18" t="s">
        <v>67</v>
      </c>
      <c r="D56" s="18"/>
      <c r="E56" s="18"/>
      <c r="F56" s="18"/>
      <c r="G56" s="92"/>
      <c r="H56" s="22"/>
      <c r="I56" s="22">
        <f t="shared" si="4"/>
        <v>0</v>
      </c>
      <c r="J56" s="69"/>
      <c r="K56" s="11"/>
      <c r="L56" s="22"/>
      <c r="M56" s="22"/>
      <c r="N56" s="22"/>
      <c r="O56" s="22"/>
      <c r="P56" s="22"/>
      <c r="Q56" s="22"/>
      <c r="R56" s="36"/>
      <c r="S56" s="44"/>
      <c r="T56" s="47"/>
      <c r="U56" s="52">
        <f>SUM(L56:T56)</f>
        <v>0</v>
      </c>
      <c r="V56" s="23" t="str">
        <f t="shared" si="3"/>
        <v>OK</v>
      </c>
    </row>
    <row r="57" spans="1:22" x14ac:dyDescent="0.3">
      <c r="A57" s="76" t="s">
        <v>77</v>
      </c>
      <c r="B57" s="76">
        <v>11381</v>
      </c>
      <c r="C57" s="77" t="s">
        <v>68</v>
      </c>
      <c r="D57" s="70"/>
      <c r="E57" s="70"/>
      <c r="F57" s="70"/>
      <c r="G57" s="91"/>
      <c r="H57" s="82"/>
      <c r="I57" s="82">
        <f t="shared" si="4"/>
        <v>4</v>
      </c>
      <c r="J57" s="74"/>
      <c r="K57" s="11"/>
      <c r="L57" s="16"/>
      <c r="M57" s="16">
        <v>4</v>
      </c>
      <c r="N57" s="16"/>
      <c r="O57" s="16"/>
      <c r="P57" s="16"/>
      <c r="Q57" s="16"/>
      <c r="R57" s="35"/>
      <c r="S57" s="43"/>
      <c r="T57" s="46"/>
      <c r="U57" s="75">
        <f>SUM(L57:T57)</f>
        <v>4</v>
      </c>
      <c r="V57" s="93" t="str">
        <f t="shared" si="3"/>
        <v>OK</v>
      </c>
    </row>
    <row r="58" spans="1:22" ht="17.25" thickBot="1" x14ac:dyDescent="0.35">
      <c r="A58" s="54" t="s">
        <v>69</v>
      </c>
      <c r="B58" s="63">
        <v>11382</v>
      </c>
      <c r="C58" s="18" t="s">
        <v>68</v>
      </c>
      <c r="D58" s="18"/>
      <c r="E58" s="18"/>
      <c r="F58" s="18"/>
      <c r="G58" s="92"/>
      <c r="H58" s="22"/>
      <c r="I58" s="22">
        <f t="shared" si="4"/>
        <v>6</v>
      </c>
      <c r="J58" s="69"/>
      <c r="K58" s="11"/>
      <c r="L58" s="22"/>
      <c r="M58" s="22">
        <v>6</v>
      </c>
      <c r="N58" s="22"/>
      <c r="O58" s="22"/>
      <c r="P58" s="22"/>
      <c r="Q58" s="22"/>
      <c r="R58" s="36"/>
      <c r="S58" s="44"/>
      <c r="T58" s="47"/>
      <c r="U58" s="52">
        <f>SUM(L58:T58)</f>
        <v>6</v>
      </c>
      <c r="V58" s="23" t="str">
        <f t="shared" si="3"/>
        <v>OK</v>
      </c>
    </row>
    <row r="59" spans="1:22" ht="17.25" hidden="1" thickBot="1" x14ac:dyDescent="0.35">
      <c r="A59" s="96" t="s">
        <v>105</v>
      </c>
      <c r="B59" s="76">
        <v>16586</v>
      </c>
      <c r="C59" s="70" t="s">
        <v>78</v>
      </c>
      <c r="D59" s="70"/>
      <c r="E59" s="70"/>
      <c r="F59" s="70"/>
      <c r="G59" s="91"/>
      <c r="H59" s="82"/>
      <c r="I59" s="82">
        <f t="shared" si="4"/>
        <v>0</v>
      </c>
      <c r="J59" s="74"/>
      <c r="K59" s="11"/>
      <c r="L59" s="16"/>
      <c r="M59" s="16"/>
      <c r="N59" s="16"/>
      <c r="O59" s="16"/>
      <c r="P59" s="16"/>
      <c r="Q59" s="16"/>
      <c r="R59" s="35"/>
      <c r="S59" s="43"/>
      <c r="T59" s="46"/>
      <c r="U59" s="75">
        <f t="shared" ref="U59:U69" si="6">SUM(L59:T59)</f>
        <v>0</v>
      </c>
      <c r="V59" s="93" t="str">
        <f t="shared" si="3"/>
        <v>OK</v>
      </c>
    </row>
    <row r="60" spans="1:22" ht="17.25" hidden="1" thickBot="1" x14ac:dyDescent="0.35">
      <c r="A60" s="54" t="s">
        <v>90</v>
      </c>
      <c r="B60" s="63">
        <v>16587</v>
      </c>
      <c r="C60" s="18" t="s">
        <v>78</v>
      </c>
      <c r="D60" s="18"/>
      <c r="E60" s="18"/>
      <c r="F60" s="18"/>
      <c r="G60" s="92"/>
      <c r="H60" s="22"/>
      <c r="I60" s="22">
        <f t="shared" si="4"/>
        <v>0</v>
      </c>
      <c r="J60" s="69"/>
      <c r="K60" s="11"/>
      <c r="L60" s="22"/>
      <c r="M60" s="22"/>
      <c r="N60" s="22"/>
      <c r="O60" s="22"/>
      <c r="P60" s="22"/>
      <c r="Q60" s="22"/>
      <c r="R60" s="36"/>
      <c r="S60" s="44"/>
      <c r="T60" s="47"/>
      <c r="U60" s="52">
        <f t="shared" si="6"/>
        <v>0</v>
      </c>
      <c r="V60" s="23" t="str">
        <f t="shared" si="3"/>
        <v>OK</v>
      </c>
    </row>
    <row r="61" spans="1:22" ht="17.25" hidden="1" thickBot="1" x14ac:dyDescent="0.35">
      <c r="A61" s="90" t="s">
        <v>91</v>
      </c>
      <c r="B61" s="76">
        <v>17121</v>
      </c>
      <c r="C61" s="70" t="s">
        <v>92</v>
      </c>
      <c r="D61" s="70"/>
      <c r="E61" s="70"/>
      <c r="F61" s="70"/>
      <c r="G61" s="91"/>
      <c r="H61" s="82"/>
      <c r="I61" s="82">
        <f t="shared" si="4"/>
        <v>0</v>
      </c>
      <c r="J61" s="74"/>
      <c r="K61" s="11"/>
      <c r="L61" s="16"/>
      <c r="M61" s="16"/>
      <c r="N61" s="16"/>
      <c r="O61" s="16"/>
      <c r="P61" s="16"/>
      <c r="Q61" s="16"/>
      <c r="R61" s="35"/>
      <c r="S61" s="43"/>
      <c r="T61" s="46"/>
      <c r="U61" s="75">
        <f t="shared" si="6"/>
        <v>0</v>
      </c>
      <c r="V61" s="93" t="str">
        <f t="shared" si="3"/>
        <v>OK</v>
      </c>
    </row>
    <row r="62" spans="1:22" ht="17.25" hidden="1" thickBot="1" x14ac:dyDescent="0.35">
      <c r="A62" s="54" t="s">
        <v>106</v>
      </c>
      <c r="B62" s="63">
        <v>19270</v>
      </c>
      <c r="C62" s="18" t="s">
        <v>68</v>
      </c>
      <c r="D62" s="18"/>
      <c r="E62" s="18"/>
      <c r="F62" s="18"/>
      <c r="G62" s="92"/>
      <c r="H62" s="22"/>
      <c r="I62" s="22">
        <f t="shared" si="4"/>
        <v>0</v>
      </c>
      <c r="J62" s="69"/>
      <c r="K62" s="11"/>
      <c r="L62" s="22"/>
      <c r="M62" s="22"/>
      <c r="N62" s="22"/>
      <c r="O62" s="22"/>
      <c r="P62" s="22"/>
      <c r="Q62" s="22"/>
      <c r="R62" s="36"/>
      <c r="S62" s="44"/>
      <c r="T62" s="47"/>
      <c r="U62" s="71">
        <f t="shared" si="6"/>
        <v>0</v>
      </c>
      <c r="V62" s="23" t="str">
        <f t="shared" si="3"/>
        <v>OK</v>
      </c>
    </row>
    <row r="63" spans="1:22" ht="17.25" hidden="1" thickBot="1" x14ac:dyDescent="0.35">
      <c r="A63" s="90" t="s">
        <v>107</v>
      </c>
      <c r="B63" s="76">
        <v>19276</v>
      </c>
      <c r="C63" s="70" t="s">
        <v>68</v>
      </c>
      <c r="D63" s="70"/>
      <c r="E63" s="70"/>
      <c r="F63" s="70"/>
      <c r="G63" s="91"/>
      <c r="H63" s="82"/>
      <c r="I63" s="82">
        <f t="shared" si="4"/>
        <v>0</v>
      </c>
      <c r="J63" s="74"/>
      <c r="K63" s="11"/>
      <c r="L63" s="16"/>
      <c r="M63" s="16"/>
      <c r="N63" s="16"/>
      <c r="O63" s="16"/>
      <c r="P63" s="16"/>
      <c r="Q63" s="16"/>
      <c r="R63" s="35"/>
      <c r="S63" s="43"/>
      <c r="T63" s="46"/>
      <c r="U63" s="75">
        <f t="shared" si="6"/>
        <v>0</v>
      </c>
      <c r="V63" s="93" t="str">
        <f t="shared" si="3"/>
        <v>OK</v>
      </c>
    </row>
    <row r="64" spans="1:22" ht="17.25" hidden="1" thickBot="1" x14ac:dyDescent="0.35">
      <c r="A64" s="54" t="s">
        <v>108</v>
      </c>
      <c r="B64" s="63">
        <v>19836</v>
      </c>
      <c r="C64" s="18" t="s">
        <v>45</v>
      </c>
      <c r="D64" s="18"/>
      <c r="E64" s="18"/>
      <c r="F64" s="18"/>
      <c r="G64" s="92"/>
      <c r="H64" s="22"/>
      <c r="I64" s="22">
        <f t="shared" si="4"/>
        <v>0</v>
      </c>
      <c r="J64" s="69"/>
      <c r="K64" s="11"/>
      <c r="L64" s="22"/>
      <c r="M64" s="22"/>
      <c r="N64" s="22"/>
      <c r="O64" s="22"/>
      <c r="P64" s="22"/>
      <c r="Q64" s="22"/>
      <c r="R64" s="36"/>
      <c r="S64" s="44"/>
      <c r="T64" s="47"/>
      <c r="U64" s="52">
        <f t="shared" si="6"/>
        <v>0</v>
      </c>
      <c r="V64" s="23" t="str">
        <f t="shared" si="3"/>
        <v>OK</v>
      </c>
    </row>
    <row r="65" spans="1:22" ht="17.25" hidden="1" thickBot="1" x14ac:dyDescent="0.35">
      <c r="A65" s="90" t="s">
        <v>109</v>
      </c>
      <c r="B65" s="76">
        <v>20278</v>
      </c>
      <c r="C65" s="70" t="s">
        <v>110</v>
      </c>
      <c r="D65" s="70"/>
      <c r="E65" s="70"/>
      <c r="F65" s="70"/>
      <c r="G65" s="91"/>
      <c r="H65" s="82"/>
      <c r="I65" s="82">
        <f t="shared" si="4"/>
        <v>0</v>
      </c>
      <c r="J65" s="74"/>
      <c r="K65" s="11"/>
      <c r="L65" s="16"/>
      <c r="M65" s="16"/>
      <c r="N65" s="16"/>
      <c r="O65" s="16"/>
      <c r="P65" s="16"/>
      <c r="Q65" s="16"/>
      <c r="R65" s="35"/>
      <c r="S65" s="43"/>
      <c r="T65" s="46"/>
      <c r="U65" s="75">
        <f t="shared" si="6"/>
        <v>0</v>
      </c>
      <c r="V65" s="93" t="str">
        <f t="shared" si="3"/>
        <v>OK</v>
      </c>
    </row>
    <row r="66" spans="1:22" ht="17.25" hidden="1" thickBot="1" x14ac:dyDescent="0.35">
      <c r="A66" s="54" t="s">
        <v>111</v>
      </c>
      <c r="B66" s="63">
        <v>20272</v>
      </c>
      <c r="C66" s="18" t="s">
        <v>110</v>
      </c>
      <c r="D66" s="18"/>
      <c r="E66" s="18"/>
      <c r="F66" s="18"/>
      <c r="G66" s="92"/>
      <c r="H66" s="22"/>
      <c r="I66" s="22">
        <f t="shared" si="4"/>
        <v>0</v>
      </c>
      <c r="J66" s="69"/>
      <c r="K66" s="11"/>
      <c r="L66" s="22"/>
      <c r="M66" s="22"/>
      <c r="N66" s="22"/>
      <c r="O66" s="22"/>
      <c r="P66" s="22"/>
      <c r="Q66" s="22"/>
      <c r="R66" s="36"/>
      <c r="S66" s="44"/>
      <c r="T66" s="47"/>
      <c r="U66" s="52">
        <f t="shared" si="6"/>
        <v>0</v>
      </c>
      <c r="V66" s="23" t="str">
        <f t="shared" si="3"/>
        <v>OK</v>
      </c>
    </row>
    <row r="67" spans="1:22" ht="17.25" hidden="1" thickBot="1" x14ac:dyDescent="0.35">
      <c r="A67" s="90" t="s">
        <v>112</v>
      </c>
      <c r="B67" s="76">
        <v>20956</v>
      </c>
      <c r="C67" s="70" t="s">
        <v>110</v>
      </c>
      <c r="D67" s="70"/>
      <c r="E67" s="70"/>
      <c r="F67" s="70"/>
      <c r="G67" s="91"/>
      <c r="H67" s="82"/>
      <c r="I67" s="82">
        <f t="shared" si="4"/>
        <v>0</v>
      </c>
      <c r="J67" s="74"/>
      <c r="K67" s="11"/>
      <c r="L67" s="16"/>
      <c r="M67" s="16"/>
      <c r="N67" s="16"/>
      <c r="O67" s="16"/>
      <c r="P67" s="16"/>
      <c r="Q67" s="16"/>
      <c r="R67" s="35"/>
      <c r="S67" s="43"/>
      <c r="T67" s="46"/>
      <c r="U67" s="75">
        <f t="shared" si="6"/>
        <v>0</v>
      </c>
      <c r="V67" s="93" t="str">
        <f t="shared" si="3"/>
        <v>OK</v>
      </c>
    </row>
    <row r="68" spans="1:22" ht="17.25" hidden="1" thickBot="1" x14ac:dyDescent="0.35">
      <c r="A68" s="54" t="s">
        <v>116</v>
      </c>
      <c r="B68" s="63">
        <v>21299</v>
      </c>
      <c r="C68" s="18" t="s">
        <v>78</v>
      </c>
      <c r="D68" s="18"/>
      <c r="E68" s="18"/>
      <c r="F68" s="18"/>
      <c r="G68" s="92"/>
      <c r="H68" s="22"/>
      <c r="I68" s="22">
        <f t="shared" si="4"/>
        <v>0</v>
      </c>
      <c r="J68" s="69"/>
      <c r="K68" s="11"/>
      <c r="L68" s="22"/>
      <c r="M68" s="22"/>
      <c r="N68" s="22"/>
      <c r="O68" s="22"/>
      <c r="P68" s="22"/>
      <c r="Q68" s="22"/>
      <c r="R68" s="36"/>
      <c r="S68" s="44"/>
      <c r="T68" s="47"/>
      <c r="U68" s="71">
        <f t="shared" si="6"/>
        <v>0</v>
      </c>
      <c r="V68" s="23" t="str">
        <f>IF(U68=I68,"OK","NG")</f>
        <v>OK</v>
      </c>
    </row>
    <row r="69" spans="1:22" ht="17.25" hidden="1" thickBot="1" x14ac:dyDescent="0.35">
      <c r="A69" s="99" t="s">
        <v>117</v>
      </c>
      <c r="B69" s="76">
        <v>22115</v>
      </c>
      <c r="C69" s="82" t="s">
        <v>118</v>
      </c>
      <c r="D69" s="82"/>
      <c r="E69" s="82"/>
      <c r="F69" s="82"/>
      <c r="G69" s="82"/>
      <c r="H69" s="82"/>
      <c r="I69" s="82">
        <f t="shared" si="4"/>
        <v>0</v>
      </c>
      <c r="J69" s="97"/>
      <c r="K69" s="112"/>
      <c r="L69" s="82"/>
      <c r="M69" s="82"/>
      <c r="N69" s="82"/>
      <c r="O69" s="82"/>
      <c r="P69" s="82"/>
      <c r="Q69" s="82"/>
      <c r="R69" s="83"/>
      <c r="S69" s="84"/>
      <c r="T69" s="100"/>
      <c r="U69" s="75">
        <f t="shared" si="6"/>
        <v>0</v>
      </c>
      <c r="V69" s="93" t="str">
        <f>IF(U69=I69,"OK","NG")</f>
        <v>OK</v>
      </c>
    </row>
    <row r="70" spans="1:22" ht="17.25" hidden="1" thickBot="1" x14ac:dyDescent="0.35">
      <c r="A70" s="54" t="s">
        <v>120</v>
      </c>
      <c r="B70" s="63">
        <v>22706</v>
      </c>
      <c r="C70" s="18" t="s">
        <v>119</v>
      </c>
      <c r="D70" s="18"/>
      <c r="E70" s="18"/>
      <c r="F70" s="18"/>
      <c r="G70" s="92"/>
      <c r="H70" s="22"/>
      <c r="I70" s="22">
        <f t="shared" si="4"/>
        <v>0</v>
      </c>
      <c r="J70" s="69"/>
      <c r="K70" s="11"/>
      <c r="L70" s="22"/>
      <c r="M70" s="22"/>
      <c r="N70" s="22"/>
      <c r="O70" s="22"/>
      <c r="P70" s="22"/>
      <c r="Q70" s="22"/>
      <c r="R70" s="36"/>
      <c r="S70" s="44"/>
      <c r="T70" s="47"/>
      <c r="U70" s="71">
        <f t="shared" ref="U70" si="7">SUM(L70:T70)</f>
        <v>0</v>
      </c>
      <c r="V70" s="23" t="str">
        <f>IF(U70=I70,"OK","NG")</f>
        <v>OK</v>
      </c>
    </row>
    <row r="71" spans="1:22" ht="17.25" hidden="1" thickBot="1" x14ac:dyDescent="0.35">
      <c r="A71" s="99" t="s">
        <v>121</v>
      </c>
      <c r="B71" s="76">
        <v>22886</v>
      </c>
      <c r="C71" s="82" t="s">
        <v>46</v>
      </c>
      <c r="D71" s="82"/>
      <c r="E71" s="82"/>
      <c r="F71" s="82"/>
      <c r="G71" s="82"/>
      <c r="H71" s="82"/>
      <c r="I71" s="82">
        <f t="shared" ref="I71:I80" si="8">SUM(L71:T71)</f>
        <v>0</v>
      </c>
      <c r="J71" s="97"/>
      <c r="K71" s="112"/>
      <c r="L71" s="82"/>
      <c r="M71" s="82"/>
      <c r="N71" s="82"/>
      <c r="O71" s="82"/>
      <c r="P71" s="82"/>
      <c r="Q71" s="82"/>
      <c r="R71" s="83"/>
      <c r="S71" s="84"/>
      <c r="T71" s="100"/>
      <c r="U71" s="75">
        <f>SUM(L71:T71)</f>
        <v>0</v>
      </c>
      <c r="V71" s="93" t="str">
        <f>IF(U71=I71,"OK","NG")</f>
        <v>OK</v>
      </c>
    </row>
    <row r="72" spans="1:22" ht="17.25" hidden="1" thickBot="1" x14ac:dyDescent="0.35">
      <c r="A72" s="54" t="s">
        <v>122</v>
      </c>
      <c r="B72" s="63">
        <v>17528</v>
      </c>
      <c r="C72" s="18" t="s">
        <v>123</v>
      </c>
      <c r="D72" s="18"/>
      <c r="E72" s="18"/>
      <c r="F72" s="18"/>
      <c r="G72" s="92"/>
      <c r="H72" s="22"/>
      <c r="I72" s="22">
        <f t="shared" si="8"/>
        <v>0</v>
      </c>
      <c r="J72" s="69"/>
      <c r="K72" s="11"/>
      <c r="L72" s="22"/>
      <c r="M72" s="22"/>
      <c r="N72" s="22"/>
      <c r="O72" s="22"/>
      <c r="P72" s="22"/>
      <c r="Q72" s="22"/>
      <c r="R72" s="36"/>
      <c r="S72" s="44"/>
      <c r="T72" s="47"/>
      <c r="U72" s="71">
        <f t="shared" ref="U72:U80" si="9">SUM(L72:T72)</f>
        <v>0</v>
      </c>
      <c r="V72" s="95" t="str">
        <f t="shared" ref="V72:V80" si="10">IF(U72=I72,"OK","NG")</f>
        <v>OK</v>
      </c>
    </row>
    <row r="73" spans="1:22" ht="17.25" hidden="1" thickBot="1" x14ac:dyDescent="0.35">
      <c r="A73" s="99" t="s">
        <v>124</v>
      </c>
      <c r="B73" s="76">
        <v>22380</v>
      </c>
      <c r="C73" s="82" t="s">
        <v>47</v>
      </c>
      <c r="D73" s="82"/>
      <c r="E73" s="82"/>
      <c r="F73" s="82"/>
      <c r="G73" s="82"/>
      <c r="H73" s="82"/>
      <c r="I73" s="82">
        <f t="shared" si="8"/>
        <v>0</v>
      </c>
      <c r="J73" s="97"/>
      <c r="K73" s="112"/>
      <c r="L73" s="82"/>
      <c r="M73" s="82"/>
      <c r="N73" s="82"/>
      <c r="O73" s="82"/>
      <c r="P73" s="82"/>
      <c r="Q73" s="82"/>
      <c r="R73" s="83"/>
      <c r="S73" s="84"/>
      <c r="T73" s="100"/>
      <c r="U73" s="75">
        <f t="shared" si="9"/>
        <v>0</v>
      </c>
      <c r="V73" s="93" t="str">
        <f t="shared" si="10"/>
        <v>OK</v>
      </c>
    </row>
    <row r="74" spans="1:22" ht="17.25" hidden="1" thickBot="1" x14ac:dyDescent="0.35">
      <c r="A74" s="54" t="s">
        <v>125</v>
      </c>
      <c r="B74" s="63">
        <v>19279</v>
      </c>
      <c r="C74" s="18" t="s">
        <v>126</v>
      </c>
      <c r="D74" s="18"/>
      <c r="E74" s="18"/>
      <c r="F74" s="18"/>
      <c r="G74" s="92"/>
      <c r="H74" s="22"/>
      <c r="I74" s="22">
        <f t="shared" si="8"/>
        <v>0</v>
      </c>
      <c r="J74" s="69"/>
      <c r="K74" s="11"/>
      <c r="L74" s="22"/>
      <c r="M74" s="22"/>
      <c r="N74" s="22"/>
      <c r="O74" s="22"/>
      <c r="P74" s="22"/>
      <c r="Q74" s="22"/>
      <c r="R74" s="36"/>
      <c r="S74" s="44"/>
      <c r="T74" s="47"/>
      <c r="U74" s="71">
        <f t="shared" si="9"/>
        <v>0</v>
      </c>
      <c r="V74" s="95" t="str">
        <f t="shared" si="10"/>
        <v>OK</v>
      </c>
    </row>
    <row r="75" spans="1:22" ht="17.25" hidden="1" thickBot="1" x14ac:dyDescent="0.35">
      <c r="A75" s="90" t="s">
        <v>131</v>
      </c>
      <c r="B75" s="76">
        <v>22724</v>
      </c>
      <c r="C75" s="70" t="s">
        <v>119</v>
      </c>
      <c r="D75" s="70"/>
      <c r="E75" s="70"/>
      <c r="F75" s="70"/>
      <c r="G75" s="91"/>
      <c r="H75" s="82"/>
      <c r="I75" s="82">
        <v>0</v>
      </c>
      <c r="J75" s="74"/>
      <c r="K75" s="11"/>
      <c r="L75" s="82"/>
      <c r="M75" s="82"/>
      <c r="N75" s="82"/>
      <c r="O75" s="82"/>
      <c r="P75" s="82"/>
      <c r="Q75" s="82"/>
      <c r="R75" s="83"/>
      <c r="S75" s="84"/>
      <c r="T75" s="85"/>
      <c r="U75" s="75">
        <v>0</v>
      </c>
      <c r="V75" s="93" t="s">
        <v>129</v>
      </c>
    </row>
    <row r="76" spans="1:22" ht="17.25" hidden="1" thickBot="1" x14ac:dyDescent="0.35">
      <c r="A76" s="54" t="s">
        <v>132</v>
      </c>
      <c r="B76" s="63">
        <v>22705</v>
      </c>
      <c r="C76" s="18" t="s">
        <v>119</v>
      </c>
      <c r="D76" s="18"/>
      <c r="E76" s="18"/>
      <c r="F76" s="18"/>
      <c r="G76" s="92"/>
      <c r="H76" s="22"/>
      <c r="I76" s="22">
        <f t="shared" si="8"/>
        <v>0</v>
      </c>
      <c r="J76" s="69"/>
      <c r="K76" s="11"/>
      <c r="L76" s="22"/>
      <c r="M76" s="22"/>
      <c r="N76" s="22"/>
      <c r="O76" s="22"/>
      <c r="P76" s="22"/>
      <c r="Q76" s="22"/>
      <c r="R76" s="36"/>
      <c r="S76" s="44"/>
      <c r="T76" s="47"/>
      <c r="U76" s="71">
        <f t="shared" si="9"/>
        <v>0</v>
      </c>
      <c r="V76" s="95" t="str">
        <f t="shared" si="10"/>
        <v>OK</v>
      </c>
    </row>
    <row r="77" spans="1:22" ht="17.25" hidden="1" thickBot="1" x14ac:dyDescent="0.35">
      <c r="A77" s="99" t="s">
        <v>128</v>
      </c>
      <c r="B77" s="76">
        <v>5655</v>
      </c>
      <c r="C77" s="82" t="s">
        <v>54</v>
      </c>
      <c r="D77" s="82"/>
      <c r="E77" s="82"/>
      <c r="F77" s="82"/>
      <c r="G77" s="82"/>
      <c r="H77" s="82"/>
      <c r="I77" s="82">
        <f t="shared" si="8"/>
        <v>0</v>
      </c>
      <c r="J77" s="97"/>
      <c r="K77" s="112"/>
      <c r="L77" s="82"/>
      <c r="M77" s="82"/>
      <c r="N77" s="82"/>
      <c r="O77" s="82"/>
      <c r="P77" s="82"/>
      <c r="Q77" s="82"/>
      <c r="R77" s="83"/>
      <c r="S77" s="84"/>
      <c r="T77" s="100"/>
      <c r="U77" s="75">
        <f t="shared" si="9"/>
        <v>0</v>
      </c>
      <c r="V77" s="93" t="str">
        <f t="shared" si="10"/>
        <v>OK</v>
      </c>
    </row>
    <row r="78" spans="1:22" ht="17.25" hidden="1" thickBot="1" x14ac:dyDescent="0.35">
      <c r="A78" s="120" t="s">
        <v>136</v>
      </c>
      <c r="B78" s="121">
        <v>22704</v>
      </c>
      <c r="C78" s="122" t="s">
        <v>137</v>
      </c>
      <c r="D78" s="122"/>
      <c r="E78" s="122"/>
      <c r="F78" s="122"/>
      <c r="G78" s="122"/>
      <c r="H78" s="122"/>
      <c r="I78" s="22">
        <f t="shared" si="8"/>
        <v>0</v>
      </c>
      <c r="J78" s="45"/>
      <c r="K78" s="112"/>
      <c r="L78" s="22"/>
      <c r="M78" s="22"/>
      <c r="N78" s="22"/>
      <c r="O78" s="22"/>
      <c r="P78" s="22"/>
      <c r="Q78" s="22"/>
      <c r="R78" s="36"/>
      <c r="S78" s="44"/>
      <c r="T78" s="116"/>
      <c r="U78" s="71">
        <f t="shared" si="9"/>
        <v>0</v>
      </c>
      <c r="V78" s="95" t="str">
        <f t="shared" si="10"/>
        <v>OK</v>
      </c>
    </row>
    <row r="79" spans="1:22" ht="17.25" hidden="1" thickBot="1" x14ac:dyDescent="0.35">
      <c r="A79" s="136" t="s">
        <v>139</v>
      </c>
      <c r="B79" s="133">
        <v>22722</v>
      </c>
      <c r="C79" s="137" t="s">
        <v>119</v>
      </c>
      <c r="D79" s="137"/>
      <c r="E79" s="137"/>
      <c r="F79" s="137"/>
      <c r="G79" s="137"/>
      <c r="H79" s="137"/>
      <c r="I79" s="82">
        <f t="shared" si="8"/>
        <v>0</v>
      </c>
      <c r="J79" s="97"/>
      <c r="K79" s="119"/>
      <c r="L79" s="82"/>
      <c r="M79" s="82"/>
      <c r="N79" s="82"/>
      <c r="O79" s="82"/>
      <c r="P79" s="82"/>
      <c r="Q79" s="82"/>
      <c r="R79" s="83"/>
      <c r="S79" s="84"/>
      <c r="T79" s="100"/>
      <c r="U79" s="75">
        <f t="shared" si="9"/>
        <v>0</v>
      </c>
      <c r="V79" s="93" t="str">
        <f t="shared" si="10"/>
        <v>OK</v>
      </c>
    </row>
    <row r="80" spans="1:22" ht="17.25" hidden="1" thickBot="1" x14ac:dyDescent="0.35">
      <c r="A80" s="126" t="s">
        <v>134</v>
      </c>
      <c r="B80" s="127">
        <v>22723</v>
      </c>
      <c r="C80" s="128" t="s">
        <v>119</v>
      </c>
      <c r="D80" s="128"/>
      <c r="E80" s="128"/>
      <c r="F80" s="128"/>
      <c r="G80" s="128"/>
      <c r="H80" s="128"/>
      <c r="I80" s="128">
        <f t="shared" si="8"/>
        <v>0</v>
      </c>
      <c r="J80" s="45"/>
      <c r="K80" s="112"/>
      <c r="L80" s="22"/>
      <c r="M80" s="22"/>
      <c r="N80" s="22"/>
      <c r="O80" s="22"/>
      <c r="P80" s="22"/>
      <c r="Q80" s="22"/>
      <c r="R80" s="36"/>
      <c r="S80" s="44"/>
      <c r="T80" s="116"/>
      <c r="U80" s="52">
        <f t="shared" si="9"/>
        <v>0</v>
      </c>
      <c r="V80" s="23" t="str">
        <f t="shared" si="10"/>
        <v>OK</v>
      </c>
    </row>
    <row r="81" spans="1:22" x14ac:dyDescent="0.3">
      <c r="A81" s="86"/>
      <c r="B81" s="86"/>
      <c r="C81" s="87" t="s">
        <v>9</v>
      </c>
      <c r="D81" s="87"/>
      <c r="E81" s="87"/>
      <c r="F81" s="87"/>
      <c r="G81" s="88">
        <f>SUM(G6:G49)</f>
        <v>0</v>
      </c>
      <c r="H81" s="89">
        <f>SUM(H6:H49)</f>
        <v>0</v>
      </c>
      <c r="I81" s="88">
        <f>SUM(I6:I80)</f>
        <v>12</v>
      </c>
      <c r="J81" s="40">
        <f>SUM(J6:J49)</f>
        <v>0</v>
      </c>
      <c r="K81" s="115">
        <f>SUM(K6:K51)</f>
        <v>0</v>
      </c>
      <c r="L81" s="38">
        <f>SUM(L6:L80)</f>
        <v>0</v>
      </c>
      <c r="M81" s="38">
        <f t="shared" ref="M81:U81" si="11">SUM(M6:M80)</f>
        <v>12</v>
      </c>
      <c r="N81" s="38">
        <f t="shared" si="11"/>
        <v>0</v>
      </c>
      <c r="O81" s="38">
        <f t="shared" si="11"/>
        <v>0</v>
      </c>
      <c r="P81" s="38">
        <f t="shared" si="11"/>
        <v>0</v>
      </c>
      <c r="Q81" s="38">
        <f t="shared" si="11"/>
        <v>0</v>
      </c>
      <c r="R81" s="38">
        <f t="shared" si="11"/>
        <v>0</v>
      </c>
      <c r="S81" s="38">
        <f t="shared" si="11"/>
        <v>0</v>
      </c>
      <c r="T81" s="38">
        <f t="shared" si="11"/>
        <v>0</v>
      </c>
      <c r="U81" s="38">
        <f t="shared" si="11"/>
        <v>12</v>
      </c>
      <c r="V81" s="41" t="str">
        <f>IF(U81=SUM(I81),"OK","NG")</f>
        <v>OK</v>
      </c>
    </row>
  </sheetData>
  <autoFilter ref="A5:V81" xr:uid="{00000000-0001-0000-0200-000000000000}">
    <filterColumn colId="8">
      <filters>
        <filter val="12"/>
        <filter val="2"/>
        <filter val="4"/>
        <filter val="6"/>
      </filters>
    </filterColumn>
  </autoFilter>
  <mergeCells count="20">
    <mergeCell ref="O4:O5"/>
    <mergeCell ref="P4:P5"/>
    <mergeCell ref="B3:C3"/>
    <mergeCell ref="N4:N5"/>
    <mergeCell ref="B1:C1"/>
    <mergeCell ref="F1:G1"/>
    <mergeCell ref="H1:J3"/>
    <mergeCell ref="B2:C2"/>
    <mergeCell ref="A4:D4"/>
    <mergeCell ref="E4:G4"/>
    <mergeCell ref="H4:J4"/>
    <mergeCell ref="L4:L5"/>
    <mergeCell ref="M4:M5"/>
    <mergeCell ref="Q4:Q5"/>
    <mergeCell ref="R4:R5"/>
    <mergeCell ref="S4:S5"/>
    <mergeCell ref="T4:T5"/>
    <mergeCell ref="V2:V3"/>
    <mergeCell ref="U4:U5"/>
    <mergeCell ref="V4:V5"/>
  </mergeCells>
  <phoneticPr fontId="3" type="noConversion"/>
  <conditionalFormatting sqref="A4 V6:V81">
    <cfRule type="containsText" dxfId="61" priority="5" operator="containsText" text="NG">
      <formula>NOT(ISERROR(SEARCH("NG",A4)))</formula>
    </cfRule>
    <cfRule type="containsText" dxfId="60" priority="6" operator="containsText" text="OK">
      <formula>NOT(ISERROR(SEARCH("OK",A4)))</formula>
    </cfRule>
  </conditionalFormatting>
  <pageMargins left="0.70866141732283472" right="0.70866141732283472" top="0.74803149606299213" bottom="0.74803149606299213" header="0.31496062992125984" footer="0.31496062992125984"/>
  <pageSetup paperSize="8" scale="1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 filterMode="1">
    <pageSetUpPr fitToPage="1"/>
  </sheetPr>
  <dimension ref="A1:V81"/>
  <sheetViews>
    <sheetView showGridLines="0" zoomScale="85" zoomScaleNormal="85" workbookViewId="0">
      <pane ySplit="5" topLeftCell="A58" activePane="bottomLeft" state="frozen"/>
      <selection activeCell="W73" sqref="W73"/>
      <selection pane="bottomLeft" activeCell="L58" sqref="L58:T80"/>
    </sheetView>
  </sheetViews>
  <sheetFormatPr defaultColWidth="9" defaultRowHeight="16.5" x14ac:dyDescent="0.3"/>
  <cols>
    <col min="1" max="1" width="12.625" bestFit="1" customWidth="1"/>
    <col min="2" max="2" width="14.125" bestFit="1" customWidth="1"/>
    <col min="3" max="3" width="35.125" customWidth="1"/>
    <col min="4" max="4" width="11.75" hidden="1" customWidth="1"/>
    <col min="5" max="6" width="9" hidden="1" customWidth="1"/>
    <col min="7" max="7" width="15.375" hidden="1" customWidth="1"/>
    <col min="8" max="8" width="13.25" hidden="1" customWidth="1"/>
    <col min="9" max="9" width="13.25" customWidth="1"/>
    <col min="10" max="10" width="13.25" hidden="1" customWidth="1"/>
    <col min="11" max="11" width="0.875" customWidth="1"/>
    <col min="20" max="20" width="11" bestFit="1" customWidth="1"/>
  </cols>
  <sheetData>
    <row r="1" spans="1:22" ht="22.5" customHeight="1" thickBot="1" x14ac:dyDescent="0.35">
      <c r="A1" s="32" t="s">
        <v>28</v>
      </c>
      <c r="B1" s="153">
        <f>H69</f>
        <v>0</v>
      </c>
      <c r="C1" s="154"/>
      <c r="D1" s="55"/>
      <c r="E1" s="58" t="s">
        <v>1</v>
      </c>
      <c r="F1" s="155">
        <f>G69</f>
        <v>0</v>
      </c>
      <c r="G1" s="155"/>
      <c r="H1" s="156"/>
      <c r="I1" s="156"/>
      <c r="J1" s="156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22.5" customHeight="1" thickBot="1" x14ac:dyDescent="0.35">
      <c r="A2" s="32" t="s">
        <v>29</v>
      </c>
      <c r="B2" s="158">
        <f>I81</f>
        <v>34</v>
      </c>
      <c r="C2" s="159"/>
      <c r="D2" s="56"/>
      <c r="E2" s="59"/>
      <c r="F2" s="2"/>
      <c r="G2" s="2"/>
      <c r="H2" s="156"/>
      <c r="I2" s="156"/>
      <c r="J2" s="156"/>
      <c r="K2" s="113"/>
      <c r="L2" s="3">
        <f>SUBTOTAL(9,L6:L80)</f>
        <v>0</v>
      </c>
      <c r="M2" s="3">
        <f t="shared" ref="M2:T2" si="0">SUBTOTAL(9,M6:M80)</f>
        <v>14</v>
      </c>
      <c r="N2" s="3">
        <f t="shared" si="0"/>
        <v>0</v>
      </c>
      <c r="O2" s="3">
        <f t="shared" si="0"/>
        <v>0</v>
      </c>
      <c r="P2" s="3">
        <f t="shared" si="0"/>
        <v>0</v>
      </c>
      <c r="Q2" s="3">
        <f t="shared" si="0"/>
        <v>0</v>
      </c>
      <c r="R2" s="3">
        <f t="shared" si="0"/>
        <v>0</v>
      </c>
      <c r="S2" s="3">
        <f t="shared" si="0"/>
        <v>20</v>
      </c>
      <c r="T2" s="3">
        <f t="shared" si="0"/>
        <v>0</v>
      </c>
      <c r="U2" s="48">
        <f>SUBTOTAL(9,U6:U80)</f>
        <v>34</v>
      </c>
      <c r="V2" s="145"/>
    </row>
    <row r="3" spans="1:22" ht="22.5" customHeight="1" thickBot="1" x14ac:dyDescent="0.35">
      <c r="A3" s="33" t="s">
        <v>30</v>
      </c>
      <c r="B3" s="151">
        <f>IF(ISERROR(B2/(B2+B1)*1000000),"",(B2/(B2+B1)*1000000))</f>
        <v>1000000</v>
      </c>
      <c r="C3" s="152"/>
      <c r="D3" s="57"/>
      <c r="E3" s="60"/>
      <c r="F3" s="27"/>
      <c r="G3" s="27"/>
      <c r="H3" s="157"/>
      <c r="I3" s="157"/>
      <c r="J3" s="157"/>
      <c r="K3" s="114"/>
      <c r="L3" s="4">
        <f t="shared" ref="L3:U3" si="1">SUM(L6:L80)</f>
        <v>0</v>
      </c>
      <c r="M3" s="4">
        <f t="shared" si="1"/>
        <v>14</v>
      </c>
      <c r="N3" s="4">
        <f t="shared" si="1"/>
        <v>0</v>
      </c>
      <c r="O3" s="4">
        <f t="shared" si="1"/>
        <v>0</v>
      </c>
      <c r="P3" s="4">
        <f t="shared" si="1"/>
        <v>0</v>
      </c>
      <c r="Q3" s="4">
        <f t="shared" si="1"/>
        <v>0</v>
      </c>
      <c r="R3" s="4">
        <f t="shared" si="1"/>
        <v>0</v>
      </c>
      <c r="S3" s="4">
        <f t="shared" si="1"/>
        <v>20</v>
      </c>
      <c r="T3" s="4">
        <f t="shared" si="1"/>
        <v>0</v>
      </c>
      <c r="U3" s="49">
        <f t="shared" si="1"/>
        <v>34</v>
      </c>
      <c r="V3" s="146"/>
    </row>
    <row r="4" spans="1:22" ht="43.5" customHeight="1" x14ac:dyDescent="0.3">
      <c r="A4" s="160" t="str">
        <f>V81</f>
        <v>OK</v>
      </c>
      <c r="B4" s="160"/>
      <c r="C4" s="160"/>
      <c r="D4" s="161"/>
      <c r="E4" s="162" t="s">
        <v>15</v>
      </c>
      <c r="F4" s="162"/>
      <c r="G4" s="162"/>
      <c r="H4" s="163" t="s">
        <v>16</v>
      </c>
      <c r="I4" s="163"/>
      <c r="J4" s="163"/>
      <c r="K4" s="113"/>
      <c r="L4" s="164" t="s">
        <v>10</v>
      </c>
      <c r="M4" s="142" t="s">
        <v>17</v>
      </c>
      <c r="N4" s="142" t="s">
        <v>11</v>
      </c>
      <c r="O4" s="138" t="s">
        <v>12</v>
      </c>
      <c r="P4" s="142" t="s">
        <v>13</v>
      </c>
      <c r="Q4" s="138" t="s">
        <v>14</v>
      </c>
      <c r="R4" s="140" t="s">
        <v>20</v>
      </c>
      <c r="S4" s="142" t="s">
        <v>21</v>
      </c>
      <c r="T4" s="143" t="s">
        <v>22</v>
      </c>
      <c r="U4" s="147" t="s">
        <v>18</v>
      </c>
      <c r="V4" s="149" t="s">
        <v>19</v>
      </c>
    </row>
    <row r="5" spans="1:22" ht="33.75" thickBot="1" x14ac:dyDescent="0.35">
      <c r="A5" s="29" t="s">
        <v>3</v>
      </c>
      <c r="B5" s="30" t="s">
        <v>32</v>
      </c>
      <c r="C5" s="29" t="s">
        <v>4</v>
      </c>
      <c r="D5" s="29" t="s">
        <v>31</v>
      </c>
      <c r="E5" s="29" t="s">
        <v>5</v>
      </c>
      <c r="F5" s="29" t="s">
        <v>6</v>
      </c>
      <c r="G5" s="30" t="s">
        <v>7</v>
      </c>
      <c r="H5" s="31" t="s">
        <v>0</v>
      </c>
      <c r="I5" s="31" t="s">
        <v>2</v>
      </c>
      <c r="J5" s="31" t="s">
        <v>8</v>
      </c>
      <c r="K5" s="28"/>
      <c r="L5" s="165"/>
      <c r="M5" s="139"/>
      <c r="N5" s="139"/>
      <c r="O5" s="139"/>
      <c r="P5" s="139"/>
      <c r="Q5" s="139"/>
      <c r="R5" s="141"/>
      <c r="S5" s="139"/>
      <c r="T5" s="144"/>
      <c r="U5" s="148"/>
      <c r="V5" s="150"/>
    </row>
    <row r="6" spans="1:22" hidden="1" x14ac:dyDescent="0.3">
      <c r="A6" s="61" t="s">
        <v>33</v>
      </c>
      <c r="B6" s="61">
        <v>8092</v>
      </c>
      <c r="C6" s="6" t="s">
        <v>45</v>
      </c>
      <c r="D6" s="7"/>
      <c r="E6" s="7"/>
      <c r="F6" s="7"/>
      <c r="G6" s="8"/>
      <c r="H6" s="9"/>
      <c r="I6" s="10">
        <f>SUM(L6:T6)</f>
        <v>0</v>
      </c>
      <c r="J6" s="10"/>
      <c r="K6" s="11"/>
      <c r="L6" s="10"/>
      <c r="M6" s="10"/>
      <c r="N6" s="10"/>
      <c r="O6" s="10"/>
      <c r="P6" s="10"/>
      <c r="Q6" s="10"/>
      <c r="R6" s="34"/>
      <c r="S6" s="42"/>
      <c r="T6" s="45"/>
      <c r="U6" s="50">
        <f t="shared" ref="U6:U36" si="2">SUM(L6:T6)</f>
        <v>0</v>
      </c>
      <c r="V6" s="26" t="str">
        <f t="shared" ref="V6:V67" si="3">IF(U6=I6,"OK","NG")</f>
        <v>OK</v>
      </c>
    </row>
    <row r="7" spans="1:22" hidden="1" x14ac:dyDescent="0.3">
      <c r="A7" s="62" t="s">
        <v>95</v>
      </c>
      <c r="B7" s="62">
        <v>8088</v>
      </c>
      <c r="C7" s="12" t="s">
        <v>46</v>
      </c>
      <c r="D7" s="53"/>
      <c r="E7" s="13"/>
      <c r="F7" s="13"/>
      <c r="G7" s="14"/>
      <c r="H7" s="15"/>
      <c r="I7" s="16">
        <f t="shared" ref="I7:I70" si="4">SUM(L7:T7)</f>
        <v>0</v>
      </c>
      <c r="J7" s="16"/>
      <c r="K7" s="11"/>
      <c r="L7" s="16"/>
      <c r="M7" s="16"/>
      <c r="N7" s="16"/>
      <c r="O7" s="16"/>
      <c r="P7" s="16"/>
      <c r="Q7" s="16"/>
      <c r="R7" s="35"/>
      <c r="S7" s="43"/>
      <c r="T7" s="46"/>
      <c r="U7" s="51">
        <f t="shared" si="2"/>
        <v>0</v>
      </c>
      <c r="V7" s="17" t="str">
        <f t="shared" si="3"/>
        <v>OK</v>
      </c>
    </row>
    <row r="8" spans="1:22" hidden="1" x14ac:dyDescent="0.3">
      <c r="A8" s="63" t="s">
        <v>96</v>
      </c>
      <c r="B8" s="63">
        <v>8081</v>
      </c>
      <c r="C8" s="18" t="s">
        <v>46</v>
      </c>
      <c r="D8" s="19"/>
      <c r="E8" s="19"/>
      <c r="F8" s="19"/>
      <c r="G8" s="20"/>
      <c r="H8" s="21"/>
      <c r="I8" s="22">
        <f t="shared" si="4"/>
        <v>0</v>
      </c>
      <c r="J8" s="22"/>
      <c r="K8" s="11"/>
      <c r="L8" s="22"/>
      <c r="M8" s="22"/>
      <c r="N8" s="22"/>
      <c r="O8" s="22"/>
      <c r="P8" s="22"/>
      <c r="Q8" s="22"/>
      <c r="R8" s="36"/>
      <c r="S8" s="44"/>
      <c r="T8" s="47"/>
      <c r="U8" s="52">
        <f t="shared" si="2"/>
        <v>0</v>
      </c>
      <c r="V8" s="23" t="str">
        <f t="shared" si="3"/>
        <v>OK</v>
      </c>
    </row>
    <row r="9" spans="1:22" hidden="1" x14ac:dyDescent="0.3">
      <c r="A9" s="62" t="s">
        <v>97</v>
      </c>
      <c r="B9" s="62">
        <v>18524</v>
      </c>
      <c r="C9" s="12">
        <v>4</v>
      </c>
      <c r="D9" s="53"/>
      <c r="E9" s="13"/>
      <c r="F9" s="13"/>
      <c r="G9" s="14"/>
      <c r="H9" s="15"/>
      <c r="I9" s="16">
        <f t="shared" si="4"/>
        <v>0</v>
      </c>
      <c r="J9" s="16"/>
      <c r="K9" s="11"/>
      <c r="L9" s="16"/>
      <c r="M9" s="16"/>
      <c r="N9" s="16"/>
      <c r="O9" s="16"/>
      <c r="P9" s="16"/>
      <c r="Q9" s="16"/>
      <c r="R9" s="35"/>
      <c r="S9" s="43"/>
      <c r="T9" s="46"/>
      <c r="U9" s="51">
        <f t="shared" si="2"/>
        <v>0</v>
      </c>
      <c r="V9" s="17" t="str">
        <f t="shared" si="3"/>
        <v>OK</v>
      </c>
    </row>
    <row r="10" spans="1:22" hidden="1" x14ac:dyDescent="0.3">
      <c r="A10" s="63" t="s">
        <v>34</v>
      </c>
      <c r="B10" s="63">
        <v>6234</v>
      </c>
      <c r="C10" s="18" t="s">
        <v>47</v>
      </c>
      <c r="D10" s="19"/>
      <c r="E10" s="19"/>
      <c r="F10" s="19"/>
      <c r="G10" s="20"/>
      <c r="H10" s="21"/>
      <c r="I10" s="22">
        <f t="shared" si="4"/>
        <v>0</v>
      </c>
      <c r="J10" s="22"/>
      <c r="K10" s="11"/>
      <c r="L10" s="22"/>
      <c r="M10" s="22"/>
      <c r="N10" s="22"/>
      <c r="O10" s="22"/>
      <c r="P10" s="22"/>
      <c r="Q10" s="22"/>
      <c r="R10" s="36"/>
      <c r="S10" s="44"/>
      <c r="T10" s="47"/>
      <c r="U10" s="52">
        <f t="shared" si="2"/>
        <v>0</v>
      </c>
      <c r="V10" s="23" t="str">
        <f t="shared" si="3"/>
        <v>OK</v>
      </c>
    </row>
    <row r="11" spans="1:22" hidden="1" x14ac:dyDescent="0.3">
      <c r="A11" s="62" t="s">
        <v>80</v>
      </c>
      <c r="B11" s="62">
        <v>14830</v>
      </c>
      <c r="C11" s="12" t="s">
        <v>47</v>
      </c>
      <c r="D11" s="53"/>
      <c r="E11" s="13"/>
      <c r="F11" s="13"/>
      <c r="G11" s="14"/>
      <c r="H11" s="15"/>
      <c r="I11" s="16">
        <f t="shared" si="4"/>
        <v>0</v>
      </c>
      <c r="J11" s="16"/>
      <c r="K11" s="11"/>
      <c r="L11" s="16"/>
      <c r="M11" s="16"/>
      <c r="N11" s="16"/>
      <c r="O11" s="16"/>
      <c r="P11" s="16"/>
      <c r="Q11" s="16"/>
      <c r="R11" s="35"/>
      <c r="S11" s="43"/>
      <c r="T11" s="46"/>
      <c r="U11" s="51">
        <f t="shared" si="2"/>
        <v>0</v>
      </c>
      <c r="V11" s="17" t="str">
        <f t="shared" si="3"/>
        <v>OK</v>
      </c>
    </row>
    <row r="12" spans="1:22" hidden="1" x14ac:dyDescent="0.3">
      <c r="A12" s="63" t="s">
        <v>35</v>
      </c>
      <c r="B12" s="63">
        <v>6004</v>
      </c>
      <c r="C12" s="18" t="s">
        <v>48</v>
      </c>
      <c r="D12" s="19"/>
      <c r="E12" s="19"/>
      <c r="F12" s="19"/>
      <c r="G12" s="20"/>
      <c r="H12" s="21"/>
      <c r="I12" s="22">
        <f t="shared" si="4"/>
        <v>0</v>
      </c>
      <c r="J12" s="22"/>
      <c r="K12" s="11"/>
      <c r="L12" s="22"/>
      <c r="M12" s="22"/>
      <c r="N12" s="22"/>
      <c r="O12" s="22"/>
      <c r="P12" s="22"/>
      <c r="Q12" s="22"/>
      <c r="R12" s="36"/>
      <c r="S12" s="44"/>
      <c r="T12" s="47"/>
      <c r="U12" s="52">
        <f t="shared" si="2"/>
        <v>0</v>
      </c>
      <c r="V12" s="23" t="str">
        <f t="shared" si="3"/>
        <v>OK</v>
      </c>
    </row>
    <row r="13" spans="1:22" hidden="1" x14ac:dyDescent="0.3">
      <c r="A13" s="62" t="s">
        <v>36</v>
      </c>
      <c r="B13" s="62">
        <v>11857</v>
      </c>
      <c r="C13" s="12" t="s">
        <v>48</v>
      </c>
      <c r="D13" s="53"/>
      <c r="E13" s="13"/>
      <c r="F13" s="13"/>
      <c r="G13" s="14"/>
      <c r="H13" s="15"/>
      <c r="I13" s="16">
        <f t="shared" si="4"/>
        <v>0</v>
      </c>
      <c r="J13" s="16"/>
      <c r="K13" s="11"/>
      <c r="L13" s="16"/>
      <c r="M13" s="16"/>
      <c r="N13" s="16"/>
      <c r="O13" s="16"/>
      <c r="P13" s="16"/>
      <c r="Q13" s="16"/>
      <c r="R13" s="35"/>
      <c r="S13" s="43"/>
      <c r="T13" s="46"/>
      <c r="U13" s="51">
        <f t="shared" si="2"/>
        <v>0</v>
      </c>
      <c r="V13" s="17" t="str">
        <f t="shared" si="3"/>
        <v>OK</v>
      </c>
    </row>
    <row r="14" spans="1:22" hidden="1" x14ac:dyDescent="0.3">
      <c r="A14" s="63" t="s">
        <v>82</v>
      </c>
      <c r="B14" s="63">
        <v>15004</v>
      </c>
      <c r="C14" s="18" t="s">
        <v>48</v>
      </c>
      <c r="D14" s="19"/>
      <c r="E14" s="19"/>
      <c r="F14" s="19"/>
      <c r="G14" s="20"/>
      <c r="H14" s="21"/>
      <c r="I14" s="22">
        <f t="shared" si="4"/>
        <v>0</v>
      </c>
      <c r="J14" s="22"/>
      <c r="K14" s="11"/>
      <c r="L14" s="22"/>
      <c r="M14" s="22"/>
      <c r="N14" s="22"/>
      <c r="O14" s="22"/>
      <c r="P14" s="22"/>
      <c r="Q14" s="22"/>
      <c r="R14" s="36"/>
      <c r="S14" s="44"/>
      <c r="T14" s="47"/>
      <c r="U14" s="52">
        <f t="shared" si="2"/>
        <v>0</v>
      </c>
      <c r="V14" s="23" t="str">
        <f t="shared" si="3"/>
        <v>OK</v>
      </c>
    </row>
    <row r="15" spans="1:22" hidden="1" x14ac:dyDescent="0.3">
      <c r="A15" s="62" t="s">
        <v>86</v>
      </c>
      <c r="B15" s="62">
        <v>15174</v>
      </c>
      <c r="C15" s="12" t="s">
        <v>45</v>
      </c>
      <c r="D15" s="53"/>
      <c r="E15" s="13"/>
      <c r="F15" s="13"/>
      <c r="G15" s="14"/>
      <c r="H15" s="15"/>
      <c r="I15" s="16">
        <f t="shared" si="4"/>
        <v>0</v>
      </c>
      <c r="J15" s="16"/>
      <c r="K15" s="11"/>
      <c r="L15" s="16"/>
      <c r="M15" s="16"/>
      <c r="N15" s="16"/>
      <c r="O15" s="16"/>
      <c r="P15" s="16"/>
      <c r="Q15" s="16"/>
      <c r="R15" s="35"/>
      <c r="S15" s="43"/>
      <c r="T15" s="46"/>
      <c r="U15" s="51">
        <f t="shared" si="2"/>
        <v>0</v>
      </c>
      <c r="V15" s="17" t="str">
        <f t="shared" si="3"/>
        <v>OK</v>
      </c>
    </row>
    <row r="16" spans="1:22" hidden="1" x14ac:dyDescent="0.3">
      <c r="A16" s="63" t="s">
        <v>87</v>
      </c>
      <c r="B16" s="63">
        <v>15520</v>
      </c>
      <c r="C16" s="18" t="s">
        <v>47</v>
      </c>
      <c r="D16" s="19"/>
      <c r="E16" s="19"/>
      <c r="F16" s="19"/>
      <c r="G16" s="20"/>
      <c r="H16" s="21"/>
      <c r="I16" s="22">
        <f t="shared" si="4"/>
        <v>0</v>
      </c>
      <c r="J16" s="22"/>
      <c r="K16" s="11"/>
      <c r="L16" s="22"/>
      <c r="M16" s="22"/>
      <c r="N16" s="22"/>
      <c r="O16" s="22"/>
      <c r="P16" s="22"/>
      <c r="Q16" s="22"/>
      <c r="R16" s="36"/>
      <c r="S16" s="44"/>
      <c r="T16" s="47"/>
      <c r="U16" s="52">
        <f t="shared" si="2"/>
        <v>0</v>
      </c>
      <c r="V16" s="23" t="str">
        <f t="shared" si="3"/>
        <v>OK</v>
      </c>
    </row>
    <row r="17" spans="1:22" hidden="1" x14ac:dyDescent="0.3">
      <c r="A17" s="62" t="s">
        <v>85</v>
      </c>
      <c r="B17" s="62">
        <v>14989</v>
      </c>
      <c r="C17" s="12" t="s">
        <v>45</v>
      </c>
      <c r="D17" s="53"/>
      <c r="E17" s="13"/>
      <c r="F17" s="13"/>
      <c r="G17" s="14"/>
      <c r="H17" s="15"/>
      <c r="I17" s="16">
        <f t="shared" si="4"/>
        <v>0</v>
      </c>
      <c r="J17" s="16"/>
      <c r="K17" s="11"/>
      <c r="L17" s="16"/>
      <c r="M17" s="16"/>
      <c r="N17" s="16"/>
      <c r="O17" s="16"/>
      <c r="P17" s="16"/>
      <c r="Q17" s="16"/>
      <c r="R17" s="35"/>
      <c r="S17" s="43"/>
      <c r="T17" s="46"/>
      <c r="U17" s="51">
        <f t="shared" si="2"/>
        <v>0</v>
      </c>
      <c r="V17" s="17" t="str">
        <f t="shared" si="3"/>
        <v>OK</v>
      </c>
    </row>
    <row r="18" spans="1:22" hidden="1" x14ac:dyDescent="0.3">
      <c r="A18" s="63" t="s">
        <v>84</v>
      </c>
      <c r="B18" s="63">
        <v>14984</v>
      </c>
      <c r="C18" s="18" t="s">
        <v>46</v>
      </c>
      <c r="D18" s="19"/>
      <c r="E18" s="19"/>
      <c r="F18" s="19"/>
      <c r="G18" s="20"/>
      <c r="H18" s="21"/>
      <c r="I18" s="22">
        <f t="shared" si="4"/>
        <v>0</v>
      </c>
      <c r="J18" s="22"/>
      <c r="K18" s="11"/>
      <c r="L18" s="22"/>
      <c r="M18" s="22"/>
      <c r="N18" s="22"/>
      <c r="O18" s="22"/>
      <c r="P18" s="22"/>
      <c r="Q18" s="22"/>
      <c r="R18" s="36"/>
      <c r="S18" s="44"/>
      <c r="T18" s="47"/>
      <c r="U18" s="52">
        <f t="shared" si="2"/>
        <v>0</v>
      </c>
      <c r="V18" s="23" t="str">
        <f t="shared" si="3"/>
        <v>OK</v>
      </c>
    </row>
    <row r="19" spans="1:22" hidden="1" x14ac:dyDescent="0.3">
      <c r="A19" s="62" t="s">
        <v>88</v>
      </c>
      <c r="B19" s="62">
        <v>16270</v>
      </c>
      <c r="C19" s="12" t="s">
        <v>89</v>
      </c>
      <c r="D19" s="53"/>
      <c r="E19" s="13"/>
      <c r="F19" s="13"/>
      <c r="G19" s="14"/>
      <c r="H19" s="15"/>
      <c r="I19" s="16">
        <f t="shared" si="4"/>
        <v>0</v>
      </c>
      <c r="J19" s="16"/>
      <c r="K19" s="11"/>
      <c r="L19" s="16"/>
      <c r="M19" s="16"/>
      <c r="N19" s="16"/>
      <c r="O19" s="16"/>
      <c r="P19" s="16"/>
      <c r="Q19" s="16"/>
      <c r="R19" s="35"/>
      <c r="S19" s="43"/>
      <c r="T19" s="46"/>
      <c r="U19" s="51">
        <f t="shared" si="2"/>
        <v>0</v>
      </c>
      <c r="V19" s="17" t="str">
        <f t="shared" si="3"/>
        <v>OK</v>
      </c>
    </row>
    <row r="20" spans="1:22" hidden="1" x14ac:dyDescent="0.3">
      <c r="A20" s="63" t="s">
        <v>98</v>
      </c>
      <c r="B20" s="63">
        <v>19060</v>
      </c>
      <c r="C20" s="18" t="s">
        <v>47</v>
      </c>
      <c r="D20" s="19"/>
      <c r="E20" s="19"/>
      <c r="F20" s="19"/>
      <c r="G20" s="20"/>
      <c r="H20" s="21"/>
      <c r="I20" s="22">
        <f t="shared" si="4"/>
        <v>0</v>
      </c>
      <c r="J20" s="22"/>
      <c r="K20" s="11"/>
      <c r="L20" s="22"/>
      <c r="M20" s="22"/>
      <c r="N20" s="22"/>
      <c r="O20" s="22"/>
      <c r="P20" s="22"/>
      <c r="Q20" s="22"/>
      <c r="R20" s="36"/>
      <c r="S20" s="44"/>
      <c r="T20" s="47"/>
      <c r="U20" s="52">
        <f t="shared" si="2"/>
        <v>0</v>
      </c>
      <c r="V20" s="23" t="str">
        <f t="shared" si="3"/>
        <v>OK</v>
      </c>
    </row>
    <row r="21" spans="1:22" hidden="1" x14ac:dyDescent="0.3">
      <c r="A21" s="62" t="s">
        <v>99</v>
      </c>
      <c r="B21" s="62">
        <v>18828</v>
      </c>
      <c r="C21" s="12" t="s">
        <v>94</v>
      </c>
      <c r="D21" s="53"/>
      <c r="E21" s="13"/>
      <c r="F21" s="13"/>
      <c r="G21" s="14"/>
      <c r="H21" s="15"/>
      <c r="I21" s="16">
        <f t="shared" si="4"/>
        <v>0</v>
      </c>
      <c r="J21" s="16"/>
      <c r="K21" s="11"/>
      <c r="L21" s="16"/>
      <c r="M21" s="16"/>
      <c r="N21" s="16"/>
      <c r="O21" s="16"/>
      <c r="P21" s="16"/>
      <c r="Q21" s="16"/>
      <c r="R21" s="35"/>
      <c r="S21" s="43"/>
      <c r="T21" s="46"/>
      <c r="U21" s="51">
        <f t="shared" si="2"/>
        <v>0</v>
      </c>
      <c r="V21" s="17" t="str">
        <f t="shared" si="3"/>
        <v>OK</v>
      </c>
    </row>
    <row r="22" spans="1:22" hidden="1" x14ac:dyDescent="0.3">
      <c r="A22" s="63" t="s">
        <v>23</v>
      </c>
      <c r="B22" s="63">
        <v>5695</v>
      </c>
      <c r="C22" s="18" t="s">
        <v>49</v>
      </c>
      <c r="D22" s="19"/>
      <c r="E22" s="19"/>
      <c r="F22" s="19"/>
      <c r="G22" s="20"/>
      <c r="H22" s="21"/>
      <c r="I22" s="22">
        <f t="shared" si="4"/>
        <v>0</v>
      </c>
      <c r="J22" s="22"/>
      <c r="K22" s="11"/>
      <c r="L22" s="22"/>
      <c r="M22" s="22"/>
      <c r="N22" s="22"/>
      <c r="O22" s="22"/>
      <c r="P22" s="22"/>
      <c r="Q22" s="22"/>
      <c r="R22" s="36"/>
      <c r="S22" s="44"/>
      <c r="T22" s="47"/>
      <c r="U22" s="52">
        <f t="shared" si="2"/>
        <v>0</v>
      </c>
      <c r="V22" s="23" t="str">
        <f t="shared" si="3"/>
        <v>OK</v>
      </c>
    </row>
    <row r="23" spans="1:22" hidden="1" x14ac:dyDescent="0.3">
      <c r="A23" s="62" t="s">
        <v>24</v>
      </c>
      <c r="B23" s="62">
        <v>5691</v>
      </c>
      <c r="C23" s="12" t="s">
        <v>50</v>
      </c>
      <c r="D23" s="53"/>
      <c r="E23" s="13"/>
      <c r="F23" s="13"/>
      <c r="G23" s="14"/>
      <c r="H23" s="15"/>
      <c r="I23" s="16">
        <f t="shared" si="4"/>
        <v>0</v>
      </c>
      <c r="J23" s="16"/>
      <c r="K23" s="11"/>
      <c r="L23" s="16"/>
      <c r="M23" s="16"/>
      <c r="N23" s="16"/>
      <c r="O23" s="16"/>
      <c r="P23" s="16"/>
      <c r="Q23" s="16"/>
      <c r="R23" s="35"/>
      <c r="S23" s="43"/>
      <c r="T23" s="46"/>
      <c r="U23" s="51">
        <f t="shared" si="2"/>
        <v>0</v>
      </c>
      <c r="V23" s="17" t="str">
        <f t="shared" si="3"/>
        <v>OK</v>
      </c>
    </row>
    <row r="24" spans="1:22" hidden="1" x14ac:dyDescent="0.3">
      <c r="A24" s="63" t="s">
        <v>37</v>
      </c>
      <c r="B24" s="63">
        <v>5687</v>
      </c>
      <c r="C24" s="18" t="s">
        <v>51</v>
      </c>
      <c r="D24" s="19"/>
      <c r="E24" s="19"/>
      <c r="F24" s="19"/>
      <c r="G24" s="20"/>
      <c r="H24" s="21"/>
      <c r="I24" s="22">
        <f t="shared" si="4"/>
        <v>0</v>
      </c>
      <c r="J24" s="22"/>
      <c r="K24" s="11"/>
      <c r="L24" s="22"/>
      <c r="M24" s="22"/>
      <c r="N24" s="22"/>
      <c r="O24" s="22"/>
      <c r="P24" s="22"/>
      <c r="Q24" s="22"/>
      <c r="R24" s="36"/>
      <c r="S24" s="44"/>
      <c r="T24" s="47"/>
      <c r="U24" s="52">
        <f t="shared" si="2"/>
        <v>0</v>
      </c>
      <c r="V24" s="23" t="str">
        <f t="shared" si="3"/>
        <v>OK</v>
      </c>
    </row>
    <row r="25" spans="1:22" hidden="1" x14ac:dyDescent="0.3">
      <c r="A25" s="62" t="s">
        <v>38</v>
      </c>
      <c r="B25" s="62">
        <v>5683</v>
      </c>
      <c r="C25" s="12" t="s">
        <v>51</v>
      </c>
      <c r="D25" s="53"/>
      <c r="E25" s="13"/>
      <c r="F25" s="13"/>
      <c r="G25" s="14"/>
      <c r="H25" s="15"/>
      <c r="I25" s="16">
        <f t="shared" si="4"/>
        <v>0</v>
      </c>
      <c r="J25" s="16"/>
      <c r="K25" s="11"/>
      <c r="L25" s="16"/>
      <c r="M25" s="16"/>
      <c r="N25" s="16"/>
      <c r="O25" s="16"/>
      <c r="P25" s="16"/>
      <c r="Q25" s="16"/>
      <c r="R25" s="35"/>
      <c r="S25" s="43"/>
      <c r="T25" s="46"/>
      <c r="U25" s="51">
        <f t="shared" si="2"/>
        <v>0</v>
      </c>
      <c r="V25" s="17" t="str">
        <f t="shared" si="3"/>
        <v>OK</v>
      </c>
    </row>
    <row r="26" spans="1:22" hidden="1" x14ac:dyDescent="0.3">
      <c r="A26" s="63" t="s">
        <v>25</v>
      </c>
      <c r="B26" s="63">
        <v>5679</v>
      </c>
      <c r="C26" s="18" t="s">
        <v>52</v>
      </c>
      <c r="D26" s="19"/>
      <c r="E26" s="19"/>
      <c r="F26" s="19"/>
      <c r="G26" s="20"/>
      <c r="H26" s="21"/>
      <c r="I26" s="22">
        <f t="shared" si="4"/>
        <v>0</v>
      </c>
      <c r="J26" s="22"/>
      <c r="K26" s="11"/>
      <c r="L26" s="22"/>
      <c r="M26" s="22"/>
      <c r="N26" s="22"/>
      <c r="O26" s="22"/>
      <c r="P26" s="22"/>
      <c r="Q26" s="22"/>
      <c r="R26" s="36"/>
      <c r="S26" s="44"/>
      <c r="T26" s="47"/>
      <c r="U26" s="52">
        <f t="shared" si="2"/>
        <v>0</v>
      </c>
      <c r="V26" s="23" t="str">
        <f t="shared" si="3"/>
        <v>OK</v>
      </c>
    </row>
    <row r="27" spans="1:22" hidden="1" x14ac:dyDescent="0.3">
      <c r="A27" s="62" t="s">
        <v>39</v>
      </c>
      <c r="B27" s="62">
        <v>5675</v>
      </c>
      <c r="C27" s="12" t="s">
        <v>53</v>
      </c>
      <c r="D27" s="53"/>
      <c r="E27" s="13"/>
      <c r="F27" s="13"/>
      <c r="G27" s="14"/>
      <c r="H27" s="15"/>
      <c r="I27" s="16">
        <f t="shared" si="4"/>
        <v>0</v>
      </c>
      <c r="J27" s="16"/>
      <c r="K27" s="11"/>
      <c r="L27" s="16"/>
      <c r="M27" s="16"/>
      <c r="N27" s="16"/>
      <c r="O27" s="16"/>
      <c r="P27" s="16"/>
      <c r="Q27" s="16"/>
      <c r="R27" s="35"/>
      <c r="S27" s="43"/>
      <c r="T27" s="46"/>
      <c r="U27" s="51">
        <f t="shared" si="2"/>
        <v>0</v>
      </c>
      <c r="V27" s="17" t="str">
        <f t="shared" si="3"/>
        <v>OK</v>
      </c>
    </row>
    <row r="28" spans="1:22" hidden="1" x14ac:dyDescent="0.3">
      <c r="A28" s="63" t="s">
        <v>26</v>
      </c>
      <c r="B28" s="63">
        <v>5671</v>
      </c>
      <c r="C28" s="18" t="s">
        <v>49</v>
      </c>
      <c r="D28" s="19"/>
      <c r="E28" s="19"/>
      <c r="F28" s="19"/>
      <c r="G28" s="20"/>
      <c r="H28" s="21"/>
      <c r="I28" s="22">
        <f t="shared" si="4"/>
        <v>0</v>
      </c>
      <c r="J28" s="22"/>
      <c r="K28" s="11"/>
      <c r="L28" s="22"/>
      <c r="M28" s="22"/>
      <c r="N28" s="22"/>
      <c r="O28" s="22"/>
      <c r="P28" s="22"/>
      <c r="Q28" s="22"/>
      <c r="R28" s="36"/>
      <c r="S28" s="44"/>
      <c r="T28" s="47"/>
      <c r="U28" s="52">
        <f t="shared" si="2"/>
        <v>0</v>
      </c>
      <c r="V28" s="23" t="str">
        <f t="shared" si="3"/>
        <v>OK</v>
      </c>
    </row>
    <row r="29" spans="1:22" hidden="1" x14ac:dyDescent="0.3">
      <c r="A29" s="62" t="s">
        <v>40</v>
      </c>
      <c r="B29" s="62">
        <v>5667</v>
      </c>
      <c r="C29" s="12" t="s">
        <v>50</v>
      </c>
      <c r="D29" s="53"/>
      <c r="E29" s="13"/>
      <c r="F29" s="13"/>
      <c r="G29" s="14"/>
      <c r="H29" s="15"/>
      <c r="I29" s="16">
        <f t="shared" si="4"/>
        <v>0</v>
      </c>
      <c r="J29" s="16"/>
      <c r="K29" s="11"/>
      <c r="L29" s="16"/>
      <c r="M29" s="16"/>
      <c r="N29" s="16"/>
      <c r="O29" s="16"/>
      <c r="P29" s="16"/>
      <c r="Q29" s="16"/>
      <c r="R29" s="35"/>
      <c r="S29" s="43"/>
      <c r="T29" s="46"/>
      <c r="U29" s="51">
        <f t="shared" si="2"/>
        <v>0</v>
      </c>
      <c r="V29" s="17" t="str">
        <f t="shared" si="3"/>
        <v>OK</v>
      </c>
    </row>
    <row r="30" spans="1:22" hidden="1" x14ac:dyDescent="0.3">
      <c r="A30" s="63" t="s">
        <v>41</v>
      </c>
      <c r="B30" s="63">
        <v>5663</v>
      </c>
      <c r="C30" s="18" t="s">
        <v>51</v>
      </c>
      <c r="D30" s="19"/>
      <c r="E30" s="19"/>
      <c r="F30" s="19"/>
      <c r="G30" s="20"/>
      <c r="H30" s="21"/>
      <c r="I30" s="22">
        <f t="shared" si="4"/>
        <v>0</v>
      </c>
      <c r="J30" s="22"/>
      <c r="K30" s="11"/>
      <c r="L30" s="22"/>
      <c r="M30" s="22"/>
      <c r="N30" s="22"/>
      <c r="O30" s="22"/>
      <c r="P30" s="22"/>
      <c r="Q30" s="22"/>
      <c r="R30" s="36"/>
      <c r="S30" s="44"/>
      <c r="T30" s="47"/>
      <c r="U30" s="52">
        <f t="shared" si="2"/>
        <v>0</v>
      </c>
      <c r="V30" s="23" t="str">
        <f t="shared" si="3"/>
        <v>OK</v>
      </c>
    </row>
    <row r="31" spans="1:22" hidden="1" x14ac:dyDescent="0.3">
      <c r="A31" s="62" t="s">
        <v>42</v>
      </c>
      <c r="B31" s="62">
        <v>5659</v>
      </c>
      <c r="C31" s="12" t="s">
        <v>52</v>
      </c>
      <c r="D31" s="53"/>
      <c r="E31" s="13"/>
      <c r="F31" s="13"/>
      <c r="G31" s="14"/>
      <c r="H31" s="15"/>
      <c r="I31" s="16">
        <f t="shared" si="4"/>
        <v>0</v>
      </c>
      <c r="J31" s="16"/>
      <c r="K31" s="11"/>
      <c r="L31" s="16"/>
      <c r="M31" s="16"/>
      <c r="N31" s="16"/>
      <c r="O31" s="16"/>
      <c r="P31" s="16"/>
      <c r="Q31" s="16"/>
      <c r="R31" s="35"/>
      <c r="S31" s="43"/>
      <c r="T31" s="46"/>
      <c r="U31" s="51">
        <f t="shared" si="2"/>
        <v>0</v>
      </c>
      <c r="V31" s="17" t="str">
        <f t="shared" si="3"/>
        <v>OK</v>
      </c>
    </row>
    <row r="32" spans="1:22" hidden="1" x14ac:dyDescent="0.3">
      <c r="A32" s="63" t="s">
        <v>27</v>
      </c>
      <c r="B32" s="63">
        <v>5655</v>
      </c>
      <c r="C32" s="18" t="s">
        <v>54</v>
      </c>
      <c r="D32" s="19"/>
      <c r="E32" s="19"/>
      <c r="F32" s="19"/>
      <c r="G32" s="20"/>
      <c r="H32" s="21"/>
      <c r="I32" s="22">
        <f t="shared" si="4"/>
        <v>0</v>
      </c>
      <c r="J32" s="22"/>
      <c r="K32" s="11"/>
      <c r="L32" s="22"/>
      <c r="M32" s="22"/>
      <c r="N32" s="22"/>
      <c r="O32" s="22"/>
      <c r="P32" s="22"/>
      <c r="Q32" s="22"/>
      <c r="R32" s="36"/>
      <c r="S32" s="44"/>
      <c r="T32" s="47"/>
      <c r="U32" s="52">
        <f t="shared" si="2"/>
        <v>0</v>
      </c>
      <c r="V32" s="23" t="str">
        <f t="shared" si="3"/>
        <v>OK</v>
      </c>
    </row>
    <row r="33" spans="1:22" hidden="1" x14ac:dyDescent="0.3">
      <c r="A33" s="62" t="s">
        <v>70</v>
      </c>
      <c r="B33" s="62">
        <v>5651</v>
      </c>
      <c r="C33" s="12" t="s">
        <v>55</v>
      </c>
      <c r="D33" s="53"/>
      <c r="E33" s="13"/>
      <c r="F33" s="13"/>
      <c r="G33" s="14"/>
      <c r="H33" s="15"/>
      <c r="I33" s="16">
        <f t="shared" si="4"/>
        <v>0</v>
      </c>
      <c r="J33" s="16"/>
      <c r="K33" s="11"/>
      <c r="L33" s="16"/>
      <c r="M33" s="16"/>
      <c r="N33" s="16"/>
      <c r="O33" s="16"/>
      <c r="P33" s="16"/>
      <c r="Q33" s="16"/>
      <c r="R33" s="35"/>
      <c r="S33" s="43"/>
      <c r="T33" s="46"/>
      <c r="U33" s="51">
        <f t="shared" si="2"/>
        <v>0</v>
      </c>
      <c r="V33" s="17" t="str">
        <f t="shared" si="3"/>
        <v>OK</v>
      </c>
    </row>
    <row r="34" spans="1:22" hidden="1" x14ac:dyDescent="0.3">
      <c r="A34" s="63" t="s">
        <v>71</v>
      </c>
      <c r="B34" s="63">
        <v>5643</v>
      </c>
      <c r="C34" s="18" t="s">
        <v>56</v>
      </c>
      <c r="D34" s="19"/>
      <c r="E34" s="19"/>
      <c r="F34" s="19"/>
      <c r="G34" s="20"/>
      <c r="H34" s="21"/>
      <c r="I34" s="22">
        <f t="shared" si="4"/>
        <v>0</v>
      </c>
      <c r="J34" s="22"/>
      <c r="K34" s="11"/>
      <c r="L34" s="22"/>
      <c r="M34" s="22"/>
      <c r="N34" s="22"/>
      <c r="O34" s="22"/>
      <c r="P34" s="22"/>
      <c r="Q34" s="22"/>
      <c r="R34" s="36"/>
      <c r="S34" s="44"/>
      <c r="T34" s="47"/>
      <c r="U34" s="52">
        <f t="shared" si="2"/>
        <v>0</v>
      </c>
      <c r="V34" s="23" t="str">
        <f t="shared" si="3"/>
        <v>OK</v>
      </c>
    </row>
    <row r="35" spans="1:22" hidden="1" x14ac:dyDescent="0.3">
      <c r="A35" s="62" t="s">
        <v>57</v>
      </c>
      <c r="B35" s="62">
        <v>11350</v>
      </c>
      <c r="C35" s="12" t="s">
        <v>56</v>
      </c>
      <c r="D35" s="53"/>
      <c r="E35" s="13"/>
      <c r="F35" s="13"/>
      <c r="G35" s="14"/>
      <c r="H35" s="15"/>
      <c r="I35" s="16">
        <f t="shared" si="4"/>
        <v>0</v>
      </c>
      <c r="J35" s="16"/>
      <c r="K35" s="11"/>
      <c r="L35" s="16"/>
      <c r="M35" s="16"/>
      <c r="N35" s="16"/>
      <c r="O35" s="16"/>
      <c r="P35" s="16"/>
      <c r="Q35" s="16"/>
      <c r="R35" s="35"/>
      <c r="S35" s="43"/>
      <c r="T35" s="46"/>
      <c r="U35" s="51">
        <f t="shared" si="2"/>
        <v>0</v>
      </c>
      <c r="V35" s="17" t="str">
        <f t="shared" si="3"/>
        <v>OK</v>
      </c>
    </row>
    <row r="36" spans="1:22" hidden="1" x14ac:dyDescent="0.3">
      <c r="A36" s="63" t="s">
        <v>72</v>
      </c>
      <c r="B36" s="63">
        <v>5635</v>
      </c>
      <c r="C36" s="18" t="s">
        <v>55</v>
      </c>
      <c r="D36" s="19"/>
      <c r="E36" s="19"/>
      <c r="F36" s="19"/>
      <c r="G36" s="20"/>
      <c r="H36" s="21"/>
      <c r="I36" s="22">
        <f t="shared" si="4"/>
        <v>0</v>
      </c>
      <c r="J36" s="22"/>
      <c r="K36" s="11"/>
      <c r="L36" s="22"/>
      <c r="M36" s="22"/>
      <c r="N36" s="22"/>
      <c r="O36" s="22"/>
      <c r="P36" s="22"/>
      <c r="Q36" s="22"/>
      <c r="R36" s="36"/>
      <c r="S36" s="44"/>
      <c r="T36" s="47"/>
      <c r="U36" s="52">
        <f t="shared" si="2"/>
        <v>0</v>
      </c>
      <c r="V36" s="23" t="str">
        <f t="shared" si="3"/>
        <v>OK</v>
      </c>
    </row>
    <row r="37" spans="1:22" hidden="1" x14ac:dyDescent="0.3">
      <c r="A37" s="62" t="s">
        <v>58</v>
      </c>
      <c r="B37" s="62">
        <v>11349</v>
      </c>
      <c r="C37" s="12" t="s">
        <v>55</v>
      </c>
      <c r="D37" s="53"/>
      <c r="E37" s="13"/>
      <c r="F37" s="13"/>
      <c r="G37" s="14"/>
      <c r="H37" s="15"/>
      <c r="I37" s="16">
        <f t="shared" si="4"/>
        <v>0</v>
      </c>
      <c r="J37" s="16"/>
      <c r="K37" s="11"/>
      <c r="L37" s="16"/>
      <c r="M37" s="16"/>
      <c r="N37" s="16"/>
      <c r="O37" s="16"/>
      <c r="P37" s="16"/>
      <c r="Q37" s="16"/>
      <c r="R37" s="35"/>
      <c r="S37" s="43"/>
      <c r="T37" s="46"/>
      <c r="U37" s="51">
        <f t="shared" ref="U37:U55" si="5">SUM(L37:T37)</f>
        <v>0</v>
      </c>
      <c r="V37" s="17" t="str">
        <f t="shared" si="3"/>
        <v>OK</v>
      </c>
    </row>
    <row r="38" spans="1:22" hidden="1" x14ac:dyDescent="0.3">
      <c r="A38" s="63" t="s">
        <v>73</v>
      </c>
      <c r="B38" s="63">
        <v>5627</v>
      </c>
      <c r="C38" s="18" t="s">
        <v>56</v>
      </c>
      <c r="D38" s="19"/>
      <c r="E38" s="19"/>
      <c r="F38" s="19"/>
      <c r="G38" s="20"/>
      <c r="H38" s="21"/>
      <c r="I38" s="22">
        <f t="shared" si="4"/>
        <v>0</v>
      </c>
      <c r="J38" s="22"/>
      <c r="K38" s="11"/>
      <c r="L38" s="22"/>
      <c r="M38" s="22"/>
      <c r="N38" s="22"/>
      <c r="O38" s="22"/>
      <c r="P38" s="22"/>
      <c r="Q38" s="22"/>
      <c r="R38" s="36"/>
      <c r="S38" s="44"/>
      <c r="T38" s="47"/>
      <c r="U38" s="52">
        <f t="shared" si="5"/>
        <v>0</v>
      </c>
      <c r="V38" s="23" t="str">
        <f t="shared" si="3"/>
        <v>OK</v>
      </c>
    </row>
    <row r="39" spans="1:22" hidden="1" x14ac:dyDescent="0.3">
      <c r="A39" s="62" t="s">
        <v>59</v>
      </c>
      <c r="B39" s="62">
        <v>11348</v>
      </c>
      <c r="C39" s="12" t="s">
        <v>56</v>
      </c>
      <c r="D39" s="53"/>
      <c r="E39" s="13"/>
      <c r="F39" s="13"/>
      <c r="G39" s="14"/>
      <c r="H39" s="15"/>
      <c r="I39" s="16">
        <f t="shared" si="4"/>
        <v>0</v>
      </c>
      <c r="J39" s="16"/>
      <c r="K39" s="11"/>
      <c r="L39" s="16"/>
      <c r="M39" s="16"/>
      <c r="N39" s="16"/>
      <c r="O39" s="16"/>
      <c r="P39" s="16"/>
      <c r="Q39" s="16"/>
      <c r="R39" s="35"/>
      <c r="S39" s="43"/>
      <c r="T39" s="46"/>
      <c r="U39" s="51">
        <f t="shared" si="5"/>
        <v>0</v>
      </c>
      <c r="V39" s="17" t="str">
        <f t="shared" si="3"/>
        <v>OK</v>
      </c>
    </row>
    <row r="40" spans="1:22" hidden="1" x14ac:dyDescent="0.3">
      <c r="A40" s="63" t="s">
        <v>74</v>
      </c>
      <c r="B40" s="63">
        <v>5619</v>
      </c>
      <c r="C40" s="18" t="s">
        <v>60</v>
      </c>
      <c r="D40" s="19"/>
      <c r="E40" s="19"/>
      <c r="F40" s="19"/>
      <c r="G40" s="20"/>
      <c r="H40" s="21"/>
      <c r="I40" s="22">
        <f t="shared" si="4"/>
        <v>0</v>
      </c>
      <c r="J40" s="22"/>
      <c r="K40" s="11"/>
      <c r="L40" s="22"/>
      <c r="M40" s="22"/>
      <c r="N40" s="22"/>
      <c r="O40" s="22"/>
      <c r="P40" s="22"/>
      <c r="Q40" s="22"/>
      <c r="R40" s="36"/>
      <c r="S40" s="44"/>
      <c r="T40" s="47"/>
      <c r="U40" s="52">
        <f t="shared" si="5"/>
        <v>0</v>
      </c>
      <c r="V40" s="23" t="str">
        <f t="shared" si="3"/>
        <v>OK</v>
      </c>
    </row>
    <row r="41" spans="1:22" hidden="1" x14ac:dyDescent="0.3">
      <c r="A41" s="64" t="s">
        <v>61</v>
      </c>
      <c r="B41" s="62">
        <v>11347</v>
      </c>
      <c r="C41" s="12" t="s">
        <v>60</v>
      </c>
      <c r="D41" s="53"/>
      <c r="E41" s="13"/>
      <c r="F41" s="13"/>
      <c r="G41" s="14"/>
      <c r="H41" s="15"/>
      <c r="I41" s="16">
        <f t="shared" si="4"/>
        <v>0</v>
      </c>
      <c r="J41" s="16"/>
      <c r="K41" s="11"/>
      <c r="L41" s="16"/>
      <c r="M41" s="16"/>
      <c r="N41" s="16"/>
      <c r="O41" s="16"/>
      <c r="P41" s="16"/>
      <c r="Q41" s="16"/>
      <c r="R41" s="35"/>
      <c r="S41" s="43"/>
      <c r="T41" s="46"/>
      <c r="U41" s="51">
        <f t="shared" si="5"/>
        <v>0</v>
      </c>
      <c r="V41" s="17" t="str">
        <f t="shared" si="3"/>
        <v>OK</v>
      </c>
    </row>
    <row r="42" spans="1:22" hidden="1" x14ac:dyDescent="0.3">
      <c r="A42" s="54" t="s">
        <v>75</v>
      </c>
      <c r="B42" s="63">
        <v>5611</v>
      </c>
      <c r="C42" s="18" t="s">
        <v>62</v>
      </c>
      <c r="D42" s="19"/>
      <c r="E42" s="19"/>
      <c r="F42" s="19"/>
      <c r="G42" s="20"/>
      <c r="H42" s="21"/>
      <c r="I42" s="22">
        <f t="shared" si="4"/>
        <v>0</v>
      </c>
      <c r="J42" s="22"/>
      <c r="K42" s="11"/>
      <c r="L42" s="22"/>
      <c r="M42" s="22"/>
      <c r="N42" s="22"/>
      <c r="O42" s="22"/>
      <c r="P42" s="22"/>
      <c r="Q42" s="22"/>
      <c r="R42" s="36"/>
      <c r="S42" s="44"/>
      <c r="T42" s="47"/>
      <c r="U42" s="52">
        <f t="shared" si="5"/>
        <v>0</v>
      </c>
      <c r="V42" s="23" t="str">
        <f t="shared" si="3"/>
        <v>OK</v>
      </c>
    </row>
    <row r="43" spans="1:22" hidden="1" x14ac:dyDescent="0.3">
      <c r="A43" s="12" t="s">
        <v>63</v>
      </c>
      <c r="B43" s="62">
        <v>11336</v>
      </c>
      <c r="C43" s="12" t="s">
        <v>62</v>
      </c>
      <c r="D43" s="53"/>
      <c r="E43" s="13"/>
      <c r="F43" s="13"/>
      <c r="G43" s="14"/>
      <c r="H43" s="15"/>
      <c r="I43" s="16">
        <f t="shared" si="4"/>
        <v>0</v>
      </c>
      <c r="J43" s="16"/>
      <c r="K43" s="11"/>
      <c r="L43" s="16"/>
      <c r="M43" s="16"/>
      <c r="N43" s="16"/>
      <c r="O43" s="16"/>
      <c r="P43" s="16"/>
      <c r="Q43" s="16"/>
      <c r="R43" s="35"/>
      <c r="S43" s="43"/>
      <c r="T43" s="46"/>
      <c r="U43" s="51">
        <f t="shared" si="5"/>
        <v>0</v>
      </c>
      <c r="V43" s="17" t="str">
        <f t="shared" si="3"/>
        <v>OK</v>
      </c>
    </row>
    <row r="44" spans="1:22" hidden="1" x14ac:dyDescent="0.3">
      <c r="A44" s="54" t="s">
        <v>100</v>
      </c>
      <c r="B44" s="63">
        <v>14860</v>
      </c>
      <c r="C44" s="18" t="s">
        <v>56</v>
      </c>
      <c r="D44" s="19"/>
      <c r="E44" s="19"/>
      <c r="F44" s="19"/>
      <c r="G44" s="20"/>
      <c r="H44" s="21"/>
      <c r="I44" s="22">
        <f t="shared" si="4"/>
        <v>0</v>
      </c>
      <c r="J44" s="22"/>
      <c r="K44" s="11"/>
      <c r="L44" s="22"/>
      <c r="M44" s="22"/>
      <c r="N44" s="22"/>
      <c r="O44" s="22"/>
      <c r="P44" s="22"/>
      <c r="Q44" s="22"/>
      <c r="R44" s="36"/>
      <c r="S44" s="44"/>
      <c r="T44" s="47"/>
      <c r="U44" s="52">
        <f t="shared" si="5"/>
        <v>0</v>
      </c>
      <c r="V44" s="23" t="str">
        <f t="shared" si="3"/>
        <v>OK</v>
      </c>
    </row>
    <row r="45" spans="1:22" hidden="1" x14ac:dyDescent="0.3">
      <c r="A45" s="64" t="s">
        <v>83</v>
      </c>
      <c r="B45" s="62">
        <v>14861</v>
      </c>
      <c r="C45" s="12" t="s">
        <v>56</v>
      </c>
      <c r="D45" s="53"/>
      <c r="E45" s="13"/>
      <c r="F45" s="13"/>
      <c r="G45" s="14"/>
      <c r="H45" s="15"/>
      <c r="I45" s="16">
        <f t="shared" si="4"/>
        <v>0</v>
      </c>
      <c r="J45" s="16"/>
      <c r="K45" s="11"/>
      <c r="L45" s="16"/>
      <c r="M45" s="16"/>
      <c r="N45" s="16"/>
      <c r="O45" s="16"/>
      <c r="P45" s="16"/>
      <c r="Q45" s="16"/>
      <c r="R45" s="35"/>
      <c r="S45" s="43"/>
      <c r="T45" s="46"/>
      <c r="U45" s="51">
        <f t="shared" si="5"/>
        <v>0</v>
      </c>
      <c r="V45" s="17" t="str">
        <f t="shared" si="3"/>
        <v>OK</v>
      </c>
    </row>
    <row r="46" spans="1:22" hidden="1" x14ac:dyDescent="0.3">
      <c r="A46" s="54" t="s">
        <v>101</v>
      </c>
      <c r="B46" s="63">
        <v>15096</v>
      </c>
      <c r="C46" s="18" t="s">
        <v>56</v>
      </c>
      <c r="D46" s="19"/>
      <c r="E46" s="19"/>
      <c r="F46" s="19"/>
      <c r="G46" s="20"/>
      <c r="H46" s="21"/>
      <c r="I46" s="22">
        <f t="shared" si="4"/>
        <v>0</v>
      </c>
      <c r="J46" s="22"/>
      <c r="K46" s="11"/>
      <c r="L46" s="22"/>
      <c r="M46" s="22"/>
      <c r="N46" s="22"/>
      <c r="O46" s="22"/>
      <c r="P46" s="22"/>
      <c r="Q46" s="22"/>
      <c r="R46" s="36"/>
      <c r="S46" s="44"/>
      <c r="T46" s="47"/>
      <c r="U46" s="52">
        <f t="shared" si="5"/>
        <v>0</v>
      </c>
      <c r="V46" s="23" t="str">
        <f t="shared" si="3"/>
        <v>OK</v>
      </c>
    </row>
    <row r="47" spans="1:22" hidden="1" x14ac:dyDescent="0.3">
      <c r="A47" s="12" t="s">
        <v>81</v>
      </c>
      <c r="B47" s="62">
        <v>15097</v>
      </c>
      <c r="C47" s="12" t="s">
        <v>56</v>
      </c>
      <c r="D47" s="53"/>
      <c r="E47" s="13"/>
      <c r="F47" s="13"/>
      <c r="G47" s="14"/>
      <c r="H47" s="15"/>
      <c r="I47" s="16">
        <f t="shared" si="4"/>
        <v>0</v>
      </c>
      <c r="J47" s="16"/>
      <c r="K47" s="11"/>
      <c r="L47" s="16"/>
      <c r="M47" s="16"/>
      <c r="N47" s="16"/>
      <c r="O47" s="16"/>
      <c r="P47" s="16"/>
      <c r="Q47" s="16"/>
      <c r="R47" s="35"/>
      <c r="S47" s="43"/>
      <c r="T47" s="46"/>
      <c r="U47" s="51">
        <f t="shared" si="5"/>
        <v>0</v>
      </c>
      <c r="V47" s="17" t="str">
        <f t="shared" si="3"/>
        <v>OK</v>
      </c>
    </row>
    <row r="48" spans="1:22" hidden="1" x14ac:dyDescent="0.3">
      <c r="A48" s="54" t="s">
        <v>76</v>
      </c>
      <c r="B48" s="63">
        <v>5585</v>
      </c>
      <c r="C48" s="18" t="s">
        <v>64</v>
      </c>
      <c r="D48" s="19"/>
      <c r="E48" s="19"/>
      <c r="F48" s="19"/>
      <c r="G48" s="20"/>
      <c r="H48" s="21"/>
      <c r="I48" s="22">
        <f t="shared" si="4"/>
        <v>0</v>
      </c>
      <c r="J48" s="22"/>
      <c r="K48" s="11"/>
      <c r="L48" s="22"/>
      <c r="M48" s="22"/>
      <c r="N48" s="22"/>
      <c r="O48" s="22"/>
      <c r="P48" s="22"/>
      <c r="Q48" s="22"/>
      <c r="R48" s="36"/>
      <c r="S48" s="44"/>
      <c r="T48" s="47"/>
      <c r="U48" s="52">
        <f t="shared" si="5"/>
        <v>0</v>
      </c>
      <c r="V48" s="23" t="str">
        <f t="shared" si="3"/>
        <v>OK</v>
      </c>
    </row>
    <row r="49" spans="1:22" hidden="1" x14ac:dyDescent="0.3">
      <c r="A49" s="12" t="s">
        <v>65</v>
      </c>
      <c r="B49" s="62">
        <v>11351</v>
      </c>
      <c r="C49" s="12" t="s">
        <v>64</v>
      </c>
      <c r="D49" s="53"/>
      <c r="E49" s="13"/>
      <c r="F49" s="13"/>
      <c r="G49" s="14"/>
      <c r="H49" s="15"/>
      <c r="I49" s="16">
        <f t="shared" si="4"/>
        <v>0</v>
      </c>
      <c r="J49" s="16"/>
      <c r="K49" s="11"/>
      <c r="L49" s="16"/>
      <c r="M49" s="16"/>
      <c r="N49" s="16"/>
      <c r="O49" s="16"/>
      <c r="P49" s="16"/>
      <c r="Q49" s="16"/>
      <c r="R49" s="35"/>
      <c r="S49" s="43"/>
      <c r="T49" s="46"/>
      <c r="U49" s="51">
        <f t="shared" si="5"/>
        <v>0</v>
      </c>
      <c r="V49" s="17" t="str">
        <f t="shared" si="3"/>
        <v>OK</v>
      </c>
    </row>
    <row r="50" spans="1:22" hidden="1" x14ac:dyDescent="0.3">
      <c r="A50" s="54" t="s">
        <v>66</v>
      </c>
      <c r="B50" s="63">
        <v>11352</v>
      </c>
      <c r="C50" s="18" t="s">
        <v>64</v>
      </c>
      <c r="D50" s="19"/>
      <c r="E50" s="19"/>
      <c r="F50" s="19"/>
      <c r="G50" s="20"/>
      <c r="H50" s="21"/>
      <c r="I50" s="22">
        <f t="shared" si="4"/>
        <v>0</v>
      </c>
      <c r="J50" s="22"/>
      <c r="K50" s="11"/>
      <c r="L50" s="22"/>
      <c r="M50" s="22"/>
      <c r="N50" s="22"/>
      <c r="O50" s="22"/>
      <c r="P50" s="22"/>
      <c r="Q50" s="22"/>
      <c r="R50" s="36"/>
      <c r="S50" s="44"/>
      <c r="T50" s="47"/>
      <c r="U50" s="52">
        <f t="shared" si="5"/>
        <v>0</v>
      </c>
      <c r="V50" s="23" t="str">
        <f t="shared" si="3"/>
        <v>OK</v>
      </c>
    </row>
    <row r="51" spans="1:22" hidden="1" x14ac:dyDescent="0.3">
      <c r="A51" s="90" t="s">
        <v>102</v>
      </c>
      <c r="B51" s="76">
        <v>13515</v>
      </c>
      <c r="C51" s="70" t="s">
        <v>78</v>
      </c>
      <c r="D51" s="70"/>
      <c r="E51" s="70"/>
      <c r="F51" s="70"/>
      <c r="G51" s="91"/>
      <c r="H51" s="82"/>
      <c r="I51" s="82">
        <f t="shared" si="4"/>
        <v>0</v>
      </c>
      <c r="J51" s="74"/>
      <c r="K51" s="11"/>
      <c r="L51" s="16"/>
      <c r="M51" s="16"/>
      <c r="N51" s="16"/>
      <c r="O51" s="16"/>
      <c r="P51" s="16"/>
      <c r="Q51" s="16"/>
      <c r="R51" s="35"/>
      <c r="S51" s="43"/>
      <c r="T51" s="46"/>
      <c r="U51" s="75">
        <f t="shared" si="5"/>
        <v>0</v>
      </c>
      <c r="V51" s="93" t="str">
        <f t="shared" si="3"/>
        <v>OK</v>
      </c>
    </row>
    <row r="52" spans="1:22" hidden="1" x14ac:dyDescent="0.3">
      <c r="A52" s="54" t="s">
        <v>103</v>
      </c>
      <c r="B52" s="63">
        <v>13516</v>
      </c>
      <c r="C52" s="18" t="s">
        <v>78</v>
      </c>
      <c r="D52" s="18"/>
      <c r="E52" s="18"/>
      <c r="F52" s="18"/>
      <c r="G52" s="92"/>
      <c r="H52" s="22"/>
      <c r="I52" s="22">
        <f t="shared" si="4"/>
        <v>0</v>
      </c>
      <c r="J52" s="69"/>
      <c r="K52" s="11"/>
      <c r="L52" s="22"/>
      <c r="M52" s="22"/>
      <c r="N52" s="22"/>
      <c r="O52" s="22"/>
      <c r="P52" s="22"/>
      <c r="Q52" s="22"/>
      <c r="R52" s="36"/>
      <c r="S52" s="44"/>
      <c r="T52" s="47"/>
      <c r="U52" s="52">
        <f t="shared" si="5"/>
        <v>0</v>
      </c>
      <c r="V52" s="23" t="str">
        <f t="shared" si="3"/>
        <v>OK</v>
      </c>
    </row>
    <row r="53" spans="1:22" hidden="1" x14ac:dyDescent="0.3">
      <c r="A53" s="90" t="s">
        <v>104</v>
      </c>
      <c r="B53" s="76">
        <v>13468</v>
      </c>
      <c r="C53" s="70" t="s">
        <v>78</v>
      </c>
      <c r="D53" s="70"/>
      <c r="E53" s="70"/>
      <c r="F53" s="70"/>
      <c r="G53" s="91"/>
      <c r="H53" s="82"/>
      <c r="I53" s="82">
        <f t="shared" si="4"/>
        <v>0</v>
      </c>
      <c r="J53" s="74"/>
      <c r="K53" s="11"/>
      <c r="L53" s="16"/>
      <c r="M53" s="16"/>
      <c r="N53" s="16"/>
      <c r="O53" s="16"/>
      <c r="P53" s="16"/>
      <c r="Q53" s="16"/>
      <c r="R53" s="35"/>
      <c r="S53" s="43"/>
      <c r="T53" s="46"/>
      <c r="U53" s="75">
        <f t="shared" si="5"/>
        <v>0</v>
      </c>
      <c r="V53" s="93" t="str">
        <f t="shared" si="3"/>
        <v>OK</v>
      </c>
    </row>
    <row r="54" spans="1:22" hidden="1" x14ac:dyDescent="0.3">
      <c r="A54" s="54" t="s">
        <v>79</v>
      </c>
      <c r="B54" s="63">
        <v>13469</v>
      </c>
      <c r="C54" s="18" t="s">
        <v>78</v>
      </c>
      <c r="D54" s="18"/>
      <c r="E54" s="18"/>
      <c r="F54" s="18"/>
      <c r="G54" s="92"/>
      <c r="H54" s="22"/>
      <c r="I54" s="22">
        <f t="shared" si="4"/>
        <v>0</v>
      </c>
      <c r="J54" s="69"/>
      <c r="K54" s="11"/>
      <c r="L54" s="22"/>
      <c r="M54" s="22"/>
      <c r="N54" s="22"/>
      <c r="O54" s="22"/>
      <c r="P54" s="22"/>
      <c r="Q54" s="22"/>
      <c r="R54" s="36"/>
      <c r="S54" s="44"/>
      <c r="T54" s="47"/>
      <c r="U54" s="52">
        <f t="shared" si="5"/>
        <v>0</v>
      </c>
      <c r="V54" s="23" t="str">
        <f t="shared" si="3"/>
        <v>OK</v>
      </c>
    </row>
    <row r="55" spans="1:22" hidden="1" x14ac:dyDescent="0.3">
      <c r="A55" s="90" t="s">
        <v>43</v>
      </c>
      <c r="B55" s="76">
        <v>11820</v>
      </c>
      <c r="C55" s="70" t="s">
        <v>67</v>
      </c>
      <c r="D55" s="70"/>
      <c r="E55" s="70"/>
      <c r="F55" s="70"/>
      <c r="G55" s="91"/>
      <c r="H55" s="82"/>
      <c r="I55" s="82">
        <f t="shared" si="4"/>
        <v>0</v>
      </c>
      <c r="J55" s="74"/>
      <c r="K55" s="11"/>
      <c r="L55" s="16"/>
      <c r="M55" s="16"/>
      <c r="N55" s="16"/>
      <c r="O55" s="16"/>
      <c r="P55" s="16"/>
      <c r="Q55" s="16"/>
      <c r="R55" s="35"/>
      <c r="S55" s="43"/>
      <c r="T55" s="46"/>
      <c r="U55" s="75">
        <f t="shared" si="5"/>
        <v>0</v>
      </c>
      <c r="V55" s="93" t="str">
        <f t="shared" si="3"/>
        <v>OK</v>
      </c>
    </row>
    <row r="56" spans="1:22" hidden="1" x14ac:dyDescent="0.3">
      <c r="A56" s="54" t="s">
        <v>44</v>
      </c>
      <c r="B56" s="63">
        <v>11816</v>
      </c>
      <c r="C56" s="18" t="s">
        <v>67</v>
      </c>
      <c r="D56" s="18"/>
      <c r="E56" s="18"/>
      <c r="F56" s="18"/>
      <c r="G56" s="92"/>
      <c r="H56" s="22"/>
      <c r="I56" s="22">
        <f t="shared" si="4"/>
        <v>0</v>
      </c>
      <c r="J56" s="69"/>
      <c r="K56" s="11"/>
      <c r="L56" s="22"/>
      <c r="M56" s="22"/>
      <c r="N56" s="22"/>
      <c r="O56" s="22"/>
      <c r="P56" s="22"/>
      <c r="Q56" s="22"/>
      <c r="R56" s="36"/>
      <c r="S56" s="44"/>
      <c r="T56" s="47"/>
      <c r="U56" s="52">
        <f>SUM(L56:T56)</f>
        <v>0</v>
      </c>
      <c r="V56" s="23" t="str">
        <f t="shared" si="3"/>
        <v>OK</v>
      </c>
    </row>
    <row r="57" spans="1:22" hidden="1" x14ac:dyDescent="0.3">
      <c r="A57" s="76" t="s">
        <v>77</v>
      </c>
      <c r="B57" s="76">
        <v>11381</v>
      </c>
      <c r="C57" s="77" t="s">
        <v>68</v>
      </c>
      <c r="D57" s="70"/>
      <c r="E57" s="70"/>
      <c r="F57" s="70"/>
      <c r="G57" s="91"/>
      <c r="H57" s="82"/>
      <c r="I57" s="82">
        <f t="shared" si="4"/>
        <v>0</v>
      </c>
      <c r="J57" s="74"/>
      <c r="K57" s="11"/>
      <c r="L57" s="16"/>
      <c r="M57" s="16"/>
      <c r="N57" s="16"/>
      <c r="O57" s="16"/>
      <c r="P57" s="16"/>
      <c r="Q57" s="16"/>
      <c r="R57" s="35"/>
      <c r="S57" s="43"/>
      <c r="T57" s="46"/>
      <c r="U57" s="75">
        <f>SUM(L57:T57)</f>
        <v>0</v>
      </c>
      <c r="V57" s="93" t="str">
        <f t="shared" si="3"/>
        <v>OK</v>
      </c>
    </row>
    <row r="58" spans="1:22" x14ac:dyDescent="0.3">
      <c r="A58" s="54" t="s">
        <v>69</v>
      </c>
      <c r="B58" s="63">
        <v>11382</v>
      </c>
      <c r="C58" s="18" t="s">
        <v>68</v>
      </c>
      <c r="D58" s="18"/>
      <c r="E58" s="18"/>
      <c r="F58" s="18"/>
      <c r="G58" s="92"/>
      <c r="H58" s="22"/>
      <c r="I58" s="22">
        <f t="shared" si="4"/>
        <v>27</v>
      </c>
      <c r="J58" s="69"/>
      <c r="K58" s="11"/>
      <c r="L58" s="22"/>
      <c r="M58" s="22">
        <v>7</v>
      </c>
      <c r="N58" s="22"/>
      <c r="O58" s="22"/>
      <c r="P58" s="22"/>
      <c r="Q58" s="22"/>
      <c r="R58" s="36"/>
      <c r="S58" s="44">
        <v>20</v>
      </c>
      <c r="T58" s="47"/>
      <c r="U58" s="52">
        <f>SUM(L58:T58)</f>
        <v>27</v>
      </c>
      <c r="V58" s="23" t="str">
        <f t="shared" si="3"/>
        <v>OK</v>
      </c>
    </row>
    <row r="59" spans="1:22" hidden="1" x14ac:dyDescent="0.3">
      <c r="A59" s="96" t="s">
        <v>105</v>
      </c>
      <c r="B59" s="76">
        <v>16586</v>
      </c>
      <c r="C59" s="70" t="s">
        <v>78</v>
      </c>
      <c r="D59" s="70"/>
      <c r="E59" s="70"/>
      <c r="F59" s="70"/>
      <c r="G59" s="91"/>
      <c r="H59" s="82"/>
      <c r="I59" s="82">
        <f t="shared" si="4"/>
        <v>0</v>
      </c>
      <c r="J59" s="74"/>
      <c r="K59" s="11"/>
      <c r="L59" s="16"/>
      <c r="M59" s="16"/>
      <c r="N59" s="16"/>
      <c r="O59" s="16"/>
      <c r="P59" s="16"/>
      <c r="Q59" s="16"/>
      <c r="R59" s="35"/>
      <c r="S59" s="43"/>
      <c r="T59" s="46"/>
      <c r="U59" s="75">
        <f t="shared" ref="U59:U69" si="6">SUM(L59:T59)</f>
        <v>0</v>
      </c>
      <c r="V59" s="93" t="str">
        <f t="shared" si="3"/>
        <v>OK</v>
      </c>
    </row>
    <row r="60" spans="1:22" hidden="1" x14ac:dyDescent="0.3">
      <c r="A60" s="54" t="s">
        <v>90</v>
      </c>
      <c r="B60" s="63">
        <v>16587</v>
      </c>
      <c r="C60" s="18" t="s">
        <v>78</v>
      </c>
      <c r="D60" s="18"/>
      <c r="E60" s="18"/>
      <c r="F60" s="18"/>
      <c r="G60" s="92"/>
      <c r="H60" s="22"/>
      <c r="I60" s="22">
        <f t="shared" si="4"/>
        <v>0</v>
      </c>
      <c r="J60" s="69"/>
      <c r="K60" s="11"/>
      <c r="L60" s="22"/>
      <c r="M60" s="22"/>
      <c r="N60" s="22"/>
      <c r="O60" s="22"/>
      <c r="P60" s="22"/>
      <c r="Q60" s="22"/>
      <c r="R60" s="36"/>
      <c r="S60" s="44"/>
      <c r="T60" s="47"/>
      <c r="U60" s="52">
        <f t="shared" si="6"/>
        <v>0</v>
      </c>
      <c r="V60" s="23" t="str">
        <f t="shared" si="3"/>
        <v>OK</v>
      </c>
    </row>
    <row r="61" spans="1:22" hidden="1" x14ac:dyDescent="0.3">
      <c r="A61" s="90" t="s">
        <v>91</v>
      </c>
      <c r="B61" s="76">
        <v>17121</v>
      </c>
      <c r="C61" s="70" t="s">
        <v>92</v>
      </c>
      <c r="D61" s="70"/>
      <c r="E61" s="70"/>
      <c r="F61" s="70"/>
      <c r="G61" s="91"/>
      <c r="H61" s="82"/>
      <c r="I61" s="82">
        <f t="shared" si="4"/>
        <v>0</v>
      </c>
      <c r="J61" s="74"/>
      <c r="K61" s="11"/>
      <c r="L61" s="16"/>
      <c r="M61" s="16"/>
      <c r="N61" s="16"/>
      <c r="O61" s="16"/>
      <c r="P61" s="16"/>
      <c r="Q61" s="16"/>
      <c r="R61" s="35"/>
      <c r="S61" s="43"/>
      <c r="T61" s="46"/>
      <c r="U61" s="75">
        <f t="shared" si="6"/>
        <v>0</v>
      </c>
      <c r="V61" s="93" t="str">
        <f t="shared" si="3"/>
        <v>OK</v>
      </c>
    </row>
    <row r="62" spans="1:22" hidden="1" x14ac:dyDescent="0.3">
      <c r="A62" s="54" t="s">
        <v>106</v>
      </c>
      <c r="B62" s="63">
        <v>19270</v>
      </c>
      <c r="C62" s="18" t="s">
        <v>68</v>
      </c>
      <c r="D62" s="18"/>
      <c r="E62" s="18"/>
      <c r="F62" s="18"/>
      <c r="G62" s="92"/>
      <c r="H62" s="22"/>
      <c r="I62" s="22">
        <f t="shared" si="4"/>
        <v>0</v>
      </c>
      <c r="J62" s="69"/>
      <c r="K62" s="11"/>
      <c r="L62" s="22"/>
      <c r="M62" s="22"/>
      <c r="N62" s="22"/>
      <c r="O62" s="22"/>
      <c r="P62" s="22"/>
      <c r="Q62" s="22"/>
      <c r="R62" s="36"/>
      <c r="S62" s="44"/>
      <c r="T62" s="47"/>
      <c r="U62" s="71">
        <f t="shared" si="6"/>
        <v>0</v>
      </c>
      <c r="V62" s="23" t="str">
        <f t="shared" si="3"/>
        <v>OK</v>
      </c>
    </row>
    <row r="63" spans="1:22" hidden="1" x14ac:dyDescent="0.3">
      <c r="A63" s="90" t="s">
        <v>107</v>
      </c>
      <c r="B63" s="76">
        <v>19276</v>
      </c>
      <c r="C63" s="70" t="s">
        <v>68</v>
      </c>
      <c r="D63" s="70"/>
      <c r="E63" s="70"/>
      <c r="F63" s="70"/>
      <c r="G63" s="91"/>
      <c r="H63" s="82"/>
      <c r="I63" s="82">
        <f t="shared" si="4"/>
        <v>0</v>
      </c>
      <c r="J63" s="74"/>
      <c r="K63" s="11"/>
      <c r="L63" s="16"/>
      <c r="M63" s="16"/>
      <c r="N63" s="16"/>
      <c r="O63" s="16"/>
      <c r="P63" s="16"/>
      <c r="Q63" s="16"/>
      <c r="R63" s="35"/>
      <c r="S63" s="43"/>
      <c r="T63" s="46"/>
      <c r="U63" s="75">
        <f t="shared" si="6"/>
        <v>0</v>
      </c>
      <c r="V63" s="93" t="str">
        <f t="shared" si="3"/>
        <v>OK</v>
      </c>
    </row>
    <row r="64" spans="1:22" hidden="1" x14ac:dyDescent="0.3">
      <c r="A64" s="54" t="s">
        <v>108</v>
      </c>
      <c r="B64" s="63">
        <v>19836</v>
      </c>
      <c r="C64" s="18" t="s">
        <v>45</v>
      </c>
      <c r="D64" s="18"/>
      <c r="E64" s="18"/>
      <c r="F64" s="18"/>
      <c r="G64" s="92"/>
      <c r="H64" s="22"/>
      <c r="I64" s="22">
        <f t="shared" si="4"/>
        <v>0</v>
      </c>
      <c r="J64" s="69"/>
      <c r="K64" s="11"/>
      <c r="L64" s="22"/>
      <c r="M64" s="22"/>
      <c r="N64" s="22"/>
      <c r="O64" s="22"/>
      <c r="P64" s="22"/>
      <c r="Q64" s="22"/>
      <c r="R64" s="36"/>
      <c r="S64" s="44"/>
      <c r="T64" s="47"/>
      <c r="U64" s="52">
        <f t="shared" si="6"/>
        <v>0</v>
      </c>
      <c r="V64" s="23" t="str">
        <f t="shared" si="3"/>
        <v>OK</v>
      </c>
    </row>
    <row r="65" spans="1:22" hidden="1" x14ac:dyDescent="0.3">
      <c r="A65" s="90" t="s">
        <v>109</v>
      </c>
      <c r="B65" s="76">
        <v>20278</v>
      </c>
      <c r="C65" s="70" t="s">
        <v>110</v>
      </c>
      <c r="D65" s="70"/>
      <c r="E65" s="70"/>
      <c r="F65" s="70"/>
      <c r="G65" s="91"/>
      <c r="H65" s="82"/>
      <c r="I65" s="82">
        <f t="shared" si="4"/>
        <v>0</v>
      </c>
      <c r="J65" s="74"/>
      <c r="K65" s="11"/>
      <c r="L65" s="16"/>
      <c r="M65" s="16"/>
      <c r="N65" s="16"/>
      <c r="O65" s="16"/>
      <c r="P65" s="16"/>
      <c r="Q65" s="16"/>
      <c r="R65" s="35"/>
      <c r="S65" s="43"/>
      <c r="T65" s="46"/>
      <c r="U65" s="75">
        <f t="shared" si="6"/>
        <v>0</v>
      </c>
      <c r="V65" s="93" t="str">
        <f t="shared" si="3"/>
        <v>OK</v>
      </c>
    </row>
    <row r="66" spans="1:22" hidden="1" x14ac:dyDescent="0.3">
      <c r="A66" s="54" t="s">
        <v>111</v>
      </c>
      <c r="B66" s="63">
        <v>20272</v>
      </c>
      <c r="C66" s="18" t="s">
        <v>110</v>
      </c>
      <c r="D66" s="18"/>
      <c r="E66" s="18"/>
      <c r="F66" s="18"/>
      <c r="G66" s="92"/>
      <c r="H66" s="22"/>
      <c r="I66" s="22">
        <f t="shared" si="4"/>
        <v>0</v>
      </c>
      <c r="J66" s="69"/>
      <c r="K66" s="11"/>
      <c r="L66" s="22"/>
      <c r="M66" s="22"/>
      <c r="N66" s="22"/>
      <c r="O66" s="22"/>
      <c r="P66" s="22"/>
      <c r="Q66" s="22"/>
      <c r="R66" s="36"/>
      <c r="S66" s="44"/>
      <c r="T66" s="47"/>
      <c r="U66" s="52">
        <f t="shared" si="6"/>
        <v>0</v>
      </c>
      <c r="V66" s="23" t="str">
        <f t="shared" si="3"/>
        <v>OK</v>
      </c>
    </row>
    <row r="67" spans="1:22" hidden="1" x14ac:dyDescent="0.3">
      <c r="A67" s="90" t="s">
        <v>112</v>
      </c>
      <c r="B67" s="76">
        <v>20956</v>
      </c>
      <c r="C67" s="70" t="s">
        <v>110</v>
      </c>
      <c r="D67" s="70"/>
      <c r="E67" s="70"/>
      <c r="F67" s="70"/>
      <c r="G67" s="91"/>
      <c r="H67" s="82"/>
      <c r="I67" s="82">
        <f t="shared" si="4"/>
        <v>0</v>
      </c>
      <c r="J67" s="74"/>
      <c r="K67" s="11"/>
      <c r="L67" s="16"/>
      <c r="M67" s="16"/>
      <c r="N67" s="16"/>
      <c r="O67" s="16"/>
      <c r="P67" s="16"/>
      <c r="Q67" s="16"/>
      <c r="R67" s="35"/>
      <c r="S67" s="43"/>
      <c r="T67" s="46"/>
      <c r="U67" s="75">
        <f t="shared" si="6"/>
        <v>0</v>
      </c>
      <c r="V67" s="93" t="str">
        <f t="shared" si="3"/>
        <v>OK</v>
      </c>
    </row>
    <row r="68" spans="1:22" hidden="1" x14ac:dyDescent="0.3">
      <c r="A68" s="54" t="s">
        <v>116</v>
      </c>
      <c r="B68" s="63">
        <v>21299</v>
      </c>
      <c r="C68" s="18" t="s">
        <v>78</v>
      </c>
      <c r="D68" s="18"/>
      <c r="E68" s="18"/>
      <c r="F68" s="18"/>
      <c r="G68" s="92"/>
      <c r="H68" s="22"/>
      <c r="I68" s="22">
        <f t="shared" si="4"/>
        <v>0</v>
      </c>
      <c r="J68" s="69"/>
      <c r="K68" s="11"/>
      <c r="L68" s="22"/>
      <c r="M68" s="22"/>
      <c r="N68" s="22"/>
      <c r="O68" s="22"/>
      <c r="P68" s="22"/>
      <c r="Q68" s="22"/>
      <c r="R68" s="36"/>
      <c r="S68" s="44"/>
      <c r="T68" s="47"/>
      <c r="U68" s="71">
        <f t="shared" si="6"/>
        <v>0</v>
      </c>
      <c r="V68" s="23" t="str">
        <f>IF(U68=I68,"OK","NG")</f>
        <v>OK</v>
      </c>
    </row>
    <row r="69" spans="1:22" hidden="1" x14ac:dyDescent="0.3">
      <c r="A69" s="99" t="s">
        <v>117</v>
      </c>
      <c r="B69" s="76">
        <v>22115</v>
      </c>
      <c r="C69" s="82" t="s">
        <v>118</v>
      </c>
      <c r="D69" s="82"/>
      <c r="E69" s="82"/>
      <c r="F69" s="82"/>
      <c r="G69" s="82"/>
      <c r="H69" s="82"/>
      <c r="I69" s="82">
        <f t="shared" si="4"/>
        <v>0</v>
      </c>
      <c r="J69" s="97"/>
      <c r="K69" s="112"/>
      <c r="L69" s="82"/>
      <c r="M69" s="82"/>
      <c r="N69" s="82"/>
      <c r="O69" s="82"/>
      <c r="P69" s="82"/>
      <c r="Q69" s="82"/>
      <c r="R69" s="83"/>
      <c r="S69" s="84"/>
      <c r="T69" s="100"/>
      <c r="U69" s="75">
        <f t="shared" si="6"/>
        <v>0</v>
      </c>
      <c r="V69" s="93" t="str">
        <f>IF(U69=I69,"OK","NG")</f>
        <v>OK</v>
      </c>
    </row>
    <row r="70" spans="1:22" hidden="1" x14ac:dyDescent="0.3">
      <c r="A70" s="54" t="s">
        <v>120</v>
      </c>
      <c r="B70" s="63">
        <v>22706</v>
      </c>
      <c r="C70" s="18" t="s">
        <v>119</v>
      </c>
      <c r="D70" s="18"/>
      <c r="E70" s="18"/>
      <c r="F70" s="18"/>
      <c r="G70" s="92"/>
      <c r="H70" s="22"/>
      <c r="I70" s="22">
        <f t="shared" si="4"/>
        <v>0</v>
      </c>
      <c r="J70" s="69"/>
      <c r="K70" s="11"/>
      <c r="L70" s="22"/>
      <c r="M70" s="22"/>
      <c r="N70" s="22"/>
      <c r="O70" s="22"/>
      <c r="P70" s="22"/>
      <c r="Q70" s="22"/>
      <c r="R70" s="36"/>
      <c r="S70" s="44"/>
      <c r="T70" s="47"/>
      <c r="U70" s="71">
        <f t="shared" ref="U70" si="7">SUM(L70:T70)</f>
        <v>0</v>
      </c>
      <c r="V70" s="23" t="str">
        <f>IF(U70=I70,"OK","NG")</f>
        <v>OK</v>
      </c>
    </row>
    <row r="71" spans="1:22" hidden="1" x14ac:dyDescent="0.3">
      <c r="A71" s="99" t="s">
        <v>121</v>
      </c>
      <c r="B71" s="76">
        <v>22886</v>
      </c>
      <c r="C71" s="82" t="s">
        <v>46</v>
      </c>
      <c r="D71" s="82"/>
      <c r="E71" s="82"/>
      <c r="F71" s="82"/>
      <c r="G71" s="82"/>
      <c r="H71" s="82"/>
      <c r="I71" s="82">
        <f t="shared" ref="I71:I80" si="8">SUM(L71:T71)</f>
        <v>0</v>
      </c>
      <c r="J71" s="97"/>
      <c r="K71" s="112"/>
      <c r="L71" s="82"/>
      <c r="M71" s="82"/>
      <c r="N71" s="82"/>
      <c r="O71" s="82"/>
      <c r="P71" s="82"/>
      <c r="Q71" s="82"/>
      <c r="R71" s="83"/>
      <c r="S71" s="84"/>
      <c r="T71" s="100"/>
      <c r="U71" s="75">
        <f>SUM(L71:T71)</f>
        <v>0</v>
      </c>
      <c r="V71" s="93" t="str">
        <f>IF(U71=I71,"OK","NG")</f>
        <v>OK</v>
      </c>
    </row>
    <row r="72" spans="1:22" hidden="1" x14ac:dyDescent="0.3">
      <c r="A72" s="54" t="s">
        <v>122</v>
      </c>
      <c r="B72" s="63">
        <v>17528</v>
      </c>
      <c r="C72" s="18" t="s">
        <v>123</v>
      </c>
      <c r="D72" s="18"/>
      <c r="E72" s="18"/>
      <c r="F72" s="18"/>
      <c r="G72" s="92"/>
      <c r="H72" s="22"/>
      <c r="I72" s="22">
        <f t="shared" si="8"/>
        <v>0</v>
      </c>
      <c r="J72" s="69"/>
      <c r="K72" s="11"/>
      <c r="L72" s="22"/>
      <c r="M72" s="22"/>
      <c r="N72" s="22"/>
      <c r="O72" s="22"/>
      <c r="P72" s="22"/>
      <c r="Q72" s="22"/>
      <c r="R72" s="36"/>
      <c r="S72" s="44"/>
      <c r="T72" s="47"/>
      <c r="U72" s="71">
        <f t="shared" ref="U72:U80" si="9">SUM(L72:T72)</f>
        <v>0</v>
      </c>
      <c r="V72" s="95" t="str">
        <f t="shared" ref="V72:V80" si="10">IF(U72=I72,"OK","NG")</f>
        <v>OK</v>
      </c>
    </row>
    <row r="73" spans="1:22" hidden="1" x14ac:dyDescent="0.3">
      <c r="A73" s="99" t="s">
        <v>124</v>
      </c>
      <c r="B73" s="76">
        <v>22380</v>
      </c>
      <c r="C73" s="82" t="s">
        <v>47</v>
      </c>
      <c r="D73" s="82"/>
      <c r="E73" s="82"/>
      <c r="F73" s="82"/>
      <c r="G73" s="82"/>
      <c r="H73" s="82"/>
      <c r="I73" s="82">
        <f t="shared" si="8"/>
        <v>0</v>
      </c>
      <c r="J73" s="97"/>
      <c r="K73" s="112"/>
      <c r="L73" s="82"/>
      <c r="M73" s="82"/>
      <c r="N73" s="82"/>
      <c r="O73" s="82"/>
      <c r="P73" s="82"/>
      <c r="Q73" s="82"/>
      <c r="R73" s="83"/>
      <c r="S73" s="84"/>
      <c r="T73" s="100"/>
      <c r="U73" s="75">
        <f t="shared" si="9"/>
        <v>0</v>
      </c>
      <c r="V73" s="93" t="str">
        <f t="shared" si="10"/>
        <v>OK</v>
      </c>
    </row>
    <row r="74" spans="1:22" hidden="1" x14ac:dyDescent="0.3">
      <c r="A74" s="54" t="s">
        <v>125</v>
      </c>
      <c r="B74" s="63">
        <v>19279</v>
      </c>
      <c r="C74" s="18" t="s">
        <v>126</v>
      </c>
      <c r="D74" s="18"/>
      <c r="E74" s="18"/>
      <c r="F74" s="18"/>
      <c r="G74" s="92"/>
      <c r="H74" s="22"/>
      <c r="I74" s="22">
        <f t="shared" si="8"/>
        <v>0</v>
      </c>
      <c r="J74" s="69"/>
      <c r="K74" s="11"/>
      <c r="L74" s="22"/>
      <c r="M74" s="22"/>
      <c r="N74" s="22"/>
      <c r="O74" s="22"/>
      <c r="P74" s="22"/>
      <c r="Q74" s="22"/>
      <c r="R74" s="36"/>
      <c r="S74" s="44"/>
      <c r="T74" s="47"/>
      <c r="U74" s="71">
        <f t="shared" si="9"/>
        <v>0</v>
      </c>
      <c r="V74" s="95" t="str">
        <f t="shared" si="10"/>
        <v>OK</v>
      </c>
    </row>
    <row r="75" spans="1:22" hidden="1" x14ac:dyDescent="0.3">
      <c r="A75" s="90" t="s">
        <v>131</v>
      </c>
      <c r="B75" s="76">
        <v>22724</v>
      </c>
      <c r="C75" s="70" t="s">
        <v>119</v>
      </c>
      <c r="D75" s="70"/>
      <c r="E75" s="70"/>
      <c r="F75" s="70"/>
      <c r="G75" s="91"/>
      <c r="H75" s="82"/>
      <c r="I75" s="82">
        <v>0</v>
      </c>
      <c r="J75" s="74"/>
      <c r="K75" s="11"/>
      <c r="L75" s="82"/>
      <c r="M75" s="82"/>
      <c r="N75" s="82"/>
      <c r="O75" s="82"/>
      <c r="P75" s="82"/>
      <c r="Q75" s="82"/>
      <c r="R75" s="83"/>
      <c r="S75" s="84"/>
      <c r="T75" s="85"/>
      <c r="U75" s="75">
        <v>0</v>
      </c>
      <c r="V75" s="93" t="s">
        <v>129</v>
      </c>
    </row>
    <row r="76" spans="1:22" hidden="1" x14ac:dyDescent="0.3">
      <c r="A76" s="54" t="s">
        <v>132</v>
      </c>
      <c r="B76" s="63">
        <v>22705</v>
      </c>
      <c r="C76" s="18" t="s">
        <v>119</v>
      </c>
      <c r="D76" s="18"/>
      <c r="E76" s="18"/>
      <c r="F76" s="18"/>
      <c r="G76" s="92"/>
      <c r="H76" s="22"/>
      <c r="I76" s="22">
        <f t="shared" si="8"/>
        <v>0</v>
      </c>
      <c r="J76" s="69"/>
      <c r="K76" s="11"/>
      <c r="L76" s="22"/>
      <c r="M76" s="22"/>
      <c r="N76" s="22"/>
      <c r="O76" s="22"/>
      <c r="P76" s="22"/>
      <c r="Q76" s="22"/>
      <c r="R76" s="36"/>
      <c r="S76" s="44"/>
      <c r="T76" s="47"/>
      <c r="U76" s="71">
        <f t="shared" si="9"/>
        <v>0</v>
      </c>
      <c r="V76" s="95" t="str">
        <f t="shared" si="10"/>
        <v>OK</v>
      </c>
    </row>
    <row r="77" spans="1:22" hidden="1" x14ac:dyDescent="0.3">
      <c r="A77" s="99" t="s">
        <v>128</v>
      </c>
      <c r="B77" s="76">
        <v>5655</v>
      </c>
      <c r="C77" s="82" t="s">
        <v>54</v>
      </c>
      <c r="D77" s="82"/>
      <c r="E77" s="82"/>
      <c r="F77" s="82"/>
      <c r="G77" s="82"/>
      <c r="H77" s="82"/>
      <c r="I77" s="82">
        <f t="shared" si="8"/>
        <v>0</v>
      </c>
      <c r="J77" s="97"/>
      <c r="K77" s="112"/>
      <c r="L77" s="82"/>
      <c r="M77" s="82"/>
      <c r="N77" s="82"/>
      <c r="O77" s="82"/>
      <c r="P77" s="82"/>
      <c r="Q77" s="82"/>
      <c r="R77" s="83"/>
      <c r="S77" s="84"/>
      <c r="T77" s="100"/>
      <c r="U77" s="75">
        <f t="shared" si="9"/>
        <v>0</v>
      </c>
      <c r="V77" s="93" t="str">
        <f t="shared" si="10"/>
        <v>OK</v>
      </c>
    </row>
    <row r="78" spans="1:22" hidden="1" x14ac:dyDescent="0.3">
      <c r="A78" s="120" t="s">
        <v>136</v>
      </c>
      <c r="B78" s="121">
        <v>22704</v>
      </c>
      <c r="C78" s="122" t="s">
        <v>137</v>
      </c>
      <c r="D78" s="122"/>
      <c r="E78" s="122"/>
      <c r="F78" s="122"/>
      <c r="G78" s="122"/>
      <c r="H78" s="122"/>
      <c r="I78" s="22">
        <f t="shared" si="8"/>
        <v>0</v>
      </c>
      <c r="J78" s="45"/>
      <c r="K78" s="112"/>
      <c r="L78" s="22"/>
      <c r="M78" s="22"/>
      <c r="N78" s="22"/>
      <c r="O78" s="22"/>
      <c r="P78" s="22"/>
      <c r="Q78" s="22"/>
      <c r="R78" s="36"/>
      <c r="S78" s="44"/>
      <c r="T78" s="116"/>
      <c r="U78" s="71">
        <f t="shared" si="9"/>
        <v>0</v>
      </c>
      <c r="V78" s="95" t="str">
        <f t="shared" si="10"/>
        <v>OK</v>
      </c>
    </row>
    <row r="79" spans="1:22" hidden="1" x14ac:dyDescent="0.3">
      <c r="A79" s="136" t="s">
        <v>139</v>
      </c>
      <c r="B79" s="133">
        <v>22722</v>
      </c>
      <c r="C79" s="137" t="s">
        <v>119</v>
      </c>
      <c r="D79" s="137"/>
      <c r="E79" s="137"/>
      <c r="F79" s="137"/>
      <c r="G79" s="137"/>
      <c r="H79" s="137"/>
      <c r="I79" s="82">
        <f t="shared" si="8"/>
        <v>0</v>
      </c>
      <c r="J79" s="97"/>
      <c r="K79" s="119"/>
      <c r="L79" s="82"/>
      <c r="M79" s="82"/>
      <c r="N79" s="82"/>
      <c r="O79" s="82"/>
      <c r="P79" s="82"/>
      <c r="Q79" s="82"/>
      <c r="R79" s="83"/>
      <c r="S79" s="84"/>
      <c r="T79" s="100"/>
      <c r="U79" s="75">
        <f t="shared" si="9"/>
        <v>0</v>
      </c>
      <c r="V79" s="93"/>
    </row>
    <row r="80" spans="1:22" ht="17.25" thickBot="1" x14ac:dyDescent="0.35">
      <c r="A80" s="126" t="s">
        <v>134</v>
      </c>
      <c r="B80" s="127">
        <v>22723</v>
      </c>
      <c r="C80" s="128" t="s">
        <v>119</v>
      </c>
      <c r="D80" s="128"/>
      <c r="E80" s="128"/>
      <c r="F80" s="128"/>
      <c r="G80" s="128"/>
      <c r="H80" s="128"/>
      <c r="I80" s="128">
        <f t="shared" si="8"/>
        <v>7</v>
      </c>
      <c r="J80" s="45"/>
      <c r="K80" s="112"/>
      <c r="L80" s="22"/>
      <c r="M80" s="22">
        <v>7</v>
      </c>
      <c r="N80" s="22"/>
      <c r="O80" s="22"/>
      <c r="P80" s="22"/>
      <c r="Q80" s="22"/>
      <c r="R80" s="36"/>
      <c r="S80" s="44"/>
      <c r="T80" s="116"/>
      <c r="U80" s="52">
        <f t="shared" si="9"/>
        <v>7</v>
      </c>
      <c r="V80" s="23" t="str">
        <f t="shared" si="10"/>
        <v>OK</v>
      </c>
    </row>
    <row r="81" spans="1:22" x14ac:dyDescent="0.3">
      <c r="A81" s="86"/>
      <c r="B81" s="86"/>
      <c r="C81" s="87" t="s">
        <v>9</v>
      </c>
      <c r="D81" s="87"/>
      <c r="E81" s="87"/>
      <c r="F81" s="87"/>
      <c r="G81" s="88">
        <f>SUM(G6:G49)</f>
        <v>0</v>
      </c>
      <c r="H81" s="89">
        <f>SUM(H6:H49)</f>
        <v>0</v>
      </c>
      <c r="I81" s="88">
        <f>SUM(I6:I80)</f>
        <v>34</v>
      </c>
      <c r="J81" s="40">
        <f>SUM(J6:J49)</f>
        <v>0</v>
      </c>
      <c r="K81" s="115">
        <f>SUM(K6:K51)</f>
        <v>0</v>
      </c>
      <c r="L81" s="38">
        <f>SUM(L6:L80)</f>
        <v>0</v>
      </c>
      <c r="M81" s="38">
        <f t="shared" ref="M81:U81" si="11">SUM(M6:M80)</f>
        <v>14</v>
      </c>
      <c r="N81" s="38">
        <f t="shared" si="11"/>
        <v>0</v>
      </c>
      <c r="O81" s="38">
        <f t="shared" si="11"/>
        <v>0</v>
      </c>
      <c r="P81" s="38">
        <f t="shared" si="11"/>
        <v>0</v>
      </c>
      <c r="Q81" s="38">
        <f t="shared" si="11"/>
        <v>0</v>
      </c>
      <c r="R81" s="38">
        <f t="shared" si="11"/>
        <v>0</v>
      </c>
      <c r="S81" s="38">
        <f t="shared" si="11"/>
        <v>20</v>
      </c>
      <c r="T81" s="38">
        <f t="shared" si="11"/>
        <v>0</v>
      </c>
      <c r="U81" s="38">
        <f t="shared" si="11"/>
        <v>34</v>
      </c>
      <c r="V81" s="41" t="str">
        <f>IF(U81=SUM(I81),"OK","NG")</f>
        <v>OK</v>
      </c>
    </row>
  </sheetData>
  <autoFilter ref="A5:V81" xr:uid="{00000000-0001-0000-0300-000000000000}">
    <filterColumn colId="8">
      <filters>
        <filter val="27"/>
        <filter val="34"/>
        <filter val="7"/>
      </filters>
    </filterColumn>
  </autoFilter>
  <mergeCells count="20">
    <mergeCell ref="O4:O5"/>
    <mergeCell ref="P4:P5"/>
    <mergeCell ref="B3:C3"/>
    <mergeCell ref="N4:N5"/>
    <mergeCell ref="B1:C1"/>
    <mergeCell ref="F1:G1"/>
    <mergeCell ref="H1:J3"/>
    <mergeCell ref="B2:C2"/>
    <mergeCell ref="A4:D4"/>
    <mergeCell ref="E4:G4"/>
    <mergeCell ref="H4:J4"/>
    <mergeCell ref="L4:L5"/>
    <mergeCell ref="M4:M5"/>
    <mergeCell ref="Q4:Q5"/>
    <mergeCell ref="R4:R5"/>
    <mergeCell ref="S4:S5"/>
    <mergeCell ref="T4:T5"/>
    <mergeCell ref="V2:V3"/>
    <mergeCell ref="U4:U5"/>
    <mergeCell ref="V4:V5"/>
  </mergeCells>
  <phoneticPr fontId="3" type="noConversion"/>
  <conditionalFormatting sqref="A4 V6:V81">
    <cfRule type="containsText" dxfId="59" priority="5" operator="containsText" text="NG">
      <formula>NOT(ISERROR(SEARCH("NG",A4)))</formula>
    </cfRule>
    <cfRule type="containsText" dxfId="58" priority="6" operator="containsText" text="OK">
      <formula>NOT(ISERROR(SEARCH("OK",A4)))</formula>
    </cfRule>
  </conditionalFormatting>
  <pageMargins left="0.70866141732283472" right="0.70866141732283472" top="0.74803149606299213" bottom="0.74803149606299213" header="0.31496062992125984" footer="0.31496062992125984"/>
  <pageSetup paperSize="8" scale="10" orientation="landscape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 filterMode="1">
    <pageSetUpPr fitToPage="1"/>
  </sheetPr>
  <dimension ref="A1:V81"/>
  <sheetViews>
    <sheetView showGridLines="0" zoomScale="85" zoomScaleNormal="85" workbookViewId="0">
      <pane ySplit="5" topLeftCell="A8" activePane="bottomLeft" state="frozen"/>
      <selection activeCell="W73" sqref="W73"/>
      <selection pane="bottomLeft" activeCell="W73" sqref="W73"/>
    </sheetView>
  </sheetViews>
  <sheetFormatPr defaultColWidth="9" defaultRowHeight="16.5" x14ac:dyDescent="0.3"/>
  <cols>
    <col min="1" max="1" width="12.625" bestFit="1" customWidth="1"/>
    <col min="2" max="2" width="14.125" bestFit="1" customWidth="1"/>
    <col min="3" max="3" width="35.125" customWidth="1"/>
    <col min="4" max="4" width="11.75" hidden="1" customWidth="1"/>
    <col min="5" max="6" width="9" hidden="1" customWidth="1"/>
    <col min="7" max="7" width="15.375" hidden="1" customWidth="1"/>
    <col min="8" max="8" width="13.25" hidden="1" customWidth="1"/>
    <col min="9" max="9" width="13.25" customWidth="1"/>
    <col min="10" max="10" width="13.25" hidden="1" customWidth="1"/>
    <col min="11" max="11" width="0.875" customWidth="1"/>
    <col min="20" max="20" width="11" bestFit="1" customWidth="1"/>
  </cols>
  <sheetData>
    <row r="1" spans="1:22" ht="22.5" customHeight="1" thickBot="1" x14ac:dyDescent="0.35">
      <c r="A1" s="32" t="s">
        <v>28</v>
      </c>
      <c r="B1" s="153">
        <f>H69</f>
        <v>0</v>
      </c>
      <c r="C1" s="154"/>
      <c r="D1" s="55"/>
      <c r="E1" s="58" t="s">
        <v>1</v>
      </c>
      <c r="F1" s="155">
        <f>G69</f>
        <v>0</v>
      </c>
      <c r="G1" s="155"/>
      <c r="H1" s="156"/>
      <c r="I1" s="156"/>
      <c r="J1" s="156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22.5" customHeight="1" thickBot="1" x14ac:dyDescent="0.35">
      <c r="A2" s="32" t="s">
        <v>29</v>
      </c>
      <c r="B2" s="158">
        <f>I81</f>
        <v>0</v>
      </c>
      <c r="C2" s="159"/>
      <c r="D2" s="56"/>
      <c r="E2" s="59"/>
      <c r="F2" s="2"/>
      <c r="G2" s="2"/>
      <c r="H2" s="156"/>
      <c r="I2" s="156"/>
      <c r="J2" s="156"/>
      <c r="K2" s="113"/>
      <c r="L2" s="3">
        <f>SUBTOTAL(9,L6:L80)</f>
        <v>0</v>
      </c>
      <c r="M2" s="3">
        <f t="shared" ref="M2:T2" si="0">SUBTOTAL(9,M6:M80)</f>
        <v>0</v>
      </c>
      <c r="N2" s="3">
        <f t="shared" si="0"/>
        <v>0</v>
      </c>
      <c r="O2" s="3">
        <f t="shared" si="0"/>
        <v>0</v>
      </c>
      <c r="P2" s="3">
        <f t="shared" si="0"/>
        <v>0</v>
      </c>
      <c r="Q2" s="3">
        <f t="shared" si="0"/>
        <v>0</v>
      </c>
      <c r="R2" s="3">
        <f t="shared" si="0"/>
        <v>0</v>
      </c>
      <c r="S2" s="3">
        <f t="shared" si="0"/>
        <v>0</v>
      </c>
      <c r="T2" s="3">
        <f t="shared" si="0"/>
        <v>0</v>
      </c>
      <c r="U2" s="48">
        <f>SUBTOTAL(9,U6:U80)</f>
        <v>0</v>
      </c>
      <c r="V2" s="145"/>
    </row>
    <row r="3" spans="1:22" ht="22.5" customHeight="1" thickBot="1" x14ac:dyDescent="0.35">
      <c r="A3" s="33" t="s">
        <v>30</v>
      </c>
      <c r="B3" s="151" t="str">
        <f>IF(ISERROR(B2/(B2+B1)*1000000),"",(B2/(B2+B1)*1000000))</f>
        <v/>
      </c>
      <c r="C3" s="152"/>
      <c r="D3" s="57"/>
      <c r="E3" s="60"/>
      <c r="F3" s="27"/>
      <c r="G3" s="27"/>
      <c r="H3" s="157"/>
      <c r="I3" s="157"/>
      <c r="J3" s="157"/>
      <c r="K3" s="114"/>
      <c r="L3" s="4">
        <f t="shared" ref="L3:U3" si="1">SUM(L6:L80)</f>
        <v>0</v>
      </c>
      <c r="M3" s="4">
        <f t="shared" si="1"/>
        <v>0</v>
      </c>
      <c r="N3" s="4">
        <f t="shared" si="1"/>
        <v>0</v>
      </c>
      <c r="O3" s="4">
        <f t="shared" si="1"/>
        <v>0</v>
      </c>
      <c r="P3" s="4">
        <f t="shared" si="1"/>
        <v>0</v>
      </c>
      <c r="Q3" s="4">
        <f t="shared" si="1"/>
        <v>0</v>
      </c>
      <c r="R3" s="4">
        <f t="shared" si="1"/>
        <v>0</v>
      </c>
      <c r="S3" s="4">
        <f t="shared" si="1"/>
        <v>0</v>
      </c>
      <c r="T3" s="4">
        <f t="shared" si="1"/>
        <v>0</v>
      </c>
      <c r="U3" s="49">
        <f t="shared" si="1"/>
        <v>0</v>
      </c>
      <c r="V3" s="146"/>
    </row>
    <row r="4" spans="1:22" ht="43.5" customHeight="1" x14ac:dyDescent="0.3">
      <c r="A4" s="160" t="str">
        <f>V81</f>
        <v>OK</v>
      </c>
      <c r="B4" s="160"/>
      <c r="C4" s="160"/>
      <c r="D4" s="161"/>
      <c r="E4" s="169" t="s">
        <v>15</v>
      </c>
      <c r="F4" s="170"/>
      <c r="G4" s="171"/>
      <c r="H4" s="169" t="s">
        <v>16</v>
      </c>
      <c r="I4" s="170"/>
      <c r="J4" s="171"/>
      <c r="K4" s="113"/>
      <c r="L4" s="164" t="s">
        <v>10</v>
      </c>
      <c r="M4" s="142" t="s">
        <v>17</v>
      </c>
      <c r="N4" s="142" t="s">
        <v>11</v>
      </c>
      <c r="O4" s="138" t="s">
        <v>12</v>
      </c>
      <c r="P4" s="142" t="s">
        <v>13</v>
      </c>
      <c r="Q4" s="138" t="s">
        <v>14</v>
      </c>
      <c r="R4" s="142" t="s">
        <v>20</v>
      </c>
      <c r="S4" s="142" t="s">
        <v>21</v>
      </c>
      <c r="T4" s="167" t="s">
        <v>22</v>
      </c>
      <c r="U4" s="147" t="s">
        <v>18</v>
      </c>
      <c r="V4" s="149" t="s">
        <v>19</v>
      </c>
    </row>
    <row r="5" spans="1:22" ht="33.75" thickBot="1" x14ac:dyDescent="0.35">
      <c r="A5" s="29" t="s">
        <v>3</v>
      </c>
      <c r="B5" s="30" t="s">
        <v>32</v>
      </c>
      <c r="C5" s="29" t="s">
        <v>4</v>
      </c>
      <c r="D5" s="29" t="s">
        <v>31</v>
      </c>
      <c r="E5" s="29" t="s">
        <v>5</v>
      </c>
      <c r="F5" s="29" t="s">
        <v>6</v>
      </c>
      <c r="G5" s="30" t="s">
        <v>7</v>
      </c>
      <c r="H5" s="31" t="s">
        <v>0</v>
      </c>
      <c r="I5" s="31" t="s">
        <v>2</v>
      </c>
      <c r="J5" s="31" t="s">
        <v>8</v>
      </c>
      <c r="K5" s="28"/>
      <c r="L5" s="165"/>
      <c r="M5" s="139"/>
      <c r="N5" s="139"/>
      <c r="O5" s="166"/>
      <c r="P5" s="139"/>
      <c r="Q5" s="166"/>
      <c r="R5" s="139"/>
      <c r="S5" s="139"/>
      <c r="T5" s="168"/>
      <c r="U5" s="148"/>
      <c r="V5" s="150"/>
    </row>
    <row r="6" spans="1:22" hidden="1" x14ac:dyDescent="0.3">
      <c r="A6" s="61" t="s">
        <v>33</v>
      </c>
      <c r="B6" s="61">
        <v>8092</v>
      </c>
      <c r="C6" s="6" t="s">
        <v>45</v>
      </c>
      <c r="D6" s="7"/>
      <c r="E6" s="7"/>
      <c r="F6" s="7"/>
      <c r="G6" s="8"/>
      <c r="H6" s="9"/>
      <c r="I6" s="10">
        <f>SUM(L6:T6)</f>
        <v>0</v>
      </c>
      <c r="J6" s="10"/>
      <c r="K6" s="11"/>
      <c r="L6" s="10"/>
      <c r="M6" s="10"/>
      <c r="N6" s="10"/>
      <c r="O6" s="10"/>
      <c r="P6" s="10"/>
      <c r="Q6" s="10"/>
      <c r="R6" s="34"/>
      <c r="S6" s="42"/>
      <c r="T6" s="45"/>
      <c r="U6" s="50">
        <f t="shared" ref="U6:U36" si="2">SUM(L6:T6)</f>
        <v>0</v>
      </c>
      <c r="V6" s="26" t="str">
        <f t="shared" ref="V6:V67" si="3">IF(U6=I6,"OK","NG")</f>
        <v>OK</v>
      </c>
    </row>
    <row r="7" spans="1:22" hidden="1" x14ac:dyDescent="0.3">
      <c r="A7" s="62" t="s">
        <v>95</v>
      </c>
      <c r="B7" s="62">
        <v>8088</v>
      </c>
      <c r="C7" s="12" t="s">
        <v>46</v>
      </c>
      <c r="D7" s="53"/>
      <c r="E7" s="13"/>
      <c r="F7" s="13"/>
      <c r="G7" s="14"/>
      <c r="H7" s="15"/>
      <c r="I7" s="16">
        <f t="shared" ref="I7:I70" si="4">SUM(L7:T7)</f>
        <v>0</v>
      </c>
      <c r="J7" s="16"/>
      <c r="K7" s="11"/>
      <c r="L7" s="16"/>
      <c r="M7" s="16"/>
      <c r="N7" s="16"/>
      <c r="O7" s="16"/>
      <c r="P7" s="16"/>
      <c r="Q7" s="16"/>
      <c r="R7" s="35"/>
      <c r="S7" s="43"/>
      <c r="T7" s="46"/>
      <c r="U7" s="51">
        <f t="shared" si="2"/>
        <v>0</v>
      </c>
      <c r="V7" s="17" t="str">
        <f t="shared" si="3"/>
        <v>OK</v>
      </c>
    </row>
    <row r="8" spans="1:22" x14ac:dyDescent="0.3">
      <c r="A8" s="63" t="s">
        <v>96</v>
      </c>
      <c r="B8" s="63">
        <v>8081</v>
      </c>
      <c r="C8" s="18" t="s">
        <v>46</v>
      </c>
      <c r="D8" s="19"/>
      <c r="E8" s="19"/>
      <c r="F8" s="19"/>
      <c r="G8" s="20"/>
      <c r="H8" s="21"/>
      <c r="I8" s="22">
        <f t="shared" si="4"/>
        <v>0</v>
      </c>
      <c r="J8" s="22"/>
      <c r="K8" s="11"/>
      <c r="L8" s="22"/>
      <c r="M8" s="22"/>
      <c r="N8" s="22"/>
      <c r="O8" s="22"/>
      <c r="P8" s="22"/>
      <c r="Q8" s="22"/>
      <c r="R8" s="36"/>
      <c r="S8" s="44"/>
      <c r="T8" s="47"/>
      <c r="U8" s="52">
        <f t="shared" si="2"/>
        <v>0</v>
      </c>
      <c r="V8" s="23" t="str">
        <f t="shared" si="3"/>
        <v>OK</v>
      </c>
    </row>
    <row r="9" spans="1:22" hidden="1" x14ac:dyDescent="0.3">
      <c r="A9" s="62" t="s">
        <v>97</v>
      </c>
      <c r="B9" s="62">
        <v>18524</v>
      </c>
      <c r="C9" s="12" t="s">
        <v>46</v>
      </c>
      <c r="D9" s="53"/>
      <c r="E9" s="13"/>
      <c r="F9" s="13"/>
      <c r="G9" s="14"/>
      <c r="H9" s="15"/>
      <c r="I9" s="16">
        <f t="shared" si="4"/>
        <v>0</v>
      </c>
      <c r="J9" s="16"/>
      <c r="K9" s="11"/>
      <c r="L9" s="16"/>
      <c r="M9" s="16"/>
      <c r="N9" s="16"/>
      <c r="O9" s="16"/>
      <c r="P9" s="16"/>
      <c r="Q9" s="16"/>
      <c r="R9" s="35"/>
      <c r="S9" s="43"/>
      <c r="T9" s="46"/>
      <c r="U9" s="51">
        <f t="shared" si="2"/>
        <v>0</v>
      </c>
      <c r="V9" s="17" t="str">
        <f t="shared" si="3"/>
        <v>OK</v>
      </c>
    </row>
    <row r="10" spans="1:22" hidden="1" x14ac:dyDescent="0.3">
      <c r="A10" s="63" t="s">
        <v>34</v>
      </c>
      <c r="B10" s="63">
        <v>6234</v>
      </c>
      <c r="C10" s="18" t="s">
        <v>47</v>
      </c>
      <c r="D10" s="19"/>
      <c r="E10" s="19"/>
      <c r="F10" s="19"/>
      <c r="G10" s="20"/>
      <c r="H10" s="21"/>
      <c r="I10" s="22">
        <f t="shared" si="4"/>
        <v>0</v>
      </c>
      <c r="J10" s="22"/>
      <c r="K10" s="11"/>
      <c r="L10" s="22"/>
      <c r="M10" s="22"/>
      <c r="N10" s="22"/>
      <c r="O10" s="22"/>
      <c r="P10" s="22"/>
      <c r="Q10" s="22"/>
      <c r="R10" s="36"/>
      <c r="S10" s="44"/>
      <c r="T10" s="47"/>
      <c r="U10" s="52">
        <f t="shared" si="2"/>
        <v>0</v>
      </c>
      <c r="V10" s="23" t="str">
        <f t="shared" si="3"/>
        <v>OK</v>
      </c>
    </row>
    <row r="11" spans="1:22" hidden="1" x14ac:dyDescent="0.3">
      <c r="A11" s="62" t="s">
        <v>80</v>
      </c>
      <c r="B11" s="62">
        <v>14830</v>
      </c>
      <c r="C11" s="12" t="s">
        <v>47</v>
      </c>
      <c r="D11" s="53"/>
      <c r="E11" s="13"/>
      <c r="F11" s="13"/>
      <c r="G11" s="14"/>
      <c r="H11" s="15"/>
      <c r="I11" s="16">
        <f t="shared" si="4"/>
        <v>0</v>
      </c>
      <c r="J11" s="16"/>
      <c r="K11" s="11"/>
      <c r="L11" s="16"/>
      <c r="M11" s="16"/>
      <c r="N11" s="16"/>
      <c r="O11" s="16"/>
      <c r="P11" s="16"/>
      <c r="Q11" s="16"/>
      <c r="R11" s="35"/>
      <c r="S11" s="43"/>
      <c r="T11" s="46"/>
      <c r="U11" s="51">
        <f t="shared" si="2"/>
        <v>0</v>
      </c>
      <c r="V11" s="17" t="str">
        <f t="shared" si="3"/>
        <v>OK</v>
      </c>
    </row>
    <row r="12" spans="1:22" hidden="1" x14ac:dyDescent="0.3">
      <c r="A12" s="63" t="s">
        <v>35</v>
      </c>
      <c r="B12" s="63">
        <v>6004</v>
      </c>
      <c r="C12" s="18" t="s">
        <v>48</v>
      </c>
      <c r="D12" s="19"/>
      <c r="E12" s="19"/>
      <c r="F12" s="19"/>
      <c r="G12" s="20"/>
      <c r="H12" s="21"/>
      <c r="I12" s="22">
        <f t="shared" si="4"/>
        <v>0</v>
      </c>
      <c r="J12" s="22"/>
      <c r="K12" s="11"/>
      <c r="L12" s="22"/>
      <c r="M12" s="22"/>
      <c r="N12" s="22"/>
      <c r="O12" s="22"/>
      <c r="P12" s="22"/>
      <c r="Q12" s="22"/>
      <c r="R12" s="36"/>
      <c r="S12" s="44"/>
      <c r="T12" s="47"/>
      <c r="U12" s="52">
        <f t="shared" si="2"/>
        <v>0</v>
      </c>
      <c r="V12" s="23" t="str">
        <f t="shared" si="3"/>
        <v>OK</v>
      </c>
    </row>
    <row r="13" spans="1:22" hidden="1" x14ac:dyDescent="0.3">
      <c r="A13" s="62" t="s">
        <v>36</v>
      </c>
      <c r="B13" s="62">
        <v>11857</v>
      </c>
      <c r="C13" s="12" t="s">
        <v>48</v>
      </c>
      <c r="D13" s="53"/>
      <c r="E13" s="13"/>
      <c r="F13" s="13"/>
      <c r="G13" s="14"/>
      <c r="H13" s="15"/>
      <c r="I13" s="16">
        <f t="shared" si="4"/>
        <v>0</v>
      </c>
      <c r="J13" s="16"/>
      <c r="K13" s="11"/>
      <c r="L13" s="16"/>
      <c r="M13" s="16"/>
      <c r="N13" s="16"/>
      <c r="O13" s="16"/>
      <c r="P13" s="16"/>
      <c r="Q13" s="16"/>
      <c r="R13" s="35"/>
      <c r="S13" s="43"/>
      <c r="T13" s="46"/>
      <c r="U13" s="51">
        <f t="shared" si="2"/>
        <v>0</v>
      </c>
      <c r="V13" s="17" t="str">
        <f t="shared" si="3"/>
        <v>OK</v>
      </c>
    </row>
    <row r="14" spans="1:22" hidden="1" x14ac:dyDescent="0.3">
      <c r="A14" s="63" t="s">
        <v>82</v>
      </c>
      <c r="B14" s="63">
        <v>15004</v>
      </c>
      <c r="C14" s="18" t="s">
        <v>48</v>
      </c>
      <c r="D14" s="19"/>
      <c r="E14" s="19"/>
      <c r="F14" s="19"/>
      <c r="G14" s="20"/>
      <c r="H14" s="21"/>
      <c r="I14" s="22">
        <f t="shared" si="4"/>
        <v>0</v>
      </c>
      <c r="J14" s="22"/>
      <c r="K14" s="11"/>
      <c r="L14" s="22"/>
      <c r="M14" s="22"/>
      <c r="N14" s="22"/>
      <c r="O14" s="22"/>
      <c r="P14" s="22"/>
      <c r="Q14" s="22"/>
      <c r="R14" s="36"/>
      <c r="S14" s="44"/>
      <c r="T14" s="47"/>
      <c r="U14" s="52">
        <f t="shared" si="2"/>
        <v>0</v>
      </c>
      <c r="V14" s="23" t="str">
        <f t="shared" si="3"/>
        <v>OK</v>
      </c>
    </row>
    <row r="15" spans="1:22" hidden="1" x14ac:dyDescent="0.3">
      <c r="A15" s="62" t="s">
        <v>86</v>
      </c>
      <c r="B15" s="62">
        <v>15174</v>
      </c>
      <c r="C15" s="12" t="s">
        <v>45</v>
      </c>
      <c r="D15" s="53"/>
      <c r="E15" s="13"/>
      <c r="F15" s="13"/>
      <c r="G15" s="14"/>
      <c r="H15" s="15"/>
      <c r="I15" s="16">
        <f t="shared" si="4"/>
        <v>0</v>
      </c>
      <c r="J15" s="16"/>
      <c r="K15" s="11"/>
      <c r="L15" s="16"/>
      <c r="M15" s="16"/>
      <c r="N15" s="16"/>
      <c r="O15" s="16"/>
      <c r="P15" s="16"/>
      <c r="Q15" s="16"/>
      <c r="R15" s="35"/>
      <c r="S15" s="43"/>
      <c r="T15" s="46"/>
      <c r="U15" s="51">
        <f t="shared" si="2"/>
        <v>0</v>
      </c>
      <c r="V15" s="17" t="str">
        <f t="shared" si="3"/>
        <v>OK</v>
      </c>
    </row>
    <row r="16" spans="1:22" hidden="1" x14ac:dyDescent="0.3">
      <c r="A16" s="63" t="s">
        <v>87</v>
      </c>
      <c r="B16" s="63">
        <v>15520</v>
      </c>
      <c r="C16" s="18" t="s">
        <v>47</v>
      </c>
      <c r="D16" s="19"/>
      <c r="E16" s="19"/>
      <c r="F16" s="19"/>
      <c r="G16" s="20"/>
      <c r="H16" s="21"/>
      <c r="I16" s="22">
        <f t="shared" si="4"/>
        <v>0</v>
      </c>
      <c r="J16" s="22"/>
      <c r="K16" s="11"/>
      <c r="L16" s="22"/>
      <c r="M16" s="22"/>
      <c r="N16" s="22"/>
      <c r="O16" s="22"/>
      <c r="P16" s="22"/>
      <c r="Q16" s="22"/>
      <c r="R16" s="36"/>
      <c r="S16" s="44"/>
      <c r="T16" s="47"/>
      <c r="U16" s="52">
        <f t="shared" si="2"/>
        <v>0</v>
      </c>
      <c r="V16" s="23" t="str">
        <f t="shared" si="3"/>
        <v>OK</v>
      </c>
    </row>
    <row r="17" spans="1:22" hidden="1" x14ac:dyDescent="0.3">
      <c r="A17" s="62" t="s">
        <v>85</v>
      </c>
      <c r="B17" s="62">
        <v>14989</v>
      </c>
      <c r="C17" s="12" t="s">
        <v>45</v>
      </c>
      <c r="D17" s="53"/>
      <c r="E17" s="13"/>
      <c r="F17" s="13"/>
      <c r="G17" s="14"/>
      <c r="H17" s="15"/>
      <c r="I17" s="16">
        <f t="shared" si="4"/>
        <v>0</v>
      </c>
      <c r="J17" s="16"/>
      <c r="K17" s="11"/>
      <c r="L17" s="16"/>
      <c r="M17" s="16"/>
      <c r="N17" s="16"/>
      <c r="O17" s="16"/>
      <c r="P17" s="16"/>
      <c r="Q17" s="16"/>
      <c r="R17" s="35"/>
      <c r="S17" s="43"/>
      <c r="T17" s="46"/>
      <c r="U17" s="51">
        <f t="shared" si="2"/>
        <v>0</v>
      </c>
      <c r="V17" s="17" t="str">
        <f t="shared" si="3"/>
        <v>OK</v>
      </c>
    </row>
    <row r="18" spans="1:22" hidden="1" x14ac:dyDescent="0.3">
      <c r="A18" s="63" t="s">
        <v>84</v>
      </c>
      <c r="B18" s="63">
        <v>14984</v>
      </c>
      <c r="C18" s="18" t="s">
        <v>46</v>
      </c>
      <c r="D18" s="19"/>
      <c r="E18" s="19"/>
      <c r="F18" s="19"/>
      <c r="G18" s="20"/>
      <c r="H18" s="21"/>
      <c r="I18" s="22">
        <f t="shared" si="4"/>
        <v>0</v>
      </c>
      <c r="J18" s="22"/>
      <c r="K18" s="11"/>
      <c r="L18" s="22"/>
      <c r="M18" s="22"/>
      <c r="N18" s="22"/>
      <c r="O18" s="22"/>
      <c r="P18" s="22"/>
      <c r="Q18" s="22"/>
      <c r="R18" s="36"/>
      <c r="S18" s="44"/>
      <c r="T18" s="47"/>
      <c r="U18" s="52">
        <f t="shared" si="2"/>
        <v>0</v>
      </c>
      <c r="V18" s="23" t="str">
        <f t="shared" si="3"/>
        <v>OK</v>
      </c>
    </row>
    <row r="19" spans="1:22" hidden="1" x14ac:dyDescent="0.3">
      <c r="A19" s="62" t="s">
        <v>88</v>
      </c>
      <c r="B19" s="62">
        <v>16270</v>
      </c>
      <c r="C19" s="12" t="s">
        <v>89</v>
      </c>
      <c r="D19" s="53"/>
      <c r="E19" s="13"/>
      <c r="F19" s="13"/>
      <c r="G19" s="14"/>
      <c r="H19" s="15"/>
      <c r="I19" s="16">
        <f t="shared" si="4"/>
        <v>0</v>
      </c>
      <c r="J19" s="16"/>
      <c r="K19" s="11"/>
      <c r="L19" s="16"/>
      <c r="M19" s="16"/>
      <c r="N19" s="16"/>
      <c r="O19" s="16"/>
      <c r="P19" s="16"/>
      <c r="Q19" s="16"/>
      <c r="R19" s="35"/>
      <c r="S19" s="43"/>
      <c r="T19" s="46"/>
      <c r="U19" s="51">
        <f t="shared" si="2"/>
        <v>0</v>
      </c>
      <c r="V19" s="17" t="str">
        <f t="shared" si="3"/>
        <v>OK</v>
      </c>
    </row>
    <row r="20" spans="1:22" hidden="1" x14ac:dyDescent="0.3">
      <c r="A20" s="63" t="s">
        <v>98</v>
      </c>
      <c r="B20" s="63">
        <v>19060</v>
      </c>
      <c r="C20" s="18" t="s">
        <v>47</v>
      </c>
      <c r="D20" s="19"/>
      <c r="E20" s="19"/>
      <c r="F20" s="19"/>
      <c r="G20" s="20"/>
      <c r="H20" s="21"/>
      <c r="I20" s="22">
        <f t="shared" si="4"/>
        <v>0</v>
      </c>
      <c r="J20" s="22"/>
      <c r="K20" s="11"/>
      <c r="L20" s="22"/>
      <c r="M20" s="22"/>
      <c r="N20" s="22"/>
      <c r="O20" s="22"/>
      <c r="P20" s="22"/>
      <c r="Q20" s="22"/>
      <c r="R20" s="36"/>
      <c r="S20" s="44"/>
      <c r="T20" s="47"/>
      <c r="U20" s="52">
        <f t="shared" si="2"/>
        <v>0</v>
      </c>
      <c r="V20" s="23" t="str">
        <f t="shared" si="3"/>
        <v>OK</v>
      </c>
    </row>
    <row r="21" spans="1:22" hidden="1" x14ac:dyDescent="0.3">
      <c r="A21" s="62" t="s">
        <v>99</v>
      </c>
      <c r="B21" s="62">
        <v>18828</v>
      </c>
      <c r="C21" s="12" t="s">
        <v>94</v>
      </c>
      <c r="D21" s="53"/>
      <c r="E21" s="13"/>
      <c r="F21" s="13"/>
      <c r="G21" s="14"/>
      <c r="H21" s="15"/>
      <c r="I21" s="16">
        <f t="shared" si="4"/>
        <v>0</v>
      </c>
      <c r="J21" s="16"/>
      <c r="K21" s="11"/>
      <c r="L21" s="16"/>
      <c r="M21" s="16"/>
      <c r="N21" s="16"/>
      <c r="O21" s="16"/>
      <c r="P21" s="16"/>
      <c r="Q21" s="16"/>
      <c r="R21" s="35"/>
      <c r="S21" s="43"/>
      <c r="T21" s="46"/>
      <c r="U21" s="51">
        <f t="shared" si="2"/>
        <v>0</v>
      </c>
      <c r="V21" s="17" t="str">
        <f t="shared" si="3"/>
        <v>OK</v>
      </c>
    </row>
    <row r="22" spans="1:22" hidden="1" x14ac:dyDescent="0.3">
      <c r="A22" s="63" t="s">
        <v>23</v>
      </c>
      <c r="B22" s="63">
        <v>5695</v>
      </c>
      <c r="C22" s="18" t="s">
        <v>49</v>
      </c>
      <c r="D22" s="19"/>
      <c r="E22" s="19"/>
      <c r="F22" s="19"/>
      <c r="G22" s="20"/>
      <c r="H22" s="21"/>
      <c r="I22" s="22">
        <f t="shared" si="4"/>
        <v>0</v>
      </c>
      <c r="J22" s="22"/>
      <c r="K22" s="11"/>
      <c r="L22" s="22"/>
      <c r="M22" s="22"/>
      <c r="N22" s="22"/>
      <c r="O22" s="22"/>
      <c r="P22" s="22"/>
      <c r="Q22" s="22"/>
      <c r="R22" s="36"/>
      <c r="S22" s="44"/>
      <c r="T22" s="47"/>
      <c r="U22" s="52">
        <f t="shared" si="2"/>
        <v>0</v>
      </c>
      <c r="V22" s="23" t="str">
        <f t="shared" si="3"/>
        <v>OK</v>
      </c>
    </row>
    <row r="23" spans="1:22" hidden="1" x14ac:dyDescent="0.3">
      <c r="A23" s="62" t="s">
        <v>24</v>
      </c>
      <c r="B23" s="62">
        <v>5691</v>
      </c>
      <c r="C23" s="12" t="s">
        <v>50</v>
      </c>
      <c r="D23" s="53"/>
      <c r="E23" s="13"/>
      <c r="F23" s="13"/>
      <c r="G23" s="14"/>
      <c r="H23" s="15"/>
      <c r="I23" s="16">
        <f t="shared" si="4"/>
        <v>0</v>
      </c>
      <c r="J23" s="16"/>
      <c r="K23" s="11"/>
      <c r="L23" s="16"/>
      <c r="M23" s="16"/>
      <c r="N23" s="16"/>
      <c r="O23" s="16"/>
      <c r="P23" s="16"/>
      <c r="Q23" s="16"/>
      <c r="R23" s="35"/>
      <c r="S23" s="43"/>
      <c r="T23" s="46"/>
      <c r="U23" s="51">
        <f t="shared" si="2"/>
        <v>0</v>
      </c>
      <c r="V23" s="17" t="str">
        <f t="shared" si="3"/>
        <v>OK</v>
      </c>
    </row>
    <row r="24" spans="1:22" hidden="1" x14ac:dyDescent="0.3">
      <c r="A24" s="63" t="s">
        <v>37</v>
      </c>
      <c r="B24" s="63">
        <v>5687</v>
      </c>
      <c r="C24" s="18" t="s">
        <v>51</v>
      </c>
      <c r="D24" s="19"/>
      <c r="E24" s="19"/>
      <c r="F24" s="19"/>
      <c r="G24" s="20"/>
      <c r="H24" s="21"/>
      <c r="I24" s="22">
        <f t="shared" si="4"/>
        <v>0</v>
      </c>
      <c r="J24" s="22"/>
      <c r="K24" s="11"/>
      <c r="L24" s="22"/>
      <c r="M24" s="22"/>
      <c r="N24" s="22"/>
      <c r="O24" s="22"/>
      <c r="P24" s="22"/>
      <c r="Q24" s="22"/>
      <c r="R24" s="36"/>
      <c r="S24" s="44"/>
      <c r="T24" s="47"/>
      <c r="U24" s="52">
        <f t="shared" si="2"/>
        <v>0</v>
      </c>
      <c r="V24" s="23" t="str">
        <f t="shared" si="3"/>
        <v>OK</v>
      </c>
    </row>
    <row r="25" spans="1:22" hidden="1" x14ac:dyDescent="0.3">
      <c r="A25" s="62" t="s">
        <v>38</v>
      </c>
      <c r="B25" s="62">
        <v>5683</v>
      </c>
      <c r="C25" s="12" t="s">
        <v>51</v>
      </c>
      <c r="D25" s="53"/>
      <c r="E25" s="13"/>
      <c r="F25" s="13"/>
      <c r="G25" s="14"/>
      <c r="H25" s="15"/>
      <c r="I25" s="16">
        <f t="shared" si="4"/>
        <v>0</v>
      </c>
      <c r="J25" s="16"/>
      <c r="K25" s="11"/>
      <c r="L25" s="16"/>
      <c r="M25" s="16"/>
      <c r="N25" s="16"/>
      <c r="O25" s="16"/>
      <c r="P25" s="16"/>
      <c r="Q25" s="16"/>
      <c r="R25" s="35"/>
      <c r="S25" s="43"/>
      <c r="T25" s="46"/>
      <c r="U25" s="51">
        <f t="shared" si="2"/>
        <v>0</v>
      </c>
      <c r="V25" s="17" t="str">
        <f t="shared" si="3"/>
        <v>OK</v>
      </c>
    </row>
    <row r="26" spans="1:22" hidden="1" x14ac:dyDescent="0.3">
      <c r="A26" s="63" t="s">
        <v>25</v>
      </c>
      <c r="B26" s="63">
        <v>5679</v>
      </c>
      <c r="C26" s="18" t="s">
        <v>52</v>
      </c>
      <c r="D26" s="19"/>
      <c r="E26" s="19"/>
      <c r="F26" s="19"/>
      <c r="G26" s="20"/>
      <c r="H26" s="21"/>
      <c r="I26" s="22">
        <f t="shared" si="4"/>
        <v>0</v>
      </c>
      <c r="J26" s="22"/>
      <c r="K26" s="11"/>
      <c r="L26" s="22"/>
      <c r="M26" s="22"/>
      <c r="N26" s="22"/>
      <c r="O26" s="22"/>
      <c r="P26" s="22"/>
      <c r="Q26" s="22"/>
      <c r="R26" s="36"/>
      <c r="S26" s="44"/>
      <c r="T26" s="47"/>
      <c r="U26" s="52">
        <f t="shared" si="2"/>
        <v>0</v>
      </c>
      <c r="V26" s="23" t="str">
        <f t="shared" si="3"/>
        <v>OK</v>
      </c>
    </row>
    <row r="27" spans="1:22" hidden="1" x14ac:dyDescent="0.3">
      <c r="A27" s="62" t="s">
        <v>39</v>
      </c>
      <c r="B27" s="62">
        <v>5675</v>
      </c>
      <c r="C27" s="12" t="s">
        <v>53</v>
      </c>
      <c r="D27" s="53"/>
      <c r="E27" s="13"/>
      <c r="F27" s="13"/>
      <c r="G27" s="14"/>
      <c r="H27" s="15"/>
      <c r="I27" s="16">
        <f t="shared" si="4"/>
        <v>0</v>
      </c>
      <c r="J27" s="16"/>
      <c r="K27" s="11"/>
      <c r="L27" s="16"/>
      <c r="M27" s="16"/>
      <c r="N27" s="16"/>
      <c r="O27" s="16"/>
      <c r="P27" s="16"/>
      <c r="Q27" s="16"/>
      <c r="R27" s="35"/>
      <c r="S27" s="43"/>
      <c r="T27" s="46"/>
      <c r="U27" s="51">
        <f t="shared" si="2"/>
        <v>0</v>
      </c>
      <c r="V27" s="17" t="str">
        <f t="shared" si="3"/>
        <v>OK</v>
      </c>
    </row>
    <row r="28" spans="1:22" x14ac:dyDescent="0.3">
      <c r="A28" s="63" t="s">
        <v>26</v>
      </c>
      <c r="B28" s="63">
        <v>5671</v>
      </c>
      <c r="C28" s="18" t="s">
        <v>49</v>
      </c>
      <c r="D28" s="19"/>
      <c r="E28" s="19"/>
      <c r="F28" s="19"/>
      <c r="G28" s="20"/>
      <c r="H28" s="21"/>
      <c r="I28" s="22">
        <f t="shared" si="4"/>
        <v>0</v>
      </c>
      <c r="J28" s="22"/>
      <c r="K28" s="11"/>
      <c r="L28" s="22"/>
      <c r="M28" s="22"/>
      <c r="N28" s="22"/>
      <c r="O28" s="22"/>
      <c r="P28" s="22"/>
      <c r="Q28" s="22"/>
      <c r="R28" s="36"/>
      <c r="S28" s="44"/>
      <c r="T28" s="47"/>
      <c r="U28" s="52">
        <f t="shared" si="2"/>
        <v>0</v>
      </c>
      <c r="V28" s="23" t="str">
        <f t="shared" si="3"/>
        <v>OK</v>
      </c>
    </row>
    <row r="29" spans="1:22" hidden="1" x14ac:dyDescent="0.3">
      <c r="A29" s="62" t="s">
        <v>40</v>
      </c>
      <c r="B29" s="62">
        <v>5667</v>
      </c>
      <c r="C29" s="12" t="s">
        <v>50</v>
      </c>
      <c r="D29" s="53"/>
      <c r="E29" s="13"/>
      <c r="F29" s="13"/>
      <c r="G29" s="14"/>
      <c r="H29" s="15"/>
      <c r="I29" s="16">
        <f t="shared" si="4"/>
        <v>0</v>
      </c>
      <c r="J29" s="16"/>
      <c r="K29" s="11"/>
      <c r="L29" s="16"/>
      <c r="M29" s="16"/>
      <c r="N29" s="16"/>
      <c r="O29" s="16"/>
      <c r="P29" s="16"/>
      <c r="Q29" s="16"/>
      <c r="R29" s="35"/>
      <c r="S29" s="43"/>
      <c r="T29" s="46"/>
      <c r="U29" s="51">
        <f t="shared" si="2"/>
        <v>0</v>
      </c>
      <c r="V29" s="17" t="str">
        <f t="shared" si="3"/>
        <v>OK</v>
      </c>
    </row>
    <row r="30" spans="1:22" hidden="1" x14ac:dyDescent="0.3">
      <c r="A30" s="63" t="s">
        <v>41</v>
      </c>
      <c r="B30" s="63">
        <v>5663</v>
      </c>
      <c r="C30" s="18" t="s">
        <v>51</v>
      </c>
      <c r="D30" s="19"/>
      <c r="E30" s="19"/>
      <c r="F30" s="19"/>
      <c r="G30" s="20"/>
      <c r="H30" s="21"/>
      <c r="I30" s="22">
        <f t="shared" si="4"/>
        <v>0</v>
      </c>
      <c r="J30" s="22"/>
      <c r="K30" s="11"/>
      <c r="L30" s="22"/>
      <c r="M30" s="22"/>
      <c r="N30" s="22"/>
      <c r="O30" s="22"/>
      <c r="P30" s="22"/>
      <c r="Q30" s="22"/>
      <c r="R30" s="36"/>
      <c r="S30" s="44"/>
      <c r="T30" s="47"/>
      <c r="U30" s="52">
        <f t="shared" si="2"/>
        <v>0</v>
      </c>
      <c r="V30" s="23" t="str">
        <f t="shared" si="3"/>
        <v>OK</v>
      </c>
    </row>
    <row r="31" spans="1:22" hidden="1" x14ac:dyDescent="0.3">
      <c r="A31" s="62" t="s">
        <v>42</v>
      </c>
      <c r="B31" s="62">
        <v>5659</v>
      </c>
      <c r="C31" s="12" t="s">
        <v>52</v>
      </c>
      <c r="D31" s="53"/>
      <c r="E31" s="13"/>
      <c r="F31" s="13"/>
      <c r="G31" s="14"/>
      <c r="H31" s="15"/>
      <c r="I31" s="16">
        <f t="shared" si="4"/>
        <v>0</v>
      </c>
      <c r="J31" s="16"/>
      <c r="K31" s="11"/>
      <c r="L31" s="16"/>
      <c r="M31" s="16"/>
      <c r="N31" s="16"/>
      <c r="O31" s="16"/>
      <c r="P31" s="16"/>
      <c r="Q31" s="16"/>
      <c r="R31" s="35"/>
      <c r="S31" s="43"/>
      <c r="T31" s="46"/>
      <c r="U31" s="51">
        <f t="shared" si="2"/>
        <v>0</v>
      </c>
      <c r="V31" s="17" t="str">
        <f t="shared" si="3"/>
        <v>OK</v>
      </c>
    </row>
    <row r="32" spans="1:22" hidden="1" x14ac:dyDescent="0.3">
      <c r="A32" s="63" t="s">
        <v>27</v>
      </c>
      <c r="B32" s="63">
        <v>5655</v>
      </c>
      <c r="C32" s="18" t="s">
        <v>54</v>
      </c>
      <c r="D32" s="19"/>
      <c r="E32" s="19"/>
      <c r="F32" s="19"/>
      <c r="G32" s="20"/>
      <c r="H32" s="21"/>
      <c r="I32" s="22">
        <f t="shared" si="4"/>
        <v>0</v>
      </c>
      <c r="J32" s="22"/>
      <c r="K32" s="11"/>
      <c r="L32" s="22"/>
      <c r="M32" s="22"/>
      <c r="N32" s="22"/>
      <c r="O32" s="22"/>
      <c r="P32" s="22"/>
      <c r="Q32" s="22"/>
      <c r="R32" s="36"/>
      <c r="S32" s="44"/>
      <c r="T32" s="47"/>
      <c r="U32" s="52">
        <f t="shared" si="2"/>
        <v>0</v>
      </c>
      <c r="V32" s="23" t="str">
        <f t="shared" si="3"/>
        <v>OK</v>
      </c>
    </row>
    <row r="33" spans="1:22" hidden="1" x14ac:dyDescent="0.3">
      <c r="A33" s="62" t="s">
        <v>70</v>
      </c>
      <c r="B33" s="62">
        <v>5651</v>
      </c>
      <c r="C33" s="12" t="s">
        <v>55</v>
      </c>
      <c r="D33" s="53"/>
      <c r="E33" s="13"/>
      <c r="F33" s="13"/>
      <c r="G33" s="14"/>
      <c r="H33" s="15"/>
      <c r="I33" s="16">
        <f t="shared" si="4"/>
        <v>0</v>
      </c>
      <c r="J33" s="16"/>
      <c r="K33" s="11"/>
      <c r="L33" s="16"/>
      <c r="M33" s="16"/>
      <c r="N33" s="16"/>
      <c r="O33" s="16"/>
      <c r="P33" s="16"/>
      <c r="Q33" s="16"/>
      <c r="R33" s="35"/>
      <c r="S33" s="43"/>
      <c r="T33" s="46"/>
      <c r="U33" s="51">
        <f t="shared" si="2"/>
        <v>0</v>
      </c>
      <c r="V33" s="17" t="str">
        <f t="shared" si="3"/>
        <v>OK</v>
      </c>
    </row>
    <row r="34" spans="1:22" hidden="1" x14ac:dyDescent="0.3">
      <c r="A34" s="63" t="s">
        <v>71</v>
      </c>
      <c r="B34" s="63">
        <v>5643</v>
      </c>
      <c r="C34" s="18" t="s">
        <v>56</v>
      </c>
      <c r="D34" s="19"/>
      <c r="E34" s="19"/>
      <c r="F34" s="19"/>
      <c r="G34" s="20"/>
      <c r="H34" s="21"/>
      <c r="I34" s="22">
        <f t="shared" si="4"/>
        <v>0</v>
      </c>
      <c r="J34" s="22"/>
      <c r="K34" s="11"/>
      <c r="L34" s="22"/>
      <c r="M34" s="22"/>
      <c r="N34" s="22"/>
      <c r="O34" s="22"/>
      <c r="P34" s="22"/>
      <c r="Q34" s="22"/>
      <c r="R34" s="36"/>
      <c r="S34" s="44"/>
      <c r="T34" s="47"/>
      <c r="U34" s="52">
        <f t="shared" si="2"/>
        <v>0</v>
      </c>
      <c r="V34" s="23" t="str">
        <f t="shared" si="3"/>
        <v>OK</v>
      </c>
    </row>
    <row r="35" spans="1:22" hidden="1" x14ac:dyDescent="0.3">
      <c r="A35" s="62" t="s">
        <v>57</v>
      </c>
      <c r="B35" s="62">
        <v>11350</v>
      </c>
      <c r="C35" s="12" t="s">
        <v>56</v>
      </c>
      <c r="D35" s="53"/>
      <c r="E35" s="13"/>
      <c r="F35" s="13"/>
      <c r="G35" s="14"/>
      <c r="H35" s="15"/>
      <c r="I35" s="16">
        <f t="shared" si="4"/>
        <v>0</v>
      </c>
      <c r="J35" s="16"/>
      <c r="K35" s="11"/>
      <c r="L35" s="16"/>
      <c r="M35" s="16"/>
      <c r="N35" s="16"/>
      <c r="O35" s="16"/>
      <c r="P35" s="16"/>
      <c r="Q35" s="16"/>
      <c r="R35" s="35"/>
      <c r="S35" s="43"/>
      <c r="T35" s="46"/>
      <c r="U35" s="51">
        <f t="shared" si="2"/>
        <v>0</v>
      </c>
      <c r="V35" s="17" t="str">
        <f t="shared" si="3"/>
        <v>OK</v>
      </c>
    </row>
    <row r="36" spans="1:22" hidden="1" x14ac:dyDescent="0.3">
      <c r="A36" s="63" t="s">
        <v>72</v>
      </c>
      <c r="B36" s="63">
        <v>5635</v>
      </c>
      <c r="C36" s="18" t="s">
        <v>55</v>
      </c>
      <c r="D36" s="19"/>
      <c r="E36" s="19"/>
      <c r="F36" s="19"/>
      <c r="G36" s="20"/>
      <c r="H36" s="21"/>
      <c r="I36" s="22">
        <f t="shared" si="4"/>
        <v>0</v>
      </c>
      <c r="J36" s="22"/>
      <c r="K36" s="11"/>
      <c r="L36" s="22"/>
      <c r="M36" s="22"/>
      <c r="N36" s="22"/>
      <c r="O36" s="22"/>
      <c r="P36" s="22"/>
      <c r="Q36" s="22"/>
      <c r="R36" s="36"/>
      <c r="S36" s="44"/>
      <c r="T36" s="47"/>
      <c r="U36" s="52">
        <f t="shared" si="2"/>
        <v>0</v>
      </c>
      <c r="V36" s="23" t="str">
        <f t="shared" si="3"/>
        <v>OK</v>
      </c>
    </row>
    <row r="37" spans="1:22" hidden="1" x14ac:dyDescent="0.3">
      <c r="A37" s="62" t="s">
        <v>58</v>
      </c>
      <c r="B37" s="62">
        <v>11349</v>
      </c>
      <c r="C37" s="12" t="s">
        <v>55</v>
      </c>
      <c r="D37" s="53"/>
      <c r="E37" s="13"/>
      <c r="F37" s="13"/>
      <c r="G37" s="14"/>
      <c r="H37" s="15"/>
      <c r="I37" s="16">
        <f t="shared" si="4"/>
        <v>0</v>
      </c>
      <c r="J37" s="16"/>
      <c r="K37" s="11"/>
      <c r="L37" s="16"/>
      <c r="M37" s="16"/>
      <c r="N37" s="16"/>
      <c r="O37" s="16"/>
      <c r="P37" s="16"/>
      <c r="Q37" s="16"/>
      <c r="R37" s="35"/>
      <c r="S37" s="43"/>
      <c r="T37" s="46"/>
      <c r="U37" s="51">
        <f t="shared" ref="U37:U55" si="5">SUM(L37:T37)</f>
        <v>0</v>
      </c>
      <c r="V37" s="17" t="str">
        <f t="shared" si="3"/>
        <v>OK</v>
      </c>
    </row>
    <row r="38" spans="1:22" hidden="1" x14ac:dyDescent="0.3">
      <c r="A38" s="63" t="s">
        <v>73</v>
      </c>
      <c r="B38" s="63">
        <v>5627</v>
      </c>
      <c r="C38" s="18" t="s">
        <v>56</v>
      </c>
      <c r="D38" s="19"/>
      <c r="E38" s="19"/>
      <c r="F38" s="19"/>
      <c r="G38" s="20"/>
      <c r="H38" s="21"/>
      <c r="I38" s="22">
        <f t="shared" si="4"/>
        <v>0</v>
      </c>
      <c r="J38" s="22"/>
      <c r="K38" s="11"/>
      <c r="L38" s="22"/>
      <c r="M38" s="22"/>
      <c r="N38" s="22"/>
      <c r="O38" s="22"/>
      <c r="P38" s="22"/>
      <c r="Q38" s="22"/>
      <c r="R38" s="36"/>
      <c r="S38" s="44"/>
      <c r="T38" s="47"/>
      <c r="U38" s="52">
        <f t="shared" si="5"/>
        <v>0</v>
      </c>
      <c r="V38" s="23" t="str">
        <f t="shared" si="3"/>
        <v>OK</v>
      </c>
    </row>
    <row r="39" spans="1:22" hidden="1" x14ac:dyDescent="0.3">
      <c r="A39" s="62" t="s">
        <v>59</v>
      </c>
      <c r="B39" s="62">
        <v>11348</v>
      </c>
      <c r="C39" s="12" t="s">
        <v>56</v>
      </c>
      <c r="D39" s="53"/>
      <c r="E39" s="13"/>
      <c r="F39" s="13"/>
      <c r="G39" s="14"/>
      <c r="H39" s="15"/>
      <c r="I39" s="16">
        <f t="shared" si="4"/>
        <v>0</v>
      </c>
      <c r="J39" s="16"/>
      <c r="K39" s="11"/>
      <c r="L39" s="16"/>
      <c r="M39" s="16"/>
      <c r="N39" s="16"/>
      <c r="O39" s="16"/>
      <c r="P39" s="16"/>
      <c r="Q39" s="16"/>
      <c r="R39" s="35"/>
      <c r="S39" s="43"/>
      <c r="T39" s="46"/>
      <c r="U39" s="51">
        <f t="shared" si="5"/>
        <v>0</v>
      </c>
      <c r="V39" s="17" t="str">
        <f t="shared" si="3"/>
        <v>OK</v>
      </c>
    </row>
    <row r="40" spans="1:22" hidden="1" x14ac:dyDescent="0.3">
      <c r="A40" s="63" t="s">
        <v>74</v>
      </c>
      <c r="B40" s="63">
        <v>5619</v>
      </c>
      <c r="C40" s="18" t="s">
        <v>60</v>
      </c>
      <c r="D40" s="19"/>
      <c r="E40" s="19"/>
      <c r="F40" s="19"/>
      <c r="G40" s="20"/>
      <c r="H40" s="21"/>
      <c r="I40" s="22">
        <f t="shared" si="4"/>
        <v>0</v>
      </c>
      <c r="J40" s="22"/>
      <c r="K40" s="11"/>
      <c r="L40" s="22"/>
      <c r="M40" s="22"/>
      <c r="N40" s="22"/>
      <c r="O40" s="22"/>
      <c r="P40" s="22"/>
      <c r="Q40" s="22"/>
      <c r="R40" s="36"/>
      <c r="S40" s="44"/>
      <c r="T40" s="47"/>
      <c r="U40" s="52">
        <f t="shared" si="5"/>
        <v>0</v>
      </c>
      <c r="V40" s="23" t="str">
        <f t="shared" si="3"/>
        <v>OK</v>
      </c>
    </row>
    <row r="41" spans="1:22" hidden="1" x14ac:dyDescent="0.3">
      <c r="A41" s="64" t="s">
        <v>61</v>
      </c>
      <c r="B41" s="62">
        <v>11347</v>
      </c>
      <c r="C41" s="12" t="s">
        <v>60</v>
      </c>
      <c r="D41" s="53"/>
      <c r="E41" s="13"/>
      <c r="F41" s="13"/>
      <c r="G41" s="14"/>
      <c r="H41" s="15"/>
      <c r="I41" s="16">
        <f t="shared" si="4"/>
        <v>0</v>
      </c>
      <c r="J41" s="16"/>
      <c r="K41" s="11"/>
      <c r="L41" s="16"/>
      <c r="M41" s="16"/>
      <c r="N41" s="16"/>
      <c r="O41" s="16"/>
      <c r="P41" s="16"/>
      <c r="Q41" s="16"/>
      <c r="R41" s="35"/>
      <c r="S41" s="43"/>
      <c r="T41" s="46"/>
      <c r="U41" s="51">
        <f t="shared" si="5"/>
        <v>0</v>
      </c>
      <c r="V41" s="17" t="str">
        <f t="shared" si="3"/>
        <v>OK</v>
      </c>
    </row>
    <row r="42" spans="1:22" hidden="1" x14ac:dyDescent="0.3">
      <c r="A42" s="54" t="s">
        <v>75</v>
      </c>
      <c r="B42" s="63">
        <v>5611</v>
      </c>
      <c r="C42" s="18" t="s">
        <v>62</v>
      </c>
      <c r="D42" s="19"/>
      <c r="E42" s="19"/>
      <c r="F42" s="19"/>
      <c r="G42" s="20"/>
      <c r="H42" s="21"/>
      <c r="I42" s="22">
        <f t="shared" si="4"/>
        <v>0</v>
      </c>
      <c r="J42" s="22"/>
      <c r="K42" s="11"/>
      <c r="L42" s="22"/>
      <c r="M42" s="22"/>
      <c r="N42" s="22"/>
      <c r="O42" s="22"/>
      <c r="P42" s="22"/>
      <c r="Q42" s="22"/>
      <c r="R42" s="36"/>
      <c r="S42" s="44"/>
      <c r="T42" s="47"/>
      <c r="U42" s="52">
        <f t="shared" si="5"/>
        <v>0</v>
      </c>
      <c r="V42" s="23" t="str">
        <f t="shared" si="3"/>
        <v>OK</v>
      </c>
    </row>
    <row r="43" spans="1:22" x14ac:dyDescent="0.3">
      <c r="A43" s="12" t="s">
        <v>63</v>
      </c>
      <c r="B43" s="62">
        <v>11336</v>
      </c>
      <c r="C43" s="12" t="s">
        <v>62</v>
      </c>
      <c r="D43" s="53"/>
      <c r="E43" s="13"/>
      <c r="F43" s="13"/>
      <c r="G43" s="14"/>
      <c r="H43" s="15"/>
      <c r="I43" s="16">
        <f t="shared" si="4"/>
        <v>0</v>
      </c>
      <c r="J43" s="16"/>
      <c r="K43" s="11"/>
      <c r="L43" s="16"/>
      <c r="M43" s="16"/>
      <c r="N43" s="16"/>
      <c r="O43" s="16"/>
      <c r="P43" s="16"/>
      <c r="Q43" s="16"/>
      <c r="R43" s="35"/>
      <c r="S43" s="43"/>
      <c r="T43" s="46"/>
      <c r="U43" s="51">
        <f t="shared" si="5"/>
        <v>0</v>
      </c>
      <c r="V43" s="17" t="str">
        <f t="shared" si="3"/>
        <v>OK</v>
      </c>
    </row>
    <row r="44" spans="1:22" hidden="1" x14ac:dyDescent="0.3">
      <c r="A44" s="54" t="s">
        <v>100</v>
      </c>
      <c r="B44" s="63">
        <v>14860</v>
      </c>
      <c r="C44" s="18" t="s">
        <v>56</v>
      </c>
      <c r="D44" s="19"/>
      <c r="E44" s="19"/>
      <c r="F44" s="19"/>
      <c r="G44" s="20"/>
      <c r="H44" s="21"/>
      <c r="I44" s="22">
        <f t="shared" si="4"/>
        <v>0</v>
      </c>
      <c r="J44" s="22"/>
      <c r="K44" s="11"/>
      <c r="L44" s="22"/>
      <c r="M44" s="22"/>
      <c r="N44" s="22"/>
      <c r="O44" s="22"/>
      <c r="P44" s="22"/>
      <c r="Q44" s="22"/>
      <c r="R44" s="36"/>
      <c r="S44" s="44"/>
      <c r="T44" s="47"/>
      <c r="U44" s="52">
        <f t="shared" si="5"/>
        <v>0</v>
      </c>
      <c r="V44" s="23" t="str">
        <f t="shared" si="3"/>
        <v>OK</v>
      </c>
    </row>
    <row r="45" spans="1:22" hidden="1" x14ac:dyDescent="0.3">
      <c r="A45" s="64" t="s">
        <v>83</v>
      </c>
      <c r="B45" s="62">
        <v>14861</v>
      </c>
      <c r="C45" s="12" t="s">
        <v>56</v>
      </c>
      <c r="D45" s="53"/>
      <c r="E45" s="13"/>
      <c r="F45" s="13"/>
      <c r="G45" s="14"/>
      <c r="H45" s="15"/>
      <c r="I45" s="16">
        <f t="shared" si="4"/>
        <v>0</v>
      </c>
      <c r="J45" s="16"/>
      <c r="K45" s="11"/>
      <c r="L45" s="16"/>
      <c r="M45" s="16"/>
      <c r="N45" s="16"/>
      <c r="O45" s="16"/>
      <c r="P45" s="16"/>
      <c r="Q45" s="16"/>
      <c r="R45" s="35"/>
      <c r="S45" s="43"/>
      <c r="T45" s="46"/>
      <c r="U45" s="51">
        <f t="shared" si="5"/>
        <v>0</v>
      </c>
      <c r="V45" s="17" t="str">
        <f t="shared" si="3"/>
        <v>OK</v>
      </c>
    </row>
    <row r="46" spans="1:22" hidden="1" x14ac:dyDescent="0.3">
      <c r="A46" s="54" t="s">
        <v>101</v>
      </c>
      <c r="B46" s="63">
        <v>15096</v>
      </c>
      <c r="C46" s="18" t="s">
        <v>56</v>
      </c>
      <c r="D46" s="19"/>
      <c r="E46" s="19"/>
      <c r="F46" s="19"/>
      <c r="G46" s="20"/>
      <c r="H46" s="21"/>
      <c r="I46" s="22">
        <f t="shared" si="4"/>
        <v>0</v>
      </c>
      <c r="J46" s="22"/>
      <c r="K46" s="11"/>
      <c r="L46" s="22"/>
      <c r="M46" s="22"/>
      <c r="N46" s="22"/>
      <c r="O46" s="22"/>
      <c r="P46" s="22"/>
      <c r="Q46" s="22"/>
      <c r="R46" s="36"/>
      <c r="S46" s="44"/>
      <c r="T46" s="47"/>
      <c r="U46" s="52">
        <f t="shared" si="5"/>
        <v>0</v>
      </c>
      <c r="V46" s="23" t="str">
        <f t="shared" si="3"/>
        <v>OK</v>
      </c>
    </row>
    <row r="47" spans="1:22" hidden="1" x14ac:dyDescent="0.3">
      <c r="A47" s="12" t="s">
        <v>81</v>
      </c>
      <c r="B47" s="62">
        <v>15097</v>
      </c>
      <c r="C47" s="12" t="s">
        <v>56</v>
      </c>
      <c r="D47" s="53"/>
      <c r="E47" s="13"/>
      <c r="F47" s="13"/>
      <c r="G47" s="14"/>
      <c r="H47" s="15"/>
      <c r="I47" s="16">
        <f t="shared" si="4"/>
        <v>0</v>
      </c>
      <c r="J47" s="16"/>
      <c r="K47" s="11"/>
      <c r="L47" s="16"/>
      <c r="M47" s="16"/>
      <c r="N47" s="16"/>
      <c r="O47" s="16"/>
      <c r="P47" s="16"/>
      <c r="Q47" s="16"/>
      <c r="R47" s="35"/>
      <c r="S47" s="43"/>
      <c r="T47" s="46"/>
      <c r="U47" s="51">
        <f t="shared" si="5"/>
        <v>0</v>
      </c>
      <c r="V47" s="17" t="str">
        <f t="shared" si="3"/>
        <v>OK</v>
      </c>
    </row>
    <row r="48" spans="1:22" hidden="1" x14ac:dyDescent="0.3">
      <c r="A48" s="54" t="s">
        <v>76</v>
      </c>
      <c r="B48" s="63">
        <v>5585</v>
      </c>
      <c r="C48" s="18" t="s">
        <v>64</v>
      </c>
      <c r="D48" s="19"/>
      <c r="E48" s="19"/>
      <c r="F48" s="19"/>
      <c r="G48" s="20"/>
      <c r="H48" s="21"/>
      <c r="I48" s="22">
        <f t="shared" si="4"/>
        <v>0</v>
      </c>
      <c r="J48" s="22"/>
      <c r="K48" s="11"/>
      <c r="L48" s="22"/>
      <c r="M48" s="22"/>
      <c r="N48" s="22"/>
      <c r="O48" s="22"/>
      <c r="P48" s="22"/>
      <c r="Q48" s="22"/>
      <c r="R48" s="36"/>
      <c r="S48" s="44"/>
      <c r="T48" s="47"/>
      <c r="U48" s="52">
        <f t="shared" si="5"/>
        <v>0</v>
      </c>
      <c r="V48" s="23" t="str">
        <f t="shared" si="3"/>
        <v>OK</v>
      </c>
    </row>
    <row r="49" spans="1:22" hidden="1" x14ac:dyDescent="0.3">
      <c r="A49" s="12" t="s">
        <v>65</v>
      </c>
      <c r="B49" s="62">
        <v>11351</v>
      </c>
      <c r="C49" s="12" t="s">
        <v>64</v>
      </c>
      <c r="D49" s="53"/>
      <c r="E49" s="13"/>
      <c r="F49" s="13"/>
      <c r="G49" s="14"/>
      <c r="H49" s="15"/>
      <c r="I49" s="16">
        <f t="shared" si="4"/>
        <v>0</v>
      </c>
      <c r="J49" s="16"/>
      <c r="K49" s="11"/>
      <c r="L49" s="16"/>
      <c r="M49" s="16"/>
      <c r="N49" s="16"/>
      <c r="O49" s="16"/>
      <c r="P49" s="16"/>
      <c r="Q49" s="16"/>
      <c r="R49" s="35"/>
      <c r="S49" s="43"/>
      <c r="T49" s="46"/>
      <c r="U49" s="51">
        <f t="shared" si="5"/>
        <v>0</v>
      </c>
      <c r="V49" s="17" t="str">
        <f t="shared" si="3"/>
        <v>OK</v>
      </c>
    </row>
    <row r="50" spans="1:22" hidden="1" x14ac:dyDescent="0.3">
      <c r="A50" s="54" t="s">
        <v>66</v>
      </c>
      <c r="B50" s="63">
        <v>11352</v>
      </c>
      <c r="C50" s="18" t="s">
        <v>64</v>
      </c>
      <c r="D50" s="19"/>
      <c r="E50" s="19"/>
      <c r="F50" s="19"/>
      <c r="G50" s="20"/>
      <c r="H50" s="21"/>
      <c r="I50" s="22">
        <f t="shared" si="4"/>
        <v>0</v>
      </c>
      <c r="J50" s="22"/>
      <c r="K50" s="11"/>
      <c r="L50" s="22"/>
      <c r="M50" s="22"/>
      <c r="N50" s="22"/>
      <c r="O50" s="22"/>
      <c r="P50" s="22"/>
      <c r="Q50" s="22"/>
      <c r="R50" s="36"/>
      <c r="S50" s="44"/>
      <c r="T50" s="47"/>
      <c r="U50" s="52">
        <f t="shared" si="5"/>
        <v>0</v>
      </c>
      <c r="V50" s="23" t="str">
        <f t="shared" si="3"/>
        <v>OK</v>
      </c>
    </row>
    <row r="51" spans="1:22" hidden="1" x14ac:dyDescent="0.3">
      <c r="A51" s="90" t="s">
        <v>102</v>
      </c>
      <c r="B51" s="76">
        <v>13515</v>
      </c>
      <c r="C51" s="70" t="s">
        <v>78</v>
      </c>
      <c r="D51" s="70"/>
      <c r="E51" s="70"/>
      <c r="F51" s="70"/>
      <c r="G51" s="91"/>
      <c r="H51" s="82"/>
      <c r="I51" s="82">
        <f t="shared" si="4"/>
        <v>0</v>
      </c>
      <c r="J51" s="74"/>
      <c r="K51" s="11"/>
      <c r="L51" s="16"/>
      <c r="M51" s="16"/>
      <c r="N51" s="16"/>
      <c r="O51" s="16"/>
      <c r="P51" s="16"/>
      <c r="Q51" s="16"/>
      <c r="R51" s="35"/>
      <c r="S51" s="43"/>
      <c r="T51" s="46"/>
      <c r="U51" s="75">
        <f t="shared" si="5"/>
        <v>0</v>
      </c>
      <c r="V51" s="93" t="str">
        <f t="shared" si="3"/>
        <v>OK</v>
      </c>
    </row>
    <row r="52" spans="1:22" hidden="1" x14ac:dyDescent="0.3">
      <c r="A52" s="54" t="s">
        <v>103</v>
      </c>
      <c r="B52" s="63">
        <v>13516</v>
      </c>
      <c r="C52" s="18" t="s">
        <v>78</v>
      </c>
      <c r="D52" s="18"/>
      <c r="E52" s="18"/>
      <c r="F52" s="18"/>
      <c r="G52" s="92"/>
      <c r="H52" s="22"/>
      <c r="I52" s="22">
        <f t="shared" si="4"/>
        <v>0</v>
      </c>
      <c r="J52" s="69"/>
      <c r="K52" s="11"/>
      <c r="L52" s="22"/>
      <c r="M52" s="22"/>
      <c r="N52" s="22"/>
      <c r="O52" s="22"/>
      <c r="P52" s="22"/>
      <c r="Q52" s="22"/>
      <c r="R52" s="36"/>
      <c r="S52" s="44"/>
      <c r="T52" s="47"/>
      <c r="U52" s="52">
        <f t="shared" si="5"/>
        <v>0</v>
      </c>
      <c r="V52" s="23" t="str">
        <f t="shared" si="3"/>
        <v>OK</v>
      </c>
    </row>
    <row r="53" spans="1:22" hidden="1" x14ac:dyDescent="0.3">
      <c r="A53" s="90" t="s">
        <v>104</v>
      </c>
      <c r="B53" s="76">
        <v>13468</v>
      </c>
      <c r="C53" s="70" t="s">
        <v>78</v>
      </c>
      <c r="D53" s="70"/>
      <c r="E53" s="70"/>
      <c r="F53" s="70"/>
      <c r="G53" s="91"/>
      <c r="H53" s="82"/>
      <c r="I53" s="82">
        <f t="shared" si="4"/>
        <v>0</v>
      </c>
      <c r="J53" s="74"/>
      <c r="K53" s="11"/>
      <c r="L53" s="16"/>
      <c r="M53" s="16"/>
      <c r="N53" s="16"/>
      <c r="O53" s="16"/>
      <c r="P53" s="16"/>
      <c r="Q53" s="16"/>
      <c r="R53" s="35"/>
      <c r="S53" s="43"/>
      <c r="T53" s="46"/>
      <c r="U53" s="75">
        <f t="shared" si="5"/>
        <v>0</v>
      </c>
      <c r="V53" s="93" t="str">
        <f t="shared" si="3"/>
        <v>OK</v>
      </c>
    </row>
    <row r="54" spans="1:22" hidden="1" x14ac:dyDescent="0.3">
      <c r="A54" s="54" t="s">
        <v>79</v>
      </c>
      <c r="B54" s="63">
        <v>13469</v>
      </c>
      <c r="C54" s="18" t="s">
        <v>78</v>
      </c>
      <c r="D54" s="18"/>
      <c r="E54" s="18"/>
      <c r="F54" s="18"/>
      <c r="G54" s="92"/>
      <c r="H54" s="22"/>
      <c r="I54" s="22">
        <f t="shared" si="4"/>
        <v>0</v>
      </c>
      <c r="J54" s="69"/>
      <c r="K54" s="11"/>
      <c r="L54" s="22"/>
      <c r="M54" s="22"/>
      <c r="N54" s="22"/>
      <c r="O54" s="22"/>
      <c r="P54" s="22"/>
      <c r="Q54" s="22"/>
      <c r="R54" s="36"/>
      <c r="S54" s="44"/>
      <c r="T54" s="47"/>
      <c r="U54" s="52">
        <f t="shared" si="5"/>
        <v>0</v>
      </c>
      <c r="V54" s="23" t="str">
        <f t="shared" si="3"/>
        <v>OK</v>
      </c>
    </row>
    <row r="55" spans="1:22" hidden="1" x14ac:dyDescent="0.3">
      <c r="A55" s="90" t="s">
        <v>43</v>
      </c>
      <c r="B55" s="76">
        <v>11820</v>
      </c>
      <c r="C55" s="70" t="s">
        <v>67</v>
      </c>
      <c r="D55" s="70"/>
      <c r="E55" s="70"/>
      <c r="F55" s="70"/>
      <c r="G55" s="91"/>
      <c r="H55" s="82"/>
      <c r="I55" s="82">
        <f t="shared" si="4"/>
        <v>0</v>
      </c>
      <c r="J55" s="74"/>
      <c r="K55" s="11"/>
      <c r="L55" s="16"/>
      <c r="M55" s="16"/>
      <c r="N55" s="16"/>
      <c r="O55" s="16"/>
      <c r="P55" s="16"/>
      <c r="Q55" s="16"/>
      <c r="R55" s="35"/>
      <c r="S55" s="43"/>
      <c r="T55" s="46"/>
      <c r="U55" s="75">
        <f t="shared" si="5"/>
        <v>0</v>
      </c>
      <c r="V55" s="93" t="str">
        <f t="shared" si="3"/>
        <v>OK</v>
      </c>
    </row>
    <row r="56" spans="1:22" hidden="1" x14ac:dyDescent="0.3">
      <c r="A56" s="54" t="s">
        <v>44</v>
      </c>
      <c r="B56" s="63">
        <v>11816</v>
      </c>
      <c r="C56" s="18" t="s">
        <v>67</v>
      </c>
      <c r="D56" s="18"/>
      <c r="E56" s="18"/>
      <c r="F56" s="18"/>
      <c r="G56" s="92"/>
      <c r="H56" s="22"/>
      <c r="I56" s="22">
        <f t="shared" si="4"/>
        <v>0</v>
      </c>
      <c r="J56" s="69"/>
      <c r="K56" s="11"/>
      <c r="L56" s="22"/>
      <c r="M56" s="22"/>
      <c r="N56" s="22"/>
      <c r="O56" s="22"/>
      <c r="P56" s="22"/>
      <c r="Q56" s="22"/>
      <c r="R56" s="36"/>
      <c r="S56" s="44"/>
      <c r="T56" s="47"/>
      <c r="U56" s="52">
        <f>SUM(L56:T56)</f>
        <v>0</v>
      </c>
      <c r="V56" s="23" t="str">
        <f t="shared" si="3"/>
        <v>OK</v>
      </c>
    </row>
    <row r="57" spans="1:22" hidden="1" x14ac:dyDescent="0.3">
      <c r="A57" s="76" t="s">
        <v>77</v>
      </c>
      <c r="B57" s="76">
        <v>11381</v>
      </c>
      <c r="C57" s="77" t="s">
        <v>68</v>
      </c>
      <c r="D57" s="70"/>
      <c r="E57" s="70"/>
      <c r="F57" s="70"/>
      <c r="G57" s="91"/>
      <c r="H57" s="82"/>
      <c r="I57" s="82">
        <f t="shared" si="4"/>
        <v>0</v>
      </c>
      <c r="J57" s="74"/>
      <c r="K57" s="11"/>
      <c r="L57" s="16"/>
      <c r="M57" s="16"/>
      <c r="N57" s="16"/>
      <c r="O57" s="16"/>
      <c r="P57" s="16"/>
      <c r="Q57" s="16"/>
      <c r="R57" s="35"/>
      <c r="S57" s="43"/>
      <c r="T57" s="46"/>
      <c r="U57" s="75">
        <f>SUM(L57:T57)</f>
        <v>0</v>
      </c>
      <c r="V57" s="93" t="str">
        <f t="shared" si="3"/>
        <v>OK</v>
      </c>
    </row>
    <row r="58" spans="1:22" hidden="1" x14ac:dyDescent="0.3">
      <c r="A58" s="54" t="s">
        <v>69</v>
      </c>
      <c r="B58" s="63">
        <v>11382</v>
      </c>
      <c r="C58" s="18" t="s">
        <v>68</v>
      </c>
      <c r="D58" s="18"/>
      <c r="E58" s="18"/>
      <c r="F58" s="18"/>
      <c r="G58" s="92"/>
      <c r="H58" s="22"/>
      <c r="I58" s="22">
        <f t="shared" si="4"/>
        <v>0</v>
      </c>
      <c r="J58" s="69"/>
      <c r="K58" s="11"/>
      <c r="L58" s="22"/>
      <c r="M58" s="22"/>
      <c r="N58" s="22"/>
      <c r="O58" s="22"/>
      <c r="P58" s="22"/>
      <c r="Q58" s="22"/>
      <c r="R58" s="36"/>
      <c r="S58" s="44"/>
      <c r="T58" s="47"/>
      <c r="U58" s="52">
        <f>SUM(L58:T58)</f>
        <v>0</v>
      </c>
      <c r="V58" s="23" t="str">
        <f t="shared" si="3"/>
        <v>OK</v>
      </c>
    </row>
    <row r="59" spans="1:22" hidden="1" x14ac:dyDescent="0.3">
      <c r="A59" s="96" t="s">
        <v>105</v>
      </c>
      <c r="B59" s="76">
        <v>16586</v>
      </c>
      <c r="C59" s="70" t="s">
        <v>78</v>
      </c>
      <c r="D59" s="70"/>
      <c r="E59" s="70"/>
      <c r="F59" s="70"/>
      <c r="G59" s="91"/>
      <c r="H59" s="82"/>
      <c r="I59" s="82">
        <f t="shared" si="4"/>
        <v>0</v>
      </c>
      <c r="J59" s="74"/>
      <c r="K59" s="11"/>
      <c r="L59" s="16"/>
      <c r="M59" s="16"/>
      <c r="N59" s="16"/>
      <c r="O59" s="16"/>
      <c r="P59" s="16"/>
      <c r="Q59" s="16"/>
      <c r="R59" s="35"/>
      <c r="S59" s="43"/>
      <c r="T59" s="46"/>
      <c r="U59" s="75">
        <f t="shared" ref="U59:U69" si="6">SUM(L59:T59)</f>
        <v>0</v>
      </c>
      <c r="V59" s="93" t="str">
        <f t="shared" si="3"/>
        <v>OK</v>
      </c>
    </row>
    <row r="60" spans="1:22" hidden="1" x14ac:dyDescent="0.3">
      <c r="A60" s="54" t="s">
        <v>90</v>
      </c>
      <c r="B60" s="63">
        <v>16587</v>
      </c>
      <c r="C60" s="18" t="s">
        <v>78</v>
      </c>
      <c r="D60" s="18"/>
      <c r="E60" s="18"/>
      <c r="F60" s="18"/>
      <c r="G60" s="92"/>
      <c r="H60" s="22"/>
      <c r="I60" s="22">
        <f t="shared" si="4"/>
        <v>0</v>
      </c>
      <c r="J60" s="69"/>
      <c r="K60" s="11"/>
      <c r="L60" s="22"/>
      <c r="M60" s="22"/>
      <c r="N60" s="22"/>
      <c r="O60" s="22"/>
      <c r="P60" s="22"/>
      <c r="Q60" s="22"/>
      <c r="R60" s="36"/>
      <c r="S60" s="44"/>
      <c r="T60" s="47"/>
      <c r="U60" s="52">
        <f t="shared" si="6"/>
        <v>0</v>
      </c>
      <c r="V60" s="23" t="str">
        <f t="shared" si="3"/>
        <v>OK</v>
      </c>
    </row>
    <row r="61" spans="1:22" hidden="1" x14ac:dyDescent="0.3">
      <c r="A61" s="90" t="s">
        <v>91</v>
      </c>
      <c r="B61" s="76">
        <v>17121</v>
      </c>
      <c r="C61" s="70" t="s">
        <v>92</v>
      </c>
      <c r="D61" s="70"/>
      <c r="E61" s="70"/>
      <c r="F61" s="70"/>
      <c r="G61" s="91"/>
      <c r="H61" s="82"/>
      <c r="I61" s="82">
        <f t="shared" si="4"/>
        <v>0</v>
      </c>
      <c r="J61" s="74"/>
      <c r="K61" s="11"/>
      <c r="L61" s="16"/>
      <c r="M61" s="16"/>
      <c r="N61" s="16"/>
      <c r="O61" s="16"/>
      <c r="P61" s="16"/>
      <c r="Q61" s="16"/>
      <c r="R61" s="35"/>
      <c r="S61" s="43"/>
      <c r="T61" s="46"/>
      <c r="U61" s="75">
        <f t="shared" si="6"/>
        <v>0</v>
      </c>
      <c r="V61" s="93" t="str">
        <f t="shared" si="3"/>
        <v>OK</v>
      </c>
    </row>
    <row r="62" spans="1:22" hidden="1" x14ac:dyDescent="0.3">
      <c r="A62" s="54" t="s">
        <v>106</v>
      </c>
      <c r="B62" s="63">
        <v>19270</v>
      </c>
      <c r="C62" s="18" t="s">
        <v>68</v>
      </c>
      <c r="D62" s="18"/>
      <c r="E62" s="18"/>
      <c r="F62" s="18"/>
      <c r="G62" s="92"/>
      <c r="H62" s="22"/>
      <c r="I62" s="22">
        <f t="shared" si="4"/>
        <v>0</v>
      </c>
      <c r="J62" s="69"/>
      <c r="K62" s="11"/>
      <c r="L62" s="22"/>
      <c r="M62" s="22"/>
      <c r="N62" s="22"/>
      <c r="O62" s="22"/>
      <c r="P62" s="22"/>
      <c r="Q62" s="22"/>
      <c r="R62" s="36"/>
      <c r="S62" s="44"/>
      <c r="T62" s="47"/>
      <c r="U62" s="71">
        <f t="shared" si="6"/>
        <v>0</v>
      </c>
      <c r="V62" s="23" t="str">
        <f t="shared" si="3"/>
        <v>OK</v>
      </c>
    </row>
    <row r="63" spans="1:22" hidden="1" x14ac:dyDescent="0.3">
      <c r="A63" s="90" t="s">
        <v>107</v>
      </c>
      <c r="B63" s="76">
        <v>19276</v>
      </c>
      <c r="C63" s="70" t="s">
        <v>68</v>
      </c>
      <c r="D63" s="70"/>
      <c r="E63" s="70"/>
      <c r="F63" s="70"/>
      <c r="G63" s="91"/>
      <c r="H63" s="82"/>
      <c r="I63" s="82">
        <f t="shared" si="4"/>
        <v>0</v>
      </c>
      <c r="J63" s="74"/>
      <c r="K63" s="11"/>
      <c r="L63" s="16"/>
      <c r="M63" s="16"/>
      <c r="N63" s="16"/>
      <c r="O63" s="16"/>
      <c r="P63" s="16"/>
      <c r="Q63" s="16"/>
      <c r="R63" s="35"/>
      <c r="S63" s="43"/>
      <c r="T63" s="46"/>
      <c r="U63" s="75">
        <f t="shared" si="6"/>
        <v>0</v>
      </c>
      <c r="V63" s="93" t="str">
        <f t="shared" si="3"/>
        <v>OK</v>
      </c>
    </row>
    <row r="64" spans="1:22" hidden="1" x14ac:dyDescent="0.3">
      <c r="A64" s="54" t="s">
        <v>108</v>
      </c>
      <c r="B64" s="63">
        <v>19836</v>
      </c>
      <c r="C64" s="18" t="s">
        <v>45</v>
      </c>
      <c r="D64" s="18"/>
      <c r="E64" s="18"/>
      <c r="F64" s="18"/>
      <c r="G64" s="92"/>
      <c r="H64" s="22"/>
      <c r="I64" s="22">
        <f t="shared" si="4"/>
        <v>0</v>
      </c>
      <c r="J64" s="69"/>
      <c r="K64" s="11"/>
      <c r="L64" s="22"/>
      <c r="M64" s="22"/>
      <c r="N64" s="22"/>
      <c r="O64" s="22"/>
      <c r="P64" s="22"/>
      <c r="Q64" s="22"/>
      <c r="R64" s="36"/>
      <c r="S64" s="44"/>
      <c r="T64" s="47"/>
      <c r="U64" s="52">
        <f t="shared" si="6"/>
        <v>0</v>
      </c>
      <c r="V64" s="23" t="str">
        <f t="shared" si="3"/>
        <v>OK</v>
      </c>
    </row>
    <row r="65" spans="1:22" hidden="1" x14ac:dyDescent="0.3">
      <c r="A65" s="90" t="s">
        <v>109</v>
      </c>
      <c r="B65" s="76">
        <v>20278</v>
      </c>
      <c r="C65" s="70" t="s">
        <v>110</v>
      </c>
      <c r="D65" s="70"/>
      <c r="E65" s="70"/>
      <c r="F65" s="70"/>
      <c r="G65" s="91"/>
      <c r="H65" s="82"/>
      <c r="I65" s="82">
        <f t="shared" si="4"/>
        <v>0</v>
      </c>
      <c r="J65" s="74"/>
      <c r="K65" s="11"/>
      <c r="L65" s="16"/>
      <c r="M65" s="16"/>
      <c r="N65" s="16"/>
      <c r="O65" s="16"/>
      <c r="P65" s="16"/>
      <c r="Q65" s="16"/>
      <c r="R65" s="35"/>
      <c r="S65" s="43"/>
      <c r="T65" s="46"/>
      <c r="U65" s="75">
        <f t="shared" si="6"/>
        <v>0</v>
      </c>
      <c r="V65" s="93" t="str">
        <f t="shared" si="3"/>
        <v>OK</v>
      </c>
    </row>
    <row r="66" spans="1:22" hidden="1" x14ac:dyDescent="0.3">
      <c r="A66" s="54" t="s">
        <v>111</v>
      </c>
      <c r="B66" s="63">
        <v>20272</v>
      </c>
      <c r="C66" s="18" t="s">
        <v>110</v>
      </c>
      <c r="D66" s="18"/>
      <c r="E66" s="18"/>
      <c r="F66" s="18"/>
      <c r="G66" s="92"/>
      <c r="H66" s="22"/>
      <c r="I66" s="22">
        <f t="shared" si="4"/>
        <v>0</v>
      </c>
      <c r="J66" s="69"/>
      <c r="K66" s="11"/>
      <c r="L66" s="22"/>
      <c r="M66" s="22"/>
      <c r="N66" s="22"/>
      <c r="O66" s="22"/>
      <c r="P66" s="22"/>
      <c r="Q66" s="22"/>
      <c r="R66" s="36"/>
      <c r="S66" s="44"/>
      <c r="T66" s="47"/>
      <c r="U66" s="52">
        <f t="shared" si="6"/>
        <v>0</v>
      </c>
      <c r="V66" s="23" t="str">
        <f t="shared" si="3"/>
        <v>OK</v>
      </c>
    </row>
    <row r="67" spans="1:22" hidden="1" x14ac:dyDescent="0.3">
      <c r="A67" s="90" t="s">
        <v>112</v>
      </c>
      <c r="B67" s="76">
        <v>20956</v>
      </c>
      <c r="C67" s="70" t="s">
        <v>110</v>
      </c>
      <c r="D67" s="70"/>
      <c r="E67" s="70"/>
      <c r="F67" s="70"/>
      <c r="G67" s="91"/>
      <c r="H67" s="82"/>
      <c r="I67" s="82">
        <f t="shared" si="4"/>
        <v>0</v>
      </c>
      <c r="J67" s="74"/>
      <c r="K67" s="11"/>
      <c r="L67" s="16"/>
      <c r="M67" s="16"/>
      <c r="N67" s="16"/>
      <c r="O67" s="16"/>
      <c r="P67" s="16"/>
      <c r="Q67" s="16"/>
      <c r="R67" s="35"/>
      <c r="S67" s="43"/>
      <c r="T67" s="46"/>
      <c r="U67" s="75">
        <f t="shared" si="6"/>
        <v>0</v>
      </c>
      <c r="V67" s="93" t="str">
        <f t="shared" si="3"/>
        <v>OK</v>
      </c>
    </row>
    <row r="68" spans="1:22" hidden="1" x14ac:dyDescent="0.3">
      <c r="A68" s="54" t="s">
        <v>116</v>
      </c>
      <c r="B68" s="63">
        <v>21299</v>
      </c>
      <c r="C68" s="18" t="s">
        <v>78</v>
      </c>
      <c r="D68" s="18"/>
      <c r="E68" s="18"/>
      <c r="F68" s="18"/>
      <c r="G68" s="92"/>
      <c r="H68" s="22"/>
      <c r="I68" s="22">
        <f t="shared" si="4"/>
        <v>0</v>
      </c>
      <c r="J68" s="69"/>
      <c r="K68" s="11"/>
      <c r="L68" s="22"/>
      <c r="M68" s="22"/>
      <c r="N68" s="22"/>
      <c r="O68" s="22"/>
      <c r="P68" s="22"/>
      <c r="Q68" s="22"/>
      <c r="R68" s="36"/>
      <c r="S68" s="44"/>
      <c r="T68" s="47"/>
      <c r="U68" s="71">
        <f t="shared" si="6"/>
        <v>0</v>
      </c>
      <c r="V68" s="23" t="str">
        <f>IF(U68=I68,"OK","NG")</f>
        <v>OK</v>
      </c>
    </row>
    <row r="69" spans="1:22" hidden="1" x14ac:dyDescent="0.3">
      <c r="A69" s="99" t="s">
        <v>117</v>
      </c>
      <c r="B69" s="76">
        <v>22115</v>
      </c>
      <c r="C69" s="82" t="s">
        <v>118</v>
      </c>
      <c r="D69" s="82"/>
      <c r="E69" s="82"/>
      <c r="F69" s="82"/>
      <c r="G69" s="82"/>
      <c r="H69" s="82"/>
      <c r="I69" s="82">
        <f t="shared" si="4"/>
        <v>0</v>
      </c>
      <c r="J69" s="97"/>
      <c r="K69" s="112"/>
      <c r="L69" s="82"/>
      <c r="M69" s="82"/>
      <c r="N69" s="82"/>
      <c r="O69" s="82"/>
      <c r="P69" s="82"/>
      <c r="Q69" s="82"/>
      <c r="R69" s="83"/>
      <c r="S69" s="84"/>
      <c r="T69" s="100"/>
      <c r="U69" s="75">
        <f t="shared" si="6"/>
        <v>0</v>
      </c>
      <c r="V69" s="93" t="str">
        <f>IF(U69=I69,"OK","NG")</f>
        <v>OK</v>
      </c>
    </row>
    <row r="70" spans="1:22" hidden="1" x14ac:dyDescent="0.3">
      <c r="A70" s="54" t="s">
        <v>120</v>
      </c>
      <c r="B70" s="63">
        <v>22706</v>
      </c>
      <c r="C70" s="18" t="s">
        <v>119</v>
      </c>
      <c r="D70" s="18"/>
      <c r="E70" s="18"/>
      <c r="F70" s="18"/>
      <c r="G70" s="92"/>
      <c r="H70" s="22"/>
      <c r="I70" s="22">
        <f t="shared" si="4"/>
        <v>0</v>
      </c>
      <c r="J70" s="69"/>
      <c r="K70" s="11"/>
      <c r="L70" s="22"/>
      <c r="M70" s="22"/>
      <c r="N70" s="22"/>
      <c r="O70" s="22"/>
      <c r="P70" s="22"/>
      <c r="Q70" s="22"/>
      <c r="R70" s="36"/>
      <c r="S70" s="44"/>
      <c r="T70" s="47"/>
      <c r="U70" s="71">
        <f t="shared" ref="U70" si="7">SUM(L70:T70)</f>
        <v>0</v>
      </c>
      <c r="V70" s="23" t="str">
        <f>IF(U70=I70,"OK","NG")</f>
        <v>OK</v>
      </c>
    </row>
    <row r="71" spans="1:22" hidden="1" x14ac:dyDescent="0.3">
      <c r="A71" s="99" t="s">
        <v>121</v>
      </c>
      <c r="B71" s="76">
        <v>22886</v>
      </c>
      <c r="C71" s="82" t="s">
        <v>46</v>
      </c>
      <c r="D71" s="82"/>
      <c r="E71" s="82"/>
      <c r="F71" s="82"/>
      <c r="G71" s="82"/>
      <c r="H71" s="82"/>
      <c r="I71" s="82">
        <f t="shared" ref="I71:I80" si="8">SUM(L71:T71)</f>
        <v>0</v>
      </c>
      <c r="J71" s="97"/>
      <c r="K71" s="112"/>
      <c r="L71" s="82"/>
      <c r="M71" s="82"/>
      <c r="N71" s="82"/>
      <c r="O71" s="82"/>
      <c r="P71" s="82"/>
      <c r="Q71" s="82"/>
      <c r="R71" s="83"/>
      <c r="S71" s="84"/>
      <c r="T71" s="100"/>
      <c r="U71" s="75">
        <f>SUM(L71:T71)</f>
        <v>0</v>
      </c>
      <c r="V71" s="93" t="str">
        <f>IF(U71=I71,"OK","NG")</f>
        <v>OK</v>
      </c>
    </row>
    <row r="72" spans="1:22" hidden="1" x14ac:dyDescent="0.3">
      <c r="A72" s="54" t="s">
        <v>122</v>
      </c>
      <c r="B72" s="63">
        <v>17528</v>
      </c>
      <c r="C72" s="18" t="s">
        <v>123</v>
      </c>
      <c r="D72" s="18"/>
      <c r="E72" s="18"/>
      <c r="F72" s="18"/>
      <c r="G72" s="92"/>
      <c r="H72" s="22"/>
      <c r="I72" s="22">
        <f t="shared" si="8"/>
        <v>0</v>
      </c>
      <c r="J72" s="69"/>
      <c r="K72" s="11"/>
      <c r="L72" s="22"/>
      <c r="M72" s="22"/>
      <c r="N72" s="22"/>
      <c r="O72" s="22"/>
      <c r="P72" s="22"/>
      <c r="Q72" s="22"/>
      <c r="R72" s="36"/>
      <c r="S72" s="44"/>
      <c r="T72" s="47"/>
      <c r="U72" s="71">
        <f t="shared" ref="U72:U80" si="9">SUM(L72:T72)</f>
        <v>0</v>
      </c>
      <c r="V72" s="95" t="str">
        <f t="shared" ref="V72:V80" si="10">IF(U72=I72,"OK","NG")</f>
        <v>OK</v>
      </c>
    </row>
    <row r="73" spans="1:22" x14ac:dyDescent="0.3">
      <c r="A73" s="99" t="s">
        <v>124</v>
      </c>
      <c r="B73" s="76">
        <v>22380</v>
      </c>
      <c r="C73" s="82" t="s">
        <v>47</v>
      </c>
      <c r="D73" s="82"/>
      <c r="E73" s="82"/>
      <c r="F73" s="82"/>
      <c r="G73" s="82"/>
      <c r="H73" s="82"/>
      <c r="I73" s="82">
        <f t="shared" si="8"/>
        <v>0</v>
      </c>
      <c r="J73" s="97"/>
      <c r="K73" s="112"/>
      <c r="L73" s="82"/>
      <c r="M73" s="82"/>
      <c r="N73" s="82"/>
      <c r="O73" s="82"/>
      <c r="P73" s="82"/>
      <c r="Q73" s="82"/>
      <c r="R73" s="83"/>
      <c r="S73" s="84"/>
      <c r="T73" s="100"/>
      <c r="U73" s="75">
        <f t="shared" si="9"/>
        <v>0</v>
      </c>
      <c r="V73" s="93" t="str">
        <f t="shared" si="10"/>
        <v>OK</v>
      </c>
    </row>
    <row r="74" spans="1:22" hidden="1" x14ac:dyDescent="0.3">
      <c r="A74" s="54" t="s">
        <v>125</v>
      </c>
      <c r="B74" s="63">
        <v>19279</v>
      </c>
      <c r="C74" s="18" t="s">
        <v>126</v>
      </c>
      <c r="D74" s="18"/>
      <c r="E74" s="18"/>
      <c r="F74" s="18"/>
      <c r="G74" s="92"/>
      <c r="H74" s="22"/>
      <c r="I74" s="22">
        <f t="shared" si="8"/>
        <v>0</v>
      </c>
      <c r="J74" s="69"/>
      <c r="K74" s="11"/>
      <c r="L74" s="22"/>
      <c r="M74" s="22"/>
      <c r="N74" s="22"/>
      <c r="O74" s="22"/>
      <c r="P74" s="22"/>
      <c r="Q74" s="22"/>
      <c r="R74" s="36"/>
      <c r="S74" s="44"/>
      <c r="T74" s="47"/>
      <c r="U74" s="71">
        <f t="shared" si="9"/>
        <v>0</v>
      </c>
      <c r="V74" s="95" t="str">
        <f t="shared" si="10"/>
        <v>OK</v>
      </c>
    </row>
    <row r="75" spans="1:22" hidden="1" x14ac:dyDescent="0.3">
      <c r="A75" s="90" t="s">
        <v>131</v>
      </c>
      <c r="B75" s="76">
        <v>22724</v>
      </c>
      <c r="C75" s="70" t="s">
        <v>119</v>
      </c>
      <c r="D75" s="70"/>
      <c r="E75" s="70"/>
      <c r="F75" s="70"/>
      <c r="G75" s="91"/>
      <c r="H75" s="82"/>
      <c r="I75" s="82">
        <v>0</v>
      </c>
      <c r="J75" s="74"/>
      <c r="K75" s="11"/>
      <c r="L75" s="82"/>
      <c r="M75" s="82"/>
      <c r="N75" s="82"/>
      <c r="O75" s="82"/>
      <c r="P75" s="82"/>
      <c r="Q75" s="82"/>
      <c r="R75" s="83"/>
      <c r="S75" s="84"/>
      <c r="T75" s="85"/>
      <c r="U75" s="75">
        <v>0</v>
      </c>
      <c r="V75" s="93" t="s">
        <v>129</v>
      </c>
    </row>
    <row r="76" spans="1:22" hidden="1" x14ac:dyDescent="0.3">
      <c r="A76" s="54" t="s">
        <v>132</v>
      </c>
      <c r="B76" s="63">
        <v>22705</v>
      </c>
      <c r="C76" s="18" t="s">
        <v>119</v>
      </c>
      <c r="D76" s="18"/>
      <c r="E76" s="18"/>
      <c r="F76" s="18"/>
      <c r="G76" s="92"/>
      <c r="H76" s="22"/>
      <c r="I76" s="22">
        <f t="shared" si="8"/>
        <v>0</v>
      </c>
      <c r="J76" s="69"/>
      <c r="K76" s="11"/>
      <c r="L76" s="22"/>
      <c r="M76" s="22"/>
      <c r="N76" s="22"/>
      <c r="O76" s="22"/>
      <c r="P76" s="22"/>
      <c r="Q76" s="22"/>
      <c r="R76" s="36"/>
      <c r="S76" s="44"/>
      <c r="T76" s="47"/>
      <c r="U76" s="71">
        <f t="shared" si="9"/>
        <v>0</v>
      </c>
      <c r="V76" s="95" t="str">
        <f t="shared" si="10"/>
        <v>OK</v>
      </c>
    </row>
    <row r="77" spans="1:22" ht="17.25" thickBot="1" x14ac:dyDescent="0.35">
      <c r="A77" s="99" t="s">
        <v>128</v>
      </c>
      <c r="B77" s="76">
        <v>5655</v>
      </c>
      <c r="C77" s="82" t="s">
        <v>54</v>
      </c>
      <c r="D77" s="82"/>
      <c r="E77" s="82"/>
      <c r="F77" s="82"/>
      <c r="G77" s="82"/>
      <c r="H77" s="82"/>
      <c r="I77" s="82">
        <f t="shared" si="8"/>
        <v>0</v>
      </c>
      <c r="J77" s="97"/>
      <c r="K77" s="112"/>
      <c r="L77" s="82"/>
      <c r="M77" s="82"/>
      <c r="N77" s="82"/>
      <c r="O77" s="82"/>
      <c r="P77" s="82"/>
      <c r="Q77" s="82"/>
      <c r="R77" s="83"/>
      <c r="S77" s="84"/>
      <c r="T77" s="100"/>
      <c r="U77" s="75">
        <f t="shared" si="9"/>
        <v>0</v>
      </c>
      <c r="V77" s="93" t="str">
        <f t="shared" si="10"/>
        <v>OK</v>
      </c>
    </row>
    <row r="78" spans="1:22" ht="17.25" hidden="1" thickBot="1" x14ac:dyDescent="0.35">
      <c r="A78" s="120" t="s">
        <v>136</v>
      </c>
      <c r="B78" s="121">
        <v>22704</v>
      </c>
      <c r="C78" s="122" t="s">
        <v>137</v>
      </c>
      <c r="D78" s="122"/>
      <c r="E78" s="122"/>
      <c r="F78" s="122"/>
      <c r="G78" s="122"/>
      <c r="H78" s="122"/>
      <c r="I78" s="22">
        <f t="shared" si="8"/>
        <v>0</v>
      </c>
      <c r="J78" s="45"/>
      <c r="K78" s="112"/>
      <c r="L78" s="22"/>
      <c r="M78" s="22"/>
      <c r="N78" s="22"/>
      <c r="O78" s="22"/>
      <c r="P78" s="22"/>
      <c r="Q78" s="22"/>
      <c r="R78" s="36"/>
      <c r="S78" s="44"/>
      <c r="T78" s="116"/>
      <c r="U78" s="71">
        <f t="shared" si="9"/>
        <v>0</v>
      </c>
      <c r="V78" s="95" t="str">
        <f t="shared" si="10"/>
        <v>OK</v>
      </c>
    </row>
    <row r="79" spans="1:22" ht="17.25" hidden="1" thickBot="1" x14ac:dyDescent="0.35">
      <c r="A79" s="136" t="s">
        <v>139</v>
      </c>
      <c r="B79" s="133">
        <v>22722</v>
      </c>
      <c r="C79" s="137" t="s">
        <v>119</v>
      </c>
      <c r="D79" s="137"/>
      <c r="E79" s="137"/>
      <c r="F79" s="137"/>
      <c r="G79" s="137"/>
      <c r="H79" s="137"/>
      <c r="I79" s="82">
        <f t="shared" si="8"/>
        <v>0</v>
      </c>
      <c r="J79" s="97"/>
      <c r="K79" s="119"/>
      <c r="L79" s="82"/>
      <c r="M79" s="82"/>
      <c r="N79" s="82"/>
      <c r="O79" s="82"/>
      <c r="P79" s="82"/>
      <c r="Q79" s="82"/>
      <c r="R79" s="83"/>
      <c r="S79" s="84"/>
      <c r="T79" s="100"/>
      <c r="U79" s="75">
        <f t="shared" si="9"/>
        <v>0</v>
      </c>
      <c r="V79" s="93" t="str">
        <f t="shared" si="10"/>
        <v>OK</v>
      </c>
    </row>
    <row r="80" spans="1:22" ht="17.25" hidden="1" thickBot="1" x14ac:dyDescent="0.35">
      <c r="A80" s="126" t="s">
        <v>134</v>
      </c>
      <c r="B80" s="127">
        <v>22723</v>
      </c>
      <c r="C80" s="128" t="s">
        <v>119</v>
      </c>
      <c r="D80" s="128"/>
      <c r="E80" s="128"/>
      <c r="F80" s="128"/>
      <c r="G80" s="128"/>
      <c r="H80" s="128"/>
      <c r="I80" s="128">
        <f t="shared" si="8"/>
        <v>0</v>
      </c>
      <c r="J80" s="45"/>
      <c r="K80" s="112"/>
      <c r="L80" s="22"/>
      <c r="M80" s="22"/>
      <c r="N80" s="22"/>
      <c r="O80" s="22"/>
      <c r="P80" s="22"/>
      <c r="Q80" s="22"/>
      <c r="R80" s="36"/>
      <c r="S80" s="44"/>
      <c r="T80" s="116"/>
      <c r="U80" s="52">
        <f t="shared" si="9"/>
        <v>0</v>
      </c>
      <c r="V80" s="23" t="str">
        <f t="shared" si="10"/>
        <v>OK</v>
      </c>
    </row>
    <row r="81" spans="1:22" x14ac:dyDescent="0.3">
      <c r="A81" s="86"/>
      <c r="B81" s="86"/>
      <c r="C81" s="87" t="s">
        <v>9</v>
      </c>
      <c r="D81" s="87"/>
      <c r="E81" s="87"/>
      <c r="F81" s="87"/>
      <c r="G81" s="88">
        <f>SUM(G6:G49)</f>
        <v>0</v>
      </c>
      <c r="H81" s="89">
        <f>SUM(H6:H49)</f>
        <v>0</v>
      </c>
      <c r="I81" s="88">
        <f>SUM(I6:I80)</f>
        <v>0</v>
      </c>
      <c r="J81" s="40">
        <f>SUM(J6:J49)</f>
        <v>0</v>
      </c>
      <c r="K81" s="115">
        <f>SUM(K6:K51)</f>
        <v>0</v>
      </c>
      <c r="L81" s="38">
        <f>SUM(L6:L80)</f>
        <v>0</v>
      </c>
      <c r="M81" s="38">
        <f t="shared" ref="M81:U81" si="11">SUM(M6:M80)</f>
        <v>0</v>
      </c>
      <c r="N81" s="38">
        <f t="shared" si="11"/>
        <v>0</v>
      </c>
      <c r="O81" s="38">
        <f t="shared" si="11"/>
        <v>0</v>
      </c>
      <c r="P81" s="38">
        <f t="shared" si="11"/>
        <v>0</v>
      </c>
      <c r="Q81" s="38">
        <f t="shared" si="11"/>
        <v>0</v>
      </c>
      <c r="R81" s="38">
        <f t="shared" si="11"/>
        <v>0</v>
      </c>
      <c r="S81" s="38">
        <f t="shared" si="11"/>
        <v>0</v>
      </c>
      <c r="T81" s="38">
        <f t="shared" si="11"/>
        <v>0</v>
      </c>
      <c r="U81" s="38">
        <f t="shared" si="11"/>
        <v>0</v>
      </c>
      <c r="V81" s="41" t="str">
        <f>IF(U81=SUM(I81),"OK","NG")</f>
        <v>OK</v>
      </c>
    </row>
  </sheetData>
  <autoFilter ref="A5:V81" xr:uid="{00000000-0001-0000-0400-000000000000}">
    <filterColumn colId="8">
      <filters>
        <filter val="13"/>
        <filter val="3"/>
        <filter val="35"/>
        <filter val="5"/>
        <filter val="9"/>
      </filters>
    </filterColumn>
  </autoFilter>
  <mergeCells count="20">
    <mergeCell ref="O4:O5"/>
    <mergeCell ref="P4:P5"/>
    <mergeCell ref="B3:C3"/>
    <mergeCell ref="N4:N5"/>
    <mergeCell ref="B1:C1"/>
    <mergeCell ref="F1:G1"/>
    <mergeCell ref="H1:J3"/>
    <mergeCell ref="B2:C2"/>
    <mergeCell ref="A4:D4"/>
    <mergeCell ref="E4:G4"/>
    <mergeCell ref="H4:J4"/>
    <mergeCell ref="L4:L5"/>
    <mergeCell ref="M4:M5"/>
    <mergeCell ref="Q4:Q5"/>
    <mergeCell ref="R4:R5"/>
    <mergeCell ref="S4:S5"/>
    <mergeCell ref="T4:T5"/>
    <mergeCell ref="V2:V3"/>
    <mergeCell ref="U4:U5"/>
    <mergeCell ref="V4:V5"/>
  </mergeCells>
  <phoneticPr fontId="3" type="noConversion"/>
  <conditionalFormatting sqref="A4 V6:V81">
    <cfRule type="containsText" dxfId="57" priority="5" operator="containsText" text="NG">
      <formula>NOT(ISERROR(SEARCH("NG",A4)))</formula>
    </cfRule>
    <cfRule type="containsText" dxfId="56" priority="6" operator="containsText" text="OK">
      <formula>NOT(ISERROR(SEARCH("OK",A4)))</formula>
    </cfRule>
  </conditionalFormatting>
  <pageMargins left="0.70866141732283472" right="0.70866141732283472" top="0.74803149606299213" bottom="0.74803149606299213" header="0.31496062992125984" footer="0.31496062992125984"/>
  <pageSetup paperSize="8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 filterMode="1">
    <pageSetUpPr fitToPage="1"/>
  </sheetPr>
  <dimension ref="A1:V81"/>
  <sheetViews>
    <sheetView showGridLines="0" zoomScale="85" zoomScaleNormal="85" workbookViewId="0">
      <pane ySplit="5" topLeftCell="A22" activePane="bottomLeft" state="frozen"/>
      <selection activeCell="W73" sqref="W73"/>
      <selection pane="bottomLeft" activeCell="L90" sqref="L90"/>
    </sheetView>
  </sheetViews>
  <sheetFormatPr defaultColWidth="9" defaultRowHeight="16.5" x14ac:dyDescent="0.3"/>
  <cols>
    <col min="1" max="1" width="12.625" bestFit="1" customWidth="1"/>
    <col min="2" max="2" width="14.125" bestFit="1" customWidth="1"/>
    <col min="3" max="3" width="35.125" customWidth="1"/>
    <col min="4" max="4" width="11.75" hidden="1" customWidth="1"/>
    <col min="5" max="6" width="9" hidden="1" customWidth="1"/>
    <col min="7" max="7" width="15.375" hidden="1" customWidth="1"/>
    <col min="8" max="8" width="13.25" hidden="1" customWidth="1"/>
    <col min="9" max="9" width="13.25" customWidth="1"/>
    <col min="10" max="10" width="13.25" hidden="1" customWidth="1"/>
    <col min="11" max="11" width="0.875" customWidth="1"/>
    <col min="20" max="20" width="11" bestFit="1" customWidth="1"/>
  </cols>
  <sheetData>
    <row r="1" spans="1:22" ht="22.5" customHeight="1" thickBot="1" x14ac:dyDescent="0.35">
      <c r="A1" s="32" t="s">
        <v>28</v>
      </c>
      <c r="B1" s="153">
        <f>H69</f>
        <v>0</v>
      </c>
      <c r="C1" s="154"/>
      <c r="D1" s="55"/>
      <c r="E1" s="58" t="s">
        <v>1</v>
      </c>
      <c r="F1" s="155">
        <f>G69</f>
        <v>0</v>
      </c>
      <c r="G1" s="155"/>
      <c r="H1" s="156"/>
      <c r="I1" s="156"/>
      <c r="J1" s="156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22.5" customHeight="1" thickBot="1" x14ac:dyDescent="0.35">
      <c r="A2" s="32" t="s">
        <v>29</v>
      </c>
      <c r="B2" s="158">
        <f>I81</f>
        <v>33</v>
      </c>
      <c r="C2" s="159"/>
      <c r="D2" s="56"/>
      <c r="E2" s="59"/>
      <c r="F2" s="2"/>
      <c r="G2" s="2"/>
      <c r="H2" s="156"/>
      <c r="I2" s="156"/>
      <c r="J2" s="156"/>
      <c r="K2" s="113"/>
      <c r="L2" s="3">
        <f>SUBTOTAL(9,L6:L80)</f>
        <v>0</v>
      </c>
      <c r="M2" s="3">
        <f t="shared" ref="M2:T2" si="0">SUBTOTAL(9,M6:M80)</f>
        <v>33</v>
      </c>
      <c r="N2" s="3">
        <f t="shared" si="0"/>
        <v>0</v>
      </c>
      <c r="O2" s="3">
        <f t="shared" si="0"/>
        <v>0</v>
      </c>
      <c r="P2" s="3">
        <f t="shared" si="0"/>
        <v>0</v>
      </c>
      <c r="Q2" s="3">
        <f t="shared" si="0"/>
        <v>0</v>
      </c>
      <c r="R2" s="3">
        <f t="shared" si="0"/>
        <v>0</v>
      </c>
      <c r="S2" s="3">
        <f t="shared" si="0"/>
        <v>0</v>
      </c>
      <c r="T2" s="3">
        <f t="shared" si="0"/>
        <v>0</v>
      </c>
      <c r="U2" s="48">
        <f>SUBTOTAL(9,U6:U80)</f>
        <v>33</v>
      </c>
      <c r="V2" s="145"/>
    </row>
    <row r="3" spans="1:22" ht="22.5" customHeight="1" thickBot="1" x14ac:dyDescent="0.35">
      <c r="A3" s="33" t="s">
        <v>30</v>
      </c>
      <c r="B3" s="151">
        <f>IF(ISERROR(B2/(B2+B1)*1000000),"",(B2/(B2+B1)*1000000))</f>
        <v>1000000</v>
      </c>
      <c r="C3" s="152"/>
      <c r="D3" s="57"/>
      <c r="E3" s="60"/>
      <c r="F3" s="27"/>
      <c r="G3" s="27"/>
      <c r="H3" s="157"/>
      <c r="I3" s="157"/>
      <c r="J3" s="157"/>
      <c r="K3" s="114"/>
      <c r="L3" s="4">
        <f t="shared" ref="L3:U3" si="1">SUM(L6:L80)</f>
        <v>0</v>
      </c>
      <c r="M3" s="4">
        <f t="shared" si="1"/>
        <v>33</v>
      </c>
      <c r="N3" s="4">
        <f t="shared" si="1"/>
        <v>0</v>
      </c>
      <c r="O3" s="4">
        <f t="shared" si="1"/>
        <v>0</v>
      </c>
      <c r="P3" s="4">
        <f t="shared" si="1"/>
        <v>0</v>
      </c>
      <c r="Q3" s="4">
        <f t="shared" si="1"/>
        <v>0</v>
      </c>
      <c r="R3" s="4">
        <f t="shared" si="1"/>
        <v>0</v>
      </c>
      <c r="S3" s="4">
        <f t="shared" si="1"/>
        <v>0</v>
      </c>
      <c r="T3" s="4">
        <f t="shared" si="1"/>
        <v>0</v>
      </c>
      <c r="U3" s="49">
        <f t="shared" si="1"/>
        <v>33</v>
      </c>
      <c r="V3" s="146"/>
    </row>
    <row r="4" spans="1:22" ht="43.5" customHeight="1" x14ac:dyDescent="0.3">
      <c r="A4" s="160" t="str">
        <f>V81</f>
        <v>OK</v>
      </c>
      <c r="B4" s="160"/>
      <c r="C4" s="160"/>
      <c r="D4" s="161"/>
      <c r="E4" s="162" t="s">
        <v>15</v>
      </c>
      <c r="F4" s="162"/>
      <c r="G4" s="162"/>
      <c r="H4" s="163" t="s">
        <v>16</v>
      </c>
      <c r="I4" s="163"/>
      <c r="J4" s="163"/>
      <c r="K4" s="113"/>
      <c r="L4" s="164" t="s">
        <v>10</v>
      </c>
      <c r="M4" s="142" t="s">
        <v>17</v>
      </c>
      <c r="N4" s="142" t="s">
        <v>11</v>
      </c>
      <c r="O4" s="138" t="s">
        <v>12</v>
      </c>
      <c r="P4" s="142" t="s">
        <v>13</v>
      </c>
      <c r="Q4" s="138" t="s">
        <v>14</v>
      </c>
      <c r="R4" s="140" t="s">
        <v>20</v>
      </c>
      <c r="S4" s="142" t="s">
        <v>21</v>
      </c>
      <c r="T4" s="143" t="s">
        <v>22</v>
      </c>
      <c r="U4" s="147" t="s">
        <v>18</v>
      </c>
      <c r="V4" s="149" t="s">
        <v>19</v>
      </c>
    </row>
    <row r="5" spans="1:22" ht="33.75" thickBot="1" x14ac:dyDescent="0.35">
      <c r="A5" s="29" t="s">
        <v>3</v>
      </c>
      <c r="B5" s="30" t="s">
        <v>32</v>
      </c>
      <c r="C5" s="29" t="s">
        <v>4</v>
      </c>
      <c r="D5" s="29" t="s">
        <v>31</v>
      </c>
      <c r="E5" s="29" t="s">
        <v>5</v>
      </c>
      <c r="F5" s="29" t="s">
        <v>6</v>
      </c>
      <c r="G5" s="30" t="s">
        <v>7</v>
      </c>
      <c r="H5" s="31" t="s">
        <v>0</v>
      </c>
      <c r="I5" s="31" t="s">
        <v>2</v>
      </c>
      <c r="J5" s="31" t="s">
        <v>8</v>
      </c>
      <c r="K5" s="28"/>
      <c r="L5" s="165"/>
      <c r="M5" s="139"/>
      <c r="N5" s="139"/>
      <c r="O5" s="139"/>
      <c r="P5" s="139"/>
      <c r="Q5" s="139"/>
      <c r="R5" s="141"/>
      <c r="S5" s="139"/>
      <c r="T5" s="144"/>
      <c r="U5" s="148"/>
      <c r="V5" s="150"/>
    </row>
    <row r="6" spans="1:22" hidden="1" x14ac:dyDescent="0.3">
      <c r="A6" s="61" t="s">
        <v>33</v>
      </c>
      <c r="B6" s="61">
        <v>8092</v>
      </c>
      <c r="C6" s="6" t="s">
        <v>45</v>
      </c>
      <c r="D6" s="7"/>
      <c r="E6" s="7"/>
      <c r="F6" s="7"/>
      <c r="G6" s="8"/>
      <c r="H6" s="9"/>
      <c r="I6" s="10">
        <f>SUM(L6:T6)</f>
        <v>0</v>
      </c>
      <c r="J6" s="10"/>
      <c r="K6" s="11"/>
      <c r="L6" s="10"/>
      <c r="M6" s="10"/>
      <c r="N6" s="10"/>
      <c r="O6" s="10"/>
      <c r="P6" s="10"/>
      <c r="Q6" s="10"/>
      <c r="R6" s="34"/>
      <c r="S6" s="42"/>
      <c r="T6" s="45"/>
      <c r="U6" s="50">
        <f t="shared" ref="U6:U36" si="2">SUM(L6:T6)</f>
        <v>0</v>
      </c>
      <c r="V6" s="26" t="str">
        <f t="shared" ref="V6:V67" si="3">IF(U6=I6,"OK","NG")</f>
        <v>OK</v>
      </c>
    </row>
    <row r="7" spans="1:22" hidden="1" x14ac:dyDescent="0.3">
      <c r="A7" s="62" t="s">
        <v>95</v>
      </c>
      <c r="B7" s="62">
        <v>8088</v>
      </c>
      <c r="C7" s="12" t="s">
        <v>46</v>
      </c>
      <c r="D7" s="53"/>
      <c r="E7" s="13"/>
      <c r="F7" s="13"/>
      <c r="G7" s="14"/>
      <c r="H7" s="15"/>
      <c r="I7" s="16">
        <f t="shared" ref="I7:I70" si="4">SUM(L7:T7)</f>
        <v>0</v>
      </c>
      <c r="J7" s="16"/>
      <c r="K7" s="11"/>
      <c r="L7" s="16"/>
      <c r="M7" s="16"/>
      <c r="N7" s="16"/>
      <c r="O7" s="16"/>
      <c r="P7" s="16"/>
      <c r="Q7" s="16"/>
      <c r="R7" s="35"/>
      <c r="S7" s="43"/>
      <c r="T7" s="46"/>
      <c r="U7" s="51">
        <f t="shared" si="2"/>
        <v>0</v>
      </c>
      <c r="V7" s="17" t="str">
        <f t="shared" si="3"/>
        <v>OK</v>
      </c>
    </row>
    <row r="8" spans="1:22" hidden="1" x14ac:dyDescent="0.3">
      <c r="A8" s="63" t="s">
        <v>96</v>
      </c>
      <c r="B8" s="63">
        <v>8081</v>
      </c>
      <c r="C8" s="18" t="s">
        <v>46</v>
      </c>
      <c r="D8" s="19"/>
      <c r="E8" s="19"/>
      <c r="F8" s="19"/>
      <c r="G8" s="20"/>
      <c r="H8" s="21"/>
      <c r="I8" s="22">
        <f t="shared" si="4"/>
        <v>0</v>
      </c>
      <c r="J8" s="22"/>
      <c r="K8" s="11"/>
      <c r="L8" s="22"/>
      <c r="M8" s="22"/>
      <c r="N8" s="22"/>
      <c r="O8" s="22"/>
      <c r="P8" s="22"/>
      <c r="Q8" s="22"/>
      <c r="R8" s="36"/>
      <c r="S8" s="44"/>
      <c r="T8" s="47"/>
      <c r="U8" s="52">
        <f t="shared" si="2"/>
        <v>0</v>
      </c>
      <c r="V8" s="23" t="str">
        <f t="shared" si="3"/>
        <v>OK</v>
      </c>
    </row>
    <row r="9" spans="1:22" hidden="1" x14ac:dyDescent="0.3">
      <c r="A9" s="62" t="s">
        <v>97</v>
      </c>
      <c r="B9" s="62">
        <v>18524</v>
      </c>
      <c r="C9" s="12" t="s">
        <v>46</v>
      </c>
      <c r="D9" s="53"/>
      <c r="E9" s="13"/>
      <c r="F9" s="13"/>
      <c r="G9" s="14"/>
      <c r="H9" s="15"/>
      <c r="I9" s="16">
        <f t="shared" si="4"/>
        <v>0</v>
      </c>
      <c r="J9" s="16"/>
      <c r="K9" s="11"/>
      <c r="L9" s="16"/>
      <c r="M9" s="16"/>
      <c r="N9" s="16"/>
      <c r="O9" s="16"/>
      <c r="P9" s="16"/>
      <c r="Q9" s="16"/>
      <c r="R9" s="35"/>
      <c r="S9" s="43"/>
      <c r="T9" s="46"/>
      <c r="U9" s="51">
        <f t="shared" si="2"/>
        <v>0</v>
      </c>
      <c r="V9" s="17" t="str">
        <f t="shared" si="3"/>
        <v>OK</v>
      </c>
    </row>
    <row r="10" spans="1:22" hidden="1" x14ac:dyDescent="0.3">
      <c r="A10" s="63" t="s">
        <v>34</v>
      </c>
      <c r="B10" s="63">
        <v>6234</v>
      </c>
      <c r="C10" s="18" t="s">
        <v>47</v>
      </c>
      <c r="D10" s="19"/>
      <c r="E10" s="19"/>
      <c r="F10" s="19"/>
      <c r="G10" s="20"/>
      <c r="H10" s="21"/>
      <c r="I10" s="22">
        <f t="shared" si="4"/>
        <v>0</v>
      </c>
      <c r="J10" s="22"/>
      <c r="K10" s="11"/>
      <c r="L10" s="22"/>
      <c r="M10" s="22"/>
      <c r="N10" s="22"/>
      <c r="O10" s="22"/>
      <c r="P10" s="22"/>
      <c r="Q10" s="22"/>
      <c r="R10" s="36"/>
      <c r="S10" s="44"/>
      <c r="T10" s="47"/>
      <c r="U10" s="52">
        <f t="shared" si="2"/>
        <v>0</v>
      </c>
      <c r="V10" s="23" t="str">
        <f t="shared" si="3"/>
        <v>OK</v>
      </c>
    </row>
    <row r="11" spans="1:22" hidden="1" x14ac:dyDescent="0.3">
      <c r="A11" s="62" t="s">
        <v>80</v>
      </c>
      <c r="B11" s="62">
        <v>14830</v>
      </c>
      <c r="C11" s="12" t="s">
        <v>47</v>
      </c>
      <c r="D11" s="53"/>
      <c r="E11" s="13"/>
      <c r="F11" s="13"/>
      <c r="G11" s="14"/>
      <c r="H11" s="15"/>
      <c r="I11" s="16">
        <f t="shared" si="4"/>
        <v>0</v>
      </c>
      <c r="J11" s="16"/>
      <c r="K11" s="11"/>
      <c r="L11" s="16"/>
      <c r="M11" s="16"/>
      <c r="N11" s="16"/>
      <c r="O11" s="16"/>
      <c r="P11" s="16"/>
      <c r="Q11" s="16"/>
      <c r="R11" s="35"/>
      <c r="S11" s="43"/>
      <c r="T11" s="46"/>
      <c r="U11" s="51">
        <f t="shared" si="2"/>
        <v>0</v>
      </c>
      <c r="V11" s="17" t="str">
        <f t="shared" si="3"/>
        <v>OK</v>
      </c>
    </row>
    <row r="12" spans="1:22" hidden="1" x14ac:dyDescent="0.3">
      <c r="A12" s="63" t="s">
        <v>35</v>
      </c>
      <c r="B12" s="63">
        <v>6004</v>
      </c>
      <c r="C12" s="18" t="s">
        <v>48</v>
      </c>
      <c r="D12" s="19"/>
      <c r="E12" s="19"/>
      <c r="F12" s="19"/>
      <c r="G12" s="20"/>
      <c r="H12" s="21"/>
      <c r="I12" s="22">
        <f t="shared" si="4"/>
        <v>0</v>
      </c>
      <c r="J12" s="22"/>
      <c r="K12" s="11"/>
      <c r="L12" s="22"/>
      <c r="M12" s="22"/>
      <c r="N12" s="22"/>
      <c r="O12" s="22"/>
      <c r="P12" s="22"/>
      <c r="Q12" s="22"/>
      <c r="R12" s="36"/>
      <c r="S12" s="44"/>
      <c r="T12" s="47"/>
      <c r="U12" s="52">
        <f t="shared" si="2"/>
        <v>0</v>
      </c>
      <c r="V12" s="23" t="str">
        <f t="shared" si="3"/>
        <v>OK</v>
      </c>
    </row>
    <row r="13" spans="1:22" hidden="1" x14ac:dyDescent="0.3">
      <c r="A13" s="62" t="s">
        <v>36</v>
      </c>
      <c r="B13" s="62">
        <v>11857</v>
      </c>
      <c r="C13" s="12" t="s">
        <v>48</v>
      </c>
      <c r="D13" s="53"/>
      <c r="E13" s="13"/>
      <c r="F13" s="13"/>
      <c r="G13" s="14"/>
      <c r="H13" s="15"/>
      <c r="I13" s="16">
        <f t="shared" si="4"/>
        <v>0</v>
      </c>
      <c r="J13" s="16"/>
      <c r="K13" s="11"/>
      <c r="L13" s="16"/>
      <c r="M13" s="16"/>
      <c r="N13" s="16"/>
      <c r="O13" s="16"/>
      <c r="P13" s="16"/>
      <c r="Q13" s="16"/>
      <c r="R13" s="35"/>
      <c r="S13" s="43"/>
      <c r="T13" s="46"/>
      <c r="U13" s="51">
        <f t="shared" si="2"/>
        <v>0</v>
      </c>
      <c r="V13" s="17" t="str">
        <f t="shared" si="3"/>
        <v>OK</v>
      </c>
    </row>
    <row r="14" spans="1:22" hidden="1" x14ac:dyDescent="0.3">
      <c r="A14" s="63" t="s">
        <v>82</v>
      </c>
      <c r="B14" s="63">
        <v>15004</v>
      </c>
      <c r="C14" s="18" t="s">
        <v>48</v>
      </c>
      <c r="D14" s="19"/>
      <c r="E14" s="19"/>
      <c r="F14" s="19"/>
      <c r="G14" s="20"/>
      <c r="H14" s="21"/>
      <c r="I14" s="22">
        <f t="shared" si="4"/>
        <v>0</v>
      </c>
      <c r="J14" s="22"/>
      <c r="K14" s="11"/>
      <c r="L14" s="22"/>
      <c r="M14" s="22"/>
      <c r="N14" s="22"/>
      <c r="O14" s="22"/>
      <c r="P14" s="22"/>
      <c r="Q14" s="22"/>
      <c r="R14" s="36"/>
      <c r="S14" s="44"/>
      <c r="T14" s="47"/>
      <c r="U14" s="52">
        <f t="shared" si="2"/>
        <v>0</v>
      </c>
      <c r="V14" s="23" t="str">
        <f t="shared" si="3"/>
        <v>OK</v>
      </c>
    </row>
    <row r="15" spans="1:22" hidden="1" x14ac:dyDescent="0.3">
      <c r="A15" s="62" t="s">
        <v>86</v>
      </c>
      <c r="B15" s="62">
        <v>15174</v>
      </c>
      <c r="C15" s="12" t="s">
        <v>45</v>
      </c>
      <c r="D15" s="53"/>
      <c r="E15" s="13"/>
      <c r="F15" s="13"/>
      <c r="G15" s="14"/>
      <c r="H15" s="15"/>
      <c r="I15" s="16">
        <f t="shared" si="4"/>
        <v>0</v>
      </c>
      <c r="J15" s="16"/>
      <c r="K15" s="11"/>
      <c r="L15" s="16"/>
      <c r="M15" s="16"/>
      <c r="N15" s="16"/>
      <c r="O15" s="16"/>
      <c r="P15" s="16"/>
      <c r="Q15" s="16"/>
      <c r="R15" s="35"/>
      <c r="S15" s="43"/>
      <c r="T15" s="46"/>
      <c r="U15" s="51">
        <f t="shared" si="2"/>
        <v>0</v>
      </c>
      <c r="V15" s="17" t="str">
        <f t="shared" si="3"/>
        <v>OK</v>
      </c>
    </row>
    <row r="16" spans="1:22" hidden="1" x14ac:dyDescent="0.3">
      <c r="A16" s="63" t="s">
        <v>87</v>
      </c>
      <c r="B16" s="63">
        <v>15520</v>
      </c>
      <c r="C16" s="18" t="s">
        <v>47</v>
      </c>
      <c r="D16" s="19"/>
      <c r="E16" s="19"/>
      <c r="F16" s="19"/>
      <c r="G16" s="20"/>
      <c r="H16" s="21"/>
      <c r="I16" s="22">
        <f t="shared" si="4"/>
        <v>0</v>
      </c>
      <c r="J16" s="22"/>
      <c r="K16" s="11"/>
      <c r="L16" s="22"/>
      <c r="M16" s="22"/>
      <c r="N16" s="22"/>
      <c r="O16" s="22"/>
      <c r="P16" s="22"/>
      <c r="Q16" s="22"/>
      <c r="R16" s="36"/>
      <c r="S16" s="44"/>
      <c r="T16" s="47"/>
      <c r="U16" s="52">
        <f t="shared" si="2"/>
        <v>0</v>
      </c>
      <c r="V16" s="23" t="str">
        <f t="shared" si="3"/>
        <v>OK</v>
      </c>
    </row>
    <row r="17" spans="1:22" hidden="1" x14ac:dyDescent="0.3">
      <c r="A17" s="62" t="s">
        <v>85</v>
      </c>
      <c r="B17" s="62">
        <v>14989</v>
      </c>
      <c r="C17" s="12" t="s">
        <v>45</v>
      </c>
      <c r="D17" s="53"/>
      <c r="E17" s="13"/>
      <c r="F17" s="13"/>
      <c r="G17" s="14"/>
      <c r="H17" s="15"/>
      <c r="I17" s="16">
        <f t="shared" si="4"/>
        <v>0</v>
      </c>
      <c r="J17" s="16"/>
      <c r="K17" s="11"/>
      <c r="L17" s="16"/>
      <c r="M17" s="16"/>
      <c r="N17" s="16"/>
      <c r="O17" s="16"/>
      <c r="P17" s="16"/>
      <c r="Q17" s="16"/>
      <c r="R17" s="35"/>
      <c r="S17" s="43"/>
      <c r="T17" s="46"/>
      <c r="U17" s="51">
        <f t="shared" si="2"/>
        <v>0</v>
      </c>
      <c r="V17" s="17" t="str">
        <f t="shared" si="3"/>
        <v>OK</v>
      </c>
    </row>
    <row r="18" spans="1:22" hidden="1" x14ac:dyDescent="0.3">
      <c r="A18" s="63" t="s">
        <v>84</v>
      </c>
      <c r="B18" s="63">
        <v>14984</v>
      </c>
      <c r="C18" s="18" t="s">
        <v>46</v>
      </c>
      <c r="D18" s="19"/>
      <c r="E18" s="19"/>
      <c r="F18" s="19"/>
      <c r="G18" s="20"/>
      <c r="H18" s="21"/>
      <c r="I18" s="22">
        <f t="shared" si="4"/>
        <v>0</v>
      </c>
      <c r="J18" s="22"/>
      <c r="K18" s="11"/>
      <c r="L18" s="22"/>
      <c r="M18" s="22"/>
      <c r="N18" s="22"/>
      <c r="O18" s="22"/>
      <c r="P18" s="22"/>
      <c r="Q18" s="22"/>
      <c r="R18" s="36"/>
      <c r="S18" s="44"/>
      <c r="T18" s="47"/>
      <c r="U18" s="52">
        <f t="shared" si="2"/>
        <v>0</v>
      </c>
      <c r="V18" s="23" t="str">
        <f t="shared" si="3"/>
        <v>OK</v>
      </c>
    </row>
    <row r="19" spans="1:22" hidden="1" x14ac:dyDescent="0.3">
      <c r="A19" s="62" t="s">
        <v>88</v>
      </c>
      <c r="B19" s="62">
        <v>16270</v>
      </c>
      <c r="C19" s="12" t="s">
        <v>89</v>
      </c>
      <c r="D19" s="53"/>
      <c r="E19" s="13"/>
      <c r="F19" s="13"/>
      <c r="G19" s="14"/>
      <c r="H19" s="15"/>
      <c r="I19" s="16">
        <f t="shared" si="4"/>
        <v>0</v>
      </c>
      <c r="J19" s="16"/>
      <c r="K19" s="11"/>
      <c r="L19" s="16"/>
      <c r="M19" s="16"/>
      <c r="N19" s="16"/>
      <c r="O19" s="16"/>
      <c r="P19" s="16"/>
      <c r="Q19" s="16"/>
      <c r="R19" s="35"/>
      <c r="S19" s="43"/>
      <c r="T19" s="46"/>
      <c r="U19" s="51">
        <f t="shared" si="2"/>
        <v>0</v>
      </c>
      <c r="V19" s="17" t="str">
        <f t="shared" si="3"/>
        <v>OK</v>
      </c>
    </row>
    <row r="20" spans="1:22" hidden="1" x14ac:dyDescent="0.3">
      <c r="A20" s="63" t="s">
        <v>98</v>
      </c>
      <c r="B20" s="63">
        <v>19060</v>
      </c>
      <c r="C20" s="18" t="s">
        <v>47</v>
      </c>
      <c r="D20" s="19"/>
      <c r="E20" s="19"/>
      <c r="F20" s="19"/>
      <c r="G20" s="20"/>
      <c r="H20" s="21"/>
      <c r="I20" s="22">
        <f t="shared" si="4"/>
        <v>0</v>
      </c>
      <c r="J20" s="22"/>
      <c r="K20" s="11"/>
      <c r="L20" s="22"/>
      <c r="M20" s="22"/>
      <c r="N20" s="22"/>
      <c r="O20" s="22"/>
      <c r="P20" s="22"/>
      <c r="Q20" s="22"/>
      <c r="R20" s="36"/>
      <c r="S20" s="44"/>
      <c r="T20" s="47"/>
      <c r="U20" s="52">
        <f t="shared" si="2"/>
        <v>0</v>
      </c>
      <c r="V20" s="23" t="str">
        <f t="shared" si="3"/>
        <v>OK</v>
      </c>
    </row>
    <row r="21" spans="1:22" hidden="1" x14ac:dyDescent="0.3">
      <c r="A21" s="62" t="s">
        <v>99</v>
      </c>
      <c r="B21" s="62">
        <v>18828</v>
      </c>
      <c r="C21" s="12" t="s">
        <v>94</v>
      </c>
      <c r="D21" s="53"/>
      <c r="E21" s="13"/>
      <c r="F21" s="13"/>
      <c r="G21" s="14"/>
      <c r="H21" s="15"/>
      <c r="I21" s="16">
        <f t="shared" si="4"/>
        <v>0</v>
      </c>
      <c r="J21" s="16"/>
      <c r="K21" s="11"/>
      <c r="L21" s="16"/>
      <c r="M21" s="16"/>
      <c r="N21" s="16"/>
      <c r="O21" s="16"/>
      <c r="P21" s="16"/>
      <c r="Q21" s="16"/>
      <c r="R21" s="35"/>
      <c r="S21" s="43"/>
      <c r="T21" s="46"/>
      <c r="U21" s="51">
        <f t="shared" si="2"/>
        <v>0</v>
      </c>
      <c r="V21" s="17" t="str">
        <f t="shared" si="3"/>
        <v>OK</v>
      </c>
    </row>
    <row r="22" spans="1:22" x14ac:dyDescent="0.3">
      <c r="A22" s="63" t="s">
        <v>23</v>
      </c>
      <c r="B22" s="63">
        <v>5695</v>
      </c>
      <c r="C22" s="18" t="s">
        <v>49</v>
      </c>
      <c r="D22" s="19"/>
      <c r="E22" s="19"/>
      <c r="F22" s="19"/>
      <c r="G22" s="20"/>
      <c r="H22" s="21"/>
      <c r="I22" s="22">
        <f t="shared" si="4"/>
        <v>7</v>
      </c>
      <c r="J22" s="22"/>
      <c r="K22" s="11"/>
      <c r="L22" s="22"/>
      <c r="M22" s="22">
        <v>7</v>
      </c>
      <c r="N22" s="22"/>
      <c r="O22" s="22"/>
      <c r="P22" s="22"/>
      <c r="Q22" s="22"/>
      <c r="R22" s="36"/>
      <c r="S22" s="44"/>
      <c r="T22" s="47"/>
      <c r="U22" s="52">
        <f t="shared" si="2"/>
        <v>7</v>
      </c>
      <c r="V22" s="23" t="str">
        <f t="shared" si="3"/>
        <v>OK</v>
      </c>
    </row>
    <row r="23" spans="1:22" hidden="1" x14ac:dyDescent="0.3">
      <c r="A23" s="62" t="s">
        <v>24</v>
      </c>
      <c r="B23" s="62">
        <v>5691</v>
      </c>
      <c r="C23" s="12" t="s">
        <v>50</v>
      </c>
      <c r="D23" s="53"/>
      <c r="E23" s="13"/>
      <c r="F23" s="13"/>
      <c r="G23" s="14"/>
      <c r="H23" s="15"/>
      <c r="I23" s="16">
        <f t="shared" si="4"/>
        <v>0</v>
      </c>
      <c r="J23" s="16"/>
      <c r="K23" s="11"/>
      <c r="L23" s="16"/>
      <c r="M23" s="16"/>
      <c r="N23" s="16"/>
      <c r="O23" s="16"/>
      <c r="P23" s="16"/>
      <c r="Q23" s="16"/>
      <c r="R23" s="35"/>
      <c r="S23" s="43"/>
      <c r="T23" s="46"/>
      <c r="U23" s="51">
        <f t="shared" si="2"/>
        <v>0</v>
      </c>
      <c r="V23" s="17" t="str">
        <f t="shared" si="3"/>
        <v>OK</v>
      </c>
    </row>
    <row r="24" spans="1:22" hidden="1" x14ac:dyDescent="0.3">
      <c r="A24" s="63" t="s">
        <v>37</v>
      </c>
      <c r="B24" s="63">
        <v>5687</v>
      </c>
      <c r="C24" s="18" t="s">
        <v>51</v>
      </c>
      <c r="D24" s="19"/>
      <c r="E24" s="19"/>
      <c r="F24" s="19"/>
      <c r="G24" s="20"/>
      <c r="H24" s="21"/>
      <c r="I24" s="22">
        <f t="shared" si="4"/>
        <v>0</v>
      </c>
      <c r="J24" s="22"/>
      <c r="K24" s="11"/>
      <c r="L24" s="22"/>
      <c r="M24" s="22"/>
      <c r="N24" s="22"/>
      <c r="O24" s="22"/>
      <c r="P24" s="22"/>
      <c r="Q24" s="22"/>
      <c r="R24" s="36"/>
      <c r="S24" s="44"/>
      <c r="T24" s="47"/>
      <c r="U24" s="52">
        <f t="shared" si="2"/>
        <v>0</v>
      </c>
      <c r="V24" s="23" t="str">
        <f t="shared" si="3"/>
        <v>OK</v>
      </c>
    </row>
    <row r="25" spans="1:22" hidden="1" x14ac:dyDescent="0.3">
      <c r="A25" s="62" t="s">
        <v>38</v>
      </c>
      <c r="B25" s="62">
        <v>5683</v>
      </c>
      <c r="C25" s="12" t="s">
        <v>51</v>
      </c>
      <c r="D25" s="53"/>
      <c r="E25" s="13"/>
      <c r="F25" s="13"/>
      <c r="G25" s="14"/>
      <c r="H25" s="15"/>
      <c r="I25" s="16">
        <f t="shared" si="4"/>
        <v>0</v>
      </c>
      <c r="J25" s="16"/>
      <c r="K25" s="11"/>
      <c r="L25" s="16"/>
      <c r="M25" s="16"/>
      <c r="N25" s="16"/>
      <c r="O25" s="16"/>
      <c r="P25" s="16"/>
      <c r="Q25" s="16"/>
      <c r="R25" s="35"/>
      <c r="S25" s="43"/>
      <c r="T25" s="46"/>
      <c r="U25" s="51">
        <f t="shared" si="2"/>
        <v>0</v>
      </c>
      <c r="V25" s="17" t="str">
        <f t="shared" si="3"/>
        <v>OK</v>
      </c>
    </row>
    <row r="26" spans="1:22" hidden="1" x14ac:dyDescent="0.3">
      <c r="A26" s="63" t="s">
        <v>25</v>
      </c>
      <c r="B26" s="63">
        <v>5679</v>
      </c>
      <c r="C26" s="18" t="s">
        <v>52</v>
      </c>
      <c r="D26" s="19"/>
      <c r="E26" s="19"/>
      <c r="F26" s="19"/>
      <c r="G26" s="20"/>
      <c r="H26" s="21"/>
      <c r="I26" s="22">
        <f t="shared" si="4"/>
        <v>0</v>
      </c>
      <c r="J26" s="22"/>
      <c r="K26" s="11"/>
      <c r="L26" s="22"/>
      <c r="M26" s="22"/>
      <c r="N26" s="22"/>
      <c r="O26" s="22"/>
      <c r="P26" s="22"/>
      <c r="Q26" s="22"/>
      <c r="R26" s="36"/>
      <c r="S26" s="44"/>
      <c r="T26" s="47"/>
      <c r="U26" s="52">
        <f t="shared" si="2"/>
        <v>0</v>
      </c>
      <c r="V26" s="23" t="str">
        <f t="shared" si="3"/>
        <v>OK</v>
      </c>
    </row>
    <row r="27" spans="1:22" hidden="1" x14ac:dyDescent="0.3">
      <c r="A27" s="62" t="s">
        <v>39</v>
      </c>
      <c r="B27" s="62">
        <v>5675</v>
      </c>
      <c r="C27" s="12" t="s">
        <v>53</v>
      </c>
      <c r="D27" s="53"/>
      <c r="E27" s="13"/>
      <c r="F27" s="13"/>
      <c r="G27" s="14"/>
      <c r="H27" s="15"/>
      <c r="I27" s="16">
        <f t="shared" si="4"/>
        <v>0</v>
      </c>
      <c r="J27" s="16"/>
      <c r="K27" s="11"/>
      <c r="L27" s="16"/>
      <c r="M27" s="16"/>
      <c r="N27" s="16"/>
      <c r="O27" s="16"/>
      <c r="P27" s="16"/>
      <c r="Q27" s="16"/>
      <c r="R27" s="35"/>
      <c r="S27" s="43"/>
      <c r="T27" s="46"/>
      <c r="U27" s="51">
        <f t="shared" si="2"/>
        <v>0</v>
      </c>
      <c r="V27" s="17" t="str">
        <f t="shared" si="3"/>
        <v>OK</v>
      </c>
    </row>
    <row r="28" spans="1:22" hidden="1" x14ac:dyDescent="0.3">
      <c r="A28" s="63" t="s">
        <v>26</v>
      </c>
      <c r="B28" s="63">
        <v>5671</v>
      </c>
      <c r="C28" s="18" t="s">
        <v>49</v>
      </c>
      <c r="D28" s="19"/>
      <c r="E28" s="19"/>
      <c r="F28" s="19"/>
      <c r="G28" s="20"/>
      <c r="H28" s="21"/>
      <c r="I28" s="22">
        <f t="shared" si="4"/>
        <v>0</v>
      </c>
      <c r="J28" s="22"/>
      <c r="K28" s="11"/>
      <c r="L28" s="22"/>
      <c r="M28" s="22"/>
      <c r="N28" s="22"/>
      <c r="O28" s="22"/>
      <c r="P28" s="22"/>
      <c r="Q28" s="22"/>
      <c r="R28" s="36"/>
      <c r="S28" s="44"/>
      <c r="T28" s="47"/>
      <c r="U28" s="52">
        <f t="shared" si="2"/>
        <v>0</v>
      </c>
      <c r="V28" s="23" t="str">
        <f t="shared" si="3"/>
        <v>OK</v>
      </c>
    </row>
    <row r="29" spans="1:22" hidden="1" x14ac:dyDescent="0.3">
      <c r="A29" s="62" t="s">
        <v>40</v>
      </c>
      <c r="B29" s="62">
        <v>5667</v>
      </c>
      <c r="C29" s="12" t="s">
        <v>50</v>
      </c>
      <c r="D29" s="53"/>
      <c r="E29" s="13"/>
      <c r="F29" s="13"/>
      <c r="G29" s="14"/>
      <c r="H29" s="15"/>
      <c r="I29" s="16">
        <f t="shared" si="4"/>
        <v>0</v>
      </c>
      <c r="J29" s="16"/>
      <c r="K29" s="11"/>
      <c r="L29" s="16"/>
      <c r="M29" s="16"/>
      <c r="N29" s="16"/>
      <c r="O29" s="16"/>
      <c r="P29" s="16"/>
      <c r="Q29" s="16"/>
      <c r="R29" s="35"/>
      <c r="S29" s="43"/>
      <c r="T29" s="46"/>
      <c r="U29" s="51">
        <f t="shared" si="2"/>
        <v>0</v>
      </c>
      <c r="V29" s="17" t="str">
        <f t="shared" si="3"/>
        <v>OK</v>
      </c>
    </row>
    <row r="30" spans="1:22" hidden="1" x14ac:dyDescent="0.3">
      <c r="A30" s="63" t="s">
        <v>41</v>
      </c>
      <c r="B30" s="63">
        <v>5663</v>
      </c>
      <c r="C30" s="18" t="s">
        <v>51</v>
      </c>
      <c r="D30" s="19"/>
      <c r="E30" s="19"/>
      <c r="F30" s="19"/>
      <c r="G30" s="20"/>
      <c r="H30" s="21"/>
      <c r="I30" s="22">
        <f t="shared" si="4"/>
        <v>0</v>
      </c>
      <c r="J30" s="22"/>
      <c r="K30" s="11"/>
      <c r="L30" s="22"/>
      <c r="M30" s="22"/>
      <c r="N30" s="22"/>
      <c r="O30" s="22"/>
      <c r="P30" s="22"/>
      <c r="Q30" s="22"/>
      <c r="R30" s="36"/>
      <c r="S30" s="44"/>
      <c r="T30" s="47"/>
      <c r="U30" s="52">
        <f t="shared" si="2"/>
        <v>0</v>
      </c>
      <c r="V30" s="23" t="str">
        <f t="shared" si="3"/>
        <v>OK</v>
      </c>
    </row>
    <row r="31" spans="1:22" hidden="1" x14ac:dyDescent="0.3">
      <c r="A31" s="62" t="s">
        <v>42</v>
      </c>
      <c r="B31" s="62">
        <v>5659</v>
      </c>
      <c r="C31" s="12" t="s">
        <v>52</v>
      </c>
      <c r="D31" s="53"/>
      <c r="E31" s="13"/>
      <c r="F31" s="13"/>
      <c r="G31" s="14"/>
      <c r="H31" s="15"/>
      <c r="I31" s="16">
        <f t="shared" si="4"/>
        <v>0</v>
      </c>
      <c r="J31" s="16"/>
      <c r="K31" s="11"/>
      <c r="L31" s="16"/>
      <c r="M31" s="16"/>
      <c r="N31" s="16"/>
      <c r="O31" s="16"/>
      <c r="P31" s="16"/>
      <c r="Q31" s="16"/>
      <c r="R31" s="35"/>
      <c r="S31" s="43"/>
      <c r="T31" s="46"/>
      <c r="U31" s="51">
        <f t="shared" si="2"/>
        <v>0</v>
      </c>
      <c r="V31" s="17" t="str">
        <f t="shared" si="3"/>
        <v>OK</v>
      </c>
    </row>
    <row r="32" spans="1:22" hidden="1" x14ac:dyDescent="0.3">
      <c r="A32" s="63" t="s">
        <v>27</v>
      </c>
      <c r="B32" s="63">
        <v>5655</v>
      </c>
      <c r="C32" s="18" t="s">
        <v>54</v>
      </c>
      <c r="D32" s="19"/>
      <c r="E32" s="19"/>
      <c r="F32" s="19"/>
      <c r="G32" s="20"/>
      <c r="H32" s="21"/>
      <c r="I32" s="22">
        <f t="shared" si="4"/>
        <v>0</v>
      </c>
      <c r="J32" s="22"/>
      <c r="K32" s="11"/>
      <c r="L32" s="22"/>
      <c r="M32" s="22"/>
      <c r="N32" s="22"/>
      <c r="O32" s="22"/>
      <c r="P32" s="22"/>
      <c r="Q32" s="22"/>
      <c r="R32" s="36"/>
      <c r="S32" s="44"/>
      <c r="T32" s="47"/>
      <c r="U32" s="52">
        <f t="shared" si="2"/>
        <v>0</v>
      </c>
      <c r="V32" s="23" t="str">
        <f t="shared" si="3"/>
        <v>OK</v>
      </c>
    </row>
    <row r="33" spans="1:22" hidden="1" x14ac:dyDescent="0.3">
      <c r="A33" s="62" t="s">
        <v>70</v>
      </c>
      <c r="B33" s="62">
        <v>5651</v>
      </c>
      <c r="C33" s="12" t="s">
        <v>55</v>
      </c>
      <c r="D33" s="53"/>
      <c r="E33" s="13"/>
      <c r="F33" s="13"/>
      <c r="G33" s="14"/>
      <c r="H33" s="15"/>
      <c r="I33" s="16">
        <f t="shared" si="4"/>
        <v>0</v>
      </c>
      <c r="J33" s="16"/>
      <c r="K33" s="11"/>
      <c r="L33" s="16"/>
      <c r="M33" s="16"/>
      <c r="N33" s="16"/>
      <c r="O33" s="16"/>
      <c r="P33" s="16"/>
      <c r="Q33" s="16"/>
      <c r="R33" s="35"/>
      <c r="S33" s="43"/>
      <c r="T33" s="46"/>
      <c r="U33" s="51">
        <f t="shared" si="2"/>
        <v>0</v>
      </c>
      <c r="V33" s="17" t="str">
        <f t="shared" si="3"/>
        <v>OK</v>
      </c>
    </row>
    <row r="34" spans="1:22" hidden="1" x14ac:dyDescent="0.3">
      <c r="A34" s="63" t="s">
        <v>71</v>
      </c>
      <c r="B34" s="63">
        <v>5643</v>
      </c>
      <c r="C34" s="18" t="s">
        <v>56</v>
      </c>
      <c r="D34" s="19"/>
      <c r="E34" s="19"/>
      <c r="F34" s="19"/>
      <c r="G34" s="20"/>
      <c r="H34" s="21"/>
      <c r="I34" s="22">
        <f t="shared" si="4"/>
        <v>0</v>
      </c>
      <c r="J34" s="22"/>
      <c r="K34" s="11"/>
      <c r="L34" s="22"/>
      <c r="M34" s="22"/>
      <c r="N34" s="22"/>
      <c r="O34" s="22"/>
      <c r="P34" s="22"/>
      <c r="Q34" s="22"/>
      <c r="R34" s="36"/>
      <c r="S34" s="44"/>
      <c r="T34" s="47"/>
      <c r="U34" s="52">
        <f t="shared" si="2"/>
        <v>0</v>
      </c>
      <c r="V34" s="23" t="str">
        <f t="shared" si="3"/>
        <v>OK</v>
      </c>
    </row>
    <row r="35" spans="1:22" hidden="1" x14ac:dyDescent="0.3">
      <c r="A35" s="62" t="s">
        <v>57</v>
      </c>
      <c r="B35" s="62">
        <v>11350</v>
      </c>
      <c r="C35" s="12" t="s">
        <v>56</v>
      </c>
      <c r="D35" s="53"/>
      <c r="E35" s="13"/>
      <c r="F35" s="13"/>
      <c r="G35" s="14"/>
      <c r="H35" s="15"/>
      <c r="I35" s="16">
        <f t="shared" si="4"/>
        <v>0</v>
      </c>
      <c r="J35" s="16"/>
      <c r="K35" s="11"/>
      <c r="L35" s="16"/>
      <c r="M35" s="16"/>
      <c r="N35" s="16"/>
      <c r="O35" s="16"/>
      <c r="P35" s="16"/>
      <c r="Q35" s="16"/>
      <c r="R35" s="35"/>
      <c r="S35" s="43"/>
      <c r="T35" s="46"/>
      <c r="U35" s="51">
        <f t="shared" si="2"/>
        <v>0</v>
      </c>
      <c r="V35" s="17" t="str">
        <f t="shared" si="3"/>
        <v>OK</v>
      </c>
    </row>
    <row r="36" spans="1:22" hidden="1" x14ac:dyDescent="0.3">
      <c r="A36" s="63" t="s">
        <v>72</v>
      </c>
      <c r="B36" s="63">
        <v>5635</v>
      </c>
      <c r="C36" s="18" t="s">
        <v>55</v>
      </c>
      <c r="D36" s="19"/>
      <c r="E36" s="19"/>
      <c r="F36" s="19"/>
      <c r="G36" s="20"/>
      <c r="H36" s="21"/>
      <c r="I36" s="22">
        <f t="shared" si="4"/>
        <v>0</v>
      </c>
      <c r="J36" s="22"/>
      <c r="K36" s="11"/>
      <c r="L36" s="22"/>
      <c r="M36" s="22"/>
      <c r="N36" s="22"/>
      <c r="O36" s="22"/>
      <c r="P36" s="22"/>
      <c r="Q36" s="22"/>
      <c r="R36" s="36"/>
      <c r="S36" s="44"/>
      <c r="T36" s="47"/>
      <c r="U36" s="52">
        <f t="shared" si="2"/>
        <v>0</v>
      </c>
      <c r="V36" s="23" t="str">
        <f t="shared" si="3"/>
        <v>OK</v>
      </c>
    </row>
    <row r="37" spans="1:22" hidden="1" x14ac:dyDescent="0.3">
      <c r="A37" s="62" t="s">
        <v>58</v>
      </c>
      <c r="B37" s="62">
        <v>11349</v>
      </c>
      <c r="C37" s="12" t="s">
        <v>55</v>
      </c>
      <c r="D37" s="53"/>
      <c r="E37" s="13"/>
      <c r="F37" s="13"/>
      <c r="G37" s="14"/>
      <c r="H37" s="15"/>
      <c r="I37" s="16">
        <f t="shared" si="4"/>
        <v>0</v>
      </c>
      <c r="J37" s="16"/>
      <c r="K37" s="11"/>
      <c r="L37" s="16"/>
      <c r="M37" s="16"/>
      <c r="N37" s="16"/>
      <c r="O37" s="16"/>
      <c r="P37" s="16"/>
      <c r="Q37" s="16"/>
      <c r="R37" s="35"/>
      <c r="S37" s="43"/>
      <c r="T37" s="46"/>
      <c r="U37" s="51">
        <f t="shared" ref="U37:U55" si="5">SUM(L37:T37)</f>
        <v>0</v>
      </c>
      <c r="V37" s="17" t="str">
        <f t="shared" si="3"/>
        <v>OK</v>
      </c>
    </row>
    <row r="38" spans="1:22" hidden="1" x14ac:dyDescent="0.3">
      <c r="A38" s="63" t="s">
        <v>73</v>
      </c>
      <c r="B38" s="63">
        <v>5627</v>
      </c>
      <c r="C38" s="18" t="s">
        <v>56</v>
      </c>
      <c r="D38" s="19"/>
      <c r="E38" s="19"/>
      <c r="F38" s="19"/>
      <c r="G38" s="20"/>
      <c r="H38" s="21"/>
      <c r="I38" s="22">
        <f t="shared" si="4"/>
        <v>0</v>
      </c>
      <c r="J38" s="22"/>
      <c r="K38" s="11"/>
      <c r="L38" s="22"/>
      <c r="M38" s="22"/>
      <c r="N38" s="22"/>
      <c r="O38" s="22"/>
      <c r="P38" s="22"/>
      <c r="Q38" s="22"/>
      <c r="R38" s="36"/>
      <c r="S38" s="44"/>
      <c r="T38" s="47"/>
      <c r="U38" s="52">
        <f t="shared" si="5"/>
        <v>0</v>
      </c>
      <c r="V38" s="23" t="str">
        <f t="shared" si="3"/>
        <v>OK</v>
      </c>
    </row>
    <row r="39" spans="1:22" x14ac:dyDescent="0.3">
      <c r="A39" s="62" t="s">
        <v>59</v>
      </c>
      <c r="B39" s="62">
        <v>11348</v>
      </c>
      <c r="C39" s="12" t="s">
        <v>56</v>
      </c>
      <c r="D39" s="53"/>
      <c r="E39" s="13"/>
      <c r="F39" s="13"/>
      <c r="G39" s="14"/>
      <c r="H39" s="15"/>
      <c r="I39" s="16">
        <f t="shared" si="4"/>
        <v>7</v>
      </c>
      <c r="J39" s="16"/>
      <c r="K39" s="11"/>
      <c r="L39" s="16"/>
      <c r="M39" s="16">
        <v>7</v>
      </c>
      <c r="N39" s="16"/>
      <c r="O39" s="16"/>
      <c r="P39" s="16"/>
      <c r="Q39" s="16"/>
      <c r="R39" s="35"/>
      <c r="S39" s="43"/>
      <c r="T39" s="46"/>
      <c r="U39" s="51">
        <f t="shared" si="5"/>
        <v>7</v>
      </c>
      <c r="V39" s="17" t="str">
        <f t="shared" si="3"/>
        <v>OK</v>
      </c>
    </row>
    <row r="40" spans="1:22" hidden="1" x14ac:dyDescent="0.3">
      <c r="A40" s="63" t="s">
        <v>74</v>
      </c>
      <c r="B40" s="63">
        <v>5619</v>
      </c>
      <c r="C40" s="18" t="s">
        <v>60</v>
      </c>
      <c r="D40" s="19"/>
      <c r="E40" s="19"/>
      <c r="F40" s="19"/>
      <c r="G40" s="20"/>
      <c r="H40" s="21"/>
      <c r="I40" s="22">
        <f t="shared" si="4"/>
        <v>0</v>
      </c>
      <c r="J40" s="22"/>
      <c r="K40" s="11"/>
      <c r="L40" s="22"/>
      <c r="M40" s="22"/>
      <c r="N40" s="22"/>
      <c r="O40" s="22"/>
      <c r="P40" s="22"/>
      <c r="Q40" s="22"/>
      <c r="R40" s="36"/>
      <c r="S40" s="44"/>
      <c r="T40" s="47"/>
      <c r="U40" s="52">
        <f t="shared" si="5"/>
        <v>0</v>
      </c>
      <c r="V40" s="23" t="str">
        <f t="shared" si="3"/>
        <v>OK</v>
      </c>
    </row>
    <row r="41" spans="1:22" hidden="1" x14ac:dyDescent="0.3">
      <c r="A41" s="64" t="s">
        <v>61</v>
      </c>
      <c r="B41" s="62">
        <v>11347</v>
      </c>
      <c r="C41" s="12" t="s">
        <v>60</v>
      </c>
      <c r="D41" s="53"/>
      <c r="E41" s="13"/>
      <c r="F41" s="13"/>
      <c r="G41" s="14"/>
      <c r="H41" s="15"/>
      <c r="I41" s="16">
        <f t="shared" si="4"/>
        <v>0</v>
      </c>
      <c r="J41" s="16"/>
      <c r="K41" s="11"/>
      <c r="L41" s="16"/>
      <c r="M41" s="16"/>
      <c r="N41" s="16"/>
      <c r="O41" s="16"/>
      <c r="P41" s="16"/>
      <c r="Q41" s="16"/>
      <c r="R41" s="35"/>
      <c r="S41" s="43"/>
      <c r="T41" s="46"/>
      <c r="U41" s="51">
        <f t="shared" si="5"/>
        <v>0</v>
      </c>
      <c r="V41" s="17" t="str">
        <f t="shared" si="3"/>
        <v>OK</v>
      </c>
    </row>
    <row r="42" spans="1:22" hidden="1" x14ac:dyDescent="0.3">
      <c r="A42" s="54" t="s">
        <v>75</v>
      </c>
      <c r="B42" s="63">
        <v>5611</v>
      </c>
      <c r="C42" s="18" t="s">
        <v>62</v>
      </c>
      <c r="D42" s="19"/>
      <c r="E42" s="19"/>
      <c r="F42" s="19"/>
      <c r="G42" s="20"/>
      <c r="H42" s="21"/>
      <c r="I42" s="22">
        <f t="shared" si="4"/>
        <v>0</v>
      </c>
      <c r="J42" s="22"/>
      <c r="K42" s="11"/>
      <c r="L42" s="22"/>
      <c r="M42" s="22"/>
      <c r="N42" s="22"/>
      <c r="O42" s="22"/>
      <c r="P42" s="22"/>
      <c r="Q42" s="22"/>
      <c r="R42" s="36"/>
      <c r="S42" s="44"/>
      <c r="T42" s="47"/>
      <c r="U42" s="52">
        <f t="shared" si="5"/>
        <v>0</v>
      </c>
      <c r="V42" s="23" t="str">
        <f t="shared" si="3"/>
        <v>OK</v>
      </c>
    </row>
    <row r="43" spans="1:22" hidden="1" x14ac:dyDescent="0.3">
      <c r="A43" s="12" t="s">
        <v>63</v>
      </c>
      <c r="B43" s="62">
        <v>11336</v>
      </c>
      <c r="C43" s="12" t="s">
        <v>62</v>
      </c>
      <c r="D43" s="53"/>
      <c r="E43" s="13"/>
      <c r="F43" s="13"/>
      <c r="G43" s="14"/>
      <c r="H43" s="15"/>
      <c r="I43" s="16">
        <f t="shared" si="4"/>
        <v>0</v>
      </c>
      <c r="J43" s="16"/>
      <c r="K43" s="11"/>
      <c r="L43" s="16"/>
      <c r="M43" s="16"/>
      <c r="N43" s="16"/>
      <c r="O43" s="16"/>
      <c r="P43" s="16"/>
      <c r="Q43" s="16"/>
      <c r="R43" s="35"/>
      <c r="S43" s="43"/>
      <c r="T43" s="46"/>
      <c r="U43" s="51">
        <f t="shared" si="5"/>
        <v>0</v>
      </c>
      <c r="V43" s="17" t="str">
        <f t="shared" si="3"/>
        <v>OK</v>
      </c>
    </row>
    <row r="44" spans="1:22" hidden="1" x14ac:dyDescent="0.3">
      <c r="A44" s="54" t="s">
        <v>100</v>
      </c>
      <c r="B44" s="63">
        <v>14860</v>
      </c>
      <c r="C44" s="18" t="s">
        <v>56</v>
      </c>
      <c r="D44" s="19"/>
      <c r="E44" s="19"/>
      <c r="F44" s="19"/>
      <c r="G44" s="20"/>
      <c r="H44" s="21"/>
      <c r="I44" s="22">
        <f t="shared" si="4"/>
        <v>0</v>
      </c>
      <c r="J44" s="22"/>
      <c r="K44" s="11"/>
      <c r="L44" s="22"/>
      <c r="M44" s="22"/>
      <c r="N44" s="22"/>
      <c r="O44" s="22"/>
      <c r="P44" s="22"/>
      <c r="Q44" s="22"/>
      <c r="R44" s="36"/>
      <c r="S44" s="44"/>
      <c r="T44" s="47"/>
      <c r="U44" s="52">
        <f t="shared" si="5"/>
        <v>0</v>
      </c>
      <c r="V44" s="23" t="str">
        <f t="shared" si="3"/>
        <v>OK</v>
      </c>
    </row>
    <row r="45" spans="1:22" hidden="1" x14ac:dyDescent="0.3">
      <c r="A45" s="64" t="s">
        <v>83</v>
      </c>
      <c r="B45" s="62">
        <v>14861</v>
      </c>
      <c r="C45" s="12" t="s">
        <v>56</v>
      </c>
      <c r="D45" s="53"/>
      <c r="E45" s="13"/>
      <c r="F45" s="13"/>
      <c r="G45" s="14"/>
      <c r="H45" s="15"/>
      <c r="I45" s="16">
        <f t="shared" si="4"/>
        <v>0</v>
      </c>
      <c r="J45" s="16"/>
      <c r="K45" s="11"/>
      <c r="L45" s="16"/>
      <c r="M45" s="16"/>
      <c r="N45" s="16"/>
      <c r="O45" s="16"/>
      <c r="P45" s="16"/>
      <c r="Q45" s="16"/>
      <c r="R45" s="35"/>
      <c r="S45" s="43"/>
      <c r="T45" s="46"/>
      <c r="U45" s="51">
        <f t="shared" si="5"/>
        <v>0</v>
      </c>
      <c r="V45" s="17" t="str">
        <f t="shared" si="3"/>
        <v>OK</v>
      </c>
    </row>
    <row r="46" spans="1:22" hidden="1" x14ac:dyDescent="0.3">
      <c r="A46" s="54" t="s">
        <v>101</v>
      </c>
      <c r="B46" s="63">
        <v>15096</v>
      </c>
      <c r="C46" s="18" t="s">
        <v>56</v>
      </c>
      <c r="D46" s="19"/>
      <c r="E46" s="19"/>
      <c r="F46" s="19"/>
      <c r="G46" s="20"/>
      <c r="H46" s="21"/>
      <c r="I46" s="22">
        <f t="shared" si="4"/>
        <v>0</v>
      </c>
      <c r="J46" s="22"/>
      <c r="K46" s="11"/>
      <c r="L46" s="22"/>
      <c r="M46" s="22"/>
      <c r="N46" s="22"/>
      <c r="O46" s="22"/>
      <c r="P46" s="22"/>
      <c r="Q46" s="22"/>
      <c r="R46" s="36"/>
      <c r="S46" s="44"/>
      <c r="T46" s="47"/>
      <c r="U46" s="52">
        <f t="shared" si="5"/>
        <v>0</v>
      </c>
      <c r="V46" s="23" t="str">
        <f t="shared" si="3"/>
        <v>OK</v>
      </c>
    </row>
    <row r="47" spans="1:22" hidden="1" x14ac:dyDescent="0.3">
      <c r="A47" s="12" t="s">
        <v>81</v>
      </c>
      <c r="B47" s="62">
        <v>15097</v>
      </c>
      <c r="C47" s="12" t="s">
        <v>56</v>
      </c>
      <c r="D47" s="53"/>
      <c r="E47" s="13"/>
      <c r="F47" s="13"/>
      <c r="G47" s="14"/>
      <c r="H47" s="15"/>
      <c r="I47" s="16">
        <f t="shared" si="4"/>
        <v>0</v>
      </c>
      <c r="J47" s="16"/>
      <c r="K47" s="11"/>
      <c r="L47" s="16"/>
      <c r="M47" s="16"/>
      <c r="N47" s="16"/>
      <c r="O47" s="16"/>
      <c r="P47" s="16"/>
      <c r="Q47" s="16"/>
      <c r="R47" s="35"/>
      <c r="S47" s="43"/>
      <c r="T47" s="46"/>
      <c r="U47" s="51">
        <f t="shared" si="5"/>
        <v>0</v>
      </c>
      <c r="V47" s="17" t="str">
        <f t="shared" si="3"/>
        <v>OK</v>
      </c>
    </row>
    <row r="48" spans="1:22" hidden="1" x14ac:dyDescent="0.3">
      <c r="A48" s="54" t="s">
        <v>76</v>
      </c>
      <c r="B48" s="63">
        <v>5585</v>
      </c>
      <c r="C48" s="18" t="s">
        <v>64</v>
      </c>
      <c r="D48" s="19"/>
      <c r="E48" s="19"/>
      <c r="F48" s="19"/>
      <c r="G48" s="20"/>
      <c r="H48" s="21"/>
      <c r="I48" s="22">
        <f t="shared" si="4"/>
        <v>0</v>
      </c>
      <c r="J48" s="22"/>
      <c r="K48" s="11"/>
      <c r="L48" s="22"/>
      <c r="M48" s="22"/>
      <c r="N48" s="22"/>
      <c r="O48" s="22"/>
      <c r="P48" s="22"/>
      <c r="Q48" s="22"/>
      <c r="R48" s="36"/>
      <c r="S48" s="44"/>
      <c r="T48" s="47"/>
      <c r="U48" s="52">
        <f t="shared" si="5"/>
        <v>0</v>
      </c>
      <c r="V48" s="23" t="str">
        <f t="shared" si="3"/>
        <v>OK</v>
      </c>
    </row>
    <row r="49" spans="1:22" hidden="1" x14ac:dyDescent="0.3">
      <c r="A49" s="12" t="s">
        <v>65</v>
      </c>
      <c r="B49" s="62">
        <v>11351</v>
      </c>
      <c r="C49" s="12" t="s">
        <v>64</v>
      </c>
      <c r="D49" s="53"/>
      <c r="E49" s="13"/>
      <c r="F49" s="13"/>
      <c r="G49" s="14"/>
      <c r="H49" s="15"/>
      <c r="I49" s="16">
        <f t="shared" si="4"/>
        <v>0</v>
      </c>
      <c r="J49" s="16"/>
      <c r="K49" s="11"/>
      <c r="L49" s="16"/>
      <c r="M49" s="16"/>
      <c r="N49" s="16"/>
      <c r="O49" s="16"/>
      <c r="P49" s="16"/>
      <c r="Q49" s="16"/>
      <c r="R49" s="35"/>
      <c r="S49" s="43"/>
      <c r="T49" s="46"/>
      <c r="U49" s="51">
        <f t="shared" si="5"/>
        <v>0</v>
      </c>
      <c r="V49" s="17" t="str">
        <f t="shared" si="3"/>
        <v>OK</v>
      </c>
    </row>
    <row r="50" spans="1:22" hidden="1" x14ac:dyDescent="0.3">
      <c r="A50" s="54" t="s">
        <v>66</v>
      </c>
      <c r="B50" s="63">
        <v>11352</v>
      </c>
      <c r="C50" s="18" t="s">
        <v>64</v>
      </c>
      <c r="D50" s="19"/>
      <c r="E50" s="19"/>
      <c r="F50" s="19"/>
      <c r="G50" s="20"/>
      <c r="H50" s="21"/>
      <c r="I50" s="22">
        <f t="shared" si="4"/>
        <v>0</v>
      </c>
      <c r="J50" s="22"/>
      <c r="K50" s="11"/>
      <c r="L50" s="22"/>
      <c r="M50" s="22"/>
      <c r="N50" s="22"/>
      <c r="O50" s="22"/>
      <c r="P50" s="22"/>
      <c r="Q50" s="22"/>
      <c r="R50" s="36"/>
      <c r="S50" s="44"/>
      <c r="T50" s="47"/>
      <c r="U50" s="52">
        <f t="shared" si="5"/>
        <v>0</v>
      </c>
      <c r="V50" s="23" t="str">
        <f t="shared" si="3"/>
        <v>OK</v>
      </c>
    </row>
    <row r="51" spans="1:22" hidden="1" x14ac:dyDescent="0.3">
      <c r="A51" s="90" t="s">
        <v>102</v>
      </c>
      <c r="B51" s="76">
        <v>13515</v>
      </c>
      <c r="C51" s="70" t="s">
        <v>78</v>
      </c>
      <c r="D51" s="70"/>
      <c r="E51" s="70"/>
      <c r="F51" s="70"/>
      <c r="G51" s="91"/>
      <c r="H51" s="82"/>
      <c r="I51" s="82">
        <f t="shared" si="4"/>
        <v>0</v>
      </c>
      <c r="J51" s="74"/>
      <c r="K51" s="11"/>
      <c r="L51" s="16"/>
      <c r="M51" s="16"/>
      <c r="N51" s="16"/>
      <c r="O51" s="16"/>
      <c r="P51" s="16"/>
      <c r="Q51" s="16"/>
      <c r="R51" s="35"/>
      <c r="S51" s="43"/>
      <c r="T51" s="46"/>
      <c r="U51" s="75">
        <f t="shared" si="5"/>
        <v>0</v>
      </c>
      <c r="V51" s="93" t="str">
        <f t="shared" si="3"/>
        <v>OK</v>
      </c>
    </row>
    <row r="52" spans="1:22" hidden="1" x14ac:dyDescent="0.3">
      <c r="A52" s="54" t="s">
        <v>103</v>
      </c>
      <c r="B52" s="63">
        <v>13516</v>
      </c>
      <c r="C52" s="18" t="s">
        <v>78</v>
      </c>
      <c r="D52" s="18"/>
      <c r="E52" s="18"/>
      <c r="F52" s="18"/>
      <c r="G52" s="92"/>
      <c r="H52" s="22"/>
      <c r="I52" s="22">
        <f t="shared" si="4"/>
        <v>0</v>
      </c>
      <c r="J52" s="69"/>
      <c r="K52" s="11"/>
      <c r="L52" s="22"/>
      <c r="M52" s="22"/>
      <c r="N52" s="22"/>
      <c r="O52" s="22"/>
      <c r="P52" s="22"/>
      <c r="Q52" s="22"/>
      <c r="R52" s="36"/>
      <c r="S52" s="44"/>
      <c r="T52" s="47"/>
      <c r="U52" s="52">
        <f t="shared" si="5"/>
        <v>0</v>
      </c>
      <c r="V52" s="23" t="str">
        <f t="shared" si="3"/>
        <v>OK</v>
      </c>
    </row>
    <row r="53" spans="1:22" hidden="1" x14ac:dyDescent="0.3">
      <c r="A53" s="90" t="s">
        <v>104</v>
      </c>
      <c r="B53" s="76">
        <v>13468</v>
      </c>
      <c r="C53" s="70" t="s">
        <v>78</v>
      </c>
      <c r="D53" s="70"/>
      <c r="E53" s="70"/>
      <c r="F53" s="70"/>
      <c r="G53" s="91"/>
      <c r="H53" s="82"/>
      <c r="I53" s="82">
        <f t="shared" si="4"/>
        <v>0</v>
      </c>
      <c r="J53" s="74"/>
      <c r="K53" s="11"/>
      <c r="L53" s="16"/>
      <c r="M53" s="16"/>
      <c r="N53" s="16"/>
      <c r="O53" s="16"/>
      <c r="P53" s="16"/>
      <c r="Q53" s="16"/>
      <c r="R53" s="35"/>
      <c r="S53" s="43"/>
      <c r="T53" s="46"/>
      <c r="U53" s="75">
        <f t="shared" si="5"/>
        <v>0</v>
      </c>
      <c r="V53" s="93" t="str">
        <f t="shared" si="3"/>
        <v>OK</v>
      </c>
    </row>
    <row r="54" spans="1:22" hidden="1" x14ac:dyDescent="0.3">
      <c r="A54" s="54" t="s">
        <v>79</v>
      </c>
      <c r="B54" s="63">
        <v>13469</v>
      </c>
      <c r="C54" s="18" t="s">
        <v>78</v>
      </c>
      <c r="D54" s="18"/>
      <c r="E54" s="18"/>
      <c r="F54" s="18"/>
      <c r="G54" s="92"/>
      <c r="H54" s="22"/>
      <c r="I54" s="22">
        <f t="shared" si="4"/>
        <v>0</v>
      </c>
      <c r="J54" s="69"/>
      <c r="K54" s="11"/>
      <c r="L54" s="22"/>
      <c r="M54" s="22"/>
      <c r="N54" s="22"/>
      <c r="O54" s="22"/>
      <c r="P54" s="22"/>
      <c r="Q54" s="22"/>
      <c r="R54" s="36"/>
      <c r="S54" s="44"/>
      <c r="T54" s="47"/>
      <c r="U54" s="52">
        <f t="shared" si="5"/>
        <v>0</v>
      </c>
      <c r="V54" s="23" t="str">
        <f t="shared" si="3"/>
        <v>OK</v>
      </c>
    </row>
    <row r="55" spans="1:22" hidden="1" x14ac:dyDescent="0.3">
      <c r="A55" s="90" t="s">
        <v>43</v>
      </c>
      <c r="B55" s="76">
        <v>11820</v>
      </c>
      <c r="C55" s="70" t="s">
        <v>67</v>
      </c>
      <c r="D55" s="70"/>
      <c r="E55" s="70"/>
      <c r="F55" s="70"/>
      <c r="G55" s="91"/>
      <c r="H55" s="82"/>
      <c r="I55" s="82">
        <f t="shared" si="4"/>
        <v>0</v>
      </c>
      <c r="J55" s="74"/>
      <c r="K55" s="11"/>
      <c r="L55" s="16"/>
      <c r="M55" s="16"/>
      <c r="N55" s="16"/>
      <c r="O55" s="16"/>
      <c r="P55" s="16"/>
      <c r="Q55" s="16"/>
      <c r="R55" s="35"/>
      <c r="S55" s="43"/>
      <c r="T55" s="46"/>
      <c r="U55" s="75">
        <f t="shared" si="5"/>
        <v>0</v>
      </c>
      <c r="V55" s="93" t="str">
        <f t="shared" si="3"/>
        <v>OK</v>
      </c>
    </row>
    <row r="56" spans="1:22" hidden="1" x14ac:dyDescent="0.3">
      <c r="A56" s="54" t="s">
        <v>44</v>
      </c>
      <c r="B56" s="63">
        <v>11816</v>
      </c>
      <c r="C56" s="18" t="s">
        <v>67</v>
      </c>
      <c r="D56" s="18"/>
      <c r="E56" s="18"/>
      <c r="F56" s="18"/>
      <c r="G56" s="92"/>
      <c r="H56" s="22"/>
      <c r="I56" s="22">
        <f t="shared" si="4"/>
        <v>0</v>
      </c>
      <c r="J56" s="69"/>
      <c r="K56" s="11"/>
      <c r="L56" s="22"/>
      <c r="M56" s="22"/>
      <c r="N56" s="22"/>
      <c r="O56" s="22"/>
      <c r="P56" s="22"/>
      <c r="Q56" s="22"/>
      <c r="R56" s="36"/>
      <c r="S56" s="44"/>
      <c r="T56" s="47"/>
      <c r="U56" s="52">
        <f>SUM(L56:T56)</f>
        <v>0</v>
      </c>
      <c r="V56" s="23" t="str">
        <f t="shared" si="3"/>
        <v>OK</v>
      </c>
    </row>
    <row r="57" spans="1:22" hidden="1" x14ac:dyDescent="0.3">
      <c r="A57" s="76" t="s">
        <v>77</v>
      </c>
      <c r="B57" s="76">
        <v>11381</v>
      </c>
      <c r="C57" s="77" t="s">
        <v>68</v>
      </c>
      <c r="D57" s="70"/>
      <c r="E57" s="70"/>
      <c r="F57" s="70"/>
      <c r="G57" s="91"/>
      <c r="H57" s="82"/>
      <c r="I57" s="82">
        <f t="shared" si="4"/>
        <v>0</v>
      </c>
      <c r="J57" s="74"/>
      <c r="K57" s="11"/>
      <c r="L57" s="16"/>
      <c r="M57" s="16"/>
      <c r="N57" s="16"/>
      <c r="O57" s="16"/>
      <c r="P57" s="16"/>
      <c r="Q57" s="16"/>
      <c r="R57" s="35"/>
      <c r="S57" s="43"/>
      <c r="T57" s="46"/>
      <c r="U57" s="75">
        <f>SUM(L57:T57)</f>
        <v>0</v>
      </c>
      <c r="V57" s="93" t="str">
        <f t="shared" si="3"/>
        <v>OK</v>
      </c>
    </row>
    <row r="58" spans="1:22" hidden="1" x14ac:dyDescent="0.3">
      <c r="A58" s="54" t="s">
        <v>69</v>
      </c>
      <c r="B58" s="63">
        <v>11382</v>
      </c>
      <c r="C58" s="18" t="s">
        <v>68</v>
      </c>
      <c r="D58" s="18"/>
      <c r="E58" s="18"/>
      <c r="F58" s="18"/>
      <c r="G58" s="92"/>
      <c r="H58" s="22"/>
      <c r="I58" s="22">
        <f t="shared" si="4"/>
        <v>0</v>
      </c>
      <c r="J58" s="69"/>
      <c r="K58" s="11"/>
      <c r="L58" s="22"/>
      <c r="M58" s="22"/>
      <c r="N58" s="22"/>
      <c r="O58" s="22"/>
      <c r="P58" s="22"/>
      <c r="Q58" s="22"/>
      <c r="R58" s="36"/>
      <c r="S58" s="44"/>
      <c r="T58" s="47"/>
      <c r="U58" s="52">
        <f>SUM(L58:T58)</f>
        <v>0</v>
      </c>
      <c r="V58" s="23" t="str">
        <f t="shared" si="3"/>
        <v>OK</v>
      </c>
    </row>
    <row r="59" spans="1:22" hidden="1" x14ac:dyDescent="0.3">
      <c r="A59" s="96" t="s">
        <v>105</v>
      </c>
      <c r="B59" s="76">
        <v>16586</v>
      </c>
      <c r="C59" s="70" t="s">
        <v>78</v>
      </c>
      <c r="D59" s="70"/>
      <c r="E59" s="70"/>
      <c r="F59" s="70"/>
      <c r="G59" s="91"/>
      <c r="H59" s="82"/>
      <c r="I59" s="82">
        <f t="shared" si="4"/>
        <v>0</v>
      </c>
      <c r="J59" s="74"/>
      <c r="K59" s="11"/>
      <c r="L59" s="16"/>
      <c r="M59" s="16"/>
      <c r="N59" s="16"/>
      <c r="O59" s="16"/>
      <c r="P59" s="16"/>
      <c r="Q59" s="16"/>
      <c r="R59" s="35"/>
      <c r="S59" s="43"/>
      <c r="T59" s="46"/>
      <c r="U59" s="75">
        <f t="shared" ref="U59:U67" si="6">SUM(L59:T59)</f>
        <v>0</v>
      </c>
      <c r="V59" s="93" t="str">
        <f t="shared" si="3"/>
        <v>OK</v>
      </c>
    </row>
    <row r="60" spans="1:22" hidden="1" x14ac:dyDescent="0.3">
      <c r="A60" s="54" t="s">
        <v>90</v>
      </c>
      <c r="B60" s="63">
        <v>16587</v>
      </c>
      <c r="C60" s="18" t="s">
        <v>78</v>
      </c>
      <c r="D60" s="18"/>
      <c r="E60" s="18"/>
      <c r="F60" s="18"/>
      <c r="G60" s="92"/>
      <c r="H60" s="22"/>
      <c r="I60" s="22">
        <f t="shared" si="4"/>
        <v>0</v>
      </c>
      <c r="J60" s="69"/>
      <c r="K60" s="11"/>
      <c r="L60" s="22"/>
      <c r="M60" s="22"/>
      <c r="N60" s="22"/>
      <c r="O60" s="22"/>
      <c r="P60" s="22"/>
      <c r="Q60" s="22"/>
      <c r="R60" s="36"/>
      <c r="S60" s="44"/>
      <c r="T60" s="47"/>
      <c r="U60" s="52">
        <f t="shared" si="6"/>
        <v>0</v>
      </c>
      <c r="V60" s="23" t="str">
        <f t="shared" si="3"/>
        <v>OK</v>
      </c>
    </row>
    <row r="61" spans="1:22" hidden="1" x14ac:dyDescent="0.3">
      <c r="A61" s="90" t="s">
        <v>91</v>
      </c>
      <c r="B61" s="76">
        <v>17121</v>
      </c>
      <c r="C61" s="70" t="s">
        <v>92</v>
      </c>
      <c r="D61" s="70"/>
      <c r="E61" s="70"/>
      <c r="F61" s="70"/>
      <c r="G61" s="91"/>
      <c r="H61" s="82"/>
      <c r="I61" s="82">
        <f t="shared" si="4"/>
        <v>0</v>
      </c>
      <c r="J61" s="74"/>
      <c r="K61" s="11"/>
      <c r="L61" s="16"/>
      <c r="M61" s="16"/>
      <c r="N61" s="16"/>
      <c r="O61" s="16"/>
      <c r="P61" s="16"/>
      <c r="Q61" s="16"/>
      <c r="R61" s="35"/>
      <c r="S61" s="43"/>
      <c r="T61" s="46"/>
      <c r="U61" s="75">
        <f t="shared" si="6"/>
        <v>0</v>
      </c>
      <c r="V61" s="93" t="str">
        <f t="shared" si="3"/>
        <v>OK</v>
      </c>
    </row>
    <row r="62" spans="1:22" hidden="1" x14ac:dyDescent="0.3">
      <c r="A62" s="54" t="s">
        <v>106</v>
      </c>
      <c r="B62" s="63">
        <v>19270</v>
      </c>
      <c r="C62" s="18" t="s">
        <v>68</v>
      </c>
      <c r="D62" s="18"/>
      <c r="E62" s="18"/>
      <c r="F62" s="18"/>
      <c r="G62" s="92"/>
      <c r="H62" s="22"/>
      <c r="I62" s="22">
        <f t="shared" si="4"/>
        <v>0</v>
      </c>
      <c r="J62" s="69"/>
      <c r="K62" s="11"/>
      <c r="L62" s="22"/>
      <c r="M62" s="22"/>
      <c r="N62" s="22"/>
      <c r="O62" s="22"/>
      <c r="P62" s="22"/>
      <c r="Q62" s="22"/>
      <c r="R62" s="36"/>
      <c r="S62" s="44"/>
      <c r="T62" s="47"/>
      <c r="U62" s="71">
        <f t="shared" si="6"/>
        <v>0</v>
      </c>
      <c r="V62" s="23" t="str">
        <f t="shared" si="3"/>
        <v>OK</v>
      </c>
    </row>
    <row r="63" spans="1:22" hidden="1" x14ac:dyDescent="0.3">
      <c r="A63" s="90" t="s">
        <v>107</v>
      </c>
      <c r="B63" s="76">
        <v>19276</v>
      </c>
      <c r="C63" s="70" t="s">
        <v>68</v>
      </c>
      <c r="D63" s="70"/>
      <c r="E63" s="70"/>
      <c r="F63" s="70"/>
      <c r="G63" s="91"/>
      <c r="H63" s="82"/>
      <c r="I63" s="82">
        <f t="shared" si="4"/>
        <v>0</v>
      </c>
      <c r="J63" s="74"/>
      <c r="K63" s="11"/>
      <c r="L63" s="16"/>
      <c r="M63" s="16"/>
      <c r="N63" s="16"/>
      <c r="O63" s="16"/>
      <c r="P63" s="16"/>
      <c r="Q63" s="16"/>
      <c r="R63" s="35"/>
      <c r="S63" s="43"/>
      <c r="T63" s="46"/>
      <c r="U63" s="75">
        <f t="shared" si="6"/>
        <v>0</v>
      </c>
      <c r="V63" s="93" t="str">
        <f t="shared" si="3"/>
        <v>OK</v>
      </c>
    </row>
    <row r="64" spans="1:22" hidden="1" x14ac:dyDescent="0.3">
      <c r="A64" s="54" t="s">
        <v>108</v>
      </c>
      <c r="B64" s="63">
        <v>19836</v>
      </c>
      <c r="C64" s="18" t="s">
        <v>45</v>
      </c>
      <c r="D64" s="18"/>
      <c r="E64" s="18"/>
      <c r="F64" s="18"/>
      <c r="G64" s="92"/>
      <c r="H64" s="22"/>
      <c r="I64" s="22">
        <f t="shared" si="4"/>
        <v>0</v>
      </c>
      <c r="J64" s="69"/>
      <c r="K64" s="11"/>
      <c r="L64" s="22"/>
      <c r="M64" s="22"/>
      <c r="N64" s="22"/>
      <c r="O64" s="22"/>
      <c r="P64" s="22"/>
      <c r="Q64" s="22"/>
      <c r="R64" s="36"/>
      <c r="S64" s="44"/>
      <c r="T64" s="47"/>
      <c r="U64" s="52">
        <f t="shared" si="6"/>
        <v>0</v>
      </c>
      <c r="V64" s="23" t="str">
        <f t="shared" si="3"/>
        <v>OK</v>
      </c>
    </row>
    <row r="65" spans="1:22" hidden="1" x14ac:dyDescent="0.3">
      <c r="A65" s="90" t="s">
        <v>109</v>
      </c>
      <c r="B65" s="76">
        <v>20278</v>
      </c>
      <c r="C65" s="70" t="s">
        <v>110</v>
      </c>
      <c r="D65" s="70"/>
      <c r="E65" s="70"/>
      <c r="F65" s="70"/>
      <c r="G65" s="91"/>
      <c r="H65" s="82"/>
      <c r="I65" s="82">
        <f t="shared" si="4"/>
        <v>0</v>
      </c>
      <c r="J65" s="74"/>
      <c r="K65" s="11"/>
      <c r="L65" s="16"/>
      <c r="M65" s="16"/>
      <c r="N65" s="16"/>
      <c r="O65" s="16"/>
      <c r="P65" s="16"/>
      <c r="Q65" s="16"/>
      <c r="R65" s="35"/>
      <c r="S65" s="43"/>
      <c r="T65" s="46"/>
      <c r="U65" s="75">
        <f t="shared" si="6"/>
        <v>0</v>
      </c>
      <c r="V65" s="93" t="str">
        <f t="shared" si="3"/>
        <v>OK</v>
      </c>
    </row>
    <row r="66" spans="1:22" hidden="1" x14ac:dyDescent="0.3">
      <c r="A66" s="54" t="s">
        <v>111</v>
      </c>
      <c r="B66" s="63">
        <v>20272</v>
      </c>
      <c r="C66" s="18" t="s">
        <v>110</v>
      </c>
      <c r="D66" s="18"/>
      <c r="E66" s="18"/>
      <c r="F66" s="18"/>
      <c r="G66" s="92"/>
      <c r="H66" s="22"/>
      <c r="I66" s="22">
        <f t="shared" si="4"/>
        <v>0</v>
      </c>
      <c r="J66" s="69"/>
      <c r="K66" s="11"/>
      <c r="L66" s="22"/>
      <c r="M66" s="22"/>
      <c r="N66" s="22"/>
      <c r="O66" s="22"/>
      <c r="P66" s="22"/>
      <c r="Q66" s="22"/>
      <c r="R66" s="36"/>
      <c r="S66" s="44"/>
      <c r="T66" s="47"/>
      <c r="U66" s="52">
        <f t="shared" si="6"/>
        <v>0</v>
      </c>
      <c r="V66" s="23" t="str">
        <f t="shared" si="3"/>
        <v>OK</v>
      </c>
    </row>
    <row r="67" spans="1:22" ht="17.25" thickBot="1" x14ac:dyDescent="0.35">
      <c r="A67" s="90" t="s">
        <v>112</v>
      </c>
      <c r="B67" s="76">
        <v>20956</v>
      </c>
      <c r="C67" s="70" t="s">
        <v>110</v>
      </c>
      <c r="D67" s="70"/>
      <c r="E67" s="70"/>
      <c r="F67" s="70"/>
      <c r="G67" s="91"/>
      <c r="H67" s="82"/>
      <c r="I67" s="82">
        <f t="shared" si="4"/>
        <v>19</v>
      </c>
      <c r="J67" s="74"/>
      <c r="K67" s="11"/>
      <c r="L67" s="16"/>
      <c r="M67" s="16">
        <v>19</v>
      </c>
      <c r="N67" s="16"/>
      <c r="O67" s="16"/>
      <c r="P67" s="16"/>
      <c r="Q67" s="16"/>
      <c r="R67" s="35"/>
      <c r="S67" s="43"/>
      <c r="T67" s="46"/>
      <c r="U67" s="75">
        <f t="shared" si="6"/>
        <v>19</v>
      </c>
      <c r="V67" s="93" t="str">
        <f t="shared" si="3"/>
        <v>OK</v>
      </c>
    </row>
    <row r="68" spans="1:22" ht="17.25" hidden="1" thickBot="1" x14ac:dyDescent="0.35">
      <c r="A68" s="54" t="s">
        <v>116</v>
      </c>
      <c r="B68" s="63">
        <v>21299</v>
      </c>
      <c r="C68" s="18" t="s">
        <v>78</v>
      </c>
      <c r="D68" s="18"/>
      <c r="E68" s="18"/>
      <c r="F68" s="18"/>
      <c r="G68" s="92"/>
      <c r="H68" s="22"/>
      <c r="I68" s="22">
        <f t="shared" si="4"/>
        <v>0</v>
      </c>
      <c r="J68" s="69"/>
      <c r="K68" s="11"/>
      <c r="L68" s="22"/>
      <c r="M68" s="22"/>
      <c r="N68" s="22"/>
      <c r="O68" s="22"/>
      <c r="P68" s="22"/>
      <c r="Q68" s="22"/>
      <c r="R68" s="36"/>
      <c r="S68" s="44"/>
      <c r="T68" s="47"/>
      <c r="U68" s="71">
        <f>SUM(L68:T68)</f>
        <v>0</v>
      </c>
      <c r="V68" s="23" t="str">
        <f>IF(U68=I68,"OK","NG")</f>
        <v>OK</v>
      </c>
    </row>
    <row r="69" spans="1:22" ht="17.25" hidden="1" thickBot="1" x14ac:dyDescent="0.35">
      <c r="A69" s="99" t="s">
        <v>117</v>
      </c>
      <c r="B69" s="76">
        <v>22115</v>
      </c>
      <c r="C69" s="82" t="s">
        <v>118</v>
      </c>
      <c r="D69" s="82"/>
      <c r="E69" s="82"/>
      <c r="F69" s="82"/>
      <c r="G69" s="82"/>
      <c r="H69" s="82"/>
      <c r="I69" s="82">
        <f t="shared" si="4"/>
        <v>0</v>
      </c>
      <c r="J69" s="97"/>
      <c r="K69" s="112"/>
      <c r="L69" s="82"/>
      <c r="M69" s="82"/>
      <c r="N69" s="82"/>
      <c r="O69" s="82"/>
      <c r="P69" s="82"/>
      <c r="Q69" s="82"/>
      <c r="R69" s="83"/>
      <c r="S69" s="84"/>
      <c r="T69" s="85"/>
      <c r="U69" s="75">
        <f>SUM(L69:T69)</f>
        <v>0</v>
      </c>
      <c r="V69" s="93" t="str">
        <f>IF(U69=I69,"OK","NG")</f>
        <v>OK</v>
      </c>
    </row>
    <row r="70" spans="1:22" ht="17.25" hidden="1" thickBot="1" x14ac:dyDescent="0.35">
      <c r="A70" s="54" t="s">
        <v>120</v>
      </c>
      <c r="B70" s="63">
        <v>22706</v>
      </c>
      <c r="C70" s="18" t="s">
        <v>119</v>
      </c>
      <c r="D70" s="18"/>
      <c r="E70" s="18"/>
      <c r="F70" s="18"/>
      <c r="G70" s="92"/>
      <c r="H70" s="22"/>
      <c r="I70" s="22">
        <f t="shared" si="4"/>
        <v>0</v>
      </c>
      <c r="J70" s="69"/>
      <c r="K70" s="11"/>
      <c r="L70" s="22"/>
      <c r="M70" s="22"/>
      <c r="N70" s="22"/>
      <c r="O70" s="22"/>
      <c r="P70" s="22"/>
      <c r="Q70" s="22"/>
      <c r="R70" s="36"/>
      <c r="S70" s="44"/>
      <c r="T70" s="47"/>
      <c r="U70" s="71">
        <f>SUM(L70:T70)</f>
        <v>0</v>
      </c>
      <c r="V70" s="23" t="str">
        <f>IF(U70=I70,"OK","NG")</f>
        <v>OK</v>
      </c>
    </row>
    <row r="71" spans="1:22" ht="17.25" hidden="1" thickBot="1" x14ac:dyDescent="0.35">
      <c r="A71" s="99" t="s">
        <v>121</v>
      </c>
      <c r="B71" s="76">
        <v>22886</v>
      </c>
      <c r="C71" s="82" t="s">
        <v>46</v>
      </c>
      <c r="D71" s="82"/>
      <c r="E71" s="82"/>
      <c r="F71" s="82"/>
      <c r="G71" s="82"/>
      <c r="H71" s="82"/>
      <c r="I71" s="82">
        <f t="shared" ref="I71:I80" si="7">SUM(L71:T71)</f>
        <v>0</v>
      </c>
      <c r="J71" s="97"/>
      <c r="K71" s="112"/>
      <c r="L71" s="82"/>
      <c r="M71" s="82"/>
      <c r="N71" s="82"/>
      <c r="O71" s="82"/>
      <c r="P71" s="82"/>
      <c r="Q71" s="82"/>
      <c r="R71" s="83"/>
      <c r="S71" s="84"/>
      <c r="T71" s="85"/>
      <c r="U71" s="75">
        <f>SUM(L71:T71)</f>
        <v>0</v>
      </c>
      <c r="V71" s="93" t="str">
        <f>IF(U71=I71,"OK","NG")</f>
        <v>OK</v>
      </c>
    </row>
    <row r="72" spans="1:22" ht="17.25" hidden="1" thickBot="1" x14ac:dyDescent="0.35">
      <c r="A72" s="54" t="s">
        <v>122</v>
      </c>
      <c r="B72" s="63">
        <v>17528</v>
      </c>
      <c r="C72" s="18" t="s">
        <v>123</v>
      </c>
      <c r="D72" s="18"/>
      <c r="E72" s="18"/>
      <c r="F72" s="18"/>
      <c r="G72" s="92"/>
      <c r="H72" s="22"/>
      <c r="I72" s="22">
        <f t="shared" si="7"/>
        <v>0</v>
      </c>
      <c r="J72" s="69"/>
      <c r="K72" s="11"/>
      <c r="L72" s="22"/>
      <c r="M72" s="22"/>
      <c r="N72" s="22"/>
      <c r="O72" s="22"/>
      <c r="P72" s="22"/>
      <c r="Q72" s="22"/>
      <c r="R72" s="36"/>
      <c r="S72" s="44"/>
      <c r="T72" s="47"/>
      <c r="U72" s="71">
        <f t="shared" ref="U72:U80" si="8">SUM(L72:T72)</f>
        <v>0</v>
      </c>
      <c r="V72" s="95" t="str">
        <f t="shared" ref="V72:V80" si="9">IF(U72=I72,"OK","NG")</f>
        <v>OK</v>
      </c>
    </row>
    <row r="73" spans="1:22" ht="17.25" hidden="1" thickBot="1" x14ac:dyDescent="0.35">
      <c r="A73" s="99" t="s">
        <v>124</v>
      </c>
      <c r="B73" s="76">
        <v>22380</v>
      </c>
      <c r="C73" s="82" t="s">
        <v>47</v>
      </c>
      <c r="D73" s="82"/>
      <c r="E73" s="82"/>
      <c r="F73" s="82"/>
      <c r="G73" s="82"/>
      <c r="H73" s="82"/>
      <c r="I73" s="82">
        <f t="shared" si="7"/>
        <v>0</v>
      </c>
      <c r="J73" s="97"/>
      <c r="K73" s="112"/>
      <c r="L73" s="82"/>
      <c r="M73" s="82"/>
      <c r="N73" s="82"/>
      <c r="O73" s="82"/>
      <c r="P73" s="82"/>
      <c r="Q73" s="82"/>
      <c r="R73" s="83"/>
      <c r="S73" s="84"/>
      <c r="T73" s="85"/>
      <c r="U73" s="75">
        <f t="shared" si="8"/>
        <v>0</v>
      </c>
      <c r="V73" s="93" t="str">
        <f t="shared" si="9"/>
        <v>OK</v>
      </c>
    </row>
    <row r="74" spans="1:22" ht="17.25" hidden="1" thickBot="1" x14ac:dyDescent="0.35">
      <c r="A74" s="54" t="s">
        <v>125</v>
      </c>
      <c r="B74" s="63">
        <v>19279</v>
      </c>
      <c r="C74" s="18" t="s">
        <v>126</v>
      </c>
      <c r="D74" s="18"/>
      <c r="E74" s="18"/>
      <c r="F74" s="18"/>
      <c r="G74" s="92"/>
      <c r="H74" s="22"/>
      <c r="I74" s="22">
        <f t="shared" si="7"/>
        <v>0</v>
      </c>
      <c r="J74" s="69"/>
      <c r="K74" s="11"/>
      <c r="L74" s="22"/>
      <c r="M74" s="22"/>
      <c r="N74" s="22"/>
      <c r="O74" s="22"/>
      <c r="P74" s="22"/>
      <c r="Q74" s="22"/>
      <c r="R74" s="36"/>
      <c r="S74" s="44"/>
      <c r="T74" s="47"/>
      <c r="U74" s="71">
        <f t="shared" si="8"/>
        <v>0</v>
      </c>
      <c r="V74" s="95" t="str">
        <f t="shared" si="9"/>
        <v>OK</v>
      </c>
    </row>
    <row r="75" spans="1:22" ht="17.25" hidden="1" thickBot="1" x14ac:dyDescent="0.35">
      <c r="A75" s="90" t="s">
        <v>131</v>
      </c>
      <c r="B75" s="76">
        <v>22724</v>
      </c>
      <c r="C75" s="70" t="s">
        <v>119</v>
      </c>
      <c r="D75" s="70"/>
      <c r="E75" s="70"/>
      <c r="F75" s="70"/>
      <c r="G75" s="91"/>
      <c r="H75" s="82"/>
      <c r="I75" s="82">
        <v>0</v>
      </c>
      <c r="J75" s="74"/>
      <c r="K75" s="11"/>
      <c r="L75" s="82"/>
      <c r="M75" s="82"/>
      <c r="N75" s="82"/>
      <c r="O75" s="82"/>
      <c r="P75" s="82"/>
      <c r="Q75" s="82"/>
      <c r="R75" s="83"/>
      <c r="S75" s="84"/>
      <c r="T75" s="85"/>
      <c r="U75" s="75">
        <v>0</v>
      </c>
      <c r="V75" s="93" t="s">
        <v>129</v>
      </c>
    </row>
    <row r="76" spans="1:22" ht="17.25" hidden="1" thickBot="1" x14ac:dyDescent="0.35">
      <c r="A76" s="54" t="s">
        <v>132</v>
      </c>
      <c r="B76" s="63">
        <v>22705</v>
      </c>
      <c r="C76" s="18" t="s">
        <v>119</v>
      </c>
      <c r="D76" s="18"/>
      <c r="E76" s="18"/>
      <c r="F76" s="18"/>
      <c r="G76" s="92"/>
      <c r="H76" s="22"/>
      <c r="I76" s="22">
        <f t="shared" si="7"/>
        <v>0</v>
      </c>
      <c r="J76" s="69"/>
      <c r="K76" s="11"/>
      <c r="L76" s="22"/>
      <c r="M76" s="22"/>
      <c r="N76" s="22"/>
      <c r="O76" s="22"/>
      <c r="P76" s="22"/>
      <c r="Q76" s="22"/>
      <c r="R76" s="36"/>
      <c r="S76" s="44"/>
      <c r="T76" s="47"/>
      <c r="U76" s="71">
        <f t="shared" si="8"/>
        <v>0</v>
      </c>
      <c r="V76" s="95" t="str">
        <f t="shared" si="9"/>
        <v>OK</v>
      </c>
    </row>
    <row r="77" spans="1:22" ht="17.25" hidden="1" thickBot="1" x14ac:dyDescent="0.35">
      <c r="A77" s="99" t="s">
        <v>128</v>
      </c>
      <c r="B77" s="76">
        <v>5655</v>
      </c>
      <c r="C77" s="82" t="s">
        <v>54</v>
      </c>
      <c r="D77" s="82"/>
      <c r="E77" s="82"/>
      <c r="F77" s="82"/>
      <c r="G77" s="82"/>
      <c r="H77" s="82"/>
      <c r="I77" s="82">
        <f t="shared" si="7"/>
        <v>0</v>
      </c>
      <c r="J77" s="97"/>
      <c r="K77" s="112"/>
      <c r="L77" s="82"/>
      <c r="M77" s="82"/>
      <c r="N77" s="82"/>
      <c r="O77" s="82"/>
      <c r="P77" s="82"/>
      <c r="Q77" s="82"/>
      <c r="R77" s="83"/>
      <c r="S77" s="84"/>
      <c r="T77" s="85"/>
      <c r="U77" s="75">
        <f t="shared" si="8"/>
        <v>0</v>
      </c>
      <c r="V77" s="93" t="str">
        <f t="shared" si="9"/>
        <v>OK</v>
      </c>
    </row>
    <row r="78" spans="1:22" ht="17.25" hidden="1" thickBot="1" x14ac:dyDescent="0.35">
      <c r="A78" s="120" t="s">
        <v>136</v>
      </c>
      <c r="B78" s="121">
        <v>22704</v>
      </c>
      <c r="C78" s="122" t="s">
        <v>137</v>
      </c>
      <c r="D78" s="122"/>
      <c r="E78" s="122"/>
      <c r="F78" s="122"/>
      <c r="G78" s="122"/>
      <c r="H78" s="122"/>
      <c r="I78" s="22">
        <f t="shared" si="7"/>
        <v>0</v>
      </c>
      <c r="J78" s="45"/>
      <c r="K78" s="112"/>
      <c r="L78" s="22"/>
      <c r="M78" s="22"/>
      <c r="N78" s="22"/>
      <c r="O78" s="22"/>
      <c r="P78" s="22"/>
      <c r="Q78" s="22"/>
      <c r="R78" s="36"/>
      <c r="S78" s="44"/>
      <c r="T78" s="47"/>
      <c r="U78" s="71">
        <f t="shared" si="8"/>
        <v>0</v>
      </c>
      <c r="V78" s="95" t="str">
        <f t="shared" si="9"/>
        <v>OK</v>
      </c>
    </row>
    <row r="79" spans="1:22" ht="17.25" hidden="1" thickBot="1" x14ac:dyDescent="0.35">
      <c r="A79" s="136" t="s">
        <v>139</v>
      </c>
      <c r="B79" s="133">
        <v>22722</v>
      </c>
      <c r="C79" s="137" t="s">
        <v>119</v>
      </c>
      <c r="D79" s="137"/>
      <c r="E79" s="137"/>
      <c r="F79" s="137"/>
      <c r="G79" s="137"/>
      <c r="H79" s="137"/>
      <c r="I79" s="137"/>
      <c r="J79" s="97"/>
      <c r="K79" s="119"/>
      <c r="L79" s="82"/>
      <c r="M79" s="82"/>
      <c r="N79" s="82"/>
      <c r="O79" s="82"/>
      <c r="P79" s="82"/>
      <c r="Q79" s="82"/>
      <c r="R79" s="83"/>
      <c r="S79" s="84"/>
      <c r="T79" s="85"/>
      <c r="U79" s="75"/>
      <c r="V79" s="93"/>
    </row>
    <row r="80" spans="1:22" ht="17.25" hidden="1" thickBot="1" x14ac:dyDescent="0.35">
      <c r="A80" s="126" t="s">
        <v>134</v>
      </c>
      <c r="B80" s="127">
        <v>22723</v>
      </c>
      <c r="C80" s="128" t="s">
        <v>119</v>
      </c>
      <c r="D80" s="128"/>
      <c r="E80" s="128"/>
      <c r="F80" s="128"/>
      <c r="G80" s="128"/>
      <c r="H80" s="128"/>
      <c r="I80" s="128">
        <f t="shared" si="7"/>
        <v>0</v>
      </c>
      <c r="J80" s="45"/>
      <c r="K80" s="112"/>
      <c r="L80" s="22"/>
      <c r="M80" s="22"/>
      <c r="N80" s="22"/>
      <c r="O80" s="22"/>
      <c r="P80" s="22"/>
      <c r="Q80" s="22"/>
      <c r="R80" s="36"/>
      <c r="S80" s="44"/>
      <c r="T80" s="47"/>
      <c r="U80" s="52">
        <f t="shared" si="8"/>
        <v>0</v>
      </c>
      <c r="V80" s="23" t="str">
        <f t="shared" si="9"/>
        <v>OK</v>
      </c>
    </row>
    <row r="81" spans="1:22" x14ac:dyDescent="0.3">
      <c r="A81" s="86"/>
      <c r="B81" s="86"/>
      <c r="C81" s="87" t="s">
        <v>9</v>
      </c>
      <c r="D81" s="87"/>
      <c r="E81" s="87"/>
      <c r="F81" s="87"/>
      <c r="G81" s="88">
        <f>SUM(G6:G49)</f>
        <v>0</v>
      </c>
      <c r="H81" s="89">
        <f>SUM(H6:H49)</f>
        <v>0</v>
      </c>
      <c r="I81" s="88">
        <f>SUM(I6:I80)</f>
        <v>33</v>
      </c>
      <c r="J81" s="40">
        <f>SUM(J6:J49)</f>
        <v>0</v>
      </c>
      <c r="K81" s="115">
        <f>SUM(K6:K51)</f>
        <v>0</v>
      </c>
      <c r="L81" s="38">
        <f>SUM(L6:L80)</f>
        <v>0</v>
      </c>
      <c r="M81" s="38">
        <f t="shared" ref="M81:U81" si="10">SUM(M6:M80)</f>
        <v>33</v>
      </c>
      <c r="N81" s="38">
        <f t="shared" si="10"/>
        <v>0</v>
      </c>
      <c r="O81" s="38">
        <f t="shared" si="10"/>
        <v>0</v>
      </c>
      <c r="P81" s="38">
        <f t="shared" si="10"/>
        <v>0</v>
      </c>
      <c r="Q81" s="38">
        <f t="shared" si="10"/>
        <v>0</v>
      </c>
      <c r="R81" s="38">
        <f t="shared" si="10"/>
        <v>0</v>
      </c>
      <c r="S81" s="38">
        <f t="shared" si="10"/>
        <v>0</v>
      </c>
      <c r="T81" s="38">
        <f t="shared" si="10"/>
        <v>0</v>
      </c>
      <c r="U81" s="38">
        <f t="shared" si="10"/>
        <v>33</v>
      </c>
      <c r="V81" s="41" t="str">
        <f>IF(U81=SUM(I81),"OK","NG")</f>
        <v>OK</v>
      </c>
    </row>
  </sheetData>
  <autoFilter ref="A5:V81" xr:uid="{00000000-0001-0000-0500-000000000000}">
    <filterColumn colId="8">
      <filters>
        <filter val="19"/>
        <filter val="33"/>
        <filter val="7"/>
      </filters>
    </filterColumn>
  </autoFilter>
  <mergeCells count="20">
    <mergeCell ref="O4:O5"/>
    <mergeCell ref="P4:P5"/>
    <mergeCell ref="B3:C3"/>
    <mergeCell ref="N4:N5"/>
    <mergeCell ref="B1:C1"/>
    <mergeCell ref="F1:G1"/>
    <mergeCell ref="H1:J3"/>
    <mergeCell ref="B2:C2"/>
    <mergeCell ref="A4:D4"/>
    <mergeCell ref="E4:G4"/>
    <mergeCell ref="H4:J4"/>
    <mergeCell ref="L4:L5"/>
    <mergeCell ref="M4:M5"/>
    <mergeCell ref="Q4:Q5"/>
    <mergeCell ref="R4:R5"/>
    <mergeCell ref="S4:S5"/>
    <mergeCell ref="T4:T5"/>
    <mergeCell ref="V2:V3"/>
    <mergeCell ref="U4:U5"/>
    <mergeCell ref="V4:V5"/>
  </mergeCells>
  <phoneticPr fontId="3" type="noConversion"/>
  <conditionalFormatting sqref="A4 V6:V81">
    <cfRule type="containsText" dxfId="55" priority="11" operator="containsText" text="NG">
      <formula>NOT(ISERROR(SEARCH("NG",A4)))</formula>
    </cfRule>
    <cfRule type="containsText" dxfId="54" priority="12" operator="containsText" text="OK">
      <formula>NOT(ISERROR(SEARCH("OK",A4)))</formula>
    </cfRule>
  </conditionalFormatting>
  <pageMargins left="0.70866141732283472" right="0.70866141732283472" top="0.74803149606299213" bottom="0.74803149606299213" header="0.31496062992125984" footer="0.31496062992125984"/>
  <pageSetup paperSize="8" scale="1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 filterMode="1">
    <pageSetUpPr fitToPage="1"/>
  </sheetPr>
  <dimension ref="A1:V81"/>
  <sheetViews>
    <sheetView showGridLines="0" zoomScale="85" zoomScaleNormal="85" workbookViewId="0">
      <pane ySplit="5" topLeftCell="A26" activePane="bottomLeft" state="frozen"/>
      <selection activeCell="W73" sqref="W73"/>
      <selection pane="bottomLeft" activeCell="L26" sqref="L26:T79"/>
    </sheetView>
  </sheetViews>
  <sheetFormatPr defaultColWidth="9" defaultRowHeight="16.5" x14ac:dyDescent="0.3"/>
  <cols>
    <col min="1" max="1" width="12.625" bestFit="1" customWidth="1"/>
    <col min="2" max="2" width="14.125" bestFit="1" customWidth="1"/>
    <col min="3" max="3" width="35.125" customWidth="1"/>
    <col min="4" max="4" width="11.75" hidden="1" customWidth="1"/>
    <col min="5" max="6" width="9" hidden="1" customWidth="1"/>
    <col min="7" max="7" width="15.375" hidden="1" customWidth="1"/>
    <col min="8" max="8" width="13.25" hidden="1" customWidth="1"/>
    <col min="9" max="9" width="13.25" customWidth="1"/>
    <col min="10" max="10" width="13.25" hidden="1" customWidth="1"/>
    <col min="11" max="11" width="0.875" customWidth="1"/>
    <col min="20" max="20" width="11" bestFit="1" customWidth="1"/>
  </cols>
  <sheetData>
    <row r="1" spans="1:22" ht="22.5" customHeight="1" thickBot="1" x14ac:dyDescent="0.35">
      <c r="A1" s="32" t="s">
        <v>28</v>
      </c>
      <c r="B1" s="153">
        <f>H69</f>
        <v>0</v>
      </c>
      <c r="C1" s="154"/>
      <c r="D1" s="55"/>
      <c r="E1" s="58" t="s">
        <v>1</v>
      </c>
      <c r="F1" s="155">
        <f>G69</f>
        <v>0</v>
      </c>
      <c r="G1" s="155"/>
      <c r="H1" s="156"/>
      <c r="I1" s="156"/>
      <c r="J1" s="156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22.5" customHeight="1" thickBot="1" x14ac:dyDescent="0.35">
      <c r="A2" s="32" t="s">
        <v>29</v>
      </c>
      <c r="B2" s="158">
        <f>I81</f>
        <v>66</v>
      </c>
      <c r="C2" s="159"/>
      <c r="D2" s="56"/>
      <c r="E2" s="59"/>
      <c r="F2" s="2"/>
      <c r="G2" s="2"/>
      <c r="H2" s="156"/>
      <c r="I2" s="156"/>
      <c r="J2" s="156"/>
      <c r="K2" s="113"/>
      <c r="L2" s="3">
        <f>SUBTOTAL(9,L6:L80)</f>
        <v>0</v>
      </c>
      <c r="M2" s="3">
        <f t="shared" ref="M2:T2" si="0">SUBTOTAL(9,M6:M80)</f>
        <v>38</v>
      </c>
      <c r="N2" s="3">
        <f t="shared" si="0"/>
        <v>0</v>
      </c>
      <c r="O2" s="3">
        <f t="shared" si="0"/>
        <v>15</v>
      </c>
      <c r="P2" s="3">
        <f t="shared" si="0"/>
        <v>0</v>
      </c>
      <c r="Q2" s="3">
        <f t="shared" si="0"/>
        <v>0</v>
      </c>
      <c r="R2" s="3">
        <f t="shared" si="0"/>
        <v>0</v>
      </c>
      <c r="S2" s="3">
        <f t="shared" si="0"/>
        <v>13</v>
      </c>
      <c r="T2" s="3">
        <f t="shared" si="0"/>
        <v>0</v>
      </c>
      <c r="U2" s="48">
        <f>SUBTOTAL(9,U6:U80)</f>
        <v>66</v>
      </c>
      <c r="V2" s="145"/>
    </row>
    <row r="3" spans="1:22" ht="22.5" customHeight="1" thickBot="1" x14ac:dyDescent="0.35">
      <c r="A3" s="33" t="s">
        <v>30</v>
      </c>
      <c r="B3" s="151">
        <f>IF(ISERROR(B2/(B2+B1)*1000000),"",(B2/(B2+B1)*1000000))</f>
        <v>1000000</v>
      </c>
      <c r="C3" s="152"/>
      <c r="D3" s="57"/>
      <c r="E3" s="60"/>
      <c r="F3" s="27"/>
      <c r="G3" s="27"/>
      <c r="H3" s="157"/>
      <c r="I3" s="157"/>
      <c r="J3" s="157"/>
      <c r="K3" s="114"/>
      <c r="L3" s="4">
        <f t="shared" ref="L3:U3" si="1">SUM(L6:L80)</f>
        <v>0</v>
      </c>
      <c r="M3" s="4">
        <f t="shared" si="1"/>
        <v>38</v>
      </c>
      <c r="N3" s="4">
        <f t="shared" si="1"/>
        <v>0</v>
      </c>
      <c r="O3" s="4">
        <f t="shared" si="1"/>
        <v>15</v>
      </c>
      <c r="P3" s="4">
        <f t="shared" si="1"/>
        <v>0</v>
      </c>
      <c r="Q3" s="4">
        <f t="shared" si="1"/>
        <v>0</v>
      </c>
      <c r="R3" s="4">
        <f t="shared" si="1"/>
        <v>0</v>
      </c>
      <c r="S3" s="4">
        <f t="shared" si="1"/>
        <v>13</v>
      </c>
      <c r="T3" s="4">
        <f t="shared" si="1"/>
        <v>0</v>
      </c>
      <c r="U3" s="49">
        <f t="shared" si="1"/>
        <v>66</v>
      </c>
      <c r="V3" s="146"/>
    </row>
    <row r="4" spans="1:22" ht="43.5" customHeight="1" x14ac:dyDescent="0.3">
      <c r="A4" s="160" t="str">
        <f>V81</f>
        <v>OK</v>
      </c>
      <c r="B4" s="160"/>
      <c r="C4" s="160"/>
      <c r="D4" s="161"/>
      <c r="E4" s="162" t="s">
        <v>15</v>
      </c>
      <c r="F4" s="162"/>
      <c r="G4" s="162"/>
      <c r="H4" s="163" t="s">
        <v>16</v>
      </c>
      <c r="I4" s="163"/>
      <c r="J4" s="163"/>
      <c r="K4" s="113"/>
      <c r="L4" s="164" t="s">
        <v>10</v>
      </c>
      <c r="M4" s="142" t="s">
        <v>17</v>
      </c>
      <c r="N4" s="142" t="s">
        <v>11</v>
      </c>
      <c r="O4" s="138" t="s">
        <v>12</v>
      </c>
      <c r="P4" s="142" t="s">
        <v>13</v>
      </c>
      <c r="Q4" s="138" t="s">
        <v>14</v>
      </c>
      <c r="R4" s="140" t="s">
        <v>20</v>
      </c>
      <c r="S4" s="142" t="s">
        <v>21</v>
      </c>
      <c r="T4" s="143" t="s">
        <v>22</v>
      </c>
      <c r="U4" s="147" t="s">
        <v>18</v>
      </c>
      <c r="V4" s="149" t="s">
        <v>19</v>
      </c>
    </row>
    <row r="5" spans="1:22" ht="33.75" thickBot="1" x14ac:dyDescent="0.35">
      <c r="A5" s="29" t="s">
        <v>3</v>
      </c>
      <c r="B5" s="30" t="s">
        <v>32</v>
      </c>
      <c r="C5" s="29" t="s">
        <v>4</v>
      </c>
      <c r="D5" s="29" t="s">
        <v>31</v>
      </c>
      <c r="E5" s="29" t="s">
        <v>5</v>
      </c>
      <c r="F5" s="29" t="s">
        <v>6</v>
      </c>
      <c r="G5" s="30" t="s">
        <v>7</v>
      </c>
      <c r="H5" s="31" t="s">
        <v>0</v>
      </c>
      <c r="I5" s="31" t="s">
        <v>2</v>
      </c>
      <c r="J5" s="31" t="s">
        <v>8</v>
      </c>
      <c r="K5" s="28"/>
      <c r="L5" s="165"/>
      <c r="M5" s="139"/>
      <c r="N5" s="139"/>
      <c r="O5" s="139"/>
      <c r="P5" s="139"/>
      <c r="Q5" s="139"/>
      <c r="R5" s="141"/>
      <c r="S5" s="139"/>
      <c r="T5" s="144"/>
      <c r="U5" s="148"/>
      <c r="V5" s="150"/>
    </row>
    <row r="6" spans="1:22" hidden="1" x14ac:dyDescent="0.3">
      <c r="A6" s="61" t="s">
        <v>33</v>
      </c>
      <c r="B6" s="61">
        <v>8092</v>
      </c>
      <c r="C6" s="6" t="s">
        <v>45</v>
      </c>
      <c r="D6" s="7"/>
      <c r="E6" s="7"/>
      <c r="F6" s="7"/>
      <c r="G6" s="8"/>
      <c r="H6" s="9"/>
      <c r="I6" s="10">
        <f>SUM(L6:T6)</f>
        <v>0</v>
      </c>
      <c r="J6" s="10"/>
      <c r="K6" s="11"/>
      <c r="L6" s="10"/>
      <c r="M6" s="10"/>
      <c r="N6" s="10"/>
      <c r="O6" s="10"/>
      <c r="P6" s="10"/>
      <c r="Q6" s="10"/>
      <c r="R6" s="34"/>
      <c r="S6" s="42"/>
      <c r="T6" s="45"/>
      <c r="U6" s="50">
        <f t="shared" ref="U6:U36" si="2">SUM(L6:T6)</f>
        <v>0</v>
      </c>
      <c r="V6" s="26" t="str">
        <f t="shared" ref="V6:V67" si="3">IF(U6=I6,"OK","NG")</f>
        <v>OK</v>
      </c>
    </row>
    <row r="7" spans="1:22" hidden="1" x14ac:dyDescent="0.3">
      <c r="A7" s="62" t="s">
        <v>95</v>
      </c>
      <c r="B7" s="62">
        <v>8088</v>
      </c>
      <c r="C7" s="12" t="s">
        <v>46</v>
      </c>
      <c r="D7" s="53"/>
      <c r="E7" s="13"/>
      <c r="F7" s="13"/>
      <c r="G7" s="14"/>
      <c r="H7" s="15"/>
      <c r="I7" s="16">
        <f t="shared" ref="I7:I70" si="4">SUM(L7:T7)</f>
        <v>0</v>
      </c>
      <c r="J7" s="16"/>
      <c r="K7" s="11"/>
      <c r="L7" s="16"/>
      <c r="M7" s="16"/>
      <c r="N7" s="16"/>
      <c r="O7" s="16"/>
      <c r="P7" s="16"/>
      <c r="Q7" s="16"/>
      <c r="R7" s="35"/>
      <c r="S7" s="43"/>
      <c r="T7" s="46"/>
      <c r="U7" s="51">
        <f t="shared" si="2"/>
        <v>0</v>
      </c>
      <c r="V7" s="17" t="str">
        <f t="shared" si="3"/>
        <v>OK</v>
      </c>
    </row>
    <row r="8" spans="1:22" hidden="1" x14ac:dyDescent="0.3">
      <c r="A8" s="63" t="s">
        <v>96</v>
      </c>
      <c r="B8" s="63">
        <v>8081</v>
      </c>
      <c r="C8" s="18" t="s">
        <v>46</v>
      </c>
      <c r="D8" s="19"/>
      <c r="E8" s="19"/>
      <c r="F8" s="19"/>
      <c r="G8" s="20"/>
      <c r="H8" s="21"/>
      <c r="I8" s="22">
        <f t="shared" si="4"/>
        <v>0</v>
      </c>
      <c r="J8" s="22"/>
      <c r="K8" s="11"/>
      <c r="L8" s="22"/>
      <c r="M8" s="22"/>
      <c r="N8" s="22"/>
      <c r="O8" s="22"/>
      <c r="P8" s="22"/>
      <c r="Q8" s="22"/>
      <c r="R8" s="36"/>
      <c r="S8" s="44"/>
      <c r="T8" s="47"/>
      <c r="U8" s="52">
        <f t="shared" si="2"/>
        <v>0</v>
      </c>
      <c r="V8" s="23" t="str">
        <f t="shared" si="3"/>
        <v>OK</v>
      </c>
    </row>
    <row r="9" spans="1:22" hidden="1" x14ac:dyDescent="0.3">
      <c r="A9" s="62" t="s">
        <v>97</v>
      </c>
      <c r="B9" s="62">
        <v>18524</v>
      </c>
      <c r="C9" s="12" t="s">
        <v>46</v>
      </c>
      <c r="D9" s="53"/>
      <c r="E9" s="13"/>
      <c r="F9" s="13"/>
      <c r="G9" s="14"/>
      <c r="H9" s="15"/>
      <c r="I9" s="16">
        <f t="shared" si="4"/>
        <v>0</v>
      </c>
      <c r="J9" s="16"/>
      <c r="K9" s="11"/>
      <c r="L9" s="16"/>
      <c r="M9" s="16"/>
      <c r="N9" s="16"/>
      <c r="O9" s="16"/>
      <c r="P9" s="16"/>
      <c r="Q9" s="16"/>
      <c r="R9" s="35"/>
      <c r="S9" s="43"/>
      <c r="T9" s="46"/>
      <c r="U9" s="51">
        <f t="shared" si="2"/>
        <v>0</v>
      </c>
      <c r="V9" s="17" t="str">
        <f t="shared" si="3"/>
        <v>OK</v>
      </c>
    </row>
    <row r="10" spans="1:22" hidden="1" x14ac:dyDescent="0.3">
      <c r="A10" s="63" t="s">
        <v>34</v>
      </c>
      <c r="B10" s="63">
        <v>6234</v>
      </c>
      <c r="C10" s="18" t="s">
        <v>47</v>
      </c>
      <c r="D10" s="19"/>
      <c r="E10" s="19"/>
      <c r="F10" s="19"/>
      <c r="G10" s="20"/>
      <c r="H10" s="21"/>
      <c r="I10" s="22">
        <f t="shared" si="4"/>
        <v>0</v>
      </c>
      <c r="J10" s="22"/>
      <c r="K10" s="11"/>
      <c r="L10" s="22"/>
      <c r="M10" s="22"/>
      <c r="N10" s="22"/>
      <c r="O10" s="22"/>
      <c r="P10" s="22"/>
      <c r="Q10" s="22"/>
      <c r="R10" s="36"/>
      <c r="S10" s="44"/>
      <c r="T10" s="47"/>
      <c r="U10" s="52">
        <f t="shared" si="2"/>
        <v>0</v>
      </c>
      <c r="V10" s="23" t="str">
        <f t="shared" si="3"/>
        <v>OK</v>
      </c>
    </row>
    <row r="11" spans="1:22" hidden="1" x14ac:dyDescent="0.3">
      <c r="A11" s="62" t="s">
        <v>80</v>
      </c>
      <c r="B11" s="62">
        <v>14830</v>
      </c>
      <c r="C11" s="12" t="s">
        <v>47</v>
      </c>
      <c r="D11" s="53"/>
      <c r="E11" s="13"/>
      <c r="F11" s="13"/>
      <c r="G11" s="14"/>
      <c r="H11" s="15"/>
      <c r="I11" s="16">
        <f t="shared" si="4"/>
        <v>0</v>
      </c>
      <c r="J11" s="16"/>
      <c r="K11" s="11"/>
      <c r="L11" s="16"/>
      <c r="M11" s="16"/>
      <c r="N11" s="16"/>
      <c r="O11" s="16"/>
      <c r="P11" s="16"/>
      <c r="Q11" s="16"/>
      <c r="R11" s="35"/>
      <c r="S11" s="43"/>
      <c r="T11" s="46"/>
      <c r="U11" s="51">
        <f t="shared" si="2"/>
        <v>0</v>
      </c>
      <c r="V11" s="17" t="str">
        <f t="shared" si="3"/>
        <v>OK</v>
      </c>
    </row>
    <row r="12" spans="1:22" hidden="1" x14ac:dyDescent="0.3">
      <c r="A12" s="63" t="s">
        <v>35</v>
      </c>
      <c r="B12" s="63">
        <v>6004</v>
      </c>
      <c r="C12" s="18" t="s">
        <v>48</v>
      </c>
      <c r="D12" s="19"/>
      <c r="E12" s="19"/>
      <c r="F12" s="19"/>
      <c r="G12" s="20"/>
      <c r="H12" s="21"/>
      <c r="I12" s="22">
        <f t="shared" si="4"/>
        <v>0</v>
      </c>
      <c r="J12" s="22"/>
      <c r="K12" s="11"/>
      <c r="L12" s="22"/>
      <c r="M12" s="22"/>
      <c r="N12" s="22"/>
      <c r="O12" s="22"/>
      <c r="P12" s="22"/>
      <c r="Q12" s="22"/>
      <c r="R12" s="36"/>
      <c r="S12" s="44"/>
      <c r="T12" s="47"/>
      <c r="U12" s="52">
        <f t="shared" si="2"/>
        <v>0</v>
      </c>
      <c r="V12" s="23" t="str">
        <f t="shared" si="3"/>
        <v>OK</v>
      </c>
    </row>
    <row r="13" spans="1:22" hidden="1" x14ac:dyDescent="0.3">
      <c r="A13" s="62" t="s">
        <v>36</v>
      </c>
      <c r="B13" s="62">
        <v>11857</v>
      </c>
      <c r="C13" s="12" t="s">
        <v>48</v>
      </c>
      <c r="D13" s="53"/>
      <c r="E13" s="13"/>
      <c r="F13" s="13"/>
      <c r="G13" s="14"/>
      <c r="H13" s="15"/>
      <c r="I13" s="16">
        <f t="shared" si="4"/>
        <v>0</v>
      </c>
      <c r="J13" s="16"/>
      <c r="K13" s="11"/>
      <c r="L13" s="16"/>
      <c r="M13" s="16"/>
      <c r="N13" s="16"/>
      <c r="O13" s="16"/>
      <c r="P13" s="16"/>
      <c r="Q13" s="16"/>
      <c r="R13" s="35"/>
      <c r="S13" s="43"/>
      <c r="T13" s="46"/>
      <c r="U13" s="51">
        <f t="shared" si="2"/>
        <v>0</v>
      </c>
      <c r="V13" s="17" t="str">
        <f t="shared" si="3"/>
        <v>OK</v>
      </c>
    </row>
    <row r="14" spans="1:22" hidden="1" x14ac:dyDescent="0.3">
      <c r="A14" s="63" t="s">
        <v>82</v>
      </c>
      <c r="B14" s="63">
        <v>15004</v>
      </c>
      <c r="C14" s="18" t="s">
        <v>48</v>
      </c>
      <c r="D14" s="19"/>
      <c r="E14" s="19"/>
      <c r="F14" s="19"/>
      <c r="G14" s="20"/>
      <c r="H14" s="21"/>
      <c r="I14" s="22">
        <f t="shared" si="4"/>
        <v>0</v>
      </c>
      <c r="J14" s="22"/>
      <c r="K14" s="11"/>
      <c r="L14" s="22"/>
      <c r="M14" s="22"/>
      <c r="N14" s="22"/>
      <c r="O14" s="22"/>
      <c r="P14" s="22"/>
      <c r="Q14" s="22"/>
      <c r="R14" s="36"/>
      <c r="S14" s="44"/>
      <c r="T14" s="47"/>
      <c r="U14" s="52">
        <f t="shared" si="2"/>
        <v>0</v>
      </c>
      <c r="V14" s="23" t="str">
        <f t="shared" si="3"/>
        <v>OK</v>
      </c>
    </row>
    <row r="15" spans="1:22" hidden="1" x14ac:dyDescent="0.3">
      <c r="A15" s="62" t="s">
        <v>86</v>
      </c>
      <c r="B15" s="62">
        <v>15174</v>
      </c>
      <c r="C15" s="12" t="s">
        <v>45</v>
      </c>
      <c r="D15" s="53"/>
      <c r="E15" s="13"/>
      <c r="F15" s="13"/>
      <c r="G15" s="14"/>
      <c r="H15" s="15"/>
      <c r="I15" s="16">
        <f t="shared" si="4"/>
        <v>0</v>
      </c>
      <c r="J15" s="16"/>
      <c r="K15" s="11"/>
      <c r="L15" s="16"/>
      <c r="M15" s="16"/>
      <c r="N15" s="16"/>
      <c r="O15" s="16"/>
      <c r="P15" s="16"/>
      <c r="Q15" s="16"/>
      <c r="R15" s="35"/>
      <c r="S15" s="43"/>
      <c r="T15" s="46"/>
      <c r="U15" s="51">
        <f t="shared" si="2"/>
        <v>0</v>
      </c>
      <c r="V15" s="17" t="str">
        <f t="shared" si="3"/>
        <v>OK</v>
      </c>
    </row>
    <row r="16" spans="1:22" hidden="1" x14ac:dyDescent="0.3">
      <c r="A16" s="63" t="s">
        <v>87</v>
      </c>
      <c r="B16" s="63">
        <v>15520</v>
      </c>
      <c r="C16" s="18" t="s">
        <v>47</v>
      </c>
      <c r="D16" s="19"/>
      <c r="E16" s="19"/>
      <c r="F16" s="19"/>
      <c r="G16" s="20"/>
      <c r="H16" s="21"/>
      <c r="I16" s="22">
        <f t="shared" si="4"/>
        <v>0</v>
      </c>
      <c r="J16" s="22"/>
      <c r="K16" s="11"/>
      <c r="L16" s="22"/>
      <c r="M16" s="22"/>
      <c r="N16" s="22"/>
      <c r="O16" s="22"/>
      <c r="P16" s="22"/>
      <c r="Q16" s="22"/>
      <c r="R16" s="36"/>
      <c r="S16" s="44"/>
      <c r="T16" s="47"/>
      <c r="U16" s="52">
        <f t="shared" si="2"/>
        <v>0</v>
      </c>
      <c r="V16" s="23" t="str">
        <f t="shared" si="3"/>
        <v>OK</v>
      </c>
    </row>
    <row r="17" spans="1:22" hidden="1" x14ac:dyDescent="0.3">
      <c r="A17" s="62" t="s">
        <v>85</v>
      </c>
      <c r="B17" s="62">
        <v>14989</v>
      </c>
      <c r="C17" s="12" t="s">
        <v>45</v>
      </c>
      <c r="D17" s="53"/>
      <c r="E17" s="13"/>
      <c r="F17" s="13"/>
      <c r="G17" s="14"/>
      <c r="H17" s="15"/>
      <c r="I17" s="16">
        <f t="shared" si="4"/>
        <v>0</v>
      </c>
      <c r="J17" s="16"/>
      <c r="K17" s="11"/>
      <c r="L17" s="16"/>
      <c r="M17" s="16"/>
      <c r="N17" s="16"/>
      <c r="O17" s="16"/>
      <c r="P17" s="16"/>
      <c r="Q17" s="16"/>
      <c r="R17" s="35"/>
      <c r="S17" s="43"/>
      <c r="T17" s="46"/>
      <c r="U17" s="51">
        <f t="shared" si="2"/>
        <v>0</v>
      </c>
      <c r="V17" s="17" t="str">
        <f t="shared" si="3"/>
        <v>OK</v>
      </c>
    </row>
    <row r="18" spans="1:22" hidden="1" x14ac:dyDescent="0.3">
      <c r="A18" s="63" t="s">
        <v>84</v>
      </c>
      <c r="B18" s="63">
        <v>14984</v>
      </c>
      <c r="C18" s="18" t="s">
        <v>46</v>
      </c>
      <c r="D18" s="19"/>
      <c r="E18" s="19"/>
      <c r="F18" s="19"/>
      <c r="G18" s="20"/>
      <c r="H18" s="21"/>
      <c r="I18" s="22">
        <f t="shared" si="4"/>
        <v>0</v>
      </c>
      <c r="J18" s="22"/>
      <c r="K18" s="11"/>
      <c r="L18" s="22"/>
      <c r="M18" s="22"/>
      <c r="N18" s="22"/>
      <c r="O18" s="22"/>
      <c r="P18" s="22"/>
      <c r="Q18" s="22"/>
      <c r="R18" s="36"/>
      <c r="S18" s="44"/>
      <c r="T18" s="47"/>
      <c r="U18" s="52">
        <f t="shared" si="2"/>
        <v>0</v>
      </c>
      <c r="V18" s="23" t="str">
        <f t="shared" si="3"/>
        <v>OK</v>
      </c>
    </row>
    <row r="19" spans="1:22" hidden="1" x14ac:dyDescent="0.3">
      <c r="A19" s="62" t="s">
        <v>88</v>
      </c>
      <c r="B19" s="62">
        <v>16270</v>
      </c>
      <c r="C19" s="12" t="s">
        <v>89</v>
      </c>
      <c r="D19" s="53"/>
      <c r="E19" s="13"/>
      <c r="F19" s="13"/>
      <c r="G19" s="14"/>
      <c r="H19" s="15"/>
      <c r="I19" s="16">
        <f t="shared" si="4"/>
        <v>0</v>
      </c>
      <c r="J19" s="16"/>
      <c r="K19" s="11"/>
      <c r="L19" s="16"/>
      <c r="M19" s="16"/>
      <c r="N19" s="16"/>
      <c r="O19" s="16"/>
      <c r="P19" s="16"/>
      <c r="Q19" s="16"/>
      <c r="R19" s="35"/>
      <c r="S19" s="43"/>
      <c r="T19" s="46"/>
      <c r="U19" s="51">
        <f t="shared" si="2"/>
        <v>0</v>
      </c>
      <c r="V19" s="17" t="str">
        <f t="shared" si="3"/>
        <v>OK</v>
      </c>
    </row>
    <row r="20" spans="1:22" hidden="1" x14ac:dyDescent="0.3">
      <c r="A20" s="63" t="s">
        <v>98</v>
      </c>
      <c r="B20" s="63">
        <v>19060</v>
      </c>
      <c r="C20" s="18" t="s">
        <v>47</v>
      </c>
      <c r="D20" s="19"/>
      <c r="E20" s="19"/>
      <c r="F20" s="19"/>
      <c r="G20" s="20"/>
      <c r="H20" s="21"/>
      <c r="I20" s="22">
        <f t="shared" si="4"/>
        <v>0</v>
      </c>
      <c r="J20" s="22"/>
      <c r="K20" s="11"/>
      <c r="L20" s="22"/>
      <c r="M20" s="22"/>
      <c r="N20" s="22"/>
      <c r="O20" s="22"/>
      <c r="P20" s="22"/>
      <c r="Q20" s="22"/>
      <c r="R20" s="36"/>
      <c r="S20" s="44"/>
      <c r="T20" s="47"/>
      <c r="U20" s="52">
        <f t="shared" si="2"/>
        <v>0</v>
      </c>
      <c r="V20" s="23" t="str">
        <f t="shared" si="3"/>
        <v>OK</v>
      </c>
    </row>
    <row r="21" spans="1:22" hidden="1" x14ac:dyDescent="0.3">
      <c r="A21" s="62" t="s">
        <v>99</v>
      </c>
      <c r="B21" s="62">
        <v>18828</v>
      </c>
      <c r="C21" s="12" t="s">
        <v>94</v>
      </c>
      <c r="D21" s="53"/>
      <c r="E21" s="13"/>
      <c r="F21" s="13"/>
      <c r="G21" s="14"/>
      <c r="H21" s="15"/>
      <c r="I21" s="16">
        <f t="shared" si="4"/>
        <v>0</v>
      </c>
      <c r="J21" s="16"/>
      <c r="K21" s="11"/>
      <c r="L21" s="16"/>
      <c r="M21" s="16"/>
      <c r="N21" s="16"/>
      <c r="O21" s="16"/>
      <c r="P21" s="16"/>
      <c r="Q21" s="16"/>
      <c r="R21" s="35"/>
      <c r="S21" s="43"/>
      <c r="T21" s="46"/>
      <c r="U21" s="51">
        <f t="shared" si="2"/>
        <v>0</v>
      </c>
      <c r="V21" s="17" t="str">
        <f t="shared" si="3"/>
        <v>OK</v>
      </c>
    </row>
    <row r="22" spans="1:22" hidden="1" x14ac:dyDescent="0.3">
      <c r="A22" s="63" t="s">
        <v>23</v>
      </c>
      <c r="B22" s="63">
        <v>5695</v>
      </c>
      <c r="C22" s="18" t="s">
        <v>49</v>
      </c>
      <c r="D22" s="19"/>
      <c r="E22" s="19"/>
      <c r="F22" s="19"/>
      <c r="G22" s="20"/>
      <c r="H22" s="21"/>
      <c r="I22" s="22">
        <f t="shared" si="4"/>
        <v>0</v>
      </c>
      <c r="J22" s="22"/>
      <c r="K22" s="11"/>
      <c r="L22" s="22"/>
      <c r="M22" s="22"/>
      <c r="N22" s="22"/>
      <c r="O22" s="22"/>
      <c r="P22" s="22"/>
      <c r="Q22" s="22"/>
      <c r="R22" s="36"/>
      <c r="S22" s="44"/>
      <c r="T22" s="47"/>
      <c r="U22" s="52">
        <f t="shared" si="2"/>
        <v>0</v>
      </c>
      <c r="V22" s="23" t="str">
        <f t="shared" si="3"/>
        <v>OK</v>
      </c>
    </row>
    <row r="23" spans="1:22" hidden="1" x14ac:dyDescent="0.3">
      <c r="A23" s="62" t="s">
        <v>24</v>
      </c>
      <c r="B23" s="62">
        <v>5691</v>
      </c>
      <c r="C23" s="12" t="s">
        <v>50</v>
      </c>
      <c r="D23" s="53"/>
      <c r="E23" s="13"/>
      <c r="F23" s="13"/>
      <c r="G23" s="14"/>
      <c r="H23" s="15"/>
      <c r="I23" s="16">
        <f t="shared" si="4"/>
        <v>0</v>
      </c>
      <c r="J23" s="16"/>
      <c r="K23" s="11"/>
      <c r="L23" s="16"/>
      <c r="M23" s="16"/>
      <c r="N23" s="16"/>
      <c r="O23" s="16"/>
      <c r="P23" s="16"/>
      <c r="Q23" s="16"/>
      <c r="R23" s="35"/>
      <c r="S23" s="43"/>
      <c r="T23" s="46"/>
      <c r="U23" s="51">
        <f t="shared" si="2"/>
        <v>0</v>
      </c>
      <c r="V23" s="17" t="str">
        <f t="shared" si="3"/>
        <v>OK</v>
      </c>
    </row>
    <row r="24" spans="1:22" hidden="1" x14ac:dyDescent="0.3">
      <c r="A24" s="63" t="s">
        <v>37</v>
      </c>
      <c r="B24" s="63">
        <v>5687</v>
      </c>
      <c r="C24" s="18" t="s">
        <v>51</v>
      </c>
      <c r="D24" s="19"/>
      <c r="E24" s="19"/>
      <c r="F24" s="19"/>
      <c r="G24" s="20"/>
      <c r="H24" s="21"/>
      <c r="I24" s="22">
        <f t="shared" si="4"/>
        <v>0</v>
      </c>
      <c r="J24" s="22"/>
      <c r="K24" s="11"/>
      <c r="L24" s="22"/>
      <c r="M24" s="22"/>
      <c r="N24" s="22"/>
      <c r="O24" s="22"/>
      <c r="P24" s="22"/>
      <c r="Q24" s="22"/>
      <c r="R24" s="36"/>
      <c r="S24" s="44"/>
      <c r="T24" s="47"/>
      <c r="U24" s="52">
        <f t="shared" si="2"/>
        <v>0</v>
      </c>
      <c r="V24" s="23" t="str">
        <f t="shared" si="3"/>
        <v>OK</v>
      </c>
    </row>
    <row r="25" spans="1:22" hidden="1" x14ac:dyDescent="0.3">
      <c r="A25" s="62" t="s">
        <v>38</v>
      </c>
      <c r="B25" s="62">
        <v>5683</v>
      </c>
      <c r="C25" s="12" t="s">
        <v>51</v>
      </c>
      <c r="D25" s="53"/>
      <c r="E25" s="13"/>
      <c r="F25" s="13"/>
      <c r="G25" s="14"/>
      <c r="H25" s="15"/>
      <c r="I25" s="16">
        <f t="shared" si="4"/>
        <v>0</v>
      </c>
      <c r="J25" s="16"/>
      <c r="K25" s="11"/>
      <c r="L25" s="16"/>
      <c r="M25" s="16"/>
      <c r="N25" s="16"/>
      <c r="O25" s="16"/>
      <c r="P25" s="16"/>
      <c r="Q25" s="16"/>
      <c r="R25" s="35"/>
      <c r="S25" s="43"/>
      <c r="T25" s="46"/>
      <c r="U25" s="51">
        <f t="shared" si="2"/>
        <v>0</v>
      </c>
      <c r="V25" s="17" t="str">
        <f t="shared" si="3"/>
        <v>OK</v>
      </c>
    </row>
    <row r="26" spans="1:22" x14ac:dyDescent="0.3">
      <c r="A26" s="63" t="s">
        <v>25</v>
      </c>
      <c r="B26" s="63">
        <v>5679</v>
      </c>
      <c r="C26" s="18" t="s">
        <v>52</v>
      </c>
      <c r="D26" s="19"/>
      <c r="E26" s="19"/>
      <c r="F26" s="19"/>
      <c r="G26" s="20"/>
      <c r="H26" s="21"/>
      <c r="I26" s="22">
        <f t="shared" si="4"/>
        <v>7</v>
      </c>
      <c r="J26" s="22"/>
      <c r="K26" s="11"/>
      <c r="L26" s="22"/>
      <c r="M26" s="22">
        <v>7</v>
      </c>
      <c r="N26" s="22"/>
      <c r="O26" s="22"/>
      <c r="P26" s="22"/>
      <c r="Q26" s="22"/>
      <c r="R26" s="36"/>
      <c r="S26" s="44"/>
      <c r="T26" s="47"/>
      <c r="U26" s="52">
        <f t="shared" si="2"/>
        <v>7</v>
      </c>
      <c r="V26" s="23" t="str">
        <f t="shared" si="3"/>
        <v>OK</v>
      </c>
    </row>
    <row r="27" spans="1:22" hidden="1" x14ac:dyDescent="0.3">
      <c r="A27" s="62" t="s">
        <v>39</v>
      </c>
      <c r="B27" s="62">
        <v>5675</v>
      </c>
      <c r="C27" s="12" t="s">
        <v>53</v>
      </c>
      <c r="D27" s="53"/>
      <c r="E27" s="13"/>
      <c r="F27" s="13"/>
      <c r="G27" s="14"/>
      <c r="H27" s="15"/>
      <c r="I27" s="16">
        <f t="shared" si="4"/>
        <v>0</v>
      </c>
      <c r="J27" s="16"/>
      <c r="K27" s="11"/>
      <c r="L27" s="16"/>
      <c r="M27" s="16"/>
      <c r="N27" s="16"/>
      <c r="O27" s="16"/>
      <c r="P27" s="16"/>
      <c r="Q27" s="16"/>
      <c r="R27" s="35"/>
      <c r="S27" s="43"/>
      <c r="T27" s="46"/>
      <c r="U27" s="51">
        <f t="shared" si="2"/>
        <v>0</v>
      </c>
      <c r="V27" s="17" t="str">
        <f t="shared" si="3"/>
        <v>OK</v>
      </c>
    </row>
    <row r="28" spans="1:22" hidden="1" x14ac:dyDescent="0.3">
      <c r="A28" s="63" t="s">
        <v>26</v>
      </c>
      <c r="B28" s="63">
        <v>5671</v>
      </c>
      <c r="C28" s="18" t="s">
        <v>49</v>
      </c>
      <c r="D28" s="19"/>
      <c r="E28" s="19"/>
      <c r="F28" s="19"/>
      <c r="G28" s="20"/>
      <c r="H28" s="21"/>
      <c r="I28" s="22">
        <f t="shared" si="4"/>
        <v>0</v>
      </c>
      <c r="J28" s="22"/>
      <c r="K28" s="11"/>
      <c r="L28" s="22"/>
      <c r="M28" s="22"/>
      <c r="N28" s="22"/>
      <c r="O28" s="22"/>
      <c r="P28" s="22"/>
      <c r="Q28" s="22"/>
      <c r="R28" s="36"/>
      <c r="S28" s="44"/>
      <c r="T28" s="47"/>
      <c r="U28" s="52">
        <f t="shared" si="2"/>
        <v>0</v>
      </c>
      <c r="V28" s="23" t="str">
        <f t="shared" si="3"/>
        <v>OK</v>
      </c>
    </row>
    <row r="29" spans="1:22" hidden="1" x14ac:dyDescent="0.3">
      <c r="A29" s="62" t="s">
        <v>40</v>
      </c>
      <c r="B29" s="62">
        <v>5667</v>
      </c>
      <c r="C29" s="12" t="s">
        <v>50</v>
      </c>
      <c r="D29" s="53"/>
      <c r="E29" s="13"/>
      <c r="F29" s="13"/>
      <c r="G29" s="14"/>
      <c r="H29" s="15"/>
      <c r="I29" s="16">
        <f t="shared" si="4"/>
        <v>0</v>
      </c>
      <c r="J29" s="16"/>
      <c r="K29" s="11"/>
      <c r="L29" s="16"/>
      <c r="M29" s="16"/>
      <c r="N29" s="16"/>
      <c r="O29" s="16"/>
      <c r="P29" s="16"/>
      <c r="Q29" s="16"/>
      <c r="R29" s="35"/>
      <c r="S29" s="43"/>
      <c r="T29" s="46"/>
      <c r="U29" s="51">
        <f t="shared" si="2"/>
        <v>0</v>
      </c>
      <c r="V29" s="17" t="str">
        <f t="shared" si="3"/>
        <v>OK</v>
      </c>
    </row>
    <row r="30" spans="1:22" hidden="1" x14ac:dyDescent="0.3">
      <c r="A30" s="63" t="s">
        <v>41</v>
      </c>
      <c r="B30" s="63">
        <v>5663</v>
      </c>
      <c r="C30" s="18" t="s">
        <v>51</v>
      </c>
      <c r="D30" s="19"/>
      <c r="E30" s="19"/>
      <c r="F30" s="19"/>
      <c r="G30" s="20"/>
      <c r="H30" s="21"/>
      <c r="I30" s="22">
        <f t="shared" si="4"/>
        <v>0</v>
      </c>
      <c r="J30" s="22"/>
      <c r="K30" s="11"/>
      <c r="L30" s="22"/>
      <c r="M30" s="22"/>
      <c r="N30" s="22"/>
      <c r="O30" s="22"/>
      <c r="P30" s="22"/>
      <c r="Q30" s="22"/>
      <c r="R30" s="36"/>
      <c r="S30" s="44"/>
      <c r="T30" s="47"/>
      <c r="U30" s="52">
        <f t="shared" si="2"/>
        <v>0</v>
      </c>
      <c r="V30" s="23" t="str">
        <f t="shared" si="3"/>
        <v>OK</v>
      </c>
    </row>
    <row r="31" spans="1:22" hidden="1" x14ac:dyDescent="0.3">
      <c r="A31" s="62" t="s">
        <v>42</v>
      </c>
      <c r="B31" s="62">
        <v>5659</v>
      </c>
      <c r="C31" s="12" t="s">
        <v>52</v>
      </c>
      <c r="D31" s="53"/>
      <c r="E31" s="13"/>
      <c r="F31" s="13"/>
      <c r="G31" s="14"/>
      <c r="H31" s="15"/>
      <c r="I31" s="16">
        <f t="shared" si="4"/>
        <v>0</v>
      </c>
      <c r="J31" s="16"/>
      <c r="K31" s="11"/>
      <c r="L31" s="16"/>
      <c r="M31" s="16"/>
      <c r="N31" s="16"/>
      <c r="O31" s="16"/>
      <c r="P31" s="16"/>
      <c r="Q31" s="16"/>
      <c r="R31" s="35"/>
      <c r="S31" s="43"/>
      <c r="T31" s="46"/>
      <c r="U31" s="51">
        <f t="shared" si="2"/>
        <v>0</v>
      </c>
      <c r="V31" s="17" t="str">
        <f t="shared" si="3"/>
        <v>OK</v>
      </c>
    </row>
    <row r="32" spans="1:22" hidden="1" x14ac:dyDescent="0.3">
      <c r="A32" s="63" t="s">
        <v>27</v>
      </c>
      <c r="B32" s="63">
        <v>5655</v>
      </c>
      <c r="C32" s="18" t="s">
        <v>54</v>
      </c>
      <c r="D32" s="19"/>
      <c r="E32" s="19"/>
      <c r="F32" s="19"/>
      <c r="G32" s="20"/>
      <c r="H32" s="21"/>
      <c r="I32" s="22">
        <f t="shared" si="4"/>
        <v>0</v>
      </c>
      <c r="J32" s="22"/>
      <c r="K32" s="11"/>
      <c r="L32" s="22"/>
      <c r="M32" s="22"/>
      <c r="N32" s="22"/>
      <c r="O32" s="22"/>
      <c r="P32" s="22"/>
      <c r="Q32" s="22"/>
      <c r="R32" s="36"/>
      <c r="S32" s="44"/>
      <c r="T32" s="47"/>
      <c r="U32" s="52">
        <f t="shared" si="2"/>
        <v>0</v>
      </c>
      <c r="V32" s="23" t="str">
        <f t="shared" si="3"/>
        <v>OK</v>
      </c>
    </row>
    <row r="33" spans="1:22" hidden="1" x14ac:dyDescent="0.3">
      <c r="A33" s="62" t="s">
        <v>70</v>
      </c>
      <c r="B33" s="62">
        <v>5651</v>
      </c>
      <c r="C33" s="12" t="s">
        <v>55</v>
      </c>
      <c r="D33" s="53"/>
      <c r="E33" s="13"/>
      <c r="F33" s="13"/>
      <c r="G33" s="14"/>
      <c r="H33" s="15"/>
      <c r="I33" s="16">
        <f t="shared" si="4"/>
        <v>0</v>
      </c>
      <c r="J33" s="16"/>
      <c r="K33" s="11"/>
      <c r="L33" s="16"/>
      <c r="M33" s="16"/>
      <c r="N33" s="16"/>
      <c r="O33" s="16"/>
      <c r="P33" s="16"/>
      <c r="Q33" s="16"/>
      <c r="R33" s="35"/>
      <c r="S33" s="43"/>
      <c r="T33" s="46"/>
      <c r="U33" s="51">
        <f t="shared" si="2"/>
        <v>0</v>
      </c>
      <c r="V33" s="17" t="str">
        <f t="shared" si="3"/>
        <v>OK</v>
      </c>
    </row>
    <row r="34" spans="1:22" hidden="1" x14ac:dyDescent="0.3">
      <c r="A34" s="63" t="s">
        <v>71</v>
      </c>
      <c r="B34" s="63">
        <v>5643</v>
      </c>
      <c r="C34" s="18" t="s">
        <v>56</v>
      </c>
      <c r="D34" s="19"/>
      <c r="E34" s="19"/>
      <c r="F34" s="19"/>
      <c r="G34" s="20"/>
      <c r="H34" s="21"/>
      <c r="I34" s="22">
        <f t="shared" si="4"/>
        <v>0</v>
      </c>
      <c r="J34" s="22"/>
      <c r="K34" s="11"/>
      <c r="L34" s="22"/>
      <c r="M34" s="22"/>
      <c r="N34" s="22"/>
      <c r="O34" s="22"/>
      <c r="P34" s="22"/>
      <c r="Q34" s="22"/>
      <c r="R34" s="36"/>
      <c r="S34" s="44"/>
      <c r="T34" s="47"/>
      <c r="U34" s="52">
        <f t="shared" si="2"/>
        <v>0</v>
      </c>
      <c r="V34" s="23" t="str">
        <f t="shared" si="3"/>
        <v>OK</v>
      </c>
    </row>
    <row r="35" spans="1:22" hidden="1" x14ac:dyDescent="0.3">
      <c r="A35" s="62" t="s">
        <v>57</v>
      </c>
      <c r="B35" s="62">
        <v>11350</v>
      </c>
      <c r="C35" s="12" t="s">
        <v>56</v>
      </c>
      <c r="D35" s="53"/>
      <c r="E35" s="13"/>
      <c r="F35" s="13"/>
      <c r="G35" s="14"/>
      <c r="H35" s="15"/>
      <c r="I35" s="16">
        <f t="shared" si="4"/>
        <v>0</v>
      </c>
      <c r="J35" s="16"/>
      <c r="K35" s="11"/>
      <c r="L35" s="16"/>
      <c r="M35" s="16"/>
      <c r="N35" s="16"/>
      <c r="O35" s="16"/>
      <c r="P35" s="16"/>
      <c r="Q35" s="16"/>
      <c r="R35" s="35"/>
      <c r="S35" s="43"/>
      <c r="T35" s="46"/>
      <c r="U35" s="51">
        <f t="shared" si="2"/>
        <v>0</v>
      </c>
      <c r="V35" s="17" t="str">
        <f t="shared" si="3"/>
        <v>OK</v>
      </c>
    </row>
    <row r="36" spans="1:22" hidden="1" x14ac:dyDescent="0.3">
      <c r="A36" s="63" t="s">
        <v>72</v>
      </c>
      <c r="B36" s="63">
        <v>5635</v>
      </c>
      <c r="C36" s="18" t="s">
        <v>55</v>
      </c>
      <c r="D36" s="19"/>
      <c r="E36" s="19"/>
      <c r="F36" s="19"/>
      <c r="G36" s="20"/>
      <c r="H36" s="21"/>
      <c r="I36" s="22">
        <f t="shared" si="4"/>
        <v>0</v>
      </c>
      <c r="J36" s="22"/>
      <c r="K36" s="11"/>
      <c r="L36" s="22"/>
      <c r="M36" s="22"/>
      <c r="N36" s="22"/>
      <c r="O36" s="22"/>
      <c r="P36" s="22"/>
      <c r="Q36" s="22"/>
      <c r="R36" s="36"/>
      <c r="S36" s="44"/>
      <c r="T36" s="47"/>
      <c r="U36" s="52">
        <f t="shared" si="2"/>
        <v>0</v>
      </c>
      <c r="V36" s="23" t="str">
        <f t="shared" si="3"/>
        <v>OK</v>
      </c>
    </row>
    <row r="37" spans="1:22" hidden="1" x14ac:dyDescent="0.3">
      <c r="A37" s="62" t="s">
        <v>58</v>
      </c>
      <c r="B37" s="62">
        <v>11349</v>
      </c>
      <c r="C37" s="12" t="s">
        <v>55</v>
      </c>
      <c r="D37" s="53"/>
      <c r="E37" s="13"/>
      <c r="F37" s="13"/>
      <c r="G37" s="14"/>
      <c r="H37" s="15"/>
      <c r="I37" s="16">
        <f t="shared" si="4"/>
        <v>0</v>
      </c>
      <c r="J37" s="16"/>
      <c r="K37" s="11"/>
      <c r="L37" s="16"/>
      <c r="M37" s="16"/>
      <c r="N37" s="16"/>
      <c r="O37" s="16"/>
      <c r="P37" s="16"/>
      <c r="Q37" s="16"/>
      <c r="R37" s="35"/>
      <c r="S37" s="43"/>
      <c r="T37" s="46"/>
      <c r="U37" s="51">
        <f t="shared" ref="U37:U55" si="5">SUM(L37:T37)</f>
        <v>0</v>
      </c>
      <c r="V37" s="17" t="str">
        <f t="shared" si="3"/>
        <v>OK</v>
      </c>
    </row>
    <row r="38" spans="1:22" hidden="1" x14ac:dyDescent="0.3">
      <c r="A38" s="63" t="s">
        <v>73</v>
      </c>
      <c r="B38" s="63">
        <v>5627</v>
      </c>
      <c r="C38" s="18" t="s">
        <v>56</v>
      </c>
      <c r="D38" s="19"/>
      <c r="E38" s="19"/>
      <c r="F38" s="19"/>
      <c r="G38" s="20"/>
      <c r="H38" s="21"/>
      <c r="I38" s="22">
        <f t="shared" si="4"/>
        <v>0</v>
      </c>
      <c r="J38" s="22"/>
      <c r="K38" s="11"/>
      <c r="L38" s="22"/>
      <c r="M38" s="22"/>
      <c r="N38" s="22"/>
      <c r="O38" s="22"/>
      <c r="P38" s="22"/>
      <c r="Q38" s="22"/>
      <c r="R38" s="36"/>
      <c r="S38" s="44"/>
      <c r="T38" s="47"/>
      <c r="U38" s="52">
        <f t="shared" si="5"/>
        <v>0</v>
      </c>
      <c r="V38" s="23" t="str">
        <f t="shared" si="3"/>
        <v>OK</v>
      </c>
    </row>
    <row r="39" spans="1:22" hidden="1" x14ac:dyDescent="0.3">
      <c r="A39" s="62" t="s">
        <v>59</v>
      </c>
      <c r="B39" s="62">
        <v>11348</v>
      </c>
      <c r="C39" s="12" t="s">
        <v>56</v>
      </c>
      <c r="D39" s="53"/>
      <c r="E39" s="13"/>
      <c r="F39" s="13"/>
      <c r="G39" s="14"/>
      <c r="H39" s="15"/>
      <c r="I39" s="16">
        <f t="shared" si="4"/>
        <v>0</v>
      </c>
      <c r="J39" s="16"/>
      <c r="K39" s="11"/>
      <c r="L39" s="16"/>
      <c r="M39" s="16"/>
      <c r="N39" s="16"/>
      <c r="O39" s="16"/>
      <c r="P39" s="16"/>
      <c r="Q39" s="16"/>
      <c r="R39" s="35"/>
      <c r="S39" s="43"/>
      <c r="T39" s="46"/>
      <c r="U39" s="51">
        <f t="shared" si="5"/>
        <v>0</v>
      </c>
      <c r="V39" s="17" t="str">
        <f t="shared" si="3"/>
        <v>OK</v>
      </c>
    </row>
    <row r="40" spans="1:22" hidden="1" x14ac:dyDescent="0.3">
      <c r="A40" s="63" t="s">
        <v>74</v>
      </c>
      <c r="B40" s="63">
        <v>5619</v>
      </c>
      <c r="C40" s="18" t="s">
        <v>60</v>
      </c>
      <c r="D40" s="19"/>
      <c r="E40" s="19"/>
      <c r="F40" s="19"/>
      <c r="G40" s="20"/>
      <c r="H40" s="21"/>
      <c r="I40" s="22">
        <f t="shared" si="4"/>
        <v>0</v>
      </c>
      <c r="J40" s="22"/>
      <c r="K40" s="11"/>
      <c r="L40" s="22"/>
      <c r="M40" s="22"/>
      <c r="N40" s="22"/>
      <c r="O40" s="22"/>
      <c r="P40" s="22"/>
      <c r="Q40" s="22"/>
      <c r="R40" s="36"/>
      <c r="S40" s="44"/>
      <c r="T40" s="47"/>
      <c r="U40" s="52">
        <f t="shared" si="5"/>
        <v>0</v>
      </c>
      <c r="V40" s="23" t="str">
        <f t="shared" si="3"/>
        <v>OK</v>
      </c>
    </row>
    <row r="41" spans="1:22" hidden="1" x14ac:dyDescent="0.3">
      <c r="A41" s="64" t="s">
        <v>61</v>
      </c>
      <c r="B41" s="62">
        <v>11347</v>
      </c>
      <c r="C41" s="12" t="s">
        <v>60</v>
      </c>
      <c r="D41" s="53"/>
      <c r="E41" s="13"/>
      <c r="F41" s="13"/>
      <c r="G41" s="14"/>
      <c r="H41" s="15"/>
      <c r="I41" s="16">
        <f t="shared" si="4"/>
        <v>0</v>
      </c>
      <c r="J41" s="16"/>
      <c r="K41" s="11"/>
      <c r="L41" s="16"/>
      <c r="M41" s="16"/>
      <c r="N41" s="16"/>
      <c r="O41" s="16"/>
      <c r="P41" s="16"/>
      <c r="Q41" s="16"/>
      <c r="R41" s="35"/>
      <c r="S41" s="43"/>
      <c r="T41" s="46"/>
      <c r="U41" s="51">
        <f t="shared" si="5"/>
        <v>0</v>
      </c>
      <c r="V41" s="17" t="str">
        <f t="shared" si="3"/>
        <v>OK</v>
      </c>
    </row>
    <row r="42" spans="1:22" hidden="1" x14ac:dyDescent="0.3">
      <c r="A42" s="54" t="s">
        <v>75</v>
      </c>
      <c r="B42" s="63">
        <v>5611</v>
      </c>
      <c r="C42" s="18" t="s">
        <v>62</v>
      </c>
      <c r="D42" s="19"/>
      <c r="E42" s="19"/>
      <c r="F42" s="19"/>
      <c r="G42" s="20"/>
      <c r="H42" s="21"/>
      <c r="I42" s="22">
        <f t="shared" si="4"/>
        <v>0</v>
      </c>
      <c r="J42" s="22"/>
      <c r="K42" s="11"/>
      <c r="L42" s="22"/>
      <c r="M42" s="22"/>
      <c r="N42" s="22"/>
      <c r="O42" s="22"/>
      <c r="P42" s="22"/>
      <c r="Q42" s="22"/>
      <c r="R42" s="36"/>
      <c r="S42" s="44"/>
      <c r="T42" s="47"/>
      <c r="U42" s="52">
        <f t="shared" si="5"/>
        <v>0</v>
      </c>
      <c r="V42" s="23" t="str">
        <f t="shared" si="3"/>
        <v>OK</v>
      </c>
    </row>
    <row r="43" spans="1:22" hidden="1" x14ac:dyDescent="0.3">
      <c r="A43" s="12" t="s">
        <v>63</v>
      </c>
      <c r="B43" s="62">
        <v>11336</v>
      </c>
      <c r="C43" s="12" t="s">
        <v>62</v>
      </c>
      <c r="D43" s="53"/>
      <c r="E43" s="13"/>
      <c r="F43" s="13"/>
      <c r="G43" s="14"/>
      <c r="H43" s="15"/>
      <c r="I43" s="16">
        <f t="shared" si="4"/>
        <v>0</v>
      </c>
      <c r="J43" s="16"/>
      <c r="K43" s="11"/>
      <c r="L43" s="16"/>
      <c r="M43" s="16"/>
      <c r="N43" s="16"/>
      <c r="O43" s="16"/>
      <c r="P43" s="16"/>
      <c r="Q43" s="16"/>
      <c r="R43" s="35"/>
      <c r="S43" s="43"/>
      <c r="T43" s="46"/>
      <c r="U43" s="51">
        <f t="shared" si="5"/>
        <v>0</v>
      </c>
      <c r="V43" s="17" t="str">
        <f t="shared" si="3"/>
        <v>OK</v>
      </c>
    </row>
    <row r="44" spans="1:22" hidden="1" x14ac:dyDescent="0.3">
      <c r="A44" s="54" t="s">
        <v>100</v>
      </c>
      <c r="B44" s="63">
        <v>14860</v>
      </c>
      <c r="C44" s="18" t="s">
        <v>56</v>
      </c>
      <c r="D44" s="19"/>
      <c r="E44" s="19"/>
      <c r="F44" s="19"/>
      <c r="G44" s="20"/>
      <c r="H44" s="21"/>
      <c r="I44" s="22">
        <f t="shared" si="4"/>
        <v>0</v>
      </c>
      <c r="J44" s="22"/>
      <c r="K44" s="11"/>
      <c r="L44" s="22"/>
      <c r="M44" s="22"/>
      <c r="N44" s="22"/>
      <c r="O44" s="22"/>
      <c r="P44" s="22"/>
      <c r="Q44" s="22"/>
      <c r="R44" s="36"/>
      <c r="S44" s="44"/>
      <c r="T44" s="47"/>
      <c r="U44" s="52">
        <f t="shared" si="5"/>
        <v>0</v>
      </c>
      <c r="V44" s="23" t="str">
        <f t="shared" si="3"/>
        <v>OK</v>
      </c>
    </row>
    <row r="45" spans="1:22" hidden="1" x14ac:dyDescent="0.3">
      <c r="A45" s="64" t="s">
        <v>83</v>
      </c>
      <c r="B45" s="62">
        <v>14861</v>
      </c>
      <c r="C45" s="12" t="s">
        <v>56</v>
      </c>
      <c r="D45" s="53"/>
      <c r="E45" s="13"/>
      <c r="F45" s="13"/>
      <c r="G45" s="14"/>
      <c r="H45" s="15"/>
      <c r="I45" s="16">
        <f t="shared" si="4"/>
        <v>0</v>
      </c>
      <c r="J45" s="16"/>
      <c r="K45" s="11"/>
      <c r="L45" s="16"/>
      <c r="M45" s="16"/>
      <c r="N45" s="16"/>
      <c r="O45" s="16"/>
      <c r="P45" s="16"/>
      <c r="Q45" s="16"/>
      <c r="R45" s="35"/>
      <c r="S45" s="43"/>
      <c r="T45" s="46"/>
      <c r="U45" s="51">
        <f t="shared" si="5"/>
        <v>0</v>
      </c>
      <c r="V45" s="17" t="str">
        <f t="shared" si="3"/>
        <v>OK</v>
      </c>
    </row>
    <row r="46" spans="1:22" hidden="1" x14ac:dyDescent="0.3">
      <c r="A46" s="54" t="s">
        <v>101</v>
      </c>
      <c r="B46" s="63">
        <v>15096</v>
      </c>
      <c r="C46" s="18" t="s">
        <v>56</v>
      </c>
      <c r="D46" s="19"/>
      <c r="E46" s="19"/>
      <c r="F46" s="19"/>
      <c r="G46" s="20"/>
      <c r="H46" s="21"/>
      <c r="I46" s="22">
        <f t="shared" si="4"/>
        <v>0</v>
      </c>
      <c r="J46" s="22"/>
      <c r="K46" s="11"/>
      <c r="L46" s="22"/>
      <c r="M46" s="22"/>
      <c r="N46" s="22"/>
      <c r="O46" s="22"/>
      <c r="P46" s="22"/>
      <c r="Q46" s="22"/>
      <c r="R46" s="36"/>
      <c r="S46" s="44"/>
      <c r="T46" s="47"/>
      <c r="U46" s="52">
        <f t="shared" si="5"/>
        <v>0</v>
      </c>
      <c r="V46" s="23" t="str">
        <f t="shared" si="3"/>
        <v>OK</v>
      </c>
    </row>
    <row r="47" spans="1:22" hidden="1" x14ac:dyDescent="0.3">
      <c r="A47" s="12" t="s">
        <v>81</v>
      </c>
      <c r="B47" s="62">
        <v>15097</v>
      </c>
      <c r="C47" s="12" t="s">
        <v>56</v>
      </c>
      <c r="D47" s="53"/>
      <c r="E47" s="13"/>
      <c r="F47" s="13"/>
      <c r="G47" s="14"/>
      <c r="H47" s="15"/>
      <c r="I47" s="16">
        <f t="shared" si="4"/>
        <v>0</v>
      </c>
      <c r="J47" s="16"/>
      <c r="K47" s="11"/>
      <c r="L47" s="16"/>
      <c r="M47" s="16"/>
      <c r="N47" s="16"/>
      <c r="O47" s="16"/>
      <c r="P47" s="16"/>
      <c r="Q47" s="16"/>
      <c r="R47" s="35"/>
      <c r="S47" s="43"/>
      <c r="T47" s="46"/>
      <c r="U47" s="51">
        <f t="shared" si="5"/>
        <v>0</v>
      </c>
      <c r="V47" s="17" t="str">
        <f t="shared" si="3"/>
        <v>OK</v>
      </c>
    </row>
    <row r="48" spans="1:22" hidden="1" x14ac:dyDescent="0.3">
      <c r="A48" s="54" t="s">
        <v>76</v>
      </c>
      <c r="B48" s="63">
        <v>5585</v>
      </c>
      <c r="C48" s="18" t="s">
        <v>64</v>
      </c>
      <c r="D48" s="19"/>
      <c r="E48" s="19"/>
      <c r="F48" s="19"/>
      <c r="G48" s="20"/>
      <c r="H48" s="21"/>
      <c r="I48" s="22">
        <f t="shared" si="4"/>
        <v>0</v>
      </c>
      <c r="J48" s="22"/>
      <c r="K48" s="11"/>
      <c r="L48" s="22"/>
      <c r="M48" s="22"/>
      <c r="N48" s="22"/>
      <c r="O48" s="22"/>
      <c r="P48" s="22"/>
      <c r="Q48" s="22"/>
      <c r="R48" s="36"/>
      <c r="S48" s="44"/>
      <c r="T48" s="47"/>
      <c r="U48" s="52">
        <f t="shared" si="5"/>
        <v>0</v>
      </c>
      <c r="V48" s="23" t="str">
        <f t="shared" si="3"/>
        <v>OK</v>
      </c>
    </row>
    <row r="49" spans="1:22" hidden="1" x14ac:dyDescent="0.3">
      <c r="A49" s="12" t="s">
        <v>65</v>
      </c>
      <c r="B49" s="62">
        <v>11351</v>
      </c>
      <c r="C49" s="12" t="s">
        <v>64</v>
      </c>
      <c r="D49" s="53"/>
      <c r="E49" s="13"/>
      <c r="F49" s="13"/>
      <c r="G49" s="14"/>
      <c r="H49" s="15"/>
      <c r="I49" s="16">
        <f t="shared" si="4"/>
        <v>0</v>
      </c>
      <c r="J49" s="16"/>
      <c r="K49" s="11"/>
      <c r="L49" s="16"/>
      <c r="M49" s="16"/>
      <c r="N49" s="16"/>
      <c r="O49" s="16"/>
      <c r="P49" s="16"/>
      <c r="Q49" s="16"/>
      <c r="R49" s="35"/>
      <c r="S49" s="43"/>
      <c r="T49" s="46"/>
      <c r="U49" s="51">
        <f t="shared" si="5"/>
        <v>0</v>
      </c>
      <c r="V49" s="17" t="str">
        <f t="shared" si="3"/>
        <v>OK</v>
      </c>
    </row>
    <row r="50" spans="1:22" hidden="1" x14ac:dyDescent="0.3">
      <c r="A50" s="54" t="s">
        <v>66</v>
      </c>
      <c r="B50" s="63">
        <v>11352</v>
      </c>
      <c r="C50" s="18" t="s">
        <v>64</v>
      </c>
      <c r="D50" s="19"/>
      <c r="E50" s="19"/>
      <c r="F50" s="19"/>
      <c r="G50" s="20"/>
      <c r="H50" s="21"/>
      <c r="I50" s="22">
        <f t="shared" si="4"/>
        <v>0</v>
      </c>
      <c r="J50" s="22"/>
      <c r="K50" s="11"/>
      <c r="L50" s="22"/>
      <c r="M50" s="22"/>
      <c r="N50" s="22"/>
      <c r="O50" s="22"/>
      <c r="P50" s="22"/>
      <c r="Q50" s="22"/>
      <c r="R50" s="36"/>
      <c r="S50" s="44"/>
      <c r="T50" s="47"/>
      <c r="U50" s="52">
        <f t="shared" si="5"/>
        <v>0</v>
      </c>
      <c r="V50" s="23" t="str">
        <f t="shared" si="3"/>
        <v>OK</v>
      </c>
    </row>
    <row r="51" spans="1:22" hidden="1" x14ac:dyDescent="0.3">
      <c r="A51" s="90" t="s">
        <v>102</v>
      </c>
      <c r="B51" s="76">
        <v>13515</v>
      </c>
      <c r="C51" s="70" t="s">
        <v>78</v>
      </c>
      <c r="D51" s="70"/>
      <c r="E51" s="70"/>
      <c r="F51" s="70"/>
      <c r="G51" s="91"/>
      <c r="H51" s="82"/>
      <c r="I51" s="82">
        <f t="shared" si="4"/>
        <v>0</v>
      </c>
      <c r="J51" s="74"/>
      <c r="K51" s="11"/>
      <c r="L51" s="16"/>
      <c r="M51" s="16"/>
      <c r="N51" s="16"/>
      <c r="O51" s="16"/>
      <c r="P51" s="16"/>
      <c r="Q51" s="16"/>
      <c r="R51" s="35"/>
      <c r="S51" s="43"/>
      <c r="T51" s="46"/>
      <c r="U51" s="75">
        <f t="shared" si="5"/>
        <v>0</v>
      </c>
      <c r="V51" s="93" t="str">
        <f t="shared" si="3"/>
        <v>OK</v>
      </c>
    </row>
    <row r="52" spans="1:22" hidden="1" x14ac:dyDescent="0.3">
      <c r="A52" s="54" t="s">
        <v>103</v>
      </c>
      <c r="B52" s="63">
        <v>13516</v>
      </c>
      <c r="C52" s="18" t="s">
        <v>78</v>
      </c>
      <c r="D52" s="18"/>
      <c r="E52" s="18"/>
      <c r="F52" s="18"/>
      <c r="G52" s="92"/>
      <c r="H52" s="22"/>
      <c r="I52" s="22">
        <f t="shared" si="4"/>
        <v>0</v>
      </c>
      <c r="J52" s="69"/>
      <c r="K52" s="11"/>
      <c r="L52" s="22"/>
      <c r="M52" s="22"/>
      <c r="N52" s="22"/>
      <c r="O52" s="22"/>
      <c r="P52" s="22"/>
      <c r="Q52" s="22"/>
      <c r="R52" s="36"/>
      <c r="S52" s="44"/>
      <c r="T52" s="47"/>
      <c r="U52" s="52">
        <f t="shared" si="5"/>
        <v>0</v>
      </c>
      <c r="V52" s="23" t="str">
        <f t="shared" si="3"/>
        <v>OK</v>
      </c>
    </row>
    <row r="53" spans="1:22" hidden="1" x14ac:dyDescent="0.3">
      <c r="A53" s="90" t="s">
        <v>104</v>
      </c>
      <c r="B53" s="76">
        <v>13468</v>
      </c>
      <c r="C53" s="70" t="s">
        <v>78</v>
      </c>
      <c r="D53" s="70"/>
      <c r="E53" s="70"/>
      <c r="F53" s="70"/>
      <c r="G53" s="91"/>
      <c r="H53" s="82"/>
      <c r="I53" s="82">
        <f t="shared" si="4"/>
        <v>0</v>
      </c>
      <c r="J53" s="74"/>
      <c r="K53" s="11"/>
      <c r="L53" s="16"/>
      <c r="M53" s="16"/>
      <c r="N53" s="16"/>
      <c r="O53" s="16"/>
      <c r="P53" s="16"/>
      <c r="Q53" s="16"/>
      <c r="R53" s="35"/>
      <c r="S53" s="43"/>
      <c r="T53" s="46"/>
      <c r="U53" s="75">
        <f t="shared" si="5"/>
        <v>0</v>
      </c>
      <c r="V53" s="93" t="str">
        <f t="shared" si="3"/>
        <v>OK</v>
      </c>
    </row>
    <row r="54" spans="1:22" hidden="1" x14ac:dyDescent="0.3">
      <c r="A54" s="54" t="s">
        <v>79</v>
      </c>
      <c r="B54" s="63">
        <v>13469</v>
      </c>
      <c r="C54" s="18" t="s">
        <v>78</v>
      </c>
      <c r="D54" s="18"/>
      <c r="E54" s="18"/>
      <c r="F54" s="18"/>
      <c r="G54" s="92"/>
      <c r="H54" s="22"/>
      <c r="I54" s="22">
        <f t="shared" si="4"/>
        <v>0</v>
      </c>
      <c r="J54" s="69"/>
      <c r="K54" s="11"/>
      <c r="L54" s="22"/>
      <c r="M54" s="22"/>
      <c r="N54" s="22"/>
      <c r="O54" s="22"/>
      <c r="P54" s="22"/>
      <c r="Q54" s="22"/>
      <c r="R54" s="36"/>
      <c r="S54" s="44"/>
      <c r="T54" s="47"/>
      <c r="U54" s="52">
        <f t="shared" si="5"/>
        <v>0</v>
      </c>
      <c r="V54" s="23" t="str">
        <f t="shared" si="3"/>
        <v>OK</v>
      </c>
    </row>
    <row r="55" spans="1:22" hidden="1" x14ac:dyDescent="0.3">
      <c r="A55" s="90" t="s">
        <v>43</v>
      </c>
      <c r="B55" s="76">
        <v>11820</v>
      </c>
      <c r="C55" s="70" t="s">
        <v>67</v>
      </c>
      <c r="D55" s="70"/>
      <c r="E55" s="70"/>
      <c r="F55" s="70"/>
      <c r="G55" s="91"/>
      <c r="H55" s="82"/>
      <c r="I55" s="82">
        <f t="shared" si="4"/>
        <v>0</v>
      </c>
      <c r="J55" s="74"/>
      <c r="K55" s="11"/>
      <c r="L55" s="16"/>
      <c r="M55" s="16"/>
      <c r="N55" s="16"/>
      <c r="O55" s="16"/>
      <c r="P55" s="16"/>
      <c r="Q55" s="16"/>
      <c r="R55" s="35"/>
      <c r="S55" s="43"/>
      <c r="T55" s="46"/>
      <c r="U55" s="75">
        <f t="shared" si="5"/>
        <v>0</v>
      </c>
      <c r="V55" s="93" t="str">
        <f t="shared" si="3"/>
        <v>OK</v>
      </c>
    </row>
    <row r="56" spans="1:22" hidden="1" x14ac:dyDescent="0.3">
      <c r="A56" s="54" t="s">
        <v>44</v>
      </c>
      <c r="B56" s="63">
        <v>11816</v>
      </c>
      <c r="C56" s="18" t="s">
        <v>67</v>
      </c>
      <c r="D56" s="18"/>
      <c r="E56" s="18"/>
      <c r="F56" s="18"/>
      <c r="G56" s="92"/>
      <c r="H56" s="22"/>
      <c r="I56" s="22">
        <f t="shared" si="4"/>
        <v>0</v>
      </c>
      <c r="J56" s="69"/>
      <c r="K56" s="11"/>
      <c r="L56" s="22"/>
      <c r="M56" s="22"/>
      <c r="N56" s="22"/>
      <c r="O56" s="22"/>
      <c r="P56" s="22"/>
      <c r="Q56" s="22"/>
      <c r="R56" s="36"/>
      <c r="S56" s="44"/>
      <c r="T56" s="47"/>
      <c r="U56" s="52">
        <f>SUM(L56:T56)</f>
        <v>0</v>
      </c>
      <c r="V56" s="23" t="str">
        <f t="shared" si="3"/>
        <v>OK</v>
      </c>
    </row>
    <row r="57" spans="1:22" hidden="1" x14ac:dyDescent="0.3">
      <c r="A57" s="76" t="s">
        <v>77</v>
      </c>
      <c r="B57" s="76">
        <v>11381</v>
      </c>
      <c r="C57" s="77" t="s">
        <v>68</v>
      </c>
      <c r="D57" s="70"/>
      <c r="E57" s="70"/>
      <c r="F57" s="70"/>
      <c r="G57" s="91"/>
      <c r="H57" s="82"/>
      <c r="I57" s="82">
        <f t="shared" si="4"/>
        <v>0</v>
      </c>
      <c r="J57" s="74"/>
      <c r="K57" s="11"/>
      <c r="L57" s="16"/>
      <c r="M57" s="16"/>
      <c r="N57" s="16"/>
      <c r="O57" s="16"/>
      <c r="P57" s="16"/>
      <c r="Q57" s="16"/>
      <c r="R57" s="35"/>
      <c r="S57" s="43"/>
      <c r="T57" s="46"/>
      <c r="U57" s="75">
        <f>SUM(L57:T57)</f>
        <v>0</v>
      </c>
      <c r="V57" s="93" t="str">
        <f t="shared" si="3"/>
        <v>OK</v>
      </c>
    </row>
    <row r="58" spans="1:22" hidden="1" x14ac:dyDescent="0.3">
      <c r="A58" s="54" t="s">
        <v>69</v>
      </c>
      <c r="B58" s="63">
        <v>11382</v>
      </c>
      <c r="C58" s="18" t="s">
        <v>68</v>
      </c>
      <c r="D58" s="18"/>
      <c r="E58" s="18"/>
      <c r="F58" s="18"/>
      <c r="G58" s="92"/>
      <c r="H58" s="22"/>
      <c r="I58" s="22">
        <f t="shared" si="4"/>
        <v>0</v>
      </c>
      <c r="J58" s="69"/>
      <c r="K58" s="11"/>
      <c r="L58" s="22"/>
      <c r="M58" s="22"/>
      <c r="N58" s="22"/>
      <c r="O58" s="22"/>
      <c r="P58" s="22"/>
      <c r="Q58" s="22"/>
      <c r="R58" s="36"/>
      <c r="S58" s="44"/>
      <c r="T58" s="47"/>
      <c r="U58" s="52">
        <f>SUM(L58:T58)</f>
        <v>0</v>
      </c>
      <c r="V58" s="23" t="str">
        <f t="shared" si="3"/>
        <v>OK</v>
      </c>
    </row>
    <row r="59" spans="1:22" hidden="1" x14ac:dyDescent="0.3">
      <c r="A59" s="96" t="s">
        <v>105</v>
      </c>
      <c r="B59" s="76">
        <v>16586</v>
      </c>
      <c r="C59" s="70" t="s">
        <v>78</v>
      </c>
      <c r="D59" s="70"/>
      <c r="E59" s="70"/>
      <c r="F59" s="70"/>
      <c r="G59" s="91"/>
      <c r="H59" s="82"/>
      <c r="I59" s="82">
        <f t="shared" si="4"/>
        <v>0</v>
      </c>
      <c r="J59" s="74"/>
      <c r="K59" s="11"/>
      <c r="L59" s="16"/>
      <c r="M59" s="16"/>
      <c r="N59" s="16"/>
      <c r="O59" s="16"/>
      <c r="P59" s="16"/>
      <c r="Q59" s="16"/>
      <c r="R59" s="35"/>
      <c r="S59" s="43"/>
      <c r="T59" s="46"/>
      <c r="U59" s="75">
        <f t="shared" ref="U59:U69" si="6">SUM(L59:T59)</f>
        <v>0</v>
      </c>
      <c r="V59" s="93" t="str">
        <f t="shared" si="3"/>
        <v>OK</v>
      </c>
    </row>
    <row r="60" spans="1:22" hidden="1" x14ac:dyDescent="0.3">
      <c r="A60" s="54" t="s">
        <v>90</v>
      </c>
      <c r="B60" s="63">
        <v>16587</v>
      </c>
      <c r="C60" s="18" t="s">
        <v>78</v>
      </c>
      <c r="D60" s="18"/>
      <c r="E60" s="18"/>
      <c r="F60" s="18"/>
      <c r="G60" s="92"/>
      <c r="H60" s="22"/>
      <c r="I60" s="22">
        <f t="shared" si="4"/>
        <v>0</v>
      </c>
      <c r="J60" s="69"/>
      <c r="K60" s="11"/>
      <c r="L60" s="22"/>
      <c r="M60" s="22"/>
      <c r="N60" s="22"/>
      <c r="O60" s="22"/>
      <c r="P60" s="22"/>
      <c r="Q60" s="22"/>
      <c r="R60" s="36"/>
      <c r="S60" s="44"/>
      <c r="T60" s="47"/>
      <c r="U60" s="52">
        <f t="shared" si="6"/>
        <v>0</v>
      </c>
      <c r="V60" s="23" t="str">
        <f t="shared" si="3"/>
        <v>OK</v>
      </c>
    </row>
    <row r="61" spans="1:22" hidden="1" x14ac:dyDescent="0.3">
      <c r="A61" s="90" t="s">
        <v>91</v>
      </c>
      <c r="B61" s="76">
        <v>17121</v>
      </c>
      <c r="C61" s="70" t="s">
        <v>92</v>
      </c>
      <c r="D61" s="70"/>
      <c r="E61" s="70"/>
      <c r="F61" s="70"/>
      <c r="G61" s="91"/>
      <c r="H61" s="82"/>
      <c r="I61" s="82">
        <f t="shared" si="4"/>
        <v>0</v>
      </c>
      <c r="J61" s="74"/>
      <c r="K61" s="11"/>
      <c r="L61" s="16"/>
      <c r="M61" s="16"/>
      <c r="N61" s="16"/>
      <c r="O61" s="16"/>
      <c r="P61" s="16"/>
      <c r="Q61" s="16"/>
      <c r="R61" s="35"/>
      <c r="S61" s="43"/>
      <c r="T61" s="46"/>
      <c r="U61" s="75">
        <f t="shared" si="6"/>
        <v>0</v>
      </c>
      <c r="V61" s="93" t="str">
        <f t="shared" si="3"/>
        <v>OK</v>
      </c>
    </row>
    <row r="62" spans="1:22" hidden="1" x14ac:dyDescent="0.3">
      <c r="A62" s="54" t="s">
        <v>106</v>
      </c>
      <c r="B62" s="63">
        <v>19270</v>
      </c>
      <c r="C62" s="18" t="s">
        <v>68</v>
      </c>
      <c r="D62" s="18"/>
      <c r="E62" s="18"/>
      <c r="F62" s="18"/>
      <c r="G62" s="92"/>
      <c r="H62" s="22"/>
      <c r="I62" s="22">
        <f t="shared" si="4"/>
        <v>0</v>
      </c>
      <c r="J62" s="69"/>
      <c r="K62" s="11"/>
      <c r="L62" s="22"/>
      <c r="M62" s="22"/>
      <c r="N62" s="22"/>
      <c r="O62" s="22"/>
      <c r="P62" s="22"/>
      <c r="Q62" s="22"/>
      <c r="R62" s="36"/>
      <c r="S62" s="44"/>
      <c r="T62" s="47"/>
      <c r="U62" s="71">
        <f t="shared" si="6"/>
        <v>0</v>
      </c>
      <c r="V62" s="23" t="str">
        <f t="shared" si="3"/>
        <v>OK</v>
      </c>
    </row>
    <row r="63" spans="1:22" hidden="1" x14ac:dyDescent="0.3">
      <c r="A63" s="90" t="s">
        <v>107</v>
      </c>
      <c r="B63" s="76">
        <v>19276</v>
      </c>
      <c r="C63" s="70" t="s">
        <v>68</v>
      </c>
      <c r="D63" s="70"/>
      <c r="E63" s="70"/>
      <c r="F63" s="70"/>
      <c r="G63" s="91"/>
      <c r="H63" s="82"/>
      <c r="I63" s="82">
        <f t="shared" si="4"/>
        <v>0</v>
      </c>
      <c r="J63" s="74"/>
      <c r="K63" s="11"/>
      <c r="L63" s="16"/>
      <c r="M63" s="16"/>
      <c r="N63" s="16"/>
      <c r="O63" s="16"/>
      <c r="P63" s="16"/>
      <c r="Q63" s="16"/>
      <c r="R63" s="35"/>
      <c r="S63" s="43"/>
      <c r="T63" s="46"/>
      <c r="U63" s="75">
        <f t="shared" si="6"/>
        <v>0</v>
      </c>
      <c r="V63" s="93" t="str">
        <f t="shared" si="3"/>
        <v>OK</v>
      </c>
    </row>
    <row r="64" spans="1:22" x14ac:dyDescent="0.3">
      <c r="A64" s="54" t="s">
        <v>108</v>
      </c>
      <c r="B64" s="63">
        <v>19836</v>
      </c>
      <c r="C64" s="18" t="s">
        <v>45</v>
      </c>
      <c r="D64" s="18"/>
      <c r="E64" s="18"/>
      <c r="F64" s="18"/>
      <c r="G64" s="92"/>
      <c r="H64" s="22"/>
      <c r="I64" s="22">
        <f t="shared" si="4"/>
        <v>24</v>
      </c>
      <c r="J64" s="69"/>
      <c r="K64" s="11"/>
      <c r="L64" s="22"/>
      <c r="M64" s="22">
        <v>11</v>
      </c>
      <c r="N64" s="22"/>
      <c r="O64" s="22"/>
      <c r="P64" s="22"/>
      <c r="Q64" s="22"/>
      <c r="R64" s="36"/>
      <c r="S64" s="44">
        <v>13</v>
      </c>
      <c r="T64" s="47"/>
      <c r="U64" s="52">
        <f t="shared" si="6"/>
        <v>24</v>
      </c>
      <c r="V64" s="23" t="str">
        <f t="shared" si="3"/>
        <v>OK</v>
      </c>
    </row>
    <row r="65" spans="1:22" hidden="1" x14ac:dyDescent="0.3">
      <c r="A65" s="90" t="s">
        <v>109</v>
      </c>
      <c r="B65" s="76">
        <v>20278</v>
      </c>
      <c r="C65" s="70" t="s">
        <v>110</v>
      </c>
      <c r="D65" s="70"/>
      <c r="E65" s="70"/>
      <c r="F65" s="70"/>
      <c r="G65" s="91"/>
      <c r="H65" s="82"/>
      <c r="I65" s="82">
        <f t="shared" si="4"/>
        <v>0</v>
      </c>
      <c r="J65" s="74"/>
      <c r="K65" s="11"/>
      <c r="L65" s="16"/>
      <c r="M65" s="16"/>
      <c r="N65" s="16"/>
      <c r="O65" s="16"/>
      <c r="P65" s="16"/>
      <c r="Q65" s="16"/>
      <c r="R65" s="35"/>
      <c r="S65" s="43"/>
      <c r="T65" s="46"/>
      <c r="U65" s="75">
        <f t="shared" si="6"/>
        <v>0</v>
      </c>
      <c r="V65" s="93" t="str">
        <f t="shared" si="3"/>
        <v>OK</v>
      </c>
    </row>
    <row r="66" spans="1:22" hidden="1" x14ac:dyDescent="0.3">
      <c r="A66" s="54" t="s">
        <v>111</v>
      </c>
      <c r="B66" s="63">
        <v>20272</v>
      </c>
      <c r="C66" s="18" t="s">
        <v>110</v>
      </c>
      <c r="D66" s="18"/>
      <c r="E66" s="18"/>
      <c r="F66" s="18"/>
      <c r="G66" s="92"/>
      <c r="H66" s="22"/>
      <c r="I66" s="22">
        <f t="shared" si="4"/>
        <v>0</v>
      </c>
      <c r="J66" s="69"/>
      <c r="K66" s="11"/>
      <c r="L66" s="22"/>
      <c r="M66" s="22"/>
      <c r="N66" s="22"/>
      <c r="O66" s="22"/>
      <c r="P66" s="22"/>
      <c r="Q66" s="22"/>
      <c r="R66" s="36"/>
      <c r="S66" s="44"/>
      <c r="T66" s="47"/>
      <c r="U66" s="52">
        <f t="shared" si="6"/>
        <v>0</v>
      </c>
      <c r="V66" s="23" t="str">
        <f t="shared" si="3"/>
        <v>OK</v>
      </c>
    </row>
    <row r="67" spans="1:22" x14ac:dyDescent="0.3">
      <c r="A67" s="90" t="s">
        <v>112</v>
      </c>
      <c r="B67" s="76">
        <v>20956</v>
      </c>
      <c r="C67" s="70" t="s">
        <v>110</v>
      </c>
      <c r="D67" s="70"/>
      <c r="E67" s="70"/>
      <c r="F67" s="70"/>
      <c r="G67" s="91"/>
      <c r="H67" s="82"/>
      <c r="I67" s="82">
        <f t="shared" si="4"/>
        <v>25</v>
      </c>
      <c r="J67" s="74"/>
      <c r="K67" s="11"/>
      <c r="L67" s="16"/>
      <c r="M67" s="16">
        <v>10</v>
      </c>
      <c r="N67" s="16"/>
      <c r="O67" s="16">
        <v>15</v>
      </c>
      <c r="P67" s="16"/>
      <c r="Q67" s="16"/>
      <c r="R67" s="35"/>
      <c r="S67" s="43"/>
      <c r="T67" s="46"/>
      <c r="U67" s="75">
        <f t="shared" si="6"/>
        <v>25</v>
      </c>
      <c r="V67" s="93" t="str">
        <f t="shared" si="3"/>
        <v>OK</v>
      </c>
    </row>
    <row r="68" spans="1:22" hidden="1" x14ac:dyDescent="0.3">
      <c r="A68" s="54" t="s">
        <v>116</v>
      </c>
      <c r="B68" s="63">
        <v>21299</v>
      </c>
      <c r="C68" s="18" t="s">
        <v>78</v>
      </c>
      <c r="D68" s="18"/>
      <c r="E68" s="18"/>
      <c r="F68" s="18"/>
      <c r="G68" s="92"/>
      <c r="H68" s="22"/>
      <c r="I68" s="22">
        <f t="shared" si="4"/>
        <v>0</v>
      </c>
      <c r="J68" s="69"/>
      <c r="K68" s="11"/>
      <c r="L68" s="22"/>
      <c r="M68" s="22"/>
      <c r="N68" s="22"/>
      <c r="O68" s="22"/>
      <c r="P68" s="22"/>
      <c r="Q68" s="22"/>
      <c r="R68" s="36"/>
      <c r="S68" s="44"/>
      <c r="T68" s="47"/>
      <c r="U68" s="71">
        <f t="shared" si="6"/>
        <v>0</v>
      </c>
      <c r="V68" s="23" t="str">
        <f>IF(U68=I68,"OK","NG")</f>
        <v>OK</v>
      </c>
    </row>
    <row r="69" spans="1:22" hidden="1" x14ac:dyDescent="0.3">
      <c r="A69" s="99" t="s">
        <v>117</v>
      </c>
      <c r="B69" s="76">
        <v>22115</v>
      </c>
      <c r="C69" s="82" t="s">
        <v>118</v>
      </c>
      <c r="D69" s="82"/>
      <c r="E69" s="82"/>
      <c r="F69" s="82"/>
      <c r="G69" s="82"/>
      <c r="H69" s="82"/>
      <c r="I69" s="82">
        <f t="shared" si="4"/>
        <v>0</v>
      </c>
      <c r="J69" s="97"/>
      <c r="K69" s="112"/>
      <c r="L69" s="82"/>
      <c r="M69" s="82"/>
      <c r="N69" s="82"/>
      <c r="O69" s="82"/>
      <c r="P69" s="82"/>
      <c r="Q69" s="82"/>
      <c r="R69" s="83"/>
      <c r="S69" s="84"/>
      <c r="T69" s="100"/>
      <c r="U69" s="75">
        <f t="shared" si="6"/>
        <v>0</v>
      </c>
      <c r="V69" s="93" t="str">
        <f>IF(U69=I69,"OK","NG")</f>
        <v>OK</v>
      </c>
    </row>
    <row r="70" spans="1:22" hidden="1" x14ac:dyDescent="0.3">
      <c r="A70" s="54" t="s">
        <v>120</v>
      </c>
      <c r="B70" s="63">
        <v>22706</v>
      </c>
      <c r="C70" s="18" t="s">
        <v>119</v>
      </c>
      <c r="D70" s="18"/>
      <c r="E70" s="18"/>
      <c r="F70" s="18"/>
      <c r="G70" s="92"/>
      <c r="H70" s="22"/>
      <c r="I70" s="22">
        <f t="shared" si="4"/>
        <v>0</v>
      </c>
      <c r="J70" s="69"/>
      <c r="K70" s="11"/>
      <c r="L70" s="22"/>
      <c r="M70" s="22"/>
      <c r="N70" s="22"/>
      <c r="O70" s="22"/>
      <c r="P70" s="22"/>
      <c r="Q70" s="22"/>
      <c r="R70" s="36"/>
      <c r="S70" s="44"/>
      <c r="T70" s="47"/>
      <c r="U70" s="71">
        <f t="shared" ref="U70" si="7">SUM(L70:T70)</f>
        <v>0</v>
      </c>
      <c r="V70" s="23" t="str">
        <f>IF(U70=I70,"OK","NG")</f>
        <v>OK</v>
      </c>
    </row>
    <row r="71" spans="1:22" hidden="1" x14ac:dyDescent="0.3">
      <c r="A71" s="99" t="s">
        <v>121</v>
      </c>
      <c r="B71" s="76">
        <v>22886</v>
      </c>
      <c r="C71" s="82" t="s">
        <v>46</v>
      </c>
      <c r="D71" s="82"/>
      <c r="E71" s="82"/>
      <c r="F71" s="82"/>
      <c r="G71" s="82"/>
      <c r="H71" s="82"/>
      <c r="I71" s="82">
        <f t="shared" ref="I71:I80" si="8">SUM(L71:T71)</f>
        <v>0</v>
      </c>
      <c r="J71" s="97"/>
      <c r="K71" s="112"/>
      <c r="L71" s="82"/>
      <c r="M71" s="82"/>
      <c r="N71" s="82"/>
      <c r="O71" s="82"/>
      <c r="P71" s="82"/>
      <c r="Q71" s="82"/>
      <c r="R71" s="83"/>
      <c r="S71" s="84"/>
      <c r="T71" s="100"/>
      <c r="U71" s="75">
        <f>SUM(L71:T71)</f>
        <v>0</v>
      </c>
      <c r="V71" s="93" t="str">
        <f>IF(U71=I71,"OK","NG")</f>
        <v>OK</v>
      </c>
    </row>
    <row r="72" spans="1:22" hidden="1" x14ac:dyDescent="0.3">
      <c r="A72" s="54" t="s">
        <v>122</v>
      </c>
      <c r="B72" s="63">
        <v>17528</v>
      </c>
      <c r="C72" s="18" t="s">
        <v>123</v>
      </c>
      <c r="D72" s="18"/>
      <c r="E72" s="18"/>
      <c r="F72" s="18"/>
      <c r="G72" s="92"/>
      <c r="H72" s="22"/>
      <c r="I72" s="22">
        <f t="shared" si="8"/>
        <v>0</v>
      </c>
      <c r="J72" s="69"/>
      <c r="K72" s="11"/>
      <c r="L72" s="22"/>
      <c r="M72" s="22"/>
      <c r="N72" s="22"/>
      <c r="O72" s="22"/>
      <c r="P72" s="22"/>
      <c r="Q72" s="22"/>
      <c r="R72" s="36"/>
      <c r="S72" s="44"/>
      <c r="T72" s="47"/>
      <c r="U72" s="71">
        <f t="shared" ref="U72:U80" si="9">SUM(L72:T72)</f>
        <v>0</v>
      </c>
      <c r="V72" s="95" t="str">
        <f t="shared" ref="V72:V80" si="10">IF(U72=I72,"OK","NG")</f>
        <v>OK</v>
      </c>
    </row>
    <row r="73" spans="1:22" hidden="1" x14ac:dyDescent="0.3">
      <c r="A73" s="99" t="s">
        <v>124</v>
      </c>
      <c r="B73" s="76">
        <v>22380</v>
      </c>
      <c r="C73" s="82" t="s">
        <v>47</v>
      </c>
      <c r="D73" s="82"/>
      <c r="E73" s="82"/>
      <c r="F73" s="82"/>
      <c r="G73" s="82"/>
      <c r="H73" s="82"/>
      <c r="I73" s="82">
        <f t="shared" si="8"/>
        <v>0</v>
      </c>
      <c r="J73" s="97"/>
      <c r="K73" s="112"/>
      <c r="L73" s="82"/>
      <c r="M73" s="82"/>
      <c r="N73" s="82"/>
      <c r="O73" s="82"/>
      <c r="P73" s="82"/>
      <c r="Q73" s="82"/>
      <c r="R73" s="83"/>
      <c r="S73" s="84"/>
      <c r="T73" s="100"/>
      <c r="U73" s="75">
        <f t="shared" si="9"/>
        <v>0</v>
      </c>
      <c r="V73" s="93" t="str">
        <f t="shared" si="10"/>
        <v>OK</v>
      </c>
    </row>
    <row r="74" spans="1:22" hidden="1" x14ac:dyDescent="0.3">
      <c r="A74" s="54" t="s">
        <v>125</v>
      </c>
      <c r="B74" s="63">
        <v>19279</v>
      </c>
      <c r="C74" s="18" t="s">
        <v>126</v>
      </c>
      <c r="D74" s="18"/>
      <c r="E74" s="18"/>
      <c r="F74" s="18"/>
      <c r="G74" s="92"/>
      <c r="H74" s="22"/>
      <c r="I74" s="22">
        <f t="shared" si="8"/>
        <v>0</v>
      </c>
      <c r="J74" s="69"/>
      <c r="K74" s="11"/>
      <c r="L74" s="22"/>
      <c r="M74" s="22"/>
      <c r="N74" s="22"/>
      <c r="O74" s="22"/>
      <c r="P74" s="22"/>
      <c r="Q74" s="22"/>
      <c r="R74" s="36"/>
      <c r="S74" s="44"/>
      <c r="T74" s="47"/>
      <c r="U74" s="71">
        <f t="shared" si="9"/>
        <v>0</v>
      </c>
      <c r="V74" s="95" t="str">
        <f t="shared" si="10"/>
        <v>OK</v>
      </c>
    </row>
    <row r="75" spans="1:22" hidden="1" x14ac:dyDescent="0.3">
      <c r="A75" s="90" t="s">
        <v>131</v>
      </c>
      <c r="B75" s="76">
        <v>22724</v>
      </c>
      <c r="C75" s="70" t="s">
        <v>119</v>
      </c>
      <c r="D75" s="70"/>
      <c r="E75" s="70"/>
      <c r="F75" s="70"/>
      <c r="G75" s="91"/>
      <c r="H75" s="82"/>
      <c r="I75" s="82">
        <v>0</v>
      </c>
      <c r="J75" s="74"/>
      <c r="K75" s="11"/>
      <c r="L75" s="82"/>
      <c r="M75" s="82"/>
      <c r="N75" s="82"/>
      <c r="O75" s="82"/>
      <c r="P75" s="82"/>
      <c r="Q75" s="82"/>
      <c r="R75" s="83"/>
      <c r="S75" s="84"/>
      <c r="T75" s="85"/>
      <c r="U75" s="75">
        <v>0</v>
      </c>
      <c r="V75" s="93" t="s">
        <v>129</v>
      </c>
    </row>
    <row r="76" spans="1:22" hidden="1" x14ac:dyDescent="0.3">
      <c r="A76" s="54" t="s">
        <v>132</v>
      </c>
      <c r="B76" s="63">
        <v>22705</v>
      </c>
      <c r="C76" s="18" t="s">
        <v>119</v>
      </c>
      <c r="D76" s="18"/>
      <c r="E76" s="18"/>
      <c r="F76" s="18"/>
      <c r="G76" s="92"/>
      <c r="H76" s="22"/>
      <c r="I76" s="22">
        <f t="shared" si="8"/>
        <v>0</v>
      </c>
      <c r="J76" s="69"/>
      <c r="K76" s="11"/>
      <c r="L76" s="22"/>
      <c r="M76" s="22"/>
      <c r="N76" s="22"/>
      <c r="O76" s="22"/>
      <c r="P76" s="22"/>
      <c r="Q76" s="22"/>
      <c r="R76" s="36"/>
      <c r="S76" s="44"/>
      <c r="T76" s="47"/>
      <c r="U76" s="71">
        <f t="shared" si="9"/>
        <v>0</v>
      </c>
      <c r="V76" s="95" t="str">
        <f t="shared" si="10"/>
        <v>OK</v>
      </c>
    </row>
    <row r="77" spans="1:22" hidden="1" x14ac:dyDescent="0.3">
      <c r="A77" s="99" t="s">
        <v>128</v>
      </c>
      <c r="B77" s="76">
        <v>5655</v>
      </c>
      <c r="C77" s="82" t="s">
        <v>54</v>
      </c>
      <c r="D77" s="82"/>
      <c r="E77" s="82"/>
      <c r="F77" s="82"/>
      <c r="G77" s="82"/>
      <c r="H77" s="82"/>
      <c r="I77" s="82">
        <f t="shared" si="8"/>
        <v>0</v>
      </c>
      <c r="J77" s="97"/>
      <c r="K77" s="112"/>
      <c r="L77" s="82"/>
      <c r="M77" s="82"/>
      <c r="N77" s="82"/>
      <c r="O77" s="82"/>
      <c r="P77" s="82"/>
      <c r="Q77" s="82"/>
      <c r="R77" s="83"/>
      <c r="S77" s="84"/>
      <c r="T77" s="100"/>
      <c r="U77" s="75">
        <f t="shared" si="9"/>
        <v>0</v>
      </c>
      <c r="V77" s="93" t="str">
        <f t="shared" si="10"/>
        <v>OK</v>
      </c>
    </row>
    <row r="78" spans="1:22" hidden="1" x14ac:dyDescent="0.3">
      <c r="A78" s="120" t="s">
        <v>136</v>
      </c>
      <c r="B78" s="121">
        <v>22704</v>
      </c>
      <c r="C78" s="122" t="s">
        <v>137</v>
      </c>
      <c r="D78" s="122"/>
      <c r="E78" s="122"/>
      <c r="F78" s="122"/>
      <c r="G78" s="122"/>
      <c r="H78" s="122"/>
      <c r="I78" s="22">
        <f t="shared" si="8"/>
        <v>0</v>
      </c>
      <c r="J78" s="45"/>
      <c r="K78" s="112"/>
      <c r="L78" s="22"/>
      <c r="M78" s="22"/>
      <c r="N78" s="22"/>
      <c r="O78" s="22"/>
      <c r="P78" s="22"/>
      <c r="Q78" s="22"/>
      <c r="R78" s="36"/>
      <c r="S78" s="44"/>
      <c r="T78" s="116"/>
      <c r="U78" s="71">
        <f t="shared" si="9"/>
        <v>0</v>
      </c>
      <c r="V78" s="95" t="str">
        <f t="shared" si="10"/>
        <v>OK</v>
      </c>
    </row>
    <row r="79" spans="1:22" ht="17.25" thickBot="1" x14ac:dyDescent="0.35">
      <c r="A79" s="136" t="s">
        <v>139</v>
      </c>
      <c r="B79" s="133">
        <v>22722</v>
      </c>
      <c r="C79" s="137" t="s">
        <v>119</v>
      </c>
      <c r="D79" s="137"/>
      <c r="E79" s="137"/>
      <c r="F79" s="137"/>
      <c r="G79" s="137"/>
      <c r="H79" s="137"/>
      <c r="I79" s="82">
        <f t="shared" si="8"/>
        <v>10</v>
      </c>
      <c r="J79" s="97"/>
      <c r="K79" s="119"/>
      <c r="L79" s="82"/>
      <c r="M79" s="82">
        <v>10</v>
      </c>
      <c r="N79" s="82"/>
      <c r="O79" s="82"/>
      <c r="P79" s="82"/>
      <c r="Q79" s="82"/>
      <c r="R79" s="83"/>
      <c r="S79" s="84"/>
      <c r="T79" s="100"/>
      <c r="U79" s="75">
        <f t="shared" si="9"/>
        <v>10</v>
      </c>
      <c r="V79" s="93" t="str">
        <f t="shared" si="10"/>
        <v>OK</v>
      </c>
    </row>
    <row r="80" spans="1:22" ht="17.25" hidden="1" thickBot="1" x14ac:dyDescent="0.35">
      <c r="A80" s="126" t="s">
        <v>134</v>
      </c>
      <c r="B80" s="127">
        <v>22723</v>
      </c>
      <c r="C80" s="128" t="s">
        <v>119</v>
      </c>
      <c r="D80" s="128"/>
      <c r="E80" s="128"/>
      <c r="F80" s="128"/>
      <c r="G80" s="128"/>
      <c r="H80" s="128"/>
      <c r="I80" s="128">
        <f t="shared" si="8"/>
        <v>0</v>
      </c>
      <c r="J80" s="45"/>
      <c r="K80" s="112"/>
      <c r="L80" s="22"/>
      <c r="M80" s="22"/>
      <c r="N80" s="22"/>
      <c r="O80" s="22"/>
      <c r="P80" s="22"/>
      <c r="Q80" s="22"/>
      <c r="R80" s="36"/>
      <c r="S80" s="44"/>
      <c r="T80" s="116"/>
      <c r="U80" s="52">
        <f t="shared" si="9"/>
        <v>0</v>
      </c>
      <c r="V80" s="23" t="str">
        <f t="shared" si="10"/>
        <v>OK</v>
      </c>
    </row>
    <row r="81" spans="1:22" x14ac:dyDescent="0.3">
      <c r="A81" s="86"/>
      <c r="B81" s="86"/>
      <c r="C81" s="87" t="s">
        <v>9</v>
      </c>
      <c r="D81" s="87"/>
      <c r="E81" s="87"/>
      <c r="F81" s="87"/>
      <c r="G81" s="88">
        <f>SUM(G6:G49)</f>
        <v>0</v>
      </c>
      <c r="H81" s="89">
        <f>SUM(H6:H49)</f>
        <v>0</v>
      </c>
      <c r="I81" s="88">
        <f>SUM(I6:I80)</f>
        <v>66</v>
      </c>
      <c r="J81" s="40">
        <f>SUM(J6:J49)</f>
        <v>0</v>
      </c>
      <c r="K81" s="115">
        <f>SUM(K6:K51)</f>
        <v>0</v>
      </c>
      <c r="L81" s="38">
        <f>SUM(L6:L80)</f>
        <v>0</v>
      </c>
      <c r="M81" s="38">
        <f t="shared" ref="M81:U81" si="11">SUM(M6:M80)</f>
        <v>38</v>
      </c>
      <c r="N81" s="38">
        <f t="shared" si="11"/>
        <v>0</v>
      </c>
      <c r="O81" s="38">
        <f t="shared" si="11"/>
        <v>15</v>
      </c>
      <c r="P81" s="38">
        <f t="shared" si="11"/>
        <v>0</v>
      </c>
      <c r="Q81" s="38">
        <f t="shared" si="11"/>
        <v>0</v>
      </c>
      <c r="R81" s="38">
        <f t="shared" si="11"/>
        <v>0</v>
      </c>
      <c r="S81" s="38">
        <f t="shared" si="11"/>
        <v>13</v>
      </c>
      <c r="T81" s="38">
        <f t="shared" si="11"/>
        <v>0</v>
      </c>
      <c r="U81" s="38">
        <f t="shared" si="11"/>
        <v>66</v>
      </c>
      <c r="V81" s="41" t="str">
        <f>IF(U81=SUM(I81),"OK","NG")</f>
        <v>OK</v>
      </c>
    </row>
  </sheetData>
  <autoFilter ref="A5:V81" xr:uid="{00000000-0001-0000-0600-000000000000}">
    <filterColumn colId="8">
      <filters>
        <filter val="10"/>
        <filter val="24"/>
        <filter val="25"/>
        <filter val="66"/>
        <filter val="7"/>
      </filters>
    </filterColumn>
  </autoFilter>
  <mergeCells count="20">
    <mergeCell ref="O4:O5"/>
    <mergeCell ref="P4:P5"/>
    <mergeCell ref="B3:C3"/>
    <mergeCell ref="N4:N5"/>
    <mergeCell ref="B1:C1"/>
    <mergeCell ref="F1:G1"/>
    <mergeCell ref="H1:J3"/>
    <mergeCell ref="B2:C2"/>
    <mergeCell ref="A4:D4"/>
    <mergeCell ref="E4:G4"/>
    <mergeCell ref="H4:J4"/>
    <mergeCell ref="L4:L5"/>
    <mergeCell ref="M4:M5"/>
    <mergeCell ref="Q4:Q5"/>
    <mergeCell ref="R4:R5"/>
    <mergeCell ref="S4:S5"/>
    <mergeCell ref="T4:T5"/>
    <mergeCell ref="V2:V3"/>
    <mergeCell ref="U4:U5"/>
    <mergeCell ref="V4:V5"/>
  </mergeCells>
  <phoneticPr fontId="3" type="noConversion"/>
  <conditionalFormatting sqref="A4 V6:V81">
    <cfRule type="containsText" dxfId="53" priority="5" operator="containsText" text="NG">
      <formula>NOT(ISERROR(SEARCH("NG",A4)))</formula>
    </cfRule>
    <cfRule type="containsText" dxfId="52" priority="6" operator="containsText" text="OK">
      <formula>NOT(ISERROR(SEARCH("OK",A4)))</formula>
    </cfRule>
  </conditionalFormatting>
  <pageMargins left="0.70866141732283472" right="0.70866141732283472" top="0.74803149606299213" bottom="0.74803149606299213" header="0.31496062992125984" footer="0.31496062992125984"/>
  <pageSetup paperSize="8" scale="10" orientation="landscape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 filterMode="1">
    <pageSetUpPr fitToPage="1"/>
  </sheetPr>
  <dimension ref="A1:V81"/>
  <sheetViews>
    <sheetView showGridLines="0" zoomScale="85" zoomScaleNormal="85" workbookViewId="0">
      <pane ySplit="5" topLeftCell="A27" activePane="bottomLeft" state="frozen"/>
      <selection activeCell="W73" sqref="W73"/>
      <selection pane="bottomLeft" activeCell="N88" sqref="N88"/>
    </sheetView>
  </sheetViews>
  <sheetFormatPr defaultColWidth="9" defaultRowHeight="16.5" x14ac:dyDescent="0.3"/>
  <cols>
    <col min="1" max="1" width="12.625" bestFit="1" customWidth="1"/>
    <col min="2" max="2" width="14.125" bestFit="1" customWidth="1"/>
    <col min="3" max="3" width="35.125" customWidth="1"/>
    <col min="4" max="4" width="11.75" hidden="1" customWidth="1"/>
    <col min="5" max="6" width="9" hidden="1" customWidth="1"/>
    <col min="7" max="7" width="15.375" hidden="1" customWidth="1"/>
    <col min="8" max="8" width="13.25" hidden="1" customWidth="1"/>
    <col min="9" max="9" width="13.25" customWidth="1"/>
    <col min="10" max="10" width="13.25" hidden="1" customWidth="1"/>
    <col min="11" max="11" width="0.875" customWidth="1"/>
    <col min="20" max="20" width="11" bestFit="1" customWidth="1"/>
  </cols>
  <sheetData>
    <row r="1" spans="1:22" ht="22.5" customHeight="1" thickBot="1" x14ac:dyDescent="0.35">
      <c r="A1" s="32" t="s">
        <v>28</v>
      </c>
      <c r="B1" s="153">
        <f>H81</f>
        <v>0</v>
      </c>
      <c r="C1" s="154"/>
      <c r="D1" s="55"/>
      <c r="E1" s="58" t="s">
        <v>1</v>
      </c>
      <c r="F1" s="155">
        <f>G81</f>
        <v>0</v>
      </c>
      <c r="G1" s="155"/>
      <c r="H1" s="156"/>
      <c r="I1" s="156"/>
      <c r="J1" s="156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22.5" customHeight="1" thickBot="1" x14ac:dyDescent="0.35">
      <c r="A2" s="32" t="s">
        <v>29</v>
      </c>
      <c r="B2" s="158">
        <f>I81</f>
        <v>38</v>
      </c>
      <c r="C2" s="159"/>
      <c r="D2" s="56"/>
      <c r="E2" s="59"/>
      <c r="F2" s="2"/>
      <c r="G2" s="2"/>
      <c r="H2" s="156"/>
      <c r="I2" s="156"/>
      <c r="J2" s="156"/>
      <c r="K2" s="113"/>
      <c r="L2" s="3">
        <f>SUBTOTAL(9,L6:L80)</f>
        <v>0</v>
      </c>
      <c r="M2" s="3">
        <f t="shared" ref="M2:T2" si="0">SUBTOTAL(9,M6:M80)</f>
        <v>38</v>
      </c>
      <c r="N2" s="3">
        <f t="shared" si="0"/>
        <v>0</v>
      </c>
      <c r="O2" s="3">
        <f t="shared" si="0"/>
        <v>0</v>
      </c>
      <c r="P2" s="3">
        <f t="shared" si="0"/>
        <v>0</v>
      </c>
      <c r="Q2" s="3">
        <f t="shared" si="0"/>
        <v>0</v>
      </c>
      <c r="R2" s="3">
        <f t="shared" si="0"/>
        <v>0</v>
      </c>
      <c r="S2" s="3">
        <f t="shared" si="0"/>
        <v>0</v>
      </c>
      <c r="T2" s="3">
        <f t="shared" si="0"/>
        <v>0</v>
      </c>
      <c r="U2" s="48">
        <f>SUBTOTAL(9,U6:U80)</f>
        <v>38</v>
      </c>
      <c r="V2" s="145"/>
    </row>
    <row r="3" spans="1:22" ht="22.5" customHeight="1" thickBot="1" x14ac:dyDescent="0.35">
      <c r="A3" s="33" t="s">
        <v>30</v>
      </c>
      <c r="B3" s="151">
        <f>IF(ISERROR(B2/(B2+B1)*1000000),"",(B2/(B2+B1)*1000000))</f>
        <v>1000000</v>
      </c>
      <c r="C3" s="152"/>
      <c r="D3" s="57"/>
      <c r="E3" s="60"/>
      <c r="F3" s="27"/>
      <c r="G3" s="27"/>
      <c r="H3" s="157"/>
      <c r="I3" s="157"/>
      <c r="J3" s="157"/>
      <c r="K3" s="114"/>
      <c r="L3" s="4">
        <f t="shared" ref="L3:U3" si="1">SUM(L6:L80)</f>
        <v>0</v>
      </c>
      <c r="M3" s="4">
        <f t="shared" si="1"/>
        <v>38</v>
      </c>
      <c r="N3" s="4">
        <f t="shared" si="1"/>
        <v>0</v>
      </c>
      <c r="O3" s="4">
        <f t="shared" si="1"/>
        <v>0</v>
      </c>
      <c r="P3" s="4">
        <f t="shared" si="1"/>
        <v>0</v>
      </c>
      <c r="Q3" s="4">
        <f t="shared" si="1"/>
        <v>0</v>
      </c>
      <c r="R3" s="4">
        <f t="shared" si="1"/>
        <v>0</v>
      </c>
      <c r="S3" s="4">
        <f t="shared" si="1"/>
        <v>0</v>
      </c>
      <c r="T3" s="4">
        <f t="shared" si="1"/>
        <v>0</v>
      </c>
      <c r="U3" s="49">
        <f t="shared" si="1"/>
        <v>38</v>
      </c>
      <c r="V3" s="146"/>
    </row>
    <row r="4" spans="1:22" ht="43.5" customHeight="1" x14ac:dyDescent="0.3">
      <c r="A4" s="160" t="str">
        <f>V81</f>
        <v>OK</v>
      </c>
      <c r="B4" s="160"/>
      <c r="C4" s="160"/>
      <c r="D4" s="161"/>
      <c r="E4" s="162" t="s">
        <v>15</v>
      </c>
      <c r="F4" s="162"/>
      <c r="G4" s="162"/>
      <c r="H4" s="163" t="s">
        <v>16</v>
      </c>
      <c r="I4" s="163"/>
      <c r="J4" s="163"/>
      <c r="K4" s="113"/>
      <c r="L4" s="164" t="s">
        <v>10</v>
      </c>
      <c r="M4" s="142" t="s">
        <v>17</v>
      </c>
      <c r="N4" s="142" t="s">
        <v>11</v>
      </c>
      <c r="O4" s="138" t="s">
        <v>12</v>
      </c>
      <c r="P4" s="142" t="s">
        <v>13</v>
      </c>
      <c r="Q4" s="138" t="s">
        <v>14</v>
      </c>
      <c r="R4" s="140" t="s">
        <v>20</v>
      </c>
      <c r="S4" s="142" t="s">
        <v>21</v>
      </c>
      <c r="T4" s="143" t="s">
        <v>22</v>
      </c>
      <c r="U4" s="147" t="s">
        <v>18</v>
      </c>
      <c r="V4" s="149" t="s">
        <v>19</v>
      </c>
    </row>
    <row r="5" spans="1:22" ht="33.75" thickBot="1" x14ac:dyDescent="0.35">
      <c r="A5" s="29" t="s">
        <v>3</v>
      </c>
      <c r="B5" s="30" t="s">
        <v>32</v>
      </c>
      <c r="C5" s="29" t="s">
        <v>4</v>
      </c>
      <c r="D5" s="29" t="s">
        <v>31</v>
      </c>
      <c r="E5" s="29" t="s">
        <v>5</v>
      </c>
      <c r="F5" s="29" t="s">
        <v>6</v>
      </c>
      <c r="G5" s="30" t="s">
        <v>7</v>
      </c>
      <c r="H5" s="31" t="s">
        <v>0</v>
      </c>
      <c r="I5" s="31" t="s">
        <v>2</v>
      </c>
      <c r="J5" s="31" t="s">
        <v>8</v>
      </c>
      <c r="K5" s="28"/>
      <c r="L5" s="165"/>
      <c r="M5" s="139"/>
      <c r="N5" s="139"/>
      <c r="O5" s="139"/>
      <c r="P5" s="139"/>
      <c r="Q5" s="139"/>
      <c r="R5" s="141"/>
      <c r="S5" s="139"/>
      <c r="T5" s="144"/>
      <c r="U5" s="148"/>
      <c r="V5" s="150"/>
    </row>
    <row r="6" spans="1:22" hidden="1" x14ac:dyDescent="0.3">
      <c r="A6" s="61" t="s">
        <v>33</v>
      </c>
      <c r="B6" s="61">
        <v>8092</v>
      </c>
      <c r="C6" s="6" t="s">
        <v>45</v>
      </c>
      <c r="D6" s="7"/>
      <c r="E6" s="7"/>
      <c r="F6" s="7"/>
      <c r="G6" s="8"/>
      <c r="H6" s="9"/>
      <c r="I6" s="10">
        <f>SUM(L6:T6)</f>
        <v>0</v>
      </c>
      <c r="J6" s="10"/>
      <c r="K6" s="11"/>
      <c r="L6" s="10"/>
      <c r="M6" s="10"/>
      <c r="N6" s="10"/>
      <c r="O6" s="10"/>
      <c r="P6" s="10"/>
      <c r="Q6" s="10"/>
      <c r="R6" s="34"/>
      <c r="S6" s="42"/>
      <c r="T6" s="45"/>
      <c r="U6" s="50">
        <f t="shared" ref="U6:U36" si="2">SUM(L6:T6)</f>
        <v>0</v>
      </c>
      <c r="V6" s="26" t="str">
        <f t="shared" ref="V6:V67" si="3">IF(U6=I6,"OK","NG")</f>
        <v>OK</v>
      </c>
    </row>
    <row r="7" spans="1:22" hidden="1" x14ac:dyDescent="0.3">
      <c r="A7" s="62" t="s">
        <v>95</v>
      </c>
      <c r="B7" s="62">
        <v>8088</v>
      </c>
      <c r="C7" s="12" t="s">
        <v>46</v>
      </c>
      <c r="D7" s="53"/>
      <c r="E7" s="13"/>
      <c r="F7" s="13"/>
      <c r="G7" s="14"/>
      <c r="H7" s="15"/>
      <c r="I7" s="16">
        <f t="shared" ref="I7:I70" si="4">SUM(L7:T7)</f>
        <v>0</v>
      </c>
      <c r="J7" s="16"/>
      <c r="K7" s="11"/>
      <c r="L7" s="16"/>
      <c r="M7" s="16"/>
      <c r="N7" s="16"/>
      <c r="O7" s="16"/>
      <c r="P7" s="16"/>
      <c r="Q7" s="16"/>
      <c r="R7" s="35"/>
      <c r="S7" s="43"/>
      <c r="T7" s="46"/>
      <c r="U7" s="51">
        <f t="shared" si="2"/>
        <v>0</v>
      </c>
      <c r="V7" s="17" t="str">
        <f t="shared" si="3"/>
        <v>OK</v>
      </c>
    </row>
    <row r="8" spans="1:22" hidden="1" x14ac:dyDescent="0.3">
      <c r="A8" s="63" t="s">
        <v>96</v>
      </c>
      <c r="B8" s="63">
        <v>8081</v>
      </c>
      <c r="C8" s="18" t="s">
        <v>46</v>
      </c>
      <c r="D8" s="19"/>
      <c r="E8" s="19"/>
      <c r="F8" s="19"/>
      <c r="G8" s="20"/>
      <c r="H8" s="21"/>
      <c r="I8" s="22">
        <f t="shared" si="4"/>
        <v>0</v>
      </c>
      <c r="J8" s="22"/>
      <c r="K8" s="11"/>
      <c r="L8" s="22"/>
      <c r="M8" s="22"/>
      <c r="N8" s="22"/>
      <c r="O8" s="22"/>
      <c r="P8" s="22"/>
      <c r="Q8" s="22"/>
      <c r="R8" s="36"/>
      <c r="S8" s="44"/>
      <c r="T8" s="47"/>
      <c r="U8" s="52">
        <f t="shared" si="2"/>
        <v>0</v>
      </c>
      <c r="V8" s="23" t="str">
        <f t="shared" si="3"/>
        <v>OK</v>
      </c>
    </row>
    <row r="9" spans="1:22" hidden="1" x14ac:dyDescent="0.3">
      <c r="A9" s="62" t="s">
        <v>97</v>
      </c>
      <c r="B9" s="62">
        <v>18524</v>
      </c>
      <c r="C9" s="12" t="s">
        <v>46</v>
      </c>
      <c r="D9" s="53"/>
      <c r="E9" s="13"/>
      <c r="F9" s="13"/>
      <c r="G9" s="14"/>
      <c r="H9" s="15"/>
      <c r="I9" s="16">
        <f t="shared" si="4"/>
        <v>0</v>
      </c>
      <c r="J9" s="16"/>
      <c r="K9" s="11"/>
      <c r="L9" s="16"/>
      <c r="M9" s="16"/>
      <c r="N9" s="16"/>
      <c r="O9" s="16"/>
      <c r="P9" s="16"/>
      <c r="Q9" s="16"/>
      <c r="R9" s="35"/>
      <c r="S9" s="43"/>
      <c r="T9" s="46"/>
      <c r="U9" s="51">
        <f t="shared" si="2"/>
        <v>0</v>
      </c>
      <c r="V9" s="17" t="str">
        <f t="shared" si="3"/>
        <v>OK</v>
      </c>
    </row>
    <row r="10" spans="1:22" hidden="1" x14ac:dyDescent="0.3">
      <c r="A10" s="63" t="s">
        <v>34</v>
      </c>
      <c r="B10" s="63">
        <v>6234</v>
      </c>
      <c r="C10" s="18" t="s">
        <v>47</v>
      </c>
      <c r="D10" s="19"/>
      <c r="E10" s="19"/>
      <c r="F10" s="19"/>
      <c r="G10" s="20"/>
      <c r="H10" s="21"/>
      <c r="I10" s="22">
        <f t="shared" si="4"/>
        <v>0</v>
      </c>
      <c r="J10" s="22"/>
      <c r="K10" s="11"/>
      <c r="L10" s="22"/>
      <c r="M10" s="22"/>
      <c r="N10" s="22"/>
      <c r="O10" s="22"/>
      <c r="P10" s="22"/>
      <c r="Q10" s="22"/>
      <c r="R10" s="36"/>
      <c r="S10" s="44"/>
      <c r="T10" s="47"/>
      <c r="U10" s="52">
        <f t="shared" si="2"/>
        <v>0</v>
      </c>
      <c r="V10" s="23" t="str">
        <f t="shared" si="3"/>
        <v>OK</v>
      </c>
    </row>
    <row r="11" spans="1:22" hidden="1" x14ac:dyDescent="0.3">
      <c r="A11" s="62" t="s">
        <v>80</v>
      </c>
      <c r="B11" s="62">
        <v>14830</v>
      </c>
      <c r="C11" s="12" t="s">
        <v>47</v>
      </c>
      <c r="D11" s="53"/>
      <c r="E11" s="13"/>
      <c r="F11" s="13"/>
      <c r="G11" s="14"/>
      <c r="H11" s="15"/>
      <c r="I11" s="16">
        <f t="shared" si="4"/>
        <v>0</v>
      </c>
      <c r="J11" s="16"/>
      <c r="K11" s="11"/>
      <c r="L11" s="16"/>
      <c r="M11" s="16"/>
      <c r="N11" s="16"/>
      <c r="O11" s="16"/>
      <c r="P11" s="16"/>
      <c r="Q11" s="16"/>
      <c r="R11" s="35"/>
      <c r="S11" s="43"/>
      <c r="T11" s="46"/>
      <c r="U11" s="51">
        <f t="shared" si="2"/>
        <v>0</v>
      </c>
      <c r="V11" s="17" t="str">
        <f t="shared" si="3"/>
        <v>OK</v>
      </c>
    </row>
    <row r="12" spans="1:22" hidden="1" x14ac:dyDescent="0.3">
      <c r="A12" s="63" t="s">
        <v>35</v>
      </c>
      <c r="B12" s="63">
        <v>6004</v>
      </c>
      <c r="C12" s="18" t="s">
        <v>48</v>
      </c>
      <c r="D12" s="19"/>
      <c r="E12" s="19"/>
      <c r="F12" s="19"/>
      <c r="G12" s="20"/>
      <c r="H12" s="21"/>
      <c r="I12" s="22">
        <f t="shared" si="4"/>
        <v>0</v>
      </c>
      <c r="J12" s="22"/>
      <c r="K12" s="11"/>
      <c r="L12" s="22"/>
      <c r="M12" s="22"/>
      <c r="N12" s="22"/>
      <c r="O12" s="22"/>
      <c r="P12" s="22"/>
      <c r="Q12" s="22"/>
      <c r="R12" s="36"/>
      <c r="S12" s="44"/>
      <c r="T12" s="47"/>
      <c r="U12" s="52">
        <f t="shared" si="2"/>
        <v>0</v>
      </c>
      <c r="V12" s="23" t="str">
        <f t="shared" si="3"/>
        <v>OK</v>
      </c>
    </row>
    <row r="13" spans="1:22" hidden="1" x14ac:dyDescent="0.3">
      <c r="A13" s="62" t="s">
        <v>36</v>
      </c>
      <c r="B13" s="62">
        <v>11857</v>
      </c>
      <c r="C13" s="12" t="s">
        <v>48</v>
      </c>
      <c r="D13" s="53"/>
      <c r="E13" s="13"/>
      <c r="F13" s="13"/>
      <c r="G13" s="14"/>
      <c r="H13" s="15"/>
      <c r="I13" s="16">
        <f t="shared" si="4"/>
        <v>0</v>
      </c>
      <c r="J13" s="16"/>
      <c r="K13" s="11"/>
      <c r="L13" s="16"/>
      <c r="M13" s="16"/>
      <c r="N13" s="16"/>
      <c r="O13" s="16"/>
      <c r="P13" s="16"/>
      <c r="Q13" s="16"/>
      <c r="R13" s="35"/>
      <c r="S13" s="43"/>
      <c r="T13" s="46"/>
      <c r="U13" s="51">
        <f t="shared" si="2"/>
        <v>0</v>
      </c>
      <c r="V13" s="17" t="str">
        <f t="shared" si="3"/>
        <v>OK</v>
      </c>
    </row>
    <row r="14" spans="1:22" hidden="1" x14ac:dyDescent="0.3">
      <c r="A14" s="63" t="s">
        <v>82</v>
      </c>
      <c r="B14" s="63">
        <v>15004</v>
      </c>
      <c r="C14" s="18" t="s">
        <v>48</v>
      </c>
      <c r="D14" s="19"/>
      <c r="E14" s="19"/>
      <c r="F14" s="19"/>
      <c r="G14" s="20"/>
      <c r="H14" s="21"/>
      <c r="I14" s="22">
        <f t="shared" si="4"/>
        <v>0</v>
      </c>
      <c r="J14" s="22"/>
      <c r="K14" s="11"/>
      <c r="L14" s="22"/>
      <c r="M14" s="22"/>
      <c r="N14" s="22"/>
      <c r="O14" s="22"/>
      <c r="P14" s="22"/>
      <c r="Q14" s="22"/>
      <c r="R14" s="36"/>
      <c r="S14" s="44"/>
      <c r="T14" s="47"/>
      <c r="U14" s="52">
        <f t="shared" si="2"/>
        <v>0</v>
      </c>
      <c r="V14" s="23" t="str">
        <f t="shared" si="3"/>
        <v>OK</v>
      </c>
    </row>
    <row r="15" spans="1:22" hidden="1" x14ac:dyDescent="0.3">
      <c r="A15" s="62" t="s">
        <v>86</v>
      </c>
      <c r="B15" s="62">
        <v>15174</v>
      </c>
      <c r="C15" s="12" t="s">
        <v>45</v>
      </c>
      <c r="D15" s="53"/>
      <c r="E15" s="13"/>
      <c r="F15" s="13"/>
      <c r="G15" s="14"/>
      <c r="H15" s="15"/>
      <c r="I15" s="16">
        <f t="shared" si="4"/>
        <v>0</v>
      </c>
      <c r="J15" s="16"/>
      <c r="K15" s="11"/>
      <c r="L15" s="16"/>
      <c r="M15" s="16"/>
      <c r="N15" s="16"/>
      <c r="O15" s="16"/>
      <c r="P15" s="16"/>
      <c r="Q15" s="16"/>
      <c r="R15" s="35"/>
      <c r="S15" s="43"/>
      <c r="T15" s="46"/>
      <c r="U15" s="51">
        <f t="shared" si="2"/>
        <v>0</v>
      </c>
      <c r="V15" s="17" t="str">
        <f t="shared" si="3"/>
        <v>OK</v>
      </c>
    </row>
    <row r="16" spans="1:22" hidden="1" x14ac:dyDescent="0.3">
      <c r="A16" s="63" t="s">
        <v>87</v>
      </c>
      <c r="B16" s="63">
        <v>15520</v>
      </c>
      <c r="C16" s="18" t="s">
        <v>47</v>
      </c>
      <c r="D16" s="19"/>
      <c r="E16" s="19"/>
      <c r="F16" s="19"/>
      <c r="G16" s="20"/>
      <c r="H16" s="21"/>
      <c r="I16" s="22">
        <f t="shared" si="4"/>
        <v>0</v>
      </c>
      <c r="J16" s="22"/>
      <c r="K16" s="11"/>
      <c r="L16" s="22"/>
      <c r="M16" s="22"/>
      <c r="N16" s="22"/>
      <c r="O16" s="22"/>
      <c r="P16" s="22"/>
      <c r="Q16" s="22"/>
      <c r="R16" s="36"/>
      <c r="S16" s="44"/>
      <c r="T16" s="47"/>
      <c r="U16" s="52">
        <f t="shared" si="2"/>
        <v>0</v>
      </c>
      <c r="V16" s="23" t="str">
        <f t="shared" si="3"/>
        <v>OK</v>
      </c>
    </row>
    <row r="17" spans="1:22" hidden="1" x14ac:dyDescent="0.3">
      <c r="A17" s="62" t="s">
        <v>85</v>
      </c>
      <c r="B17" s="62">
        <v>14989</v>
      </c>
      <c r="C17" s="12" t="s">
        <v>45</v>
      </c>
      <c r="D17" s="53"/>
      <c r="E17" s="13"/>
      <c r="F17" s="13"/>
      <c r="G17" s="14"/>
      <c r="H17" s="15"/>
      <c r="I17" s="16">
        <f t="shared" si="4"/>
        <v>0</v>
      </c>
      <c r="J17" s="16"/>
      <c r="K17" s="11"/>
      <c r="L17" s="16"/>
      <c r="M17" s="16"/>
      <c r="N17" s="16"/>
      <c r="O17" s="16"/>
      <c r="P17" s="16"/>
      <c r="Q17" s="16"/>
      <c r="R17" s="35"/>
      <c r="S17" s="43"/>
      <c r="T17" s="46"/>
      <c r="U17" s="51">
        <f t="shared" si="2"/>
        <v>0</v>
      </c>
      <c r="V17" s="17" t="str">
        <f t="shared" si="3"/>
        <v>OK</v>
      </c>
    </row>
    <row r="18" spans="1:22" hidden="1" x14ac:dyDescent="0.3">
      <c r="A18" s="63" t="s">
        <v>84</v>
      </c>
      <c r="B18" s="63">
        <v>14984</v>
      </c>
      <c r="C18" s="18" t="s">
        <v>46</v>
      </c>
      <c r="D18" s="19"/>
      <c r="E18" s="19"/>
      <c r="F18" s="19"/>
      <c r="G18" s="20"/>
      <c r="H18" s="21"/>
      <c r="I18" s="22">
        <f t="shared" si="4"/>
        <v>0</v>
      </c>
      <c r="J18" s="22"/>
      <c r="K18" s="11"/>
      <c r="L18" s="22"/>
      <c r="M18" s="22"/>
      <c r="N18" s="22"/>
      <c r="O18" s="22"/>
      <c r="P18" s="22"/>
      <c r="Q18" s="22"/>
      <c r="R18" s="36"/>
      <c r="S18" s="44"/>
      <c r="T18" s="47"/>
      <c r="U18" s="52">
        <f t="shared" si="2"/>
        <v>0</v>
      </c>
      <c r="V18" s="23" t="str">
        <f t="shared" si="3"/>
        <v>OK</v>
      </c>
    </row>
    <row r="19" spans="1:22" hidden="1" x14ac:dyDescent="0.3">
      <c r="A19" s="62" t="s">
        <v>88</v>
      </c>
      <c r="B19" s="62">
        <v>16270</v>
      </c>
      <c r="C19" s="12" t="s">
        <v>89</v>
      </c>
      <c r="D19" s="53"/>
      <c r="E19" s="13"/>
      <c r="F19" s="13"/>
      <c r="G19" s="14"/>
      <c r="H19" s="15"/>
      <c r="I19" s="16">
        <f t="shared" si="4"/>
        <v>0</v>
      </c>
      <c r="J19" s="16"/>
      <c r="K19" s="11"/>
      <c r="L19" s="16"/>
      <c r="M19" s="16"/>
      <c r="N19" s="16"/>
      <c r="O19" s="16"/>
      <c r="P19" s="16"/>
      <c r="Q19" s="16"/>
      <c r="R19" s="35"/>
      <c r="S19" s="43"/>
      <c r="T19" s="46"/>
      <c r="U19" s="51">
        <f t="shared" si="2"/>
        <v>0</v>
      </c>
      <c r="V19" s="17" t="str">
        <f t="shared" si="3"/>
        <v>OK</v>
      </c>
    </row>
    <row r="20" spans="1:22" hidden="1" x14ac:dyDescent="0.3">
      <c r="A20" s="63" t="s">
        <v>98</v>
      </c>
      <c r="B20" s="63">
        <v>19060</v>
      </c>
      <c r="C20" s="18" t="s">
        <v>47</v>
      </c>
      <c r="D20" s="19"/>
      <c r="E20" s="19"/>
      <c r="F20" s="19"/>
      <c r="G20" s="20"/>
      <c r="H20" s="21"/>
      <c r="I20" s="22">
        <f t="shared" si="4"/>
        <v>0</v>
      </c>
      <c r="J20" s="22"/>
      <c r="K20" s="11"/>
      <c r="L20" s="22"/>
      <c r="M20" s="22"/>
      <c r="N20" s="22"/>
      <c r="O20" s="22"/>
      <c r="P20" s="22"/>
      <c r="Q20" s="22"/>
      <c r="R20" s="36"/>
      <c r="S20" s="44"/>
      <c r="T20" s="47"/>
      <c r="U20" s="52">
        <f t="shared" si="2"/>
        <v>0</v>
      </c>
      <c r="V20" s="23" t="str">
        <f t="shared" si="3"/>
        <v>OK</v>
      </c>
    </row>
    <row r="21" spans="1:22" hidden="1" x14ac:dyDescent="0.3">
      <c r="A21" s="62" t="s">
        <v>99</v>
      </c>
      <c r="B21" s="62">
        <v>18828</v>
      </c>
      <c r="C21" s="12" t="s">
        <v>94</v>
      </c>
      <c r="D21" s="53"/>
      <c r="E21" s="13"/>
      <c r="F21" s="13"/>
      <c r="G21" s="14"/>
      <c r="H21" s="15"/>
      <c r="I21" s="16">
        <f t="shared" si="4"/>
        <v>0</v>
      </c>
      <c r="J21" s="16"/>
      <c r="K21" s="11"/>
      <c r="L21" s="16"/>
      <c r="M21" s="16"/>
      <c r="N21" s="16"/>
      <c r="O21" s="16"/>
      <c r="P21" s="16"/>
      <c r="Q21" s="16"/>
      <c r="R21" s="35"/>
      <c r="S21" s="43"/>
      <c r="T21" s="46"/>
      <c r="U21" s="51">
        <f t="shared" si="2"/>
        <v>0</v>
      </c>
      <c r="V21" s="17" t="str">
        <f t="shared" si="3"/>
        <v>OK</v>
      </c>
    </row>
    <row r="22" spans="1:22" hidden="1" x14ac:dyDescent="0.3">
      <c r="A22" s="63" t="s">
        <v>23</v>
      </c>
      <c r="B22" s="63">
        <v>5695</v>
      </c>
      <c r="C22" s="18" t="s">
        <v>49</v>
      </c>
      <c r="D22" s="19"/>
      <c r="E22" s="19"/>
      <c r="F22" s="19"/>
      <c r="G22" s="20"/>
      <c r="H22" s="21"/>
      <c r="I22" s="22">
        <f t="shared" si="4"/>
        <v>0</v>
      </c>
      <c r="J22" s="22"/>
      <c r="K22" s="11"/>
      <c r="L22" s="22"/>
      <c r="M22" s="22"/>
      <c r="N22" s="22"/>
      <c r="O22" s="22"/>
      <c r="P22" s="22"/>
      <c r="Q22" s="22"/>
      <c r="R22" s="36"/>
      <c r="S22" s="44"/>
      <c r="T22" s="47"/>
      <c r="U22" s="52">
        <f t="shared" si="2"/>
        <v>0</v>
      </c>
      <c r="V22" s="23" t="str">
        <f t="shared" si="3"/>
        <v>OK</v>
      </c>
    </row>
    <row r="23" spans="1:22" hidden="1" x14ac:dyDescent="0.3">
      <c r="A23" s="62" t="s">
        <v>24</v>
      </c>
      <c r="B23" s="62">
        <v>5691</v>
      </c>
      <c r="C23" s="12" t="s">
        <v>50</v>
      </c>
      <c r="D23" s="53"/>
      <c r="E23" s="13"/>
      <c r="F23" s="13"/>
      <c r="G23" s="14"/>
      <c r="H23" s="15"/>
      <c r="I23" s="16">
        <f t="shared" si="4"/>
        <v>0</v>
      </c>
      <c r="J23" s="16"/>
      <c r="K23" s="11"/>
      <c r="L23" s="16"/>
      <c r="M23" s="16"/>
      <c r="N23" s="16"/>
      <c r="O23" s="16"/>
      <c r="P23" s="16"/>
      <c r="Q23" s="16"/>
      <c r="R23" s="35"/>
      <c r="S23" s="43"/>
      <c r="T23" s="46"/>
      <c r="U23" s="51">
        <f t="shared" si="2"/>
        <v>0</v>
      </c>
      <c r="V23" s="17" t="str">
        <f t="shared" si="3"/>
        <v>OK</v>
      </c>
    </row>
    <row r="24" spans="1:22" hidden="1" x14ac:dyDescent="0.3">
      <c r="A24" s="63" t="s">
        <v>37</v>
      </c>
      <c r="B24" s="63">
        <v>5687</v>
      </c>
      <c r="C24" s="18" t="s">
        <v>51</v>
      </c>
      <c r="D24" s="19"/>
      <c r="E24" s="19"/>
      <c r="F24" s="19"/>
      <c r="G24" s="20"/>
      <c r="H24" s="21"/>
      <c r="I24" s="22">
        <f t="shared" si="4"/>
        <v>0</v>
      </c>
      <c r="J24" s="22"/>
      <c r="K24" s="11"/>
      <c r="L24" s="22"/>
      <c r="M24" s="22"/>
      <c r="N24" s="22"/>
      <c r="O24" s="22"/>
      <c r="P24" s="22"/>
      <c r="Q24" s="22"/>
      <c r="R24" s="36"/>
      <c r="S24" s="44"/>
      <c r="T24" s="47"/>
      <c r="U24" s="52">
        <f t="shared" si="2"/>
        <v>0</v>
      </c>
      <c r="V24" s="23" t="str">
        <f t="shared" si="3"/>
        <v>OK</v>
      </c>
    </row>
    <row r="25" spans="1:22" hidden="1" x14ac:dyDescent="0.3">
      <c r="A25" s="62" t="s">
        <v>38</v>
      </c>
      <c r="B25" s="62">
        <v>5683</v>
      </c>
      <c r="C25" s="12" t="s">
        <v>51</v>
      </c>
      <c r="D25" s="53"/>
      <c r="E25" s="13"/>
      <c r="F25" s="13"/>
      <c r="G25" s="14"/>
      <c r="H25" s="15"/>
      <c r="I25" s="16">
        <f t="shared" si="4"/>
        <v>0</v>
      </c>
      <c r="J25" s="16"/>
      <c r="K25" s="11"/>
      <c r="L25" s="16"/>
      <c r="M25" s="16"/>
      <c r="N25" s="16"/>
      <c r="O25" s="16"/>
      <c r="P25" s="16"/>
      <c r="Q25" s="16"/>
      <c r="R25" s="35"/>
      <c r="S25" s="43"/>
      <c r="T25" s="46"/>
      <c r="U25" s="51">
        <f t="shared" si="2"/>
        <v>0</v>
      </c>
      <c r="V25" s="17" t="str">
        <f t="shared" si="3"/>
        <v>OK</v>
      </c>
    </row>
    <row r="26" spans="1:22" hidden="1" x14ac:dyDescent="0.3">
      <c r="A26" s="63" t="s">
        <v>25</v>
      </c>
      <c r="B26" s="63">
        <v>5679</v>
      </c>
      <c r="C26" s="18" t="s">
        <v>52</v>
      </c>
      <c r="D26" s="19"/>
      <c r="E26" s="19"/>
      <c r="F26" s="19"/>
      <c r="G26" s="20"/>
      <c r="H26" s="21"/>
      <c r="I26" s="22">
        <f t="shared" si="4"/>
        <v>0</v>
      </c>
      <c r="J26" s="22"/>
      <c r="K26" s="11"/>
      <c r="L26" s="22"/>
      <c r="M26" s="22"/>
      <c r="N26" s="22"/>
      <c r="O26" s="22"/>
      <c r="P26" s="22"/>
      <c r="Q26" s="22"/>
      <c r="R26" s="36"/>
      <c r="S26" s="44"/>
      <c r="T26" s="47"/>
      <c r="U26" s="52">
        <f t="shared" si="2"/>
        <v>0</v>
      </c>
      <c r="V26" s="23" t="str">
        <f t="shared" si="3"/>
        <v>OK</v>
      </c>
    </row>
    <row r="27" spans="1:22" x14ac:dyDescent="0.3">
      <c r="A27" s="62" t="s">
        <v>39</v>
      </c>
      <c r="B27" s="62">
        <v>5675</v>
      </c>
      <c r="C27" s="12" t="s">
        <v>53</v>
      </c>
      <c r="D27" s="53"/>
      <c r="E27" s="13"/>
      <c r="F27" s="13"/>
      <c r="G27" s="14"/>
      <c r="H27" s="15"/>
      <c r="I27" s="16">
        <f t="shared" si="4"/>
        <v>5</v>
      </c>
      <c r="J27" s="16"/>
      <c r="K27" s="11"/>
      <c r="L27" s="16"/>
      <c r="M27" s="16">
        <v>5</v>
      </c>
      <c r="N27" s="16"/>
      <c r="O27" s="16"/>
      <c r="P27" s="16"/>
      <c r="Q27" s="16"/>
      <c r="R27" s="35"/>
      <c r="S27" s="43"/>
      <c r="T27" s="46"/>
      <c r="U27" s="51">
        <f t="shared" si="2"/>
        <v>5</v>
      </c>
      <c r="V27" s="17" t="str">
        <f t="shared" si="3"/>
        <v>OK</v>
      </c>
    </row>
    <row r="28" spans="1:22" hidden="1" x14ac:dyDescent="0.3">
      <c r="A28" s="63" t="s">
        <v>26</v>
      </c>
      <c r="B28" s="63">
        <v>5671</v>
      </c>
      <c r="C28" s="18" t="s">
        <v>49</v>
      </c>
      <c r="D28" s="19"/>
      <c r="E28" s="19"/>
      <c r="F28" s="19"/>
      <c r="G28" s="20"/>
      <c r="H28" s="21"/>
      <c r="I28" s="22">
        <f t="shared" si="4"/>
        <v>0</v>
      </c>
      <c r="J28" s="22"/>
      <c r="K28" s="11"/>
      <c r="L28" s="22"/>
      <c r="M28" s="22"/>
      <c r="N28" s="22"/>
      <c r="O28" s="22"/>
      <c r="P28" s="22"/>
      <c r="Q28" s="22"/>
      <c r="R28" s="36"/>
      <c r="S28" s="44"/>
      <c r="T28" s="47"/>
      <c r="U28" s="52">
        <f t="shared" si="2"/>
        <v>0</v>
      </c>
      <c r="V28" s="23" t="str">
        <f t="shared" si="3"/>
        <v>OK</v>
      </c>
    </row>
    <row r="29" spans="1:22" hidden="1" x14ac:dyDescent="0.3">
      <c r="A29" s="62" t="s">
        <v>40</v>
      </c>
      <c r="B29" s="62">
        <v>5667</v>
      </c>
      <c r="C29" s="12" t="s">
        <v>50</v>
      </c>
      <c r="D29" s="53"/>
      <c r="E29" s="13"/>
      <c r="F29" s="13"/>
      <c r="G29" s="14"/>
      <c r="H29" s="15"/>
      <c r="I29" s="16">
        <f t="shared" si="4"/>
        <v>0</v>
      </c>
      <c r="J29" s="16"/>
      <c r="K29" s="11"/>
      <c r="L29" s="16"/>
      <c r="M29" s="16"/>
      <c r="N29" s="16"/>
      <c r="O29" s="16"/>
      <c r="P29" s="16"/>
      <c r="Q29" s="16"/>
      <c r="R29" s="35"/>
      <c r="S29" s="43"/>
      <c r="T29" s="46"/>
      <c r="U29" s="51">
        <f t="shared" si="2"/>
        <v>0</v>
      </c>
      <c r="V29" s="17" t="str">
        <f t="shared" si="3"/>
        <v>OK</v>
      </c>
    </row>
    <row r="30" spans="1:22" hidden="1" x14ac:dyDescent="0.3">
      <c r="A30" s="63" t="s">
        <v>41</v>
      </c>
      <c r="B30" s="63">
        <v>5663</v>
      </c>
      <c r="C30" s="18" t="s">
        <v>51</v>
      </c>
      <c r="D30" s="19"/>
      <c r="E30" s="19"/>
      <c r="F30" s="19"/>
      <c r="G30" s="20"/>
      <c r="H30" s="21"/>
      <c r="I30" s="22">
        <f t="shared" si="4"/>
        <v>0</v>
      </c>
      <c r="J30" s="22"/>
      <c r="K30" s="11"/>
      <c r="L30" s="22"/>
      <c r="M30" s="22"/>
      <c r="N30" s="22"/>
      <c r="O30" s="22"/>
      <c r="P30" s="22"/>
      <c r="Q30" s="22"/>
      <c r="R30" s="36"/>
      <c r="S30" s="44"/>
      <c r="T30" s="47"/>
      <c r="U30" s="52">
        <f t="shared" si="2"/>
        <v>0</v>
      </c>
      <c r="V30" s="23" t="str">
        <f t="shared" si="3"/>
        <v>OK</v>
      </c>
    </row>
    <row r="31" spans="1:22" hidden="1" x14ac:dyDescent="0.3">
      <c r="A31" s="62" t="s">
        <v>42</v>
      </c>
      <c r="B31" s="62">
        <v>5659</v>
      </c>
      <c r="C31" s="12" t="s">
        <v>52</v>
      </c>
      <c r="D31" s="53"/>
      <c r="E31" s="13"/>
      <c r="F31" s="13"/>
      <c r="G31" s="14"/>
      <c r="H31" s="15"/>
      <c r="I31" s="16">
        <f t="shared" si="4"/>
        <v>0</v>
      </c>
      <c r="J31" s="16"/>
      <c r="K31" s="11"/>
      <c r="L31" s="16"/>
      <c r="M31" s="16"/>
      <c r="N31" s="16"/>
      <c r="O31" s="16"/>
      <c r="P31" s="16"/>
      <c r="Q31" s="16"/>
      <c r="R31" s="35"/>
      <c r="S31" s="43"/>
      <c r="T31" s="46"/>
      <c r="U31" s="51">
        <f t="shared" si="2"/>
        <v>0</v>
      </c>
      <c r="V31" s="17" t="str">
        <f t="shared" si="3"/>
        <v>OK</v>
      </c>
    </row>
    <row r="32" spans="1:22" hidden="1" x14ac:dyDescent="0.3">
      <c r="A32" s="63" t="s">
        <v>27</v>
      </c>
      <c r="B32" s="63">
        <v>5655</v>
      </c>
      <c r="C32" s="18" t="s">
        <v>54</v>
      </c>
      <c r="D32" s="19"/>
      <c r="E32" s="19"/>
      <c r="F32" s="19"/>
      <c r="G32" s="20"/>
      <c r="H32" s="21"/>
      <c r="I32" s="22">
        <f t="shared" si="4"/>
        <v>0</v>
      </c>
      <c r="J32" s="22"/>
      <c r="K32" s="11"/>
      <c r="L32" s="22"/>
      <c r="M32" s="22"/>
      <c r="N32" s="22"/>
      <c r="O32" s="22"/>
      <c r="P32" s="22"/>
      <c r="Q32" s="22"/>
      <c r="R32" s="36"/>
      <c r="S32" s="44"/>
      <c r="T32" s="47"/>
      <c r="U32" s="52">
        <f t="shared" si="2"/>
        <v>0</v>
      </c>
      <c r="V32" s="23" t="str">
        <f t="shared" si="3"/>
        <v>OK</v>
      </c>
    </row>
    <row r="33" spans="1:22" hidden="1" x14ac:dyDescent="0.3">
      <c r="A33" s="62" t="s">
        <v>70</v>
      </c>
      <c r="B33" s="62">
        <v>5651</v>
      </c>
      <c r="C33" s="12" t="s">
        <v>55</v>
      </c>
      <c r="D33" s="53"/>
      <c r="E33" s="13"/>
      <c r="F33" s="13"/>
      <c r="G33" s="14"/>
      <c r="H33" s="15"/>
      <c r="I33" s="16">
        <f t="shared" si="4"/>
        <v>0</v>
      </c>
      <c r="J33" s="16"/>
      <c r="K33" s="11"/>
      <c r="L33" s="16"/>
      <c r="M33" s="16"/>
      <c r="N33" s="16"/>
      <c r="O33" s="16"/>
      <c r="P33" s="16"/>
      <c r="Q33" s="16"/>
      <c r="R33" s="35"/>
      <c r="S33" s="43"/>
      <c r="T33" s="46"/>
      <c r="U33" s="51">
        <f t="shared" si="2"/>
        <v>0</v>
      </c>
      <c r="V33" s="17" t="str">
        <f t="shared" si="3"/>
        <v>OK</v>
      </c>
    </row>
    <row r="34" spans="1:22" hidden="1" x14ac:dyDescent="0.3">
      <c r="A34" s="63" t="s">
        <v>71</v>
      </c>
      <c r="B34" s="63">
        <v>5643</v>
      </c>
      <c r="C34" s="18" t="s">
        <v>56</v>
      </c>
      <c r="D34" s="19"/>
      <c r="E34" s="19"/>
      <c r="F34" s="19"/>
      <c r="G34" s="20"/>
      <c r="H34" s="21"/>
      <c r="I34" s="22">
        <f t="shared" si="4"/>
        <v>0</v>
      </c>
      <c r="J34" s="22"/>
      <c r="K34" s="11"/>
      <c r="L34" s="22"/>
      <c r="M34" s="22"/>
      <c r="N34" s="22"/>
      <c r="O34" s="22"/>
      <c r="P34" s="22"/>
      <c r="Q34" s="22"/>
      <c r="R34" s="36"/>
      <c r="S34" s="44"/>
      <c r="T34" s="47"/>
      <c r="U34" s="52">
        <f t="shared" si="2"/>
        <v>0</v>
      </c>
      <c r="V34" s="23" t="str">
        <f t="shared" si="3"/>
        <v>OK</v>
      </c>
    </row>
    <row r="35" spans="1:22" hidden="1" x14ac:dyDescent="0.3">
      <c r="A35" s="62" t="s">
        <v>57</v>
      </c>
      <c r="B35" s="62">
        <v>11350</v>
      </c>
      <c r="C35" s="12" t="s">
        <v>56</v>
      </c>
      <c r="D35" s="53"/>
      <c r="E35" s="13"/>
      <c r="F35" s="13"/>
      <c r="G35" s="14"/>
      <c r="H35" s="15"/>
      <c r="I35" s="16">
        <f t="shared" si="4"/>
        <v>0</v>
      </c>
      <c r="J35" s="16"/>
      <c r="K35" s="11"/>
      <c r="L35" s="16"/>
      <c r="M35" s="16"/>
      <c r="N35" s="16"/>
      <c r="O35" s="16"/>
      <c r="P35" s="16"/>
      <c r="Q35" s="16"/>
      <c r="R35" s="35"/>
      <c r="S35" s="43"/>
      <c r="T35" s="46"/>
      <c r="U35" s="51">
        <f t="shared" si="2"/>
        <v>0</v>
      </c>
      <c r="V35" s="17" t="str">
        <f t="shared" si="3"/>
        <v>OK</v>
      </c>
    </row>
    <row r="36" spans="1:22" hidden="1" x14ac:dyDescent="0.3">
      <c r="A36" s="63" t="s">
        <v>72</v>
      </c>
      <c r="B36" s="63">
        <v>5635</v>
      </c>
      <c r="C36" s="18" t="s">
        <v>55</v>
      </c>
      <c r="D36" s="19"/>
      <c r="E36" s="19"/>
      <c r="F36" s="19"/>
      <c r="G36" s="20"/>
      <c r="H36" s="21"/>
      <c r="I36" s="22">
        <f t="shared" si="4"/>
        <v>0</v>
      </c>
      <c r="J36" s="22"/>
      <c r="K36" s="11"/>
      <c r="L36" s="22"/>
      <c r="M36" s="22"/>
      <c r="N36" s="22"/>
      <c r="O36" s="22"/>
      <c r="P36" s="22"/>
      <c r="Q36" s="22"/>
      <c r="R36" s="36"/>
      <c r="S36" s="44"/>
      <c r="T36" s="47"/>
      <c r="U36" s="52">
        <f t="shared" si="2"/>
        <v>0</v>
      </c>
      <c r="V36" s="23" t="str">
        <f t="shared" si="3"/>
        <v>OK</v>
      </c>
    </row>
    <row r="37" spans="1:22" hidden="1" x14ac:dyDescent="0.3">
      <c r="A37" s="62" t="s">
        <v>58</v>
      </c>
      <c r="B37" s="62">
        <v>11349</v>
      </c>
      <c r="C37" s="12" t="s">
        <v>55</v>
      </c>
      <c r="D37" s="53"/>
      <c r="E37" s="13"/>
      <c r="F37" s="13"/>
      <c r="G37" s="14"/>
      <c r="H37" s="15"/>
      <c r="I37" s="16">
        <f t="shared" si="4"/>
        <v>0</v>
      </c>
      <c r="J37" s="16"/>
      <c r="K37" s="11"/>
      <c r="L37" s="16"/>
      <c r="M37" s="16"/>
      <c r="N37" s="16"/>
      <c r="O37" s="16"/>
      <c r="P37" s="16"/>
      <c r="Q37" s="16"/>
      <c r="R37" s="35"/>
      <c r="S37" s="43"/>
      <c r="T37" s="46"/>
      <c r="U37" s="51">
        <f t="shared" ref="U37:U55" si="5">SUM(L37:T37)</f>
        <v>0</v>
      </c>
      <c r="V37" s="17" t="str">
        <f t="shared" si="3"/>
        <v>OK</v>
      </c>
    </row>
    <row r="38" spans="1:22" hidden="1" x14ac:dyDescent="0.3">
      <c r="A38" s="63" t="s">
        <v>73</v>
      </c>
      <c r="B38" s="63">
        <v>5627</v>
      </c>
      <c r="C38" s="18" t="s">
        <v>56</v>
      </c>
      <c r="D38" s="19"/>
      <c r="E38" s="19"/>
      <c r="F38" s="19"/>
      <c r="G38" s="20"/>
      <c r="H38" s="21"/>
      <c r="I38" s="22">
        <f t="shared" si="4"/>
        <v>0</v>
      </c>
      <c r="J38" s="22"/>
      <c r="K38" s="11"/>
      <c r="L38" s="22"/>
      <c r="M38" s="22"/>
      <c r="N38" s="22"/>
      <c r="O38" s="22"/>
      <c r="P38" s="22"/>
      <c r="Q38" s="22"/>
      <c r="R38" s="36"/>
      <c r="S38" s="44"/>
      <c r="T38" s="47"/>
      <c r="U38" s="52">
        <f t="shared" si="5"/>
        <v>0</v>
      </c>
      <c r="V38" s="23" t="str">
        <f t="shared" si="3"/>
        <v>OK</v>
      </c>
    </row>
    <row r="39" spans="1:22" hidden="1" x14ac:dyDescent="0.3">
      <c r="A39" s="62" t="s">
        <v>59</v>
      </c>
      <c r="B39" s="62">
        <v>11348</v>
      </c>
      <c r="C39" s="12" t="s">
        <v>56</v>
      </c>
      <c r="D39" s="53"/>
      <c r="E39" s="13"/>
      <c r="F39" s="13"/>
      <c r="G39" s="14"/>
      <c r="H39" s="15"/>
      <c r="I39" s="16">
        <f t="shared" si="4"/>
        <v>0</v>
      </c>
      <c r="J39" s="16"/>
      <c r="K39" s="11"/>
      <c r="L39" s="16"/>
      <c r="M39" s="16"/>
      <c r="N39" s="16"/>
      <c r="O39" s="16"/>
      <c r="P39" s="16"/>
      <c r="Q39" s="16"/>
      <c r="R39" s="35"/>
      <c r="S39" s="43"/>
      <c r="T39" s="46"/>
      <c r="U39" s="51">
        <f t="shared" si="5"/>
        <v>0</v>
      </c>
      <c r="V39" s="17" t="str">
        <f t="shared" si="3"/>
        <v>OK</v>
      </c>
    </row>
    <row r="40" spans="1:22" hidden="1" x14ac:dyDescent="0.3">
      <c r="A40" s="63" t="s">
        <v>74</v>
      </c>
      <c r="B40" s="63">
        <v>5619</v>
      </c>
      <c r="C40" s="18" t="s">
        <v>60</v>
      </c>
      <c r="D40" s="19"/>
      <c r="E40" s="19"/>
      <c r="F40" s="19"/>
      <c r="G40" s="20"/>
      <c r="H40" s="21"/>
      <c r="I40" s="22">
        <f t="shared" si="4"/>
        <v>0</v>
      </c>
      <c r="J40" s="22"/>
      <c r="K40" s="11"/>
      <c r="L40" s="22"/>
      <c r="M40" s="22"/>
      <c r="N40" s="22"/>
      <c r="O40" s="22"/>
      <c r="P40" s="22"/>
      <c r="Q40" s="22"/>
      <c r="R40" s="36"/>
      <c r="S40" s="44"/>
      <c r="T40" s="47"/>
      <c r="U40" s="52">
        <f t="shared" si="5"/>
        <v>0</v>
      </c>
      <c r="V40" s="23" t="str">
        <f t="shared" si="3"/>
        <v>OK</v>
      </c>
    </row>
    <row r="41" spans="1:22" hidden="1" x14ac:dyDescent="0.3">
      <c r="A41" s="64" t="s">
        <v>61</v>
      </c>
      <c r="B41" s="62">
        <v>11347</v>
      </c>
      <c r="C41" s="12" t="s">
        <v>60</v>
      </c>
      <c r="D41" s="53"/>
      <c r="E41" s="13"/>
      <c r="F41" s="13"/>
      <c r="G41" s="14"/>
      <c r="H41" s="15"/>
      <c r="I41" s="16">
        <f t="shared" si="4"/>
        <v>0</v>
      </c>
      <c r="J41" s="16"/>
      <c r="K41" s="11"/>
      <c r="L41" s="16"/>
      <c r="M41" s="16"/>
      <c r="N41" s="16"/>
      <c r="O41" s="16"/>
      <c r="P41" s="16"/>
      <c r="Q41" s="16"/>
      <c r="R41" s="35"/>
      <c r="S41" s="43"/>
      <c r="T41" s="46"/>
      <c r="U41" s="51">
        <f t="shared" si="5"/>
        <v>0</v>
      </c>
      <c r="V41" s="17" t="str">
        <f t="shared" si="3"/>
        <v>OK</v>
      </c>
    </row>
    <row r="42" spans="1:22" hidden="1" x14ac:dyDescent="0.3">
      <c r="A42" s="54" t="s">
        <v>75</v>
      </c>
      <c r="B42" s="63">
        <v>5611</v>
      </c>
      <c r="C42" s="18" t="s">
        <v>62</v>
      </c>
      <c r="D42" s="19"/>
      <c r="E42" s="19"/>
      <c r="F42" s="19"/>
      <c r="G42" s="20"/>
      <c r="H42" s="21"/>
      <c r="I42" s="22">
        <f t="shared" si="4"/>
        <v>0</v>
      </c>
      <c r="J42" s="22"/>
      <c r="K42" s="11"/>
      <c r="L42" s="22"/>
      <c r="M42" s="22"/>
      <c r="N42" s="22"/>
      <c r="O42" s="22"/>
      <c r="P42" s="22"/>
      <c r="Q42" s="22"/>
      <c r="R42" s="36"/>
      <c r="S42" s="44"/>
      <c r="T42" s="47"/>
      <c r="U42" s="52">
        <f t="shared" si="5"/>
        <v>0</v>
      </c>
      <c r="V42" s="23" t="str">
        <f t="shared" si="3"/>
        <v>OK</v>
      </c>
    </row>
    <row r="43" spans="1:22" hidden="1" x14ac:dyDescent="0.3">
      <c r="A43" s="12" t="s">
        <v>63</v>
      </c>
      <c r="B43" s="62">
        <v>11336</v>
      </c>
      <c r="C43" s="12" t="s">
        <v>62</v>
      </c>
      <c r="D43" s="53"/>
      <c r="E43" s="13"/>
      <c r="F43" s="13"/>
      <c r="G43" s="14"/>
      <c r="H43" s="15"/>
      <c r="I43" s="16">
        <f t="shared" si="4"/>
        <v>0</v>
      </c>
      <c r="J43" s="16"/>
      <c r="K43" s="11"/>
      <c r="L43" s="16"/>
      <c r="M43" s="16"/>
      <c r="N43" s="16"/>
      <c r="O43" s="16"/>
      <c r="P43" s="16"/>
      <c r="Q43" s="16"/>
      <c r="R43" s="35"/>
      <c r="S43" s="43"/>
      <c r="T43" s="46"/>
      <c r="U43" s="51">
        <f t="shared" si="5"/>
        <v>0</v>
      </c>
      <c r="V43" s="17" t="str">
        <f t="shared" si="3"/>
        <v>OK</v>
      </c>
    </row>
    <row r="44" spans="1:22" hidden="1" x14ac:dyDescent="0.3">
      <c r="A44" s="54" t="s">
        <v>100</v>
      </c>
      <c r="B44" s="63">
        <v>14860</v>
      </c>
      <c r="C44" s="18" t="s">
        <v>56</v>
      </c>
      <c r="D44" s="19"/>
      <c r="E44" s="19"/>
      <c r="F44" s="19"/>
      <c r="G44" s="20"/>
      <c r="H44" s="21"/>
      <c r="I44" s="22">
        <f t="shared" si="4"/>
        <v>0</v>
      </c>
      <c r="J44" s="22"/>
      <c r="K44" s="11"/>
      <c r="L44" s="22"/>
      <c r="M44" s="22"/>
      <c r="N44" s="22"/>
      <c r="O44" s="22"/>
      <c r="P44" s="22"/>
      <c r="Q44" s="22"/>
      <c r="R44" s="36"/>
      <c r="S44" s="44"/>
      <c r="T44" s="47"/>
      <c r="U44" s="52">
        <f t="shared" si="5"/>
        <v>0</v>
      </c>
      <c r="V44" s="23" t="str">
        <f t="shared" si="3"/>
        <v>OK</v>
      </c>
    </row>
    <row r="45" spans="1:22" hidden="1" x14ac:dyDescent="0.3">
      <c r="A45" s="64" t="s">
        <v>83</v>
      </c>
      <c r="B45" s="62">
        <v>14861</v>
      </c>
      <c r="C45" s="12" t="s">
        <v>56</v>
      </c>
      <c r="D45" s="53"/>
      <c r="E45" s="13"/>
      <c r="F45" s="13"/>
      <c r="G45" s="14"/>
      <c r="H45" s="15"/>
      <c r="I45" s="16">
        <f t="shared" si="4"/>
        <v>0</v>
      </c>
      <c r="J45" s="16"/>
      <c r="K45" s="11"/>
      <c r="L45" s="16"/>
      <c r="M45" s="16"/>
      <c r="N45" s="16"/>
      <c r="O45" s="16"/>
      <c r="P45" s="16"/>
      <c r="Q45" s="16"/>
      <c r="R45" s="35"/>
      <c r="S45" s="43"/>
      <c r="T45" s="46"/>
      <c r="U45" s="51">
        <f t="shared" si="5"/>
        <v>0</v>
      </c>
      <c r="V45" s="17" t="str">
        <f t="shared" si="3"/>
        <v>OK</v>
      </c>
    </row>
    <row r="46" spans="1:22" hidden="1" x14ac:dyDescent="0.3">
      <c r="A46" s="54" t="s">
        <v>101</v>
      </c>
      <c r="B46" s="63">
        <v>15096</v>
      </c>
      <c r="C46" s="18" t="s">
        <v>56</v>
      </c>
      <c r="D46" s="19"/>
      <c r="E46" s="19"/>
      <c r="F46" s="19"/>
      <c r="G46" s="20"/>
      <c r="H46" s="21"/>
      <c r="I46" s="22">
        <f t="shared" si="4"/>
        <v>0</v>
      </c>
      <c r="J46" s="22"/>
      <c r="K46" s="11"/>
      <c r="L46" s="22"/>
      <c r="M46" s="22"/>
      <c r="N46" s="22"/>
      <c r="O46" s="22"/>
      <c r="P46" s="22"/>
      <c r="Q46" s="22"/>
      <c r="R46" s="36"/>
      <c r="S46" s="44"/>
      <c r="T46" s="47"/>
      <c r="U46" s="52">
        <f t="shared" si="5"/>
        <v>0</v>
      </c>
      <c r="V46" s="23" t="str">
        <f t="shared" si="3"/>
        <v>OK</v>
      </c>
    </row>
    <row r="47" spans="1:22" hidden="1" x14ac:dyDescent="0.3">
      <c r="A47" s="12" t="s">
        <v>81</v>
      </c>
      <c r="B47" s="62">
        <v>15097</v>
      </c>
      <c r="C47" s="12" t="s">
        <v>56</v>
      </c>
      <c r="D47" s="53"/>
      <c r="E47" s="13"/>
      <c r="F47" s="13"/>
      <c r="G47" s="14"/>
      <c r="H47" s="15"/>
      <c r="I47" s="16">
        <f t="shared" si="4"/>
        <v>0</v>
      </c>
      <c r="J47" s="16"/>
      <c r="K47" s="11"/>
      <c r="L47" s="16"/>
      <c r="M47" s="16"/>
      <c r="N47" s="16"/>
      <c r="O47" s="16"/>
      <c r="P47" s="16"/>
      <c r="Q47" s="16"/>
      <c r="R47" s="35"/>
      <c r="S47" s="43"/>
      <c r="T47" s="46"/>
      <c r="U47" s="51">
        <f t="shared" si="5"/>
        <v>0</v>
      </c>
      <c r="V47" s="17" t="str">
        <f t="shared" si="3"/>
        <v>OK</v>
      </c>
    </row>
    <row r="48" spans="1:22" hidden="1" x14ac:dyDescent="0.3">
      <c r="A48" s="54" t="s">
        <v>76</v>
      </c>
      <c r="B48" s="63">
        <v>5585</v>
      </c>
      <c r="C48" s="18" t="s">
        <v>64</v>
      </c>
      <c r="D48" s="19"/>
      <c r="E48" s="19"/>
      <c r="F48" s="19"/>
      <c r="G48" s="20"/>
      <c r="H48" s="21"/>
      <c r="I48" s="22">
        <f t="shared" si="4"/>
        <v>0</v>
      </c>
      <c r="J48" s="22"/>
      <c r="K48" s="11"/>
      <c r="L48" s="22"/>
      <c r="M48" s="22"/>
      <c r="N48" s="22"/>
      <c r="O48" s="22"/>
      <c r="P48" s="22"/>
      <c r="Q48" s="22"/>
      <c r="R48" s="36"/>
      <c r="S48" s="44"/>
      <c r="T48" s="47"/>
      <c r="U48" s="52">
        <f t="shared" si="5"/>
        <v>0</v>
      </c>
      <c r="V48" s="23" t="str">
        <f t="shared" si="3"/>
        <v>OK</v>
      </c>
    </row>
    <row r="49" spans="1:22" hidden="1" x14ac:dyDescent="0.3">
      <c r="A49" s="12" t="s">
        <v>65</v>
      </c>
      <c r="B49" s="62">
        <v>11351</v>
      </c>
      <c r="C49" s="12" t="s">
        <v>64</v>
      </c>
      <c r="D49" s="53"/>
      <c r="E49" s="13"/>
      <c r="F49" s="13"/>
      <c r="G49" s="14"/>
      <c r="H49" s="15"/>
      <c r="I49" s="16">
        <f t="shared" si="4"/>
        <v>0</v>
      </c>
      <c r="J49" s="16"/>
      <c r="K49" s="11"/>
      <c r="L49" s="16"/>
      <c r="M49" s="16"/>
      <c r="N49" s="16"/>
      <c r="O49" s="16"/>
      <c r="P49" s="16"/>
      <c r="Q49" s="16"/>
      <c r="R49" s="35"/>
      <c r="S49" s="43"/>
      <c r="T49" s="46"/>
      <c r="U49" s="51">
        <f t="shared" si="5"/>
        <v>0</v>
      </c>
      <c r="V49" s="17" t="str">
        <f t="shared" si="3"/>
        <v>OK</v>
      </c>
    </row>
    <row r="50" spans="1:22" hidden="1" x14ac:dyDescent="0.3">
      <c r="A50" s="54" t="s">
        <v>66</v>
      </c>
      <c r="B50" s="63">
        <v>11352</v>
      </c>
      <c r="C50" s="18" t="s">
        <v>64</v>
      </c>
      <c r="D50" s="19"/>
      <c r="E50" s="19"/>
      <c r="F50" s="19"/>
      <c r="G50" s="20"/>
      <c r="H50" s="21"/>
      <c r="I50" s="22">
        <f t="shared" si="4"/>
        <v>0</v>
      </c>
      <c r="J50" s="22"/>
      <c r="K50" s="11"/>
      <c r="L50" s="22"/>
      <c r="M50" s="22"/>
      <c r="N50" s="22"/>
      <c r="O50" s="22"/>
      <c r="P50" s="22"/>
      <c r="Q50" s="22"/>
      <c r="R50" s="36"/>
      <c r="S50" s="44"/>
      <c r="T50" s="47"/>
      <c r="U50" s="52">
        <f t="shared" si="5"/>
        <v>0</v>
      </c>
      <c r="V50" s="23" t="str">
        <f t="shared" si="3"/>
        <v>OK</v>
      </c>
    </row>
    <row r="51" spans="1:22" hidden="1" x14ac:dyDescent="0.3">
      <c r="A51" s="90" t="s">
        <v>102</v>
      </c>
      <c r="B51" s="76">
        <v>13515</v>
      </c>
      <c r="C51" s="70" t="s">
        <v>78</v>
      </c>
      <c r="D51" s="70"/>
      <c r="E51" s="70"/>
      <c r="F51" s="70"/>
      <c r="G51" s="91"/>
      <c r="H51" s="82"/>
      <c r="I51" s="82">
        <f t="shared" si="4"/>
        <v>0</v>
      </c>
      <c r="J51" s="74"/>
      <c r="K51" s="11"/>
      <c r="L51" s="16"/>
      <c r="M51" s="16"/>
      <c r="N51" s="16"/>
      <c r="O51" s="16"/>
      <c r="P51" s="16"/>
      <c r="Q51" s="16"/>
      <c r="R51" s="35"/>
      <c r="S51" s="43"/>
      <c r="T51" s="46"/>
      <c r="U51" s="75">
        <f t="shared" si="5"/>
        <v>0</v>
      </c>
      <c r="V51" s="93" t="str">
        <f t="shared" si="3"/>
        <v>OK</v>
      </c>
    </row>
    <row r="52" spans="1:22" hidden="1" x14ac:dyDescent="0.3">
      <c r="A52" s="54" t="s">
        <v>103</v>
      </c>
      <c r="B52" s="63">
        <v>13516</v>
      </c>
      <c r="C52" s="18" t="s">
        <v>78</v>
      </c>
      <c r="D52" s="18"/>
      <c r="E52" s="18"/>
      <c r="F52" s="18"/>
      <c r="G52" s="92"/>
      <c r="H52" s="22"/>
      <c r="I52" s="22">
        <f t="shared" si="4"/>
        <v>0</v>
      </c>
      <c r="J52" s="69"/>
      <c r="K52" s="11"/>
      <c r="L52" s="22"/>
      <c r="M52" s="22"/>
      <c r="N52" s="22"/>
      <c r="O52" s="22"/>
      <c r="P52" s="22"/>
      <c r="Q52" s="22"/>
      <c r="R52" s="36"/>
      <c r="S52" s="44"/>
      <c r="T52" s="47"/>
      <c r="U52" s="52">
        <f t="shared" si="5"/>
        <v>0</v>
      </c>
      <c r="V52" s="23" t="str">
        <f t="shared" si="3"/>
        <v>OK</v>
      </c>
    </row>
    <row r="53" spans="1:22" hidden="1" x14ac:dyDescent="0.3">
      <c r="A53" s="90" t="s">
        <v>104</v>
      </c>
      <c r="B53" s="76">
        <v>13468</v>
      </c>
      <c r="C53" s="70" t="s">
        <v>78</v>
      </c>
      <c r="D53" s="70"/>
      <c r="E53" s="70"/>
      <c r="F53" s="70"/>
      <c r="G53" s="91"/>
      <c r="H53" s="82"/>
      <c r="I53" s="82">
        <f t="shared" si="4"/>
        <v>0</v>
      </c>
      <c r="J53" s="74"/>
      <c r="K53" s="11"/>
      <c r="L53" s="16"/>
      <c r="M53" s="16"/>
      <c r="N53" s="16"/>
      <c r="O53" s="16"/>
      <c r="P53" s="16"/>
      <c r="Q53" s="16"/>
      <c r="R53" s="35"/>
      <c r="S53" s="43"/>
      <c r="T53" s="46"/>
      <c r="U53" s="75">
        <f t="shared" si="5"/>
        <v>0</v>
      </c>
      <c r="V53" s="93" t="str">
        <f t="shared" si="3"/>
        <v>OK</v>
      </c>
    </row>
    <row r="54" spans="1:22" hidden="1" x14ac:dyDescent="0.3">
      <c r="A54" s="54" t="s">
        <v>79</v>
      </c>
      <c r="B54" s="63">
        <v>13469</v>
      </c>
      <c r="C54" s="18" t="s">
        <v>78</v>
      </c>
      <c r="D54" s="18"/>
      <c r="E54" s="18"/>
      <c r="F54" s="18"/>
      <c r="G54" s="92"/>
      <c r="H54" s="22"/>
      <c r="I54" s="22">
        <f t="shared" si="4"/>
        <v>0</v>
      </c>
      <c r="J54" s="69"/>
      <c r="K54" s="11"/>
      <c r="L54" s="22"/>
      <c r="M54" s="22"/>
      <c r="N54" s="22"/>
      <c r="O54" s="22"/>
      <c r="P54" s="22"/>
      <c r="Q54" s="22"/>
      <c r="R54" s="36"/>
      <c r="S54" s="44"/>
      <c r="T54" s="47"/>
      <c r="U54" s="52">
        <f t="shared" si="5"/>
        <v>0</v>
      </c>
      <c r="V54" s="23" t="str">
        <f t="shared" si="3"/>
        <v>OK</v>
      </c>
    </row>
    <row r="55" spans="1:22" hidden="1" x14ac:dyDescent="0.3">
      <c r="A55" s="90" t="s">
        <v>43</v>
      </c>
      <c r="B55" s="76">
        <v>11820</v>
      </c>
      <c r="C55" s="70" t="s">
        <v>67</v>
      </c>
      <c r="D55" s="70"/>
      <c r="E55" s="70"/>
      <c r="F55" s="70"/>
      <c r="G55" s="91"/>
      <c r="H55" s="82"/>
      <c r="I55" s="82">
        <f t="shared" si="4"/>
        <v>0</v>
      </c>
      <c r="J55" s="74"/>
      <c r="K55" s="11"/>
      <c r="L55" s="16"/>
      <c r="M55" s="16"/>
      <c r="N55" s="16"/>
      <c r="O55" s="16"/>
      <c r="P55" s="16"/>
      <c r="Q55" s="16"/>
      <c r="R55" s="35"/>
      <c r="S55" s="43"/>
      <c r="T55" s="46"/>
      <c r="U55" s="75">
        <f t="shared" si="5"/>
        <v>0</v>
      </c>
      <c r="V55" s="93" t="str">
        <f t="shared" si="3"/>
        <v>OK</v>
      </c>
    </row>
    <row r="56" spans="1:22" hidden="1" x14ac:dyDescent="0.3">
      <c r="A56" s="54" t="s">
        <v>44</v>
      </c>
      <c r="B56" s="63">
        <v>11816</v>
      </c>
      <c r="C56" s="18" t="s">
        <v>67</v>
      </c>
      <c r="D56" s="18"/>
      <c r="E56" s="18"/>
      <c r="F56" s="18"/>
      <c r="G56" s="92"/>
      <c r="H56" s="22"/>
      <c r="I56" s="22">
        <f t="shared" si="4"/>
        <v>0</v>
      </c>
      <c r="J56" s="69"/>
      <c r="K56" s="11"/>
      <c r="L56" s="22"/>
      <c r="M56" s="22"/>
      <c r="N56" s="22"/>
      <c r="O56" s="22"/>
      <c r="P56" s="22"/>
      <c r="Q56" s="22"/>
      <c r="R56" s="36"/>
      <c r="S56" s="44"/>
      <c r="T56" s="47"/>
      <c r="U56" s="52">
        <f>SUM(L56:T56)</f>
        <v>0</v>
      </c>
      <c r="V56" s="23" t="str">
        <f t="shared" si="3"/>
        <v>OK</v>
      </c>
    </row>
    <row r="57" spans="1:22" x14ac:dyDescent="0.3">
      <c r="A57" s="76" t="s">
        <v>77</v>
      </c>
      <c r="B57" s="76">
        <v>11381</v>
      </c>
      <c r="C57" s="77" t="s">
        <v>68</v>
      </c>
      <c r="D57" s="70"/>
      <c r="E57" s="70"/>
      <c r="F57" s="70"/>
      <c r="G57" s="91"/>
      <c r="H57" s="82"/>
      <c r="I57" s="82">
        <f t="shared" si="4"/>
        <v>10</v>
      </c>
      <c r="J57" s="74"/>
      <c r="K57" s="11"/>
      <c r="L57" s="16"/>
      <c r="M57" s="16">
        <v>10</v>
      </c>
      <c r="N57" s="16"/>
      <c r="O57" s="16"/>
      <c r="P57" s="16"/>
      <c r="Q57" s="16"/>
      <c r="R57" s="35"/>
      <c r="S57" s="43"/>
      <c r="T57" s="46"/>
      <c r="U57" s="75">
        <f>SUM(L57:T57)</f>
        <v>10</v>
      </c>
      <c r="V57" s="93" t="str">
        <f t="shared" si="3"/>
        <v>OK</v>
      </c>
    </row>
    <row r="58" spans="1:22" hidden="1" x14ac:dyDescent="0.3">
      <c r="A58" s="54" t="s">
        <v>69</v>
      </c>
      <c r="B58" s="63">
        <v>11382</v>
      </c>
      <c r="C58" s="18" t="s">
        <v>68</v>
      </c>
      <c r="D58" s="18"/>
      <c r="E58" s="18"/>
      <c r="F58" s="18"/>
      <c r="G58" s="92"/>
      <c r="H58" s="22"/>
      <c r="I58" s="22">
        <f t="shared" si="4"/>
        <v>0</v>
      </c>
      <c r="J58" s="69"/>
      <c r="K58" s="11"/>
      <c r="L58" s="22"/>
      <c r="M58" s="22"/>
      <c r="N58" s="22"/>
      <c r="O58" s="22"/>
      <c r="P58" s="22"/>
      <c r="Q58" s="22"/>
      <c r="R58" s="36"/>
      <c r="S58" s="44"/>
      <c r="T58" s="47"/>
      <c r="U58" s="52">
        <f>SUM(L58:T58)</f>
        <v>0</v>
      </c>
      <c r="V58" s="23" t="str">
        <f t="shared" si="3"/>
        <v>OK</v>
      </c>
    </row>
    <row r="59" spans="1:22" hidden="1" x14ac:dyDescent="0.3">
      <c r="A59" s="96" t="s">
        <v>105</v>
      </c>
      <c r="B59" s="76">
        <v>16586</v>
      </c>
      <c r="C59" s="70" t="s">
        <v>78</v>
      </c>
      <c r="D59" s="70"/>
      <c r="E59" s="70"/>
      <c r="F59" s="70"/>
      <c r="G59" s="91"/>
      <c r="H59" s="82"/>
      <c r="I59" s="82">
        <f t="shared" si="4"/>
        <v>0</v>
      </c>
      <c r="J59" s="74"/>
      <c r="K59" s="11"/>
      <c r="L59" s="16"/>
      <c r="M59" s="16"/>
      <c r="N59" s="16"/>
      <c r="O59" s="16"/>
      <c r="P59" s="16"/>
      <c r="Q59" s="16"/>
      <c r="R59" s="35"/>
      <c r="S59" s="43"/>
      <c r="T59" s="46"/>
      <c r="U59" s="75">
        <f t="shared" ref="U59:U69" si="6">SUM(L59:T59)</f>
        <v>0</v>
      </c>
      <c r="V59" s="93" t="str">
        <f t="shared" si="3"/>
        <v>OK</v>
      </c>
    </row>
    <row r="60" spans="1:22" hidden="1" x14ac:dyDescent="0.3">
      <c r="A60" s="54" t="s">
        <v>90</v>
      </c>
      <c r="B60" s="63">
        <v>16587</v>
      </c>
      <c r="C60" s="18" t="s">
        <v>78</v>
      </c>
      <c r="D60" s="18"/>
      <c r="E60" s="18"/>
      <c r="F60" s="18"/>
      <c r="G60" s="92"/>
      <c r="H60" s="22"/>
      <c r="I60" s="22">
        <f t="shared" si="4"/>
        <v>0</v>
      </c>
      <c r="J60" s="69"/>
      <c r="K60" s="11"/>
      <c r="L60" s="22"/>
      <c r="M60" s="22"/>
      <c r="N60" s="22"/>
      <c r="O60" s="22"/>
      <c r="P60" s="22"/>
      <c r="Q60" s="22"/>
      <c r="R60" s="36"/>
      <c r="S60" s="44"/>
      <c r="T60" s="47"/>
      <c r="U60" s="52">
        <f t="shared" si="6"/>
        <v>0</v>
      </c>
      <c r="V60" s="23" t="str">
        <f t="shared" si="3"/>
        <v>OK</v>
      </c>
    </row>
    <row r="61" spans="1:22" hidden="1" x14ac:dyDescent="0.3">
      <c r="A61" s="90" t="s">
        <v>91</v>
      </c>
      <c r="B61" s="76">
        <v>17121</v>
      </c>
      <c r="C61" s="70" t="s">
        <v>92</v>
      </c>
      <c r="D61" s="70"/>
      <c r="E61" s="70"/>
      <c r="F61" s="70"/>
      <c r="G61" s="91"/>
      <c r="H61" s="82"/>
      <c r="I61" s="82">
        <f t="shared" si="4"/>
        <v>0</v>
      </c>
      <c r="J61" s="74"/>
      <c r="K61" s="11"/>
      <c r="L61" s="16"/>
      <c r="M61" s="16"/>
      <c r="N61" s="16"/>
      <c r="O61" s="16"/>
      <c r="P61" s="16"/>
      <c r="Q61" s="16"/>
      <c r="R61" s="35"/>
      <c r="S61" s="43"/>
      <c r="T61" s="46"/>
      <c r="U61" s="75">
        <f t="shared" si="6"/>
        <v>0</v>
      </c>
      <c r="V61" s="93" t="str">
        <f t="shared" si="3"/>
        <v>OK</v>
      </c>
    </row>
    <row r="62" spans="1:22" hidden="1" x14ac:dyDescent="0.3">
      <c r="A62" s="54" t="s">
        <v>106</v>
      </c>
      <c r="B62" s="63">
        <v>19270</v>
      </c>
      <c r="C62" s="18" t="s">
        <v>68</v>
      </c>
      <c r="D62" s="18"/>
      <c r="E62" s="18"/>
      <c r="F62" s="18"/>
      <c r="G62" s="92"/>
      <c r="H62" s="22"/>
      <c r="I62" s="22">
        <f t="shared" si="4"/>
        <v>0</v>
      </c>
      <c r="J62" s="69"/>
      <c r="K62" s="11"/>
      <c r="L62" s="22"/>
      <c r="M62" s="22"/>
      <c r="N62" s="22"/>
      <c r="O62" s="22"/>
      <c r="P62" s="22"/>
      <c r="Q62" s="22"/>
      <c r="R62" s="36"/>
      <c r="S62" s="44"/>
      <c r="T62" s="47"/>
      <c r="U62" s="71">
        <f t="shared" si="6"/>
        <v>0</v>
      </c>
      <c r="V62" s="23" t="str">
        <f t="shared" si="3"/>
        <v>OK</v>
      </c>
    </row>
    <row r="63" spans="1:22" hidden="1" x14ac:dyDescent="0.3">
      <c r="A63" s="90" t="s">
        <v>107</v>
      </c>
      <c r="B63" s="76">
        <v>19276</v>
      </c>
      <c r="C63" s="70" t="s">
        <v>68</v>
      </c>
      <c r="D63" s="70"/>
      <c r="E63" s="70"/>
      <c r="F63" s="70"/>
      <c r="G63" s="91"/>
      <c r="H63" s="82"/>
      <c r="I63" s="82">
        <f t="shared" si="4"/>
        <v>0</v>
      </c>
      <c r="J63" s="74"/>
      <c r="K63" s="11"/>
      <c r="L63" s="16"/>
      <c r="M63" s="16"/>
      <c r="N63" s="16"/>
      <c r="O63" s="16"/>
      <c r="P63" s="16"/>
      <c r="Q63" s="16"/>
      <c r="R63" s="35"/>
      <c r="S63" s="43"/>
      <c r="T63" s="46"/>
      <c r="U63" s="75">
        <f t="shared" si="6"/>
        <v>0</v>
      </c>
      <c r="V63" s="93" t="str">
        <f t="shared" si="3"/>
        <v>OK</v>
      </c>
    </row>
    <row r="64" spans="1:22" hidden="1" x14ac:dyDescent="0.3">
      <c r="A64" s="54" t="s">
        <v>108</v>
      </c>
      <c r="B64" s="63">
        <v>19836</v>
      </c>
      <c r="C64" s="18" t="s">
        <v>45</v>
      </c>
      <c r="D64" s="18"/>
      <c r="E64" s="18"/>
      <c r="F64" s="18"/>
      <c r="G64" s="92"/>
      <c r="H64" s="22"/>
      <c r="I64" s="22">
        <f t="shared" si="4"/>
        <v>0</v>
      </c>
      <c r="J64" s="69"/>
      <c r="K64" s="11"/>
      <c r="L64" s="22"/>
      <c r="M64" s="22"/>
      <c r="N64" s="22"/>
      <c r="O64" s="22"/>
      <c r="P64" s="22"/>
      <c r="Q64" s="22"/>
      <c r="R64" s="36"/>
      <c r="S64" s="44"/>
      <c r="T64" s="47"/>
      <c r="U64" s="52">
        <f t="shared" si="6"/>
        <v>0</v>
      </c>
      <c r="V64" s="23" t="str">
        <f t="shared" si="3"/>
        <v>OK</v>
      </c>
    </row>
    <row r="65" spans="1:22" hidden="1" x14ac:dyDescent="0.3">
      <c r="A65" s="90" t="s">
        <v>109</v>
      </c>
      <c r="B65" s="76">
        <v>20278</v>
      </c>
      <c r="C65" s="70" t="s">
        <v>110</v>
      </c>
      <c r="D65" s="70"/>
      <c r="E65" s="70"/>
      <c r="F65" s="70"/>
      <c r="G65" s="91"/>
      <c r="H65" s="82"/>
      <c r="I65" s="82">
        <f t="shared" si="4"/>
        <v>0</v>
      </c>
      <c r="J65" s="74"/>
      <c r="K65" s="11"/>
      <c r="L65" s="16"/>
      <c r="M65" s="16"/>
      <c r="N65" s="16"/>
      <c r="O65" s="16"/>
      <c r="P65" s="16"/>
      <c r="Q65" s="16"/>
      <c r="R65" s="35"/>
      <c r="S65" s="43"/>
      <c r="T65" s="46"/>
      <c r="U65" s="75">
        <f t="shared" si="6"/>
        <v>0</v>
      </c>
      <c r="V65" s="93" t="str">
        <f t="shared" si="3"/>
        <v>OK</v>
      </c>
    </row>
    <row r="66" spans="1:22" hidden="1" x14ac:dyDescent="0.3">
      <c r="A66" s="54" t="s">
        <v>111</v>
      </c>
      <c r="B66" s="63">
        <v>20272</v>
      </c>
      <c r="C66" s="18" t="s">
        <v>110</v>
      </c>
      <c r="D66" s="18"/>
      <c r="E66" s="18"/>
      <c r="F66" s="18"/>
      <c r="G66" s="92"/>
      <c r="H66" s="22"/>
      <c r="I66" s="22">
        <f t="shared" si="4"/>
        <v>0</v>
      </c>
      <c r="J66" s="69"/>
      <c r="K66" s="11"/>
      <c r="L66" s="22"/>
      <c r="M66" s="22"/>
      <c r="N66" s="22"/>
      <c r="O66" s="22"/>
      <c r="P66" s="22"/>
      <c r="Q66" s="22"/>
      <c r="R66" s="36"/>
      <c r="S66" s="44"/>
      <c r="T66" s="47"/>
      <c r="U66" s="52">
        <f t="shared" si="6"/>
        <v>0</v>
      </c>
      <c r="V66" s="23" t="str">
        <f t="shared" si="3"/>
        <v>OK</v>
      </c>
    </row>
    <row r="67" spans="1:22" x14ac:dyDescent="0.3">
      <c r="A67" s="90" t="s">
        <v>112</v>
      </c>
      <c r="B67" s="76">
        <v>20956</v>
      </c>
      <c r="C67" s="70" t="s">
        <v>110</v>
      </c>
      <c r="D67" s="70"/>
      <c r="E67" s="70"/>
      <c r="F67" s="70"/>
      <c r="G67" s="91"/>
      <c r="H67" s="82"/>
      <c r="I67" s="82">
        <f t="shared" si="4"/>
        <v>17</v>
      </c>
      <c r="J67" s="74"/>
      <c r="K67" s="11"/>
      <c r="L67" s="16"/>
      <c r="M67" s="16">
        <v>17</v>
      </c>
      <c r="N67" s="16"/>
      <c r="O67" s="16"/>
      <c r="P67" s="16"/>
      <c r="Q67" s="16"/>
      <c r="R67" s="35"/>
      <c r="S67" s="43"/>
      <c r="T67" s="46"/>
      <c r="U67" s="75">
        <f t="shared" si="6"/>
        <v>17</v>
      </c>
      <c r="V67" s="93" t="str">
        <f t="shared" si="3"/>
        <v>OK</v>
      </c>
    </row>
    <row r="68" spans="1:22" hidden="1" x14ac:dyDescent="0.3">
      <c r="A68" s="54" t="s">
        <v>116</v>
      </c>
      <c r="B68" s="63">
        <v>21299</v>
      </c>
      <c r="C68" s="18" t="s">
        <v>78</v>
      </c>
      <c r="D68" s="18"/>
      <c r="E68" s="18"/>
      <c r="F68" s="18"/>
      <c r="G68" s="92"/>
      <c r="H68" s="22"/>
      <c r="I68" s="22">
        <f t="shared" si="4"/>
        <v>0</v>
      </c>
      <c r="J68" s="69"/>
      <c r="K68" s="11"/>
      <c r="L68" s="22"/>
      <c r="M68" s="22"/>
      <c r="N68" s="22"/>
      <c r="O68" s="22"/>
      <c r="P68" s="22"/>
      <c r="Q68" s="22"/>
      <c r="R68" s="36"/>
      <c r="S68" s="44"/>
      <c r="T68" s="47"/>
      <c r="U68" s="71">
        <f t="shared" si="6"/>
        <v>0</v>
      </c>
      <c r="V68" s="23" t="str">
        <f>IF(U68=I68,"OK","NG")</f>
        <v>OK</v>
      </c>
    </row>
    <row r="69" spans="1:22" hidden="1" x14ac:dyDescent="0.3">
      <c r="A69" s="99" t="s">
        <v>117</v>
      </c>
      <c r="B69" s="76">
        <v>22115</v>
      </c>
      <c r="C69" s="82" t="s">
        <v>118</v>
      </c>
      <c r="D69" s="82"/>
      <c r="E69" s="82"/>
      <c r="F69" s="82"/>
      <c r="G69" s="82"/>
      <c r="H69" s="82"/>
      <c r="I69" s="82">
        <f t="shared" si="4"/>
        <v>0</v>
      </c>
      <c r="J69" s="97"/>
      <c r="K69" s="112"/>
      <c r="L69" s="82"/>
      <c r="M69" s="82"/>
      <c r="N69" s="82"/>
      <c r="O69" s="82"/>
      <c r="P69" s="82"/>
      <c r="Q69" s="82"/>
      <c r="R69" s="83"/>
      <c r="S69" s="84"/>
      <c r="T69" s="100"/>
      <c r="U69" s="75">
        <f t="shared" si="6"/>
        <v>0</v>
      </c>
      <c r="V69" s="93" t="str">
        <f>IF(U69=I69,"OK","NG")</f>
        <v>OK</v>
      </c>
    </row>
    <row r="70" spans="1:22" hidden="1" x14ac:dyDescent="0.3">
      <c r="A70" s="54" t="s">
        <v>120</v>
      </c>
      <c r="B70" s="63">
        <v>22706</v>
      </c>
      <c r="C70" s="18" t="s">
        <v>119</v>
      </c>
      <c r="D70" s="18"/>
      <c r="E70" s="18"/>
      <c r="F70" s="18"/>
      <c r="G70" s="92"/>
      <c r="H70" s="22"/>
      <c r="I70" s="22">
        <f t="shared" si="4"/>
        <v>0</v>
      </c>
      <c r="J70" s="69"/>
      <c r="K70" s="11"/>
      <c r="L70" s="22"/>
      <c r="M70" s="22"/>
      <c r="N70" s="22"/>
      <c r="O70" s="22"/>
      <c r="P70" s="22"/>
      <c r="Q70" s="22"/>
      <c r="R70" s="36"/>
      <c r="S70" s="44"/>
      <c r="T70" s="47"/>
      <c r="U70" s="71">
        <f t="shared" ref="U70" si="7">SUM(L70:T70)</f>
        <v>0</v>
      </c>
      <c r="V70" s="23" t="str">
        <f>IF(U70=I70,"OK","NG")</f>
        <v>OK</v>
      </c>
    </row>
    <row r="71" spans="1:22" hidden="1" x14ac:dyDescent="0.3">
      <c r="A71" s="99" t="s">
        <v>121</v>
      </c>
      <c r="B71" s="76">
        <v>22886</v>
      </c>
      <c r="C71" s="82" t="s">
        <v>46</v>
      </c>
      <c r="D71" s="82"/>
      <c r="E71" s="82"/>
      <c r="F71" s="82"/>
      <c r="G71" s="82"/>
      <c r="H71" s="82"/>
      <c r="I71" s="82">
        <f t="shared" ref="I71:I80" si="8">SUM(L71:T71)</f>
        <v>0</v>
      </c>
      <c r="J71" s="97"/>
      <c r="K71" s="112"/>
      <c r="L71" s="82"/>
      <c r="M71" s="82"/>
      <c r="N71" s="82"/>
      <c r="O71" s="82"/>
      <c r="P71" s="82"/>
      <c r="Q71" s="82"/>
      <c r="R71" s="83"/>
      <c r="S71" s="84"/>
      <c r="T71" s="100"/>
      <c r="U71" s="75">
        <f>SUM(L71:T71)</f>
        <v>0</v>
      </c>
      <c r="V71" s="93" t="str">
        <f>IF(U71=I71,"OK","NG")</f>
        <v>OK</v>
      </c>
    </row>
    <row r="72" spans="1:22" hidden="1" x14ac:dyDescent="0.3">
      <c r="A72" s="54" t="s">
        <v>122</v>
      </c>
      <c r="B72" s="63">
        <v>17528</v>
      </c>
      <c r="C72" s="18" t="s">
        <v>123</v>
      </c>
      <c r="D72" s="18"/>
      <c r="E72" s="18"/>
      <c r="F72" s="18"/>
      <c r="G72" s="92"/>
      <c r="H72" s="22"/>
      <c r="I72" s="22">
        <f t="shared" si="8"/>
        <v>0</v>
      </c>
      <c r="J72" s="69"/>
      <c r="K72" s="11"/>
      <c r="L72" s="22"/>
      <c r="M72" s="22"/>
      <c r="N72" s="22"/>
      <c r="O72" s="22"/>
      <c r="P72" s="22"/>
      <c r="Q72" s="22"/>
      <c r="R72" s="36"/>
      <c r="S72" s="44"/>
      <c r="T72" s="47"/>
      <c r="U72" s="71">
        <f t="shared" ref="U72:U80" si="9">SUM(L72:T72)</f>
        <v>0</v>
      </c>
      <c r="V72" s="95" t="str">
        <f t="shared" ref="V72:V80" si="10">IF(U72=I72,"OK","NG")</f>
        <v>OK</v>
      </c>
    </row>
    <row r="73" spans="1:22" hidden="1" x14ac:dyDescent="0.3">
      <c r="A73" s="99" t="s">
        <v>124</v>
      </c>
      <c r="B73" s="76">
        <v>22380</v>
      </c>
      <c r="C73" s="82" t="s">
        <v>47</v>
      </c>
      <c r="D73" s="82"/>
      <c r="E73" s="82"/>
      <c r="F73" s="82"/>
      <c r="G73" s="82"/>
      <c r="H73" s="82"/>
      <c r="I73" s="82">
        <f t="shared" si="8"/>
        <v>0</v>
      </c>
      <c r="J73" s="97"/>
      <c r="K73" s="112"/>
      <c r="L73" s="82"/>
      <c r="M73" s="82"/>
      <c r="N73" s="82"/>
      <c r="O73" s="82"/>
      <c r="P73" s="82"/>
      <c r="Q73" s="82"/>
      <c r="R73" s="83"/>
      <c r="S73" s="84"/>
      <c r="T73" s="100"/>
      <c r="U73" s="75">
        <f t="shared" si="9"/>
        <v>0</v>
      </c>
      <c r="V73" s="93" t="str">
        <f t="shared" si="10"/>
        <v>OK</v>
      </c>
    </row>
    <row r="74" spans="1:22" hidden="1" x14ac:dyDescent="0.3">
      <c r="A74" s="54" t="s">
        <v>125</v>
      </c>
      <c r="B74" s="63">
        <v>19279</v>
      </c>
      <c r="C74" s="18" t="s">
        <v>126</v>
      </c>
      <c r="D74" s="18"/>
      <c r="E74" s="18"/>
      <c r="F74" s="18"/>
      <c r="G74" s="92"/>
      <c r="H74" s="22"/>
      <c r="I74" s="22">
        <f t="shared" si="8"/>
        <v>0</v>
      </c>
      <c r="J74" s="69"/>
      <c r="K74" s="11"/>
      <c r="L74" s="22"/>
      <c r="M74" s="22"/>
      <c r="N74" s="22"/>
      <c r="O74" s="22"/>
      <c r="P74" s="22"/>
      <c r="Q74" s="22"/>
      <c r="R74" s="36"/>
      <c r="S74" s="44"/>
      <c r="T74" s="47"/>
      <c r="U74" s="71">
        <f t="shared" si="9"/>
        <v>0</v>
      </c>
      <c r="V74" s="95" t="str">
        <f t="shared" si="10"/>
        <v>OK</v>
      </c>
    </row>
    <row r="75" spans="1:22" ht="17.25" thickBot="1" x14ac:dyDescent="0.35">
      <c r="A75" s="90" t="s">
        <v>131</v>
      </c>
      <c r="B75" s="76">
        <v>22724</v>
      </c>
      <c r="C75" s="70" t="s">
        <v>119</v>
      </c>
      <c r="D75" s="70"/>
      <c r="E75" s="70"/>
      <c r="F75" s="70"/>
      <c r="G75" s="91"/>
      <c r="H75" s="82"/>
      <c r="I75" s="82">
        <f t="shared" si="8"/>
        <v>6</v>
      </c>
      <c r="J75" s="74"/>
      <c r="K75" s="11"/>
      <c r="L75" s="82"/>
      <c r="M75" s="82">
        <v>6</v>
      </c>
      <c r="N75" s="82"/>
      <c r="O75" s="82"/>
      <c r="P75" s="82"/>
      <c r="Q75" s="82"/>
      <c r="R75" s="83"/>
      <c r="S75" s="84"/>
      <c r="T75" s="85"/>
      <c r="U75" s="75">
        <f t="shared" si="9"/>
        <v>6</v>
      </c>
      <c r="V75" s="93" t="s">
        <v>129</v>
      </c>
    </row>
    <row r="76" spans="1:22" ht="17.25" hidden="1" thickBot="1" x14ac:dyDescent="0.35">
      <c r="A76" s="54" t="s">
        <v>132</v>
      </c>
      <c r="B76" s="63">
        <v>22705</v>
      </c>
      <c r="C76" s="18" t="s">
        <v>119</v>
      </c>
      <c r="D76" s="18"/>
      <c r="E76" s="18"/>
      <c r="F76" s="18"/>
      <c r="G76" s="92"/>
      <c r="H76" s="22"/>
      <c r="I76" s="22">
        <f t="shared" si="8"/>
        <v>0</v>
      </c>
      <c r="J76" s="69"/>
      <c r="K76" s="11"/>
      <c r="L76" s="22"/>
      <c r="M76" s="22"/>
      <c r="N76" s="22"/>
      <c r="O76" s="22"/>
      <c r="P76" s="22"/>
      <c r="Q76" s="22"/>
      <c r="R76" s="36"/>
      <c r="S76" s="44"/>
      <c r="T76" s="47"/>
      <c r="U76" s="71">
        <f t="shared" si="9"/>
        <v>0</v>
      </c>
      <c r="V76" s="95" t="str">
        <f t="shared" si="10"/>
        <v>OK</v>
      </c>
    </row>
    <row r="77" spans="1:22" ht="17.25" hidden="1" thickBot="1" x14ac:dyDescent="0.35">
      <c r="A77" s="99" t="s">
        <v>128</v>
      </c>
      <c r="B77" s="76">
        <v>5655</v>
      </c>
      <c r="C77" s="82" t="s">
        <v>54</v>
      </c>
      <c r="D77" s="82"/>
      <c r="E77" s="82"/>
      <c r="F77" s="82"/>
      <c r="G77" s="82"/>
      <c r="H77" s="82"/>
      <c r="I77" s="82">
        <f t="shared" si="8"/>
        <v>0</v>
      </c>
      <c r="J77" s="97"/>
      <c r="K77" s="112"/>
      <c r="L77" s="82"/>
      <c r="M77" s="82"/>
      <c r="N77" s="82"/>
      <c r="O77" s="82"/>
      <c r="P77" s="82"/>
      <c r="Q77" s="82"/>
      <c r="R77" s="83"/>
      <c r="S77" s="84"/>
      <c r="T77" s="100"/>
      <c r="U77" s="75">
        <f t="shared" si="9"/>
        <v>0</v>
      </c>
      <c r="V77" s="93" t="str">
        <f t="shared" si="10"/>
        <v>OK</v>
      </c>
    </row>
    <row r="78" spans="1:22" ht="17.25" hidden="1" thickBot="1" x14ac:dyDescent="0.35">
      <c r="A78" s="120" t="s">
        <v>136</v>
      </c>
      <c r="B78" s="121">
        <v>22704</v>
      </c>
      <c r="C78" s="122" t="s">
        <v>137</v>
      </c>
      <c r="D78" s="122"/>
      <c r="E78" s="122"/>
      <c r="F78" s="122"/>
      <c r="G78" s="122"/>
      <c r="H78" s="122"/>
      <c r="I78" s="22">
        <f t="shared" si="8"/>
        <v>0</v>
      </c>
      <c r="J78" s="45"/>
      <c r="K78" s="112"/>
      <c r="L78" s="22"/>
      <c r="M78" s="22"/>
      <c r="N78" s="22"/>
      <c r="O78" s="22"/>
      <c r="P78" s="22"/>
      <c r="Q78" s="22"/>
      <c r="R78" s="36"/>
      <c r="S78" s="44"/>
      <c r="T78" s="116"/>
      <c r="U78" s="71">
        <f t="shared" si="9"/>
        <v>0</v>
      </c>
      <c r="V78" s="95" t="str">
        <f t="shared" si="10"/>
        <v>OK</v>
      </c>
    </row>
    <row r="79" spans="1:22" ht="17.25" hidden="1" thickBot="1" x14ac:dyDescent="0.35">
      <c r="A79" s="136" t="s">
        <v>139</v>
      </c>
      <c r="B79" s="133">
        <v>22722</v>
      </c>
      <c r="C79" s="137" t="s">
        <v>119</v>
      </c>
      <c r="D79" s="137"/>
      <c r="E79" s="137"/>
      <c r="F79" s="137"/>
      <c r="G79" s="137"/>
      <c r="H79" s="137"/>
      <c r="I79" s="82">
        <f t="shared" si="8"/>
        <v>0</v>
      </c>
      <c r="J79" s="97"/>
      <c r="K79" s="119"/>
      <c r="L79" s="82"/>
      <c r="M79" s="82"/>
      <c r="N79" s="82"/>
      <c r="O79" s="82"/>
      <c r="P79" s="82"/>
      <c r="Q79" s="82"/>
      <c r="R79" s="83"/>
      <c r="S79" s="84"/>
      <c r="T79" s="100"/>
      <c r="U79" s="75">
        <f t="shared" si="9"/>
        <v>0</v>
      </c>
      <c r="V79" s="95" t="str">
        <f t="shared" si="10"/>
        <v>OK</v>
      </c>
    </row>
    <row r="80" spans="1:22" ht="17.25" hidden="1" thickBot="1" x14ac:dyDescent="0.35">
      <c r="A80" s="126" t="s">
        <v>134</v>
      </c>
      <c r="B80" s="127">
        <v>22723</v>
      </c>
      <c r="C80" s="128" t="s">
        <v>119</v>
      </c>
      <c r="D80" s="128"/>
      <c r="E80" s="128"/>
      <c r="F80" s="128"/>
      <c r="G80" s="128"/>
      <c r="H80" s="128"/>
      <c r="I80" s="128">
        <f t="shared" si="8"/>
        <v>0</v>
      </c>
      <c r="J80" s="45"/>
      <c r="K80" s="112"/>
      <c r="L80" s="22"/>
      <c r="M80" s="22"/>
      <c r="N80" s="22"/>
      <c r="O80" s="22"/>
      <c r="P80" s="22"/>
      <c r="Q80" s="22"/>
      <c r="R80" s="36"/>
      <c r="S80" s="44"/>
      <c r="T80" s="116"/>
      <c r="U80" s="52">
        <f t="shared" si="9"/>
        <v>0</v>
      </c>
      <c r="V80" s="23" t="str">
        <f t="shared" si="10"/>
        <v>OK</v>
      </c>
    </row>
    <row r="81" spans="1:22" x14ac:dyDescent="0.3">
      <c r="A81" s="86"/>
      <c r="B81" s="86"/>
      <c r="C81" s="87" t="s">
        <v>9</v>
      </c>
      <c r="D81" s="87"/>
      <c r="E81" s="87"/>
      <c r="F81" s="87"/>
      <c r="G81" s="88">
        <f>SUM(G6:G49)</f>
        <v>0</v>
      </c>
      <c r="H81" s="89">
        <f>SUM(H6:H49)</f>
        <v>0</v>
      </c>
      <c r="I81" s="88">
        <f>SUM(I6:I80)</f>
        <v>38</v>
      </c>
      <c r="J81" s="40">
        <f>SUM(J6:J49)</f>
        <v>0</v>
      </c>
      <c r="K81" s="115">
        <f>SUM(K6:K51)</f>
        <v>0</v>
      </c>
      <c r="L81" s="38">
        <f>SUM(L6:L80)</f>
        <v>0</v>
      </c>
      <c r="M81" s="38">
        <f t="shared" ref="M81:U81" si="11">SUM(M6:M80)</f>
        <v>38</v>
      </c>
      <c r="N81" s="38">
        <f t="shared" si="11"/>
        <v>0</v>
      </c>
      <c r="O81" s="38">
        <f t="shared" si="11"/>
        <v>0</v>
      </c>
      <c r="P81" s="38">
        <f t="shared" si="11"/>
        <v>0</v>
      </c>
      <c r="Q81" s="38">
        <f t="shared" si="11"/>
        <v>0</v>
      </c>
      <c r="R81" s="38">
        <f t="shared" si="11"/>
        <v>0</v>
      </c>
      <c r="S81" s="38">
        <f t="shared" si="11"/>
        <v>0</v>
      </c>
      <c r="T81" s="38">
        <f t="shared" si="11"/>
        <v>0</v>
      </c>
      <c r="U81" s="38">
        <f t="shared" si="11"/>
        <v>38</v>
      </c>
      <c r="V81" s="41" t="str">
        <f>IF(U81=SUM(I81),"OK","NG")</f>
        <v>OK</v>
      </c>
    </row>
  </sheetData>
  <autoFilter ref="A5:V81" xr:uid="{00000000-0001-0000-0700-000000000000}">
    <filterColumn colId="8">
      <filters>
        <filter val="10"/>
        <filter val="17"/>
        <filter val="38"/>
        <filter val="5"/>
        <filter val="6"/>
      </filters>
    </filterColumn>
  </autoFilter>
  <mergeCells count="20">
    <mergeCell ref="O4:O5"/>
    <mergeCell ref="P4:P5"/>
    <mergeCell ref="B3:C3"/>
    <mergeCell ref="N4:N5"/>
    <mergeCell ref="B1:C1"/>
    <mergeCell ref="F1:G1"/>
    <mergeCell ref="H1:J3"/>
    <mergeCell ref="B2:C2"/>
    <mergeCell ref="A4:D4"/>
    <mergeCell ref="E4:G4"/>
    <mergeCell ref="H4:J4"/>
    <mergeCell ref="L4:L5"/>
    <mergeCell ref="M4:M5"/>
    <mergeCell ref="Q4:Q5"/>
    <mergeCell ref="R4:R5"/>
    <mergeCell ref="S4:S5"/>
    <mergeCell ref="T4:T5"/>
    <mergeCell ref="V2:V3"/>
    <mergeCell ref="U4:U5"/>
    <mergeCell ref="V4:V5"/>
  </mergeCells>
  <phoneticPr fontId="3" type="noConversion"/>
  <conditionalFormatting sqref="A4 V6:V81">
    <cfRule type="containsText" dxfId="51" priority="5" operator="containsText" text="NG">
      <formula>NOT(ISERROR(SEARCH("NG",A4)))</formula>
    </cfRule>
    <cfRule type="containsText" dxfId="50" priority="6" operator="containsText" text="OK">
      <formula>NOT(ISERROR(SEARCH("OK",A4)))</formula>
    </cfRule>
  </conditionalFormatting>
  <pageMargins left="0.70866141732283472" right="0.70866141732283472" top="0.74803149606299213" bottom="0.74803149606299213" header="0.31496062992125984" footer="0.31496062992125984"/>
  <pageSetup paperSize="8" scale="1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 filterMode="1">
    <pageSetUpPr fitToPage="1"/>
  </sheetPr>
  <dimension ref="A1:V81"/>
  <sheetViews>
    <sheetView showGridLines="0" zoomScale="85" zoomScaleNormal="85" workbookViewId="0">
      <pane ySplit="5" topLeftCell="A17" activePane="bottomLeft" state="frozen"/>
      <selection activeCell="W73" sqref="W73"/>
      <selection pane="bottomLeft" activeCell="L17" sqref="L17:N78"/>
    </sheetView>
  </sheetViews>
  <sheetFormatPr defaultColWidth="9" defaultRowHeight="16.5" x14ac:dyDescent="0.3"/>
  <cols>
    <col min="1" max="1" width="12.625" bestFit="1" customWidth="1"/>
    <col min="2" max="2" width="14.125" bestFit="1" customWidth="1"/>
    <col min="3" max="3" width="35.125" customWidth="1"/>
    <col min="4" max="4" width="11.75" hidden="1" customWidth="1"/>
    <col min="5" max="6" width="9" hidden="1" customWidth="1"/>
    <col min="7" max="7" width="15.375" hidden="1" customWidth="1"/>
    <col min="8" max="8" width="13.25" hidden="1" customWidth="1"/>
    <col min="9" max="9" width="13.25" customWidth="1"/>
    <col min="10" max="10" width="13.25" hidden="1" customWidth="1"/>
    <col min="11" max="11" width="0.875" customWidth="1"/>
    <col min="20" max="20" width="11" bestFit="1" customWidth="1"/>
  </cols>
  <sheetData>
    <row r="1" spans="1:22" ht="22.5" customHeight="1" thickBot="1" x14ac:dyDescent="0.35">
      <c r="A1" s="32" t="s">
        <v>28</v>
      </c>
      <c r="B1" s="153">
        <f>H69</f>
        <v>0</v>
      </c>
      <c r="C1" s="154"/>
      <c r="D1" s="55"/>
      <c r="E1" s="58" t="s">
        <v>1</v>
      </c>
      <c r="F1" s="155">
        <f>G69</f>
        <v>0</v>
      </c>
      <c r="G1" s="155"/>
      <c r="H1" s="156"/>
      <c r="I1" s="156"/>
      <c r="J1" s="156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22.5" customHeight="1" thickBot="1" x14ac:dyDescent="0.35">
      <c r="A2" s="32" t="s">
        <v>29</v>
      </c>
      <c r="B2" s="158">
        <f>I81</f>
        <v>25</v>
      </c>
      <c r="C2" s="159"/>
      <c r="D2" s="56"/>
      <c r="E2" s="59"/>
      <c r="F2" s="2"/>
      <c r="G2" s="2"/>
      <c r="H2" s="156"/>
      <c r="I2" s="156"/>
      <c r="J2" s="156"/>
      <c r="K2" s="113"/>
      <c r="L2" s="3">
        <f>SUBTOTAL(9,L6:L80)</f>
        <v>0</v>
      </c>
      <c r="M2" s="3">
        <f t="shared" ref="M2:T2" si="0">SUBTOTAL(9,M6:M80)</f>
        <v>25</v>
      </c>
      <c r="N2" s="3">
        <f t="shared" si="0"/>
        <v>0</v>
      </c>
      <c r="O2" s="3">
        <f t="shared" si="0"/>
        <v>0</v>
      </c>
      <c r="P2" s="3">
        <f t="shared" si="0"/>
        <v>0</v>
      </c>
      <c r="Q2" s="3">
        <f t="shared" si="0"/>
        <v>0</v>
      </c>
      <c r="R2" s="3">
        <f t="shared" si="0"/>
        <v>0</v>
      </c>
      <c r="S2" s="3">
        <f t="shared" si="0"/>
        <v>0</v>
      </c>
      <c r="T2" s="3">
        <f t="shared" si="0"/>
        <v>0</v>
      </c>
      <c r="U2" s="48">
        <f>SUBTOTAL(9,U6:U80)</f>
        <v>25</v>
      </c>
      <c r="V2" s="145"/>
    </row>
    <row r="3" spans="1:22" ht="22.5" customHeight="1" thickBot="1" x14ac:dyDescent="0.35">
      <c r="A3" s="33" t="s">
        <v>30</v>
      </c>
      <c r="B3" s="151">
        <f>IF(ISERROR(B2/(B2+B1)*1000000),"",(B2/(B2+B1)*1000000))</f>
        <v>1000000</v>
      </c>
      <c r="C3" s="152"/>
      <c r="D3" s="57"/>
      <c r="E3" s="60"/>
      <c r="F3" s="27"/>
      <c r="G3" s="27"/>
      <c r="H3" s="157"/>
      <c r="I3" s="157"/>
      <c r="J3" s="157"/>
      <c r="K3" s="114"/>
      <c r="L3" s="4">
        <f t="shared" ref="L3:U3" si="1">SUM(L6:L80)</f>
        <v>0</v>
      </c>
      <c r="M3" s="4">
        <f t="shared" si="1"/>
        <v>25</v>
      </c>
      <c r="N3" s="4">
        <f t="shared" si="1"/>
        <v>0</v>
      </c>
      <c r="O3" s="4">
        <f t="shared" si="1"/>
        <v>0</v>
      </c>
      <c r="P3" s="4">
        <f t="shared" si="1"/>
        <v>0</v>
      </c>
      <c r="Q3" s="4">
        <f t="shared" si="1"/>
        <v>0</v>
      </c>
      <c r="R3" s="4">
        <f t="shared" si="1"/>
        <v>0</v>
      </c>
      <c r="S3" s="4">
        <f t="shared" si="1"/>
        <v>0</v>
      </c>
      <c r="T3" s="4">
        <f t="shared" si="1"/>
        <v>0</v>
      </c>
      <c r="U3" s="49">
        <f t="shared" si="1"/>
        <v>25</v>
      </c>
      <c r="V3" s="146"/>
    </row>
    <row r="4" spans="1:22" ht="43.5" customHeight="1" x14ac:dyDescent="0.3">
      <c r="A4" s="160" t="str">
        <f>V81</f>
        <v>OK</v>
      </c>
      <c r="B4" s="160"/>
      <c r="C4" s="160"/>
      <c r="D4" s="161"/>
      <c r="E4" s="169" t="s">
        <v>15</v>
      </c>
      <c r="F4" s="170"/>
      <c r="G4" s="171"/>
      <c r="H4" s="169" t="s">
        <v>16</v>
      </c>
      <c r="I4" s="170"/>
      <c r="J4" s="171"/>
      <c r="K4" s="113"/>
      <c r="L4" s="164" t="s">
        <v>10</v>
      </c>
      <c r="M4" s="142" t="s">
        <v>17</v>
      </c>
      <c r="N4" s="142" t="s">
        <v>11</v>
      </c>
      <c r="O4" s="138" t="s">
        <v>12</v>
      </c>
      <c r="P4" s="142" t="s">
        <v>13</v>
      </c>
      <c r="Q4" s="138" t="s">
        <v>14</v>
      </c>
      <c r="R4" s="142" t="s">
        <v>20</v>
      </c>
      <c r="S4" s="142" t="s">
        <v>21</v>
      </c>
      <c r="T4" s="167" t="s">
        <v>22</v>
      </c>
      <c r="U4" s="147" t="s">
        <v>18</v>
      </c>
      <c r="V4" s="149" t="s">
        <v>19</v>
      </c>
    </row>
    <row r="5" spans="1:22" ht="33.75" thickBot="1" x14ac:dyDescent="0.35">
      <c r="A5" s="29" t="s">
        <v>3</v>
      </c>
      <c r="B5" s="30" t="s">
        <v>32</v>
      </c>
      <c r="C5" s="29" t="s">
        <v>4</v>
      </c>
      <c r="D5" s="29" t="s">
        <v>31</v>
      </c>
      <c r="E5" s="29" t="s">
        <v>5</v>
      </c>
      <c r="F5" s="29" t="s">
        <v>6</v>
      </c>
      <c r="G5" s="30" t="s">
        <v>7</v>
      </c>
      <c r="H5" s="31" t="s">
        <v>0</v>
      </c>
      <c r="I5" s="31" t="s">
        <v>2</v>
      </c>
      <c r="J5" s="31" t="s">
        <v>8</v>
      </c>
      <c r="K5" s="28"/>
      <c r="L5" s="165"/>
      <c r="M5" s="139"/>
      <c r="N5" s="139"/>
      <c r="O5" s="166"/>
      <c r="P5" s="139"/>
      <c r="Q5" s="166"/>
      <c r="R5" s="139"/>
      <c r="S5" s="139"/>
      <c r="T5" s="168"/>
      <c r="U5" s="148"/>
      <c r="V5" s="150"/>
    </row>
    <row r="6" spans="1:22" hidden="1" x14ac:dyDescent="0.3">
      <c r="A6" s="61" t="s">
        <v>33</v>
      </c>
      <c r="B6" s="61">
        <v>8092</v>
      </c>
      <c r="C6" s="6" t="s">
        <v>45</v>
      </c>
      <c r="D6" s="7"/>
      <c r="E6" s="7"/>
      <c r="F6" s="7"/>
      <c r="G6" s="8"/>
      <c r="H6" s="9"/>
      <c r="I6" s="10">
        <f>SUM(L6:T6)</f>
        <v>0</v>
      </c>
      <c r="J6" s="10"/>
      <c r="K6" s="11"/>
      <c r="L6" s="10"/>
      <c r="M6" s="10"/>
      <c r="N6" s="10"/>
      <c r="O6" s="10"/>
      <c r="P6" s="10"/>
      <c r="Q6" s="10"/>
      <c r="R6" s="34"/>
      <c r="S6" s="42"/>
      <c r="T6" s="45"/>
      <c r="U6" s="50">
        <f t="shared" ref="U6:U36" si="2">SUM(L6:T6)</f>
        <v>0</v>
      </c>
      <c r="V6" s="26" t="str">
        <f t="shared" ref="V6:V67" si="3">IF(U6=I6,"OK","NG")</f>
        <v>OK</v>
      </c>
    </row>
    <row r="7" spans="1:22" hidden="1" x14ac:dyDescent="0.3">
      <c r="A7" s="62" t="s">
        <v>95</v>
      </c>
      <c r="B7" s="62">
        <v>8088</v>
      </c>
      <c r="C7" s="12" t="s">
        <v>46</v>
      </c>
      <c r="D7" s="53"/>
      <c r="E7" s="13"/>
      <c r="F7" s="13"/>
      <c r="G7" s="14"/>
      <c r="H7" s="15"/>
      <c r="I7" s="16">
        <f t="shared" ref="I7:I70" si="4">SUM(L7:T7)</f>
        <v>0</v>
      </c>
      <c r="J7" s="16"/>
      <c r="K7" s="11"/>
      <c r="L7" s="16"/>
      <c r="M7" s="16"/>
      <c r="N7" s="16"/>
      <c r="O7" s="16"/>
      <c r="P7" s="16"/>
      <c r="Q7" s="16"/>
      <c r="R7" s="35"/>
      <c r="S7" s="43"/>
      <c r="T7" s="46"/>
      <c r="U7" s="51">
        <f t="shared" si="2"/>
        <v>0</v>
      </c>
      <c r="V7" s="17" t="str">
        <f t="shared" si="3"/>
        <v>OK</v>
      </c>
    </row>
    <row r="8" spans="1:22" hidden="1" x14ac:dyDescent="0.3">
      <c r="A8" s="63" t="s">
        <v>96</v>
      </c>
      <c r="B8" s="63">
        <v>8081</v>
      </c>
      <c r="C8" s="18" t="s">
        <v>46</v>
      </c>
      <c r="D8" s="19"/>
      <c r="E8" s="19"/>
      <c r="F8" s="19"/>
      <c r="G8" s="20"/>
      <c r="H8" s="21"/>
      <c r="I8" s="22">
        <f t="shared" si="4"/>
        <v>0</v>
      </c>
      <c r="J8" s="22"/>
      <c r="K8" s="11"/>
      <c r="L8" s="22"/>
      <c r="M8" s="22"/>
      <c r="N8" s="22"/>
      <c r="O8" s="22"/>
      <c r="P8" s="22"/>
      <c r="Q8" s="22"/>
      <c r="R8" s="36"/>
      <c r="S8" s="44"/>
      <c r="T8" s="47"/>
      <c r="U8" s="52">
        <f t="shared" si="2"/>
        <v>0</v>
      </c>
      <c r="V8" s="23" t="str">
        <f t="shared" si="3"/>
        <v>OK</v>
      </c>
    </row>
    <row r="9" spans="1:22" hidden="1" x14ac:dyDescent="0.3">
      <c r="A9" s="62" t="s">
        <v>97</v>
      </c>
      <c r="B9" s="62">
        <v>18524</v>
      </c>
      <c r="C9" s="12" t="s">
        <v>46</v>
      </c>
      <c r="D9" s="53"/>
      <c r="E9" s="13"/>
      <c r="F9" s="13"/>
      <c r="G9" s="14"/>
      <c r="H9" s="15"/>
      <c r="I9" s="16">
        <f t="shared" si="4"/>
        <v>0</v>
      </c>
      <c r="J9" s="16"/>
      <c r="K9" s="11"/>
      <c r="L9" s="16"/>
      <c r="M9" s="16"/>
      <c r="N9" s="16"/>
      <c r="O9" s="16"/>
      <c r="P9" s="16"/>
      <c r="Q9" s="16"/>
      <c r="R9" s="35"/>
      <c r="S9" s="43"/>
      <c r="T9" s="46"/>
      <c r="U9" s="51">
        <f t="shared" si="2"/>
        <v>0</v>
      </c>
      <c r="V9" s="17" t="str">
        <f t="shared" si="3"/>
        <v>OK</v>
      </c>
    </row>
    <row r="10" spans="1:22" hidden="1" x14ac:dyDescent="0.3">
      <c r="A10" s="63" t="s">
        <v>34</v>
      </c>
      <c r="B10" s="63">
        <v>6234</v>
      </c>
      <c r="C10" s="18" t="s">
        <v>47</v>
      </c>
      <c r="D10" s="19"/>
      <c r="E10" s="19"/>
      <c r="F10" s="19"/>
      <c r="G10" s="20"/>
      <c r="H10" s="21"/>
      <c r="I10" s="22">
        <f t="shared" si="4"/>
        <v>0</v>
      </c>
      <c r="J10" s="22"/>
      <c r="K10" s="11"/>
      <c r="L10" s="22"/>
      <c r="M10" s="22"/>
      <c r="N10" s="22"/>
      <c r="O10" s="22"/>
      <c r="P10" s="22"/>
      <c r="Q10" s="22"/>
      <c r="R10" s="36"/>
      <c r="S10" s="44"/>
      <c r="T10" s="47"/>
      <c r="U10" s="52">
        <f t="shared" si="2"/>
        <v>0</v>
      </c>
      <c r="V10" s="23" t="str">
        <f t="shared" si="3"/>
        <v>OK</v>
      </c>
    </row>
    <row r="11" spans="1:22" hidden="1" x14ac:dyDescent="0.3">
      <c r="A11" s="62" t="s">
        <v>80</v>
      </c>
      <c r="B11" s="62">
        <v>14830</v>
      </c>
      <c r="C11" s="12" t="s">
        <v>47</v>
      </c>
      <c r="D11" s="53"/>
      <c r="E11" s="13"/>
      <c r="F11" s="13"/>
      <c r="G11" s="14"/>
      <c r="H11" s="15"/>
      <c r="I11" s="16">
        <f t="shared" si="4"/>
        <v>0</v>
      </c>
      <c r="J11" s="16"/>
      <c r="K11" s="11"/>
      <c r="L11" s="16"/>
      <c r="M11" s="16"/>
      <c r="N11" s="16"/>
      <c r="O11" s="16"/>
      <c r="P11" s="16"/>
      <c r="Q11" s="16"/>
      <c r="R11" s="35"/>
      <c r="S11" s="43"/>
      <c r="T11" s="46"/>
      <c r="U11" s="51">
        <f t="shared" si="2"/>
        <v>0</v>
      </c>
      <c r="V11" s="17" t="str">
        <f t="shared" si="3"/>
        <v>OK</v>
      </c>
    </row>
    <row r="12" spans="1:22" hidden="1" x14ac:dyDescent="0.3">
      <c r="A12" s="63" t="s">
        <v>35</v>
      </c>
      <c r="B12" s="63">
        <v>6004</v>
      </c>
      <c r="C12" s="18" t="s">
        <v>48</v>
      </c>
      <c r="D12" s="19"/>
      <c r="E12" s="19"/>
      <c r="F12" s="19"/>
      <c r="G12" s="20"/>
      <c r="H12" s="21"/>
      <c r="I12" s="22">
        <f t="shared" si="4"/>
        <v>0</v>
      </c>
      <c r="J12" s="22"/>
      <c r="K12" s="11"/>
      <c r="L12" s="22"/>
      <c r="M12" s="22"/>
      <c r="N12" s="22"/>
      <c r="O12" s="22"/>
      <c r="P12" s="22"/>
      <c r="Q12" s="22"/>
      <c r="R12" s="36"/>
      <c r="S12" s="44"/>
      <c r="T12" s="47"/>
      <c r="U12" s="52">
        <f t="shared" si="2"/>
        <v>0</v>
      </c>
      <c r="V12" s="23" t="str">
        <f t="shared" si="3"/>
        <v>OK</v>
      </c>
    </row>
    <row r="13" spans="1:22" hidden="1" x14ac:dyDescent="0.3">
      <c r="A13" s="62" t="s">
        <v>36</v>
      </c>
      <c r="B13" s="62">
        <v>11857</v>
      </c>
      <c r="C13" s="12" t="s">
        <v>48</v>
      </c>
      <c r="D13" s="53"/>
      <c r="E13" s="13"/>
      <c r="F13" s="13"/>
      <c r="G13" s="14"/>
      <c r="H13" s="15"/>
      <c r="I13" s="16">
        <f t="shared" si="4"/>
        <v>0</v>
      </c>
      <c r="J13" s="16"/>
      <c r="K13" s="11"/>
      <c r="L13" s="16"/>
      <c r="M13" s="16"/>
      <c r="N13" s="16"/>
      <c r="O13" s="16"/>
      <c r="P13" s="16"/>
      <c r="Q13" s="16"/>
      <c r="R13" s="35"/>
      <c r="S13" s="43"/>
      <c r="T13" s="46"/>
      <c r="U13" s="51">
        <f t="shared" si="2"/>
        <v>0</v>
      </c>
      <c r="V13" s="17" t="str">
        <f t="shared" si="3"/>
        <v>OK</v>
      </c>
    </row>
    <row r="14" spans="1:22" hidden="1" x14ac:dyDescent="0.3">
      <c r="A14" s="63" t="s">
        <v>82</v>
      </c>
      <c r="B14" s="63">
        <v>15004</v>
      </c>
      <c r="C14" s="18" t="s">
        <v>48</v>
      </c>
      <c r="D14" s="19"/>
      <c r="E14" s="19"/>
      <c r="F14" s="19"/>
      <c r="G14" s="20"/>
      <c r="H14" s="21"/>
      <c r="I14" s="22">
        <f t="shared" si="4"/>
        <v>0</v>
      </c>
      <c r="J14" s="22"/>
      <c r="K14" s="11"/>
      <c r="L14" s="22"/>
      <c r="M14" s="22"/>
      <c r="N14" s="22"/>
      <c r="O14" s="22"/>
      <c r="P14" s="22"/>
      <c r="Q14" s="22"/>
      <c r="R14" s="36"/>
      <c r="S14" s="44"/>
      <c r="T14" s="47"/>
      <c r="U14" s="52">
        <f t="shared" si="2"/>
        <v>0</v>
      </c>
      <c r="V14" s="23" t="str">
        <f t="shared" si="3"/>
        <v>OK</v>
      </c>
    </row>
    <row r="15" spans="1:22" hidden="1" x14ac:dyDescent="0.3">
      <c r="A15" s="62" t="s">
        <v>86</v>
      </c>
      <c r="B15" s="62">
        <v>15174</v>
      </c>
      <c r="C15" s="12" t="s">
        <v>45</v>
      </c>
      <c r="D15" s="53"/>
      <c r="E15" s="13"/>
      <c r="F15" s="13"/>
      <c r="G15" s="14"/>
      <c r="H15" s="15"/>
      <c r="I15" s="16">
        <f t="shared" si="4"/>
        <v>0</v>
      </c>
      <c r="J15" s="16"/>
      <c r="K15" s="11"/>
      <c r="L15" s="16"/>
      <c r="M15" s="16"/>
      <c r="N15" s="16"/>
      <c r="O15" s="16"/>
      <c r="P15" s="16"/>
      <c r="Q15" s="16"/>
      <c r="R15" s="35"/>
      <c r="S15" s="43"/>
      <c r="T15" s="46"/>
      <c r="U15" s="51">
        <f t="shared" si="2"/>
        <v>0</v>
      </c>
      <c r="V15" s="17" t="str">
        <f t="shared" si="3"/>
        <v>OK</v>
      </c>
    </row>
    <row r="16" spans="1:22" hidden="1" x14ac:dyDescent="0.3">
      <c r="A16" s="63" t="s">
        <v>87</v>
      </c>
      <c r="B16" s="63">
        <v>15520</v>
      </c>
      <c r="C16" s="18" t="s">
        <v>47</v>
      </c>
      <c r="D16" s="19"/>
      <c r="E16" s="19"/>
      <c r="F16" s="19"/>
      <c r="G16" s="20"/>
      <c r="H16" s="21"/>
      <c r="I16" s="22">
        <f t="shared" si="4"/>
        <v>0</v>
      </c>
      <c r="J16" s="22"/>
      <c r="K16" s="11"/>
      <c r="L16" s="22"/>
      <c r="M16" s="22"/>
      <c r="N16" s="22"/>
      <c r="O16" s="22"/>
      <c r="P16" s="22"/>
      <c r="Q16" s="22"/>
      <c r="R16" s="36"/>
      <c r="S16" s="44"/>
      <c r="T16" s="47"/>
      <c r="U16" s="52">
        <f t="shared" si="2"/>
        <v>0</v>
      </c>
      <c r="V16" s="23" t="str">
        <f t="shared" si="3"/>
        <v>OK</v>
      </c>
    </row>
    <row r="17" spans="1:22" x14ac:dyDescent="0.3">
      <c r="A17" s="62" t="s">
        <v>85</v>
      </c>
      <c r="B17" s="62">
        <v>14989</v>
      </c>
      <c r="C17" s="12" t="s">
        <v>45</v>
      </c>
      <c r="D17" s="53"/>
      <c r="E17" s="13"/>
      <c r="F17" s="13"/>
      <c r="G17" s="14"/>
      <c r="H17" s="15"/>
      <c r="I17" s="16">
        <f t="shared" si="4"/>
        <v>5</v>
      </c>
      <c r="J17" s="16"/>
      <c r="K17" s="11"/>
      <c r="L17" s="16"/>
      <c r="M17" s="16">
        <v>5</v>
      </c>
      <c r="N17" s="16"/>
      <c r="O17" s="16"/>
      <c r="P17" s="16"/>
      <c r="Q17" s="16"/>
      <c r="R17" s="35"/>
      <c r="S17" s="43"/>
      <c r="T17" s="46"/>
      <c r="U17" s="51">
        <f t="shared" si="2"/>
        <v>5</v>
      </c>
      <c r="V17" s="17" t="str">
        <f t="shared" si="3"/>
        <v>OK</v>
      </c>
    </row>
    <row r="18" spans="1:22" hidden="1" x14ac:dyDescent="0.3">
      <c r="A18" s="63" t="s">
        <v>84</v>
      </c>
      <c r="B18" s="63">
        <v>14984</v>
      </c>
      <c r="C18" s="18" t="s">
        <v>46</v>
      </c>
      <c r="D18" s="19"/>
      <c r="E18" s="19"/>
      <c r="F18" s="19"/>
      <c r="G18" s="20"/>
      <c r="H18" s="21"/>
      <c r="I18" s="22">
        <f t="shared" si="4"/>
        <v>0</v>
      </c>
      <c r="J18" s="22"/>
      <c r="K18" s="11"/>
      <c r="L18" s="22"/>
      <c r="M18" s="22"/>
      <c r="N18" s="22"/>
      <c r="O18" s="22"/>
      <c r="P18" s="22"/>
      <c r="Q18" s="22"/>
      <c r="R18" s="36"/>
      <c r="S18" s="44"/>
      <c r="T18" s="47"/>
      <c r="U18" s="52">
        <f t="shared" si="2"/>
        <v>0</v>
      </c>
      <c r="V18" s="23" t="str">
        <f t="shared" si="3"/>
        <v>OK</v>
      </c>
    </row>
    <row r="19" spans="1:22" hidden="1" x14ac:dyDescent="0.3">
      <c r="A19" s="62" t="s">
        <v>88</v>
      </c>
      <c r="B19" s="62">
        <v>16270</v>
      </c>
      <c r="C19" s="12" t="s">
        <v>89</v>
      </c>
      <c r="D19" s="53"/>
      <c r="E19" s="13"/>
      <c r="F19" s="13"/>
      <c r="G19" s="14"/>
      <c r="H19" s="15"/>
      <c r="I19" s="16">
        <f t="shared" si="4"/>
        <v>0</v>
      </c>
      <c r="J19" s="16"/>
      <c r="K19" s="11"/>
      <c r="L19" s="16"/>
      <c r="M19" s="16"/>
      <c r="N19" s="16"/>
      <c r="O19" s="16"/>
      <c r="P19" s="16"/>
      <c r="Q19" s="16"/>
      <c r="R19" s="35"/>
      <c r="S19" s="43"/>
      <c r="T19" s="46"/>
      <c r="U19" s="51">
        <f t="shared" si="2"/>
        <v>0</v>
      </c>
      <c r="V19" s="17" t="str">
        <f t="shared" si="3"/>
        <v>OK</v>
      </c>
    </row>
    <row r="20" spans="1:22" hidden="1" x14ac:dyDescent="0.3">
      <c r="A20" s="63" t="s">
        <v>98</v>
      </c>
      <c r="B20" s="63">
        <v>19060</v>
      </c>
      <c r="C20" s="18" t="s">
        <v>47</v>
      </c>
      <c r="D20" s="19"/>
      <c r="E20" s="19"/>
      <c r="F20" s="19"/>
      <c r="G20" s="20"/>
      <c r="H20" s="21"/>
      <c r="I20" s="22">
        <f t="shared" si="4"/>
        <v>0</v>
      </c>
      <c r="J20" s="22"/>
      <c r="K20" s="11"/>
      <c r="L20" s="22"/>
      <c r="M20" s="22"/>
      <c r="N20" s="22"/>
      <c r="O20" s="22"/>
      <c r="P20" s="22"/>
      <c r="Q20" s="22"/>
      <c r="R20" s="36"/>
      <c r="S20" s="44"/>
      <c r="T20" s="47"/>
      <c r="U20" s="52">
        <f t="shared" si="2"/>
        <v>0</v>
      </c>
      <c r="V20" s="23" t="str">
        <f t="shared" si="3"/>
        <v>OK</v>
      </c>
    </row>
    <row r="21" spans="1:22" hidden="1" x14ac:dyDescent="0.3">
      <c r="A21" s="62" t="s">
        <v>99</v>
      </c>
      <c r="B21" s="62">
        <v>18828</v>
      </c>
      <c r="C21" s="12" t="s">
        <v>94</v>
      </c>
      <c r="D21" s="53"/>
      <c r="E21" s="13"/>
      <c r="F21" s="13"/>
      <c r="G21" s="14"/>
      <c r="H21" s="15"/>
      <c r="I21" s="16">
        <f t="shared" si="4"/>
        <v>0</v>
      </c>
      <c r="J21" s="16"/>
      <c r="K21" s="11"/>
      <c r="L21" s="16"/>
      <c r="M21" s="16"/>
      <c r="N21" s="16"/>
      <c r="O21" s="16"/>
      <c r="P21" s="16"/>
      <c r="Q21" s="16"/>
      <c r="R21" s="35"/>
      <c r="S21" s="43"/>
      <c r="T21" s="46"/>
      <c r="U21" s="51">
        <f t="shared" si="2"/>
        <v>0</v>
      </c>
      <c r="V21" s="17" t="str">
        <f t="shared" si="3"/>
        <v>OK</v>
      </c>
    </row>
    <row r="22" spans="1:22" hidden="1" x14ac:dyDescent="0.3">
      <c r="A22" s="63" t="s">
        <v>23</v>
      </c>
      <c r="B22" s="63">
        <v>5695</v>
      </c>
      <c r="C22" s="18" t="s">
        <v>49</v>
      </c>
      <c r="D22" s="19"/>
      <c r="E22" s="19"/>
      <c r="F22" s="19"/>
      <c r="G22" s="20"/>
      <c r="H22" s="21"/>
      <c r="I22" s="22">
        <f t="shared" si="4"/>
        <v>0</v>
      </c>
      <c r="J22" s="22"/>
      <c r="K22" s="11"/>
      <c r="L22" s="22"/>
      <c r="M22" s="22"/>
      <c r="N22" s="22"/>
      <c r="O22" s="22"/>
      <c r="P22" s="22"/>
      <c r="Q22" s="22"/>
      <c r="R22" s="36"/>
      <c r="S22" s="44"/>
      <c r="T22" s="47"/>
      <c r="U22" s="52">
        <f t="shared" si="2"/>
        <v>0</v>
      </c>
      <c r="V22" s="23" t="str">
        <f t="shared" si="3"/>
        <v>OK</v>
      </c>
    </row>
    <row r="23" spans="1:22" hidden="1" x14ac:dyDescent="0.3">
      <c r="A23" s="62" t="s">
        <v>24</v>
      </c>
      <c r="B23" s="62">
        <v>5691</v>
      </c>
      <c r="C23" s="12" t="s">
        <v>50</v>
      </c>
      <c r="D23" s="53"/>
      <c r="E23" s="13"/>
      <c r="F23" s="13"/>
      <c r="G23" s="14"/>
      <c r="H23" s="15"/>
      <c r="I23" s="16">
        <f t="shared" si="4"/>
        <v>0</v>
      </c>
      <c r="J23" s="16"/>
      <c r="K23" s="11"/>
      <c r="L23" s="16"/>
      <c r="M23" s="16"/>
      <c r="N23" s="16"/>
      <c r="O23" s="16"/>
      <c r="P23" s="16"/>
      <c r="Q23" s="16"/>
      <c r="R23" s="35"/>
      <c r="S23" s="43"/>
      <c r="T23" s="46"/>
      <c r="U23" s="51">
        <f t="shared" si="2"/>
        <v>0</v>
      </c>
      <c r="V23" s="17" t="str">
        <f t="shared" si="3"/>
        <v>OK</v>
      </c>
    </row>
    <row r="24" spans="1:22" hidden="1" x14ac:dyDescent="0.3">
      <c r="A24" s="63" t="s">
        <v>37</v>
      </c>
      <c r="B24" s="63">
        <v>5687</v>
      </c>
      <c r="C24" s="18" t="s">
        <v>51</v>
      </c>
      <c r="D24" s="19"/>
      <c r="E24" s="19"/>
      <c r="F24" s="19"/>
      <c r="G24" s="20"/>
      <c r="H24" s="21"/>
      <c r="I24" s="22">
        <f t="shared" si="4"/>
        <v>0</v>
      </c>
      <c r="J24" s="22"/>
      <c r="K24" s="11"/>
      <c r="L24" s="22"/>
      <c r="M24" s="22"/>
      <c r="N24" s="22"/>
      <c r="O24" s="22"/>
      <c r="P24" s="22"/>
      <c r="Q24" s="22"/>
      <c r="R24" s="36"/>
      <c r="S24" s="44"/>
      <c r="T24" s="47"/>
      <c r="U24" s="52">
        <f t="shared" si="2"/>
        <v>0</v>
      </c>
      <c r="V24" s="23" t="str">
        <f t="shared" si="3"/>
        <v>OK</v>
      </c>
    </row>
    <row r="25" spans="1:22" hidden="1" x14ac:dyDescent="0.3">
      <c r="A25" s="62" t="s">
        <v>38</v>
      </c>
      <c r="B25" s="62">
        <v>5683</v>
      </c>
      <c r="C25" s="12" t="s">
        <v>51</v>
      </c>
      <c r="D25" s="53"/>
      <c r="E25" s="13"/>
      <c r="F25" s="13"/>
      <c r="G25" s="14"/>
      <c r="H25" s="15"/>
      <c r="I25" s="16">
        <f t="shared" si="4"/>
        <v>0</v>
      </c>
      <c r="J25" s="16"/>
      <c r="K25" s="11"/>
      <c r="L25" s="16"/>
      <c r="M25" s="16"/>
      <c r="N25" s="16"/>
      <c r="O25" s="16"/>
      <c r="P25" s="16"/>
      <c r="Q25" s="16"/>
      <c r="R25" s="35"/>
      <c r="S25" s="43"/>
      <c r="T25" s="46"/>
      <c r="U25" s="51">
        <f t="shared" si="2"/>
        <v>0</v>
      </c>
      <c r="V25" s="17" t="str">
        <f t="shared" si="3"/>
        <v>OK</v>
      </c>
    </row>
    <row r="26" spans="1:22" hidden="1" x14ac:dyDescent="0.3">
      <c r="A26" s="63" t="s">
        <v>25</v>
      </c>
      <c r="B26" s="63">
        <v>5679</v>
      </c>
      <c r="C26" s="18" t="s">
        <v>52</v>
      </c>
      <c r="D26" s="19"/>
      <c r="E26" s="19"/>
      <c r="F26" s="19"/>
      <c r="G26" s="20"/>
      <c r="H26" s="21"/>
      <c r="I26" s="22">
        <f t="shared" si="4"/>
        <v>0</v>
      </c>
      <c r="J26" s="22"/>
      <c r="K26" s="11"/>
      <c r="L26" s="22"/>
      <c r="M26" s="22"/>
      <c r="N26" s="22"/>
      <c r="O26" s="22"/>
      <c r="P26" s="22"/>
      <c r="Q26" s="22"/>
      <c r="R26" s="36"/>
      <c r="S26" s="44"/>
      <c r="T26" s="47"/>
      <c r="U26" s="52">
        <f t="shared" si="2"/>
        <v>0</v>
      </c>
      <c r="V26" s="23" t="str">
        <f t="shared" si="3"/>
        <v>OK</v>
      </c>
    </row>
    <row r="27" spans="1:22" x14ac:dyDescent="0.3">
      <c r="A27" s="62" t="s">
        <v>39</v>
      </c>
      <c r="B27" s="62">
        <v>5675</v>
      </c>
      <c r="C27" s="12" t="s">
        <v>53</v>
      </c>
      <c r="D27" s="53"/>
      <c r="E27" s="13"/>
      <c r="F27" s="13"/>
      <c r="G27" s="14"/>
      <c r="H27" s="15"/>
      <c r="I27" s="16">
        <f t="shared" si="4"/>
        <v>3</v>
      </c>
      <c r="J27" s="16"/>
      <c r="K27" s="11"/>
      <c r="L27" s="16"/>
      <c r="M27" s="16">
        <v>3</v>
      </c>
      <c r="N27" s="16"/>
      <c r="O27" s="16"/>
      <c r="P27" s="16"/>
      <c r="Q27" s="16"/>
      <c r="R27" s="35"/>
      <c r="S27" s="43"/>
      <c r="T27" s="46"/>
      <c r="U27" s="51">
        <f t="shared" si="2"/>
        <v>3</v>
      </c>
      <c r="V27" s="17" t="str">
        <f t="shared" si="3"/>
        <v>OK</v>
      </c>
    </row>
    <row r="28" spans="1:22" hidden="1" x14ac:dyDescent="0.3">
      <c r="A28" s="63" t="s">
        <v>26</v>
      </c>
      <c r="B28" s="63">
        <v>5671</v>
      </c>
      <c r="C28" s="18" t="s">
        <v>49</v>
      </c>
      <c r="D28" s="19"/>
      <c r="E28" s="19"/>
      <c r="F28" s="19"/>
      <c r="G28" s="20"/>
      <c r="H28" s="21"/>
      <c r="I28" s="22">
        <f t="shared" si="4"/>
        <v>0</v>
      </c>
      <c r="J28" s="22"/>
      <c r="K28" s="11"/>
      <c r="L28" s="22"/>
      <c r="M28" s="22"/>
      <c r="N28" s="22"/>
      <c r="O28" s="22"/>
      <c r="P28" s="22"/>
      <c r="Q28" s="22"/>
      <c r="R28" s="36"/>
      <c r="S28" s="44"/>
      <c r="T28" s="47"/>
      <c r="U28" s="52">
        <f t="shared" si="2"/>
        <v>0</v>
      </c>
      <c r="V28" s="23" t="str">
        <f t="shared" si="3"/>
        <v>OK</v>
      </c>
    </row>
    <row r="29" spans="1:22" hidden="1" x14ac:dyDescent="0.3">
      <c r="A29" s="62" t="s">
        <v>40</v>
      </c>
      <c r="B29" s="62">
        <v>5667</v>
      </c>
      <c r="C29" s="12" t="s">
        <v>50</v>
      </c>
      <c r="D29" s="53"/>
      <c r="E29" s="13"/>
      <c r="F29" s="13"/>
      <c r="G29" s="14"/>
      <c r="H29" s="15"/>
      <c r="I29" s="16">
        <f t="shared" si="4"/>
        <v>0</v>
      </c>
      <c r="J29" s="16"/>
      <c r="K29" s="11"/>
      <c r="L29" s="16"/>
      <c r="M29" s="16"/>
      <c r="N29" s="16"/>
      <c r="O29" s="16"/>
      <c r="P29" s="16"/>
      <c r="Q29" s="16"/>
      <c r="R29" s="35"/>
      <c r="S29" s="43"/>
      <c r="T29" s="46"/>
      <c r="U29" s="51">
        <f t="shared" si="2"/>
        <v>0</v>
      </c>
      <c r="V29" s="17" t="str">
        <f t="shared" si="3"/>
        <v>OK</v>
      </c>
    </row>
    <row r="30" spans="1:22" hidden="1" x14ac:dyDescent="0.3">
      <c r="A30" s="63" t="s">
        <v>41</v>
      </c>
      <c r="B30" s="63">
        <v>5663</v>
      </c>
      <c r="C30" s="18" t="s">
        <v>51</v>
      </c>
      <c r="D30" s="19"/>
      <c r="E30" s="19"/>
      <c r="F30" s="19"/>
      <c r="G30" s="20"/>
      <c r="H30" s="21"/>
      <c r="I30" s="22">
        <f t="shared" si="4"/>
        <v>0</v>
      </c>
      <c r="J30" s="22"/>
      <c r="K30" s="11"/>
      <c r="L30" s="22"/>
      <c r="M30" s="22"/>
      <c r="N30" s="22"/>
      <c r="O30" s="22"/>
      <c r="P30" s="22"/>
      <c r="Q30" s="22"/>
      <c r="R30" s="36"/>
      <c r="S30" s="44"/>
      <c r="T30" s="47"/>
      <c r="U30" s="52">
        <f t="shared" si="2"/>
        <v>0</v>
      </c>
      <c r="V30" s="23" t="str">
        <f t="shared" si="3"/>
        <v>OK</v>
      </c>
    </row>
    <row r="31" spans="1:22" hidden="1" x14ac:dyDescent="0.3">
      <c r="A31" s="62" t="s">
        <v>42</v>
      </c>
      <c r="B31" s="62">
        <v>5659</v>
      </c>
      <c r="C31" s="12" t="s">
        <v>52</v>
      </c>
      <c r="D31" s="53"/>
      <c r="E31" s="13"/>
      <c r="F31" s="13"/>
      <c r="G31" s="14"/>
      <c r="H31" s="15"/>
      <c r="I31" s="16">
        <f t="shared" si="4"/>
        <v>0</v>
      </c>
      <c r="J31" s="16"/>
      <c r="K31" s="11"/>
      <c r="L31" s="16"/>
      <c r="M31" s="16"/>
      <c r="N31" s="16"/>
      <c r="O31" s="16"/>
      <c r="P31" s="16"/>
      <c r="Q31" s="16"/>
      <c r="R31" s="35"/>
      <c r="S31" s="43"/>
      <c r="T31" s="46"/>
      <c r="U31" s="51">
        <f t="shared" si="2"/>
        <v>0</v>
      </c>
      <c r="V31" s="17" t="str">
        <f t="shared" si="3"/>
        <v>OK</v>
      </c>
    </row>
    <row r="32" spans="1:22" hidden="1" x14ac:dyDescent="0.3">
      <c r="A32" s="63" t="s">
        <v>27</v>
      </c>
      <c r="B32" s="63">
        <v>5655</v>
      </c>
      <c r="C32" s="18" t="s">
        <v>54</v>
      </c>
      <c r="D32" s="19"/>
      <c r="E32" s="19"/>
      <c r="F32" s="19"/>
      <c r="G32" s="20"/>
      <c r="H32" s="21"/>
      <c r="I32" s="22">
        <f t="shared" si="4"/>
        <v>0</v>
      </c>
      <c r="J32" s="22"/>
      <c r="K32" s="11"/>
      <c r="L32" s="22"/>
      <c r="M32" s="22"/>
      <c r="N32" s="22"/>
      <c r="O32" s="22"/>
      <c r="P32" s="22"/>
      <c r="Q32" s="22"/>
      <c r="R32" s="36"/>
      <c r="S32" s="44"/>
      <c r="T32" s="47"/>
      <c r="U32" s="52">
        <f t="shared" si="2"/>
        <v>0</v>
      </c>
      <c r="V32" s="23" t="str">
        <f t="shared" si="3"/>
        <v>OK</v>
      </c>
    </row>
    <row r="33" spans="1:22" hidden="1" x14ac:dyDescent="0.3">
      <c r="A33" s="62" t="s">
        <v>70</v>
      </c>
      <c r="B33" s="62">
        <v>5651</v>
      </c>
      <c r="C33" s="12" t="s">
        <v>55</v>
      </c>
      <c r="D33" s="53"/>
      <c r="E33" s="13"/>
      <c r="F33" s="13"/>
      <c r="G33" s="14"/>
      <c r="H33" s="15"/>
      <c r="I33" s="16">
        <f t="shared" si="4"/>
        <v>0</v>
      </c>
      <c r="J33" s="16"/>
      <c r="K33" s="11"/>
      <c r="L33" s="16"/>
      <c r="M33" s="16"/>
      <c r="N33" s="16"/>
      <c r="O33" s="16"/>
      <c r="P33" s="16"/>
      <c r="Q33" s="16"/>
      <c r="R33" s="35"/>
      <c r="S33" s="43"/>
      <c r="T33" s="46"/>
      <c r="U33" s="51">
        <f t="shared" si="2"/>
        <v>0</v>
      </c>
      <c r="V33" s="17" t="str">
        <f t="shared" si="3"/>
        <v>OK</v>
      </c>
    </row>
    <row r="34" spans="1:22" hidden="1" x14ac:dyDescent="0.3">
      <c r="A34" s="63" t="s">
        <v>71</v>
      </c>
      <c r="B34" s="63">
        <v>5643</v>
      </c>
      <c r="C34" s="18" t="s">
        <v>56</v>
      </c>
      <c r="D34" s="19"/>
      <c r="E34" s="19"/>
      <c r="F34" s="19"/>
      <c r="G34" s="20"/>
      <c r="H34" s="21"/>
      <c r="I34" s="22">
        <f t="shared" si="4"/>
        <v>0</v>
      </c>
      <c r="J34" s="22"/>
      <c r="K34" s="11"/>
      <c r="L34" s="22"/>
      <c r="M34" s="22"/>
      <c r="N34" s="22"/>
      <c r="O34" s="22"/>
      <c r="P34" s="22"/>
      <c r="Q34" s="22"/>
      <c r="R34" s="36"/>
      <c r="S34" s="44"/>
      <c r="T34" s="47"/>
      <c r="U34" s="52">
        <f t="shared" si="2"/>
        <v>0</v>
      </c>
      <c r="V34" s="23" t="str">
        <f t="shared" si="3"/>
        <v>OK</v>
      </c>
    </row>
    <row r="35" spans="1:22" hidden="1" x14ac:dyDescent="0.3">
      <c r="A35" s="62" t="s">
        <v>57</v>
      </c>
      <c r="B35" s="62">
        <v>11350</v>
      </c>
      <c r="C35" s="12" t="s">
        <v>56</v>
      </c>
      <c r="D35" s="53"/>
      <c r="E35" s="13"/>
      <c r="F35" s="13"/>
      <c r="G35" s="14"/>
      <c r="H35" s="15"/>
      <c r="I35" s="16">
        <f t="shared" si="4"/>
        <v>0</v>
      </c>
      <c r="J35" s="16"/>
      <c r="K35" s="11"/>
      <c r="L35" s="16"/>
      <c r="M35" s="16"/>
      <c r="N35" s="16"/>
      <c r="O35" s="16"/>
      <c r="P35" s="16"/>
      <c r="Q35" s="16"/>
      <c r="R35" s="35"/>
      <c r="S35" s="43"/>
      <c r="T35" s="46"/>
      <c r="U35" s="51">
        <f t="shared" si="2"/>
        <v>0</v>
      </c>
      <c r="V35" s="17" t="str">
        <f t="shared" si="3"/>
        <v>OK</v>
      </c>
    </row>
    <row r="36" spans="1:22" hidden="1" x14ac:dyDescent="0.3">
      <c r="A36" s="63" t="s">
        <v>72</v>
      </c>
      <c r="B36" s="63">
        <v>5635</v>
      </c>
      <c r="C36" s="18" t="s">
        <v>55</v>
      </c>
      <c r="D36" s="19"/>
      <c r="E36" s="19"/>
      <c r="F36" s="19"/>
      <c r="G36" s="20"/>
      <c r="H36" s="21"/>
      <c r="I36" s="22">
        <f t="shared" si="4"/>
        <v>0</v>
      </c>
      <c r="J36" s="22"/>
      <c r="K36" s="11"/>
      <c r="L36" s="22"/>
      <c r="M36" s="22"/>
      <c r="N36" s="22"/>
      <c r="O36" s="22"/>
      <c r="P36" s="22"/>
      <c r="Q36" s="22"/>
      <c r="R36" s="36"/>
      <c r="S36" s="44"/>
      <c r="T36" s="47"/>
      <c r="U36" s="52">
        <f t="shared" si="2"/>
        <v>0</v>
      </c>
      <c r="V36" s="23" t="str">
        <f t="shared" si="3"/>
        <v>OK</v>
      </c>
    </row>
    <row r="37" spans="1:22" hidden="1" x14ac:dyDescent="0.3">
      <c r="A37" s="62" t="s">
        <v>58</v>
      </c>
      <c r="B37" s="62">
        <v>11349</v>
      </c>
      <c r="C37" s="12" t="s">
        <v>55</v>
      </c>
      <c r="D37" s="53"/>
      <c r="E37" s="13"/>
      <c r="F37" s="13"/>
      <c r="G37" s="14"/>
      <c r="H37" s="15"/>
      <c r="I37" s="16">
        <f t="shared" si="4"/>
        <v>0</v>
      </c>
      <c r="J37" s="16"/>
      <c r="K37" s="11"/>
      <c r="L37" s="16"/>
      <c r="M37" s="16"/>
      <c r="N37" s="16"/>
      <c r="O37" s="16"/>
      <c r="P37" s="16"/>
      <c r="Q37" s="16"/>
      <c r="R37" s="35"/>
      <c r="S37" s="43"/>
      <c r="T37" s="46"/>
      <c r="U37" s="51">
        <f t="shared" ref="U37:U55" si="5">SUM(L37:T37)</f>
        <v>0</v>
      </c>
      <c r="V37" s="17" t="str">
        <f t="shared" si="3"/>
        <v>OK</v>
      </c>
    </row>
    <row r="38" spans="1:22" hidden="1" x14ac:dyDescent="0.3">
      <c r="A38" s="63" t="s">
        <v>73</v>
      </c>
      <c r="B38" s="63">
        <v>5627</v>
      </c>
      <c r="C38" s="18" t="s">
        <v>56</v>
      </c>
      <c r="D38" s="19"/>
      <c r="E38" s="19"/>
      <c r="F38" s="19"/>
      <c r="G38" s="20"/>
      <c r="H38" s="21"/>
      <c r="I38" s="22">
        <f t="shared" si="4"/>
        <v>0</v>
      </c>
      <c r="J38" s="22"/>
      <c r="K38" s="11"/>
      <c r="L38" s="22"/>
      <c r="M38" s="22"/>
      <c r="N38" s="22"/>
      <c r="O38" s="22"/>
      <c r="P38" s="22"/>
      <c r="Q38" s="22"/>
      <c r="R38" s="36"/>
      <c r="S38" s="44"/>
      <c r="T38" s="47"/>
      <c r="U38" s="52">
        <f t="shared" si="5"/>
        <v>0</v>
      </c>
      <c r="V38" s="23" t="str">
        <f t="shared" si="3"/>
        <v>OK</v>
      </c>
    </row>
    <row r="39" spans="1:22" hidden="1" x14ac:dyDescent="0.3">
      <c r="A39" s="62" t="s">
        <v>59</v>
      </c>
      <c r="B39" s="62">
        <v>11348</v>
      </c>
      <c r="C39" s="12" t="s">
        <v>56</v>
      </c>
      <c r="D39" s="53"/>
      <c r="E39" s="13"/>
      <c r="F39" s="13"/>
      <c r="G39" s="14"/>
      <c r="H39" s="15"/>
      <c r="I39" s="16">
        <f t="shared" si="4"/>
        <v>0</v>
      </c>
      <c r="J39" s="16"/>
      <c r="K39" s="11"/>
      <c r="L39" s="16"/>
      <c r="M39" s="16"/>
      <c r="N39" s="16"/>
      <c r="O39" s="16"/>
      <c r="P39" s="16"/>
      <c r="Q39" s="16"/>
      <c r="R39" s="35"/>
      <c r="S39" s="43"/>
      <c r="T39" s="46"/>
      <c r="U39" s="51">
        <f t="shared" si="5"/>
        <v>0</v>
      </c>
      <c r="V39" s="17" t="str">
        <f t="shared" si="3"/>
        <v>OK</v>
      </c>
    </row>
    <row r="40" spans="1:22" hidden="1" x14ac:dyDescent="0.3">
      <c r="A40" s="63" t="s">
        <v>74</v>
      </c>
      <c r="B40" s="63">
        <v>5619</v>
      </c>
      <c r="C40" s="18" t="s">
        <v>60</v>
      </c>
      <c r="D40" s="19"/>
      <c r="E40" s="19"/>
      <c r="F40" s="19"/>
      <c r="G40" s="20"/>
      <c r="H40" s="21"/>
      <c r="I40" s="22">
        <f t="shared" si="4"/>
        <v>0</v>
      </c>
      <c r="J40" s="22"/>
      <c r="K40" s="11"/>
      <c r="L40" s="22"/>
      <c r="M40" s="22"/>
      <c r="N40" s="22"/>
      <c r="O40" s="22"/>
      <c r="P40" s="22"/>
      <c r="Q40" s="22"/>
      <c r="R40" s="36"/>
      <c r="S40" s="44"/>
      <c r="T40" s="47"/>
      <c r="U40" s="52">
        <f t="shared" si="5"/>
        <v>0</v>
      </c>
      <c r="V40" s="23" t="str">
        <f t="shared" si="3"/>
        <v>OK</v>
      </c>
    </row>
    <row r="41" spans="1:22" hidden="1" x14ac:dyDescent="0.3">
      <c r="A41" s="64" t="s">
        <v>61</v>
      </c>
      <c r="B41" s="62">
        <v>11347</v>
      </c>
      <c r="C41" s="12" t="s">
        <v>60</v>
      </c>
      <c r="D41" s="53"/>
      <c r="E41" s="13"/>
      <c r="F41" s="13"/>
      <c r="G41" s="14"/>
      <c r="H41" s="15"/>
      <c r="I41" s="16">
        <f t="shared" si="4"/>
        <v>0</v>
      </c>
      <c r="J41" s="16"/>
      <c r="K41" s="11"/>
      <c r="L41" s="16"/>
      <c r="M41" s="16"/>
      <c r="N41" s="16"/>
      <c r="O41" s="16"/>
      <c r="P41" s="16"/>
      <c r="Q41" s="16"/>
      <c r="R41" s="35"/>
      <c r="S41" s="43"/>
      <c r="T41" s="46"/>
      <c r="U41" s="51">
        <f t="shared" si="5"/>
        <v>0</v>
      </c>
      <c r="V41" s="17" t="str">
        <f t="shared" si="3"/>
        <v>OK</v>
      </c>
    </row>
    <row r="42" spans="1:22" hidden="1" x14ac:dyDescent="0.3">
      <c r="A42" s="54" t="s">
        <v>75</v>
      </c>
      <c r="B42" s="63">
        <v>5611</v>
      </c>
      <c r="C42" s="18" t="s">
        <v>62</v>
      </c>
      <c r="D42" s="19"/>
      <c r="E42" s="19"/>
      <c r="F42" s="19"/>
      <c r="G42" s="20"/>
      <c r="H42" s="21"/>
      <c r="I42" s="22">
        <f t="shared" si="4"/>
        <v>0</v>
      </c>
      <c r="J42" s="22"/>
      <c r="K42" s="11"/>
      <c r="L42" s="22"/>
      <c r="M42" s="22"/>
      <c r="N42" s="22"/>
      <c r="O42" s="22"/>
      <c r="P42" s="22"/>
      <c r="Q42" s="22"/>
      <c r="R42" s="36"/>
      <c r="S42" s="44"/>
      <c r="T42" s="47"/>
      <c r="U42" s="52">
        <f t="shared" si="5"/>
        <v>0</v>
      </c>
      <c r="V42" s="23" t="str">
        <f t="shared" si="3"/>
        <v>OK</v>
      </c>
    </row>
    <row r="43" spans="1:22" hidden="1" x14ac:dyDescent="0.3">
      <c r="A43" s="12" t="s">
        <v>63</v>
      </c>
      <c r="B43" s="62">
        <v>11336</v>
      </c>
      <c r="C43" s="12" t="s">
        <v>62</v>
      </c>
      <c r="D43" s="53"/>
      <c r="E43" s="13"/>
      <c r="F43" s="13"/>
      <c r="G43" s="14"/>
      <c r="H43" s="15"/>
      <c r="I43" s="16">
        <f t="shared" si="4"/>
        <v>0</v>
      </c>
      <c r="J43" s="16"/>
      <c r="K43" s="11"/>
      <c r="L43" s="16"/>
      <c r="M43" s="16"/>
      <c r="N43" s="16"/>
      <c r="O43" s="16"/>
      <c r="P43" s="16"/>
      <c r="Q43" s="16"/>
      <c r="R43" s="35"/>
      <c r="S43" s="43"/>
      <c r="T43" s="46"/>
      <c r="U43" s="51">
        <f t="shared" si="5"/>
        <v>0</v>
      </c>
      <c r="V43" s="17" t="str">
        <f t="shared" si="3"/>
        <v>OK</v>
      </c>
    </row>
    <row r="44" spans="1:22" hidden="1" x14ac:dyDescent="0.3">
      <c r="A44" s="54" t="s">
        <v>100</v>
      </c>
      <c r="B44" s="63">
        <v>14860</v>
      </c>
      <c r="C44" s="18" t="s">
        <v>56</v>
      </c>
      <c r="D44" s="19"/>
      <c r="E44" s="19"/>
      <c r="F44" s="19"/>
      <c r="G44" s="20"/>
      <c r="H44" s="21"/>
      <c r="I44" s="22">
        <f t="shared" si="4"/>
        <v>0</v>
      </c>
      <c r="J44" s="22"/>
      <c r="K44" s="11"/>
      <c r="L44" s="22"/>
      <c r="M44" s="22"/>
      <c r="N44" s="22"/>
      <c r="O44" s="22"/>
      <c r="P44" s="22"/>
      <c r="Q44" s="22"/>
      <c r="R44" s="36"/>
      <c r="S44" s="44"/>
      <c r="T44" s="47"/>
      <c r="U44" s="52">
        <f t="shared" si="5"/>
        <v>0</v>
      </c>
      <c r="V44" s="23" t="str">
        <f t="shared" si="3"/>
        <v>OK</v>
      </c>
    </row>
    <row r="45" spans="1:22" hidden="1" x14ac:dyDescent="0.3">
      <c r="A45" s="64" t="s">
        <v>83</v>
      </c>
      <c r="B45" s="62">
        <v>14861</v>
      </c>
      <c r="C45" s="12" t="s">
        <v>56</v>
      </c>
      <c r="D45" s="53"/>
      <c r="E45" s="13"/>
      <c r="F45" s="13"/>
      <c r="G45" s="14"/>
      <c r="H45" s="15"/>
      <c r="I45" s="16">
        <f t="shared" si="4"/>
        <v>0</v>
      </c>
      <c r="J45" s="16"/>
      <c r="K45" s="11"/>
      <c r="L45" s="16"/>
      <c r="M45" s="16"/>
      <c r="N45" s="16"/>
      <c r="O45" s="16"/>
      <c r="P45" s="16"/>
      <c r="Q45" s="16"/>
      <c r="R45" s="35"/>
      <c r="S45" s="43"/>
      <c r="T45" s="46"/>
      <c r="U45" s="51">
        <f t="shared" si="5"/>
        <v>0</v>
      </c>
      <c r="V45" s="17" t="str">
        <f t="shared" si="3"/>
        <v>OK</v>
      </c>
    </row>
    <row r="46" spans="1:22" hidden="1" x14ac:dyDescent="0.3">
      <c r="A46" s="54" t="s">
        <v>101</v>
      </c>
      <c r="B46" s="63">
        <v>15096</v>
      </c>
      <c r="C46" s="18" t="s">
        <v>56</v>
      </c>
      <c r="D46" s="19"/>
      <c r="E46" s="19"/>
      <c r="F46" s="19"/>
      <c r="G46" s="20"/>
      <c r="H46" s="21"/>
      <c r="I46" s="22">
        <f t="shared" si="4"/>
        <v>0</v>
      </c>
      <c r="J46" s="22"/>
      <c r="K46" s="11"/>
      <c r="L46" s="22"/>
      <c r="M46" s="22"/>
      <c r="N46" s="22"/>
      <c r="O46" s="22"/>
      <c r="P46" s="22"/>
      <c r="Q46" s="22"/>
      <c r="R46" s="36"/>
      <c r="S46" s="44"/>
      <c r="T46" s="47"/>
      <c r="U46" s="52">
        <f t="shared" si="5"/>
        <v>0</v>
      </c>
      <c r="V46" s="23" t="str">
        <f t="shared" si="3"/>
        <v>OK</v>
      </c>
    </row>
    <row r="47" spans="1:22" hidden="1" x14ac:dyDescent="0.3">
      <c r="A47" s="12" t="s">
        <v>81</v>
      </c>
      <c r="B47" s="62">
        <v>15097</v>
      </c>
      <c r="C47" s="12" t="s">
        <v>56</v>
      </c>
      <c r="D47" s="53"/>
      <c r="E47" s="13"/>
      <c r="F47" s="13"/>
      <c r="G47" s="14"/>
      <c r="H47" s="15"/>
      <c r="I47" s="16">
        <f t="shared" si="4"/>
        <v>0</v>
      </c>
      <c r="J47" s="16"/>
      <c r="K47" s="11"/>
      <c r="L47" s="16"/>
      <c r="M47" s="16"/>
      <c r="N47" s="16"/>
      <c r="O47" s="16"/>
      <c r="P47" s="16"/>
      <c r="Q47" s="16"/>
      <c r="R47" s="35"/>
      <c r="S47" s="43"/>
      <c r="T47" s="46"/>
      <c r="U47" s="51">
        <f t="shared" si="5"/>
        <v>0</v>
      </c>
      <c r="V47" s="17" t="str">
        <f t="shared" si="3"/>
        <v>OK</v>
      </c>
    </row>
    <row r="48" spans="1:22" hidden="1" x14ac:dyDescent="0.3">
      <c r="A48" s="54" t="s">
        <v>76</v>
      </c>
      <c r="B48" s="63">
        <v>5585</v>
      </c>
      <c r="C48" s="18" t="s">
        <v>64</v>
      </c>
      <c r="D48" s="19"/>
      <c r="E48" s="19"/>
      <c r="F48" s="19"/>
      <c r="G48" s="20"/>
      <c r="H48" s="21"/>
      <c r="I48" s="22">
        <f t="shared" si="4"/>
        <v>0</v>
      </c>
      <c r="J48" s="22"/>
      <c r="K48" s="11"/>
      <c r="L48" s="22"/>
      <c r="M48" s="22"/>
      <c r="N48" s="22"/>
      <c r="O48" s="22"/>
      <c r="P48" s="22"/>
      <c r="Q48" s="22"/>
      <c r="R48" s="36"/>
      <c r="S48" s="44"/>
      <c r="T48" s="47"/>
      <c r="U48" s="52">
        <f t="shared" si="5"/>
        <v>0</v>
      </c>
      <c r="V48" s="23" t="str">
        <f t="shared" si="3"/>
        <v>OK</v>
      </c>
    </row>
    <row r="49" spans="1:22" hidden="1" x14ac:dyDescent="0.3">
      <c r="A49" s="12" t="s">
        <v>65</v>
      </c>
      <c r="B49" s="62">
        <v>11351</v>
      </c>
      <c r="C49" s="12" t="s">
        <v>64</v>
      </c>
      <c r="D49" s="53"/>
      <c r="E49" s="13"/>
      <c r="F49" s="13"/>
      <c r="G49" s="14"/>
      <c r="H49" s="15"/>
      <c r="I49" s="16">
        <f t="shared" si="4"/>
        <v>0</v>
      </c>
      <c r="J49" s="16"/>
      <c r="K49" s="11"/>
      <c r="L49" s="16"/>
      <c r="M49" s="16"/>
      <c r="N49" s="16"/>
      <c r="O49" s="16"/>
      <c r="P49" s="16"/>
      <c r="Q49" s="16"/>
      <c r="R49" s="35"/>
      <c r="S49" s="43"/>
      <c r="T49" s="46"/>
      <c r="U49" s="51">
        <f t="shared" si="5"/>
        <v>0</v>
      </c>
      <c r="V49" s="17" t="str">
        <f t="shared" si="3"/>
        <v>OK</v>
      </c>
    </row>
    <row r="50" spans="1:22" hidden="1" x14ac:dyDescent="0.3">
      <c r="A50" s="54" t="s">
        <v>66</v>
      </c>
      <c r="B50" s="63">
        <v>11352</v>
      </c>
      <c r="C50" s="18" t="s">
        <v>64</v>
      </c>
      <c r="D50" s="19"/>
      <c r="E50" s="19"/>
      <c r="F50" s="19"/>
      <c r="G50" s="20"/>
      <c r="H50" s="21"/>
      <c r="I50" s="22">
        <f t="shared" si="4"/>
        <v>0</v>
      </c>
      <c r="J50" s="22"/>
      <c r="K50" s="11"/>
      <c r="L50" s="22"/>
      <c r="M50" s="22"/>
      <c r="N50" s="22"/>
      <c r="O50" s="22"/>
      <c r="P50" s="22"/>
      <c r="Q50" s="22"/>
      <c r="R50" s="36"/>
      <c r="S50" s="44"/>
      <c r="T50" s="47"/>
      <c r="U50" s="52">
        <f t="shared" si="5"/>
        <v>0</v>
      </c>
      <c r="V50" s="23" t="str">
        <f t="shared" si="3"/>
        <v>OK</v>
      </c>
    </row>
    <row r="51" spans="1:22" hidden="1" x14ac:dyDescent="0.3">
      <c r="A51" s="90" t="s">
        <v>102</v>
      </c>
      <c r="B51" s="76">
        <v>13515</v>
      </c>
      <c r="C51" s="70" t="s">
        <v>78</v>
      </c>
      <c r="D51" s="70"/>
      <c r="E51" s="70"/>
      <c r="F51" s="70"/>
      <c r="G51" s="91"/>
      <c r="H51" s="82"/>
      <c r="I51" s="82">
        <f t="shared" si="4"/>
        <v>0</v>
      </c>
      <c r="J51" s="74"/>
      <c r="K51" s="11"/>
      <c r="L51" s="16"/>
      <c r="M51" s="16"/>
      <c r="N51" s="16"/>
      <c r="O51" s="16"/>
      <c r="P51" s="16"/>
      <c r="Q51" s="16"/>
      <c r="R51" s="35"/>
      <c r="S51" s="43"/>
      <c r="T51" s="46"/>
      <c r="U51" s="75">
        <f t="shared" si="5"/>
        <v>0</v>
      </c>
      <c r="V51" s="93" t="str">
        <f t="shared" si="3"/>
        <v>OK</v>
      </c>
    </row>
    <row r="52" spans="1:22" hidden="1" x14ac:dyDescent="0.3">
      <c r="A52" s="54" t="s">
        <v>103</v>
      </c>
      <c r="B52" s="63">
        <v>13516</v>
      </c>
      <c r="C52" s="18" t="s">
        <v>78</v>
      </c>
      <c r="D52" s="18"/>
      <c r="E52" s="18"/>
      <c r="F52" s="18"/>
      <c r="G52" s="92"/>
      <c r="H52" s="22"/>
      <c r="I52" s="22">
        <f t="shared" si="4"/>
        <v>0</v>
      </c>
      <c r="J52" s="69"/>
      <c r="K52" s="11"/>
      <c r="L52" s="22"/>
      <c r="M52" s="22"/>
      <c r="N52" s="22"/>
      <c r="O52" s="22"/>
      <c r="P52" s="22"/>
      <c r="Q52" s="22"/>
      <c r="R52" s="36"/>
      <c r="S52" s="44"/>
      <c r="T52" s="47"/>
      <c r="U52" s="52">
        <f t="shared" si="5"/>
        <v>0</v>
      </c>
      <c r="V52" s="23" t="str">
        <f t="shared" si="3"/>
        <v>OK</v>
      </c>
    </row>
    <row r="53" spans="1:22" hidden="1" x14ac:dyDescent="0.3">
      <c r="A53" s="90" t="s">
        <v>104</v>
      </c>
      <c r="B53" s="76">
        <v>13468</v>
      </c>
      <c r="C53" s="70" t="s">
        <v>78</v>
      </c>
      <c r="D53" s="70"/>
      <c r="E53" s="70"/>
      <c r="F53" s="70"/>
      <c r="G53" s="91"/>
      <c r="H53" s="82"/>
      <c r="I53" s="82">
        <f t="shared" si="4"/>
        <v>0</v>
      </c>
      <c r="J53" s="74"/>
      <c r="K53" s="11"/>
      <c r="L53" s="16"/>
      <c r="M53" s="16"/>
      <c r="N53" s="16"/>
      <c r="O53" s="16"/>
      <c r="P53" s="16"/>
      <c r="Q53" s="16"/>
      <c r="R53" s="35"/>
      <c r="S53" s="43"/>
      <c r="T53" s="46"/>
      <c r="U53" s="75">
        <f t="shared" si="5"/>
        <v>0</v>
      </c>
      <c r="V53" s="93" t="str">
        <f t="shared" si="3"/>
        <v>OK</v>
      </c>
    </row>
    <row r="54" spans="1:22" hidden="1" x14ac:dyDescent="0.3">
      <c r="A54" s="54" t="s">
        <v>79</v>
      </c>
      <c r="B54" s="63">
        <v>13469</v>
      </c>
      <c r="C54" s="18" t="s">
        <v>78</v>
      </c>
      <c r="D54" s="18"/>
      <c r="E54" s="18"/>
      <c r="F54" s="18"/>
      <c r="G54" s="92"/>
      <c r="H54" s="22"/>
      <c r="I54" s="22">
        <f t="shared" si="4"/>
        <v>0</v>
      </c>
      <c r="J54" s="69"/>
      <c r="K54" s="11"/>
      <c r="L54" s="22"/>
      <c r="M54" s="22"/>
      <c r="N54" s="22"/>
      <c r="O54" s="22"/>
      <c r="P54" s="22"/>
      <c r="Q54" s="22"/>
      <c r="R54" s="36"/>
      <c r="S54" s="44"/>
      <c r="T54" s="47"/>
      <c r="U54" s="52">
        <f t="shared" si="5"/>
        <v>0</v>
      </c>
      <c r="V54" s="23" t="str">
        <f t="shared" si="3"/>
        <v>OK</v>
      </c>
    </row>
    <row r="55" spans="1:22" hidden="1" x14ac:dyDescent="0.3">
      <c r="A55" s="90" t="s">
        <v>43</v>
      </c>
      <c r="B55" s="76">
        <v>11820</v>
      </c>
      <c r="C55" s="70" t="s">
        <v>67</v>
      </c>
      <c r="D55" s="70"/>
      <c r="E55" s="70"/>
      <c r="F55" s="70"/>
      <c r="G55" s="91"/>
      <c r="H55" s="82"/>
      <c r="I55" s="82">
        <f t="shared" si="4"/>
        <v>0</v>
      </c>
      <c r="J55" s="74"/>
      <c r="K55" s="11"/>
      <c r="L55" s="16"/>
      <c r="M55" s="16"/>
      <c r="N55" s="16"/>
      <c r="O55" s="16"/>
      <c r="P55" s="16"/>
      <c r="Q55" s="16"/>
      <c r="R55" s="35"/>
      <c r="S55" s="43"/>
      <c r="T55" s="46"/>
      <c r="U55" s="75">
        <f t="shared" si="5"/>
        <v>0</v>
      </c>
      <c r="V55" s="93" t="str">
        <f t="shared" si="3"/>
        <v>OK</v>
      </c>
    </row>
    <row r="56" spans="1:22" hidden="1" x14ac:dyDescent="0.3">
      <c r="A56" s="54" t="s">
        <v>44</v>
      </c>
      <c r="B56" s="63">
        <v>11816</v>
      </c>
      <c r="C56" s="18" t="s">
        <v>67</v>
      </c>
      <c r="D56" s="18"/>
      <c r="E56" s="18"/>
      <c r="F56" s="18"/>
      <c r="G56" s="92"/>
      <c r="H56" s="22"/>
      <c r="I56" s="22">
        <f t="shared" si="4"/>
        <v>0</v>
      </c>
      <c r="J56" s="69"/>
      <c r="K56" s="11"/>
      <c r="L56" s="22"/>
      <c r="M56" s="22"/>
      <c r="N56" s="22"/>
      <c r="O56" s="22"/>
      <c r="P56" s="22"/>
      <c r="Q56" s="22"/>
      <c r="R56" s="36"/>
      <c r="S56" s="44"/>
      <c r="T56" s="47"/>
      <c r="U56" s="52">
        <f>SUM(L56:T56)</f>
        <v>0</v>
      </c>
      <c r="V56" s="23" t="str">
        <f t="shared" si="3"/>
        <v>OK</v>
      </c>
    </row>
    <row r="57" spans="1:22" hidden="1" x14ac:dyDescent="0.3">
      <c r="A57" s="76" t="s">
        <v>77</v>
      </c>
      <c r="B57" s="76">
        <v>11381</v>
      </c>
      <c r="C57" s="77" t="s">
        <v>68</v>
      </c>
      <c r="D57" s="70"/>
      <c r="E57" s="70"/>
      <c r="F57" s="70"/>
      <c r="G57" s="91"/>
      <c r="H57" s="82"/>
      <c r="I57" s="82">
        <f t="shared" si="4"/>
        <v>0</v>
      </c>
      <c r="J57" s="74"/>
      <c r="K57" s="11"/>
      <c r="L57" s="16"/>
      <c r="M57" s="16"/>
      <c r="N57" s="16"/>
      <c r="O57" s="16"/>
      <c r="P57" s="16"/>
      <c r="Q57" s="16"/>
      <c r="R57" s="35"/>
      <c r="S57" s="43"/>
      <c r="T57" s="46"/>
      <c r="U57" s="75">
        <f>SUM(L57:T57)</f>
        <v>0</v>
      </c>
      <c r="V57" s="93" t="str">
        <f t="shared" si="3"/>
        <v>OK</v>
      </c>
    </row>
    <row r="58" spans="1:22" hidden="1" x14ac:dyDescent="0.3">
      <c r="A58" s="54" t="s">
        <v>69</v>
      </c>
      <c r="B58" s="63">
        <v>11382</v>
      </c>
      <c r="C58" s="18" t="s">
        <v>68</v>
      </c>
      <c r="D58" s="18"/>
      <c r="E58" s="18"/>
      <c r="F58" s="18"/>
      <c r="G58" s="92"/>
      <c r="H58" s="22"/>
      <c r="I58" s="22">
        <f t="shared" si="4"/>
        <v>0</v>
      </c>
      <c r="J58" s="69"/>
      <c r="K58" s="11"/>
      <c r="L58" s="22"/>
      <c r="M58" s="22"/>
      <c r="N58" s="22"/>
      <c r="O58" s="22"/>
      <c r="P58" s="22"/>
      <c r="Q58" s="22"/>
      <c r="R58" s="36"/>
      <c r="S58" s="44"/>
      <c r="T58" s="47"/>
      <c r="U58" s="52">
        <f>SUM(L58:T58)</f>
        <v>0</v>
      </c>
      <c r="V58" s="23" t="str">
        <f t="shared" si="3"/>
        <v>OK</v>
      </c>
    </row>
    <row r="59" spans="1:22" hidden="1" x14ac:dyDescent="0.3">
      <c r="A59" s="96" t="s">
        <v>105</v>
      </c>
      <c r="B59" s="76">
        <v>16586</v>
      </c>
      <c r="C59" s="70" t="s">
        <v>78</v>
      </c>
      <c r="D59" s="70"/>
      <c r="E59" s="70"/>
      <c r="F59" s="70"/>
      <c r="G59" s="91"/>
      <c r="H59" s="82"/>
      <c r="I59" s="82">
        <f t="shared" si="4"/>
        <v>0</v>
      </c>
      <c r="J59" s="74"/>
      <c r="K59" s="11"/>
      <c r="L59" s="16"/>
      <c r="M59" s="16"/>
      <c r="N59" s="16"/>
      <c r="O59" s="16"/>
      <c r="P59" s="16"/>
      <c r="Q59" s="16"/>
      <c r="R59" s="35"/>
      <c r="S59" s="43"/>
      <c r="T59" s="46"/>
      <c r="U59" s="75">
        <f t="shared" ref="U59:U69" si="6">SUM(L59:T59)</f>
        <v>0</v>
      </c>
      <c r="V59" s="93" t="str">
        <f t="shared" si="3"/>
        <v>OK</v>
      </c>
    </row>
    <row r="60" spans="1:22" x14ac:dyDescent="0.3">
      <c r="A60" s="54" t="s">
        <v>90</v>
      </c>
      <c r="B60" s="63">
        <v>16587</v>
      </c>
      <c r="C60" s="18" t="s">
        <v>78</v>
      </c>
      <c r="D60" s="18"/>
      <c r="E60" s="18"/>
      <c r="F60" s="18"/>
      <c r="G60" s="92"/>
      <c r="H60" s="22"/>
      <c r="I60" s="22">
        <f t="shared" si="4"/>
        <v>4</v>
      </c>
      <c r="J60" s="69"/>
      <c r="K60" s="11"/>
      <c r="L60" s="22"/>
      <c r="M60" s="22">
        <v>4</v>
      </c>
      <c r="N60" s="22"/>
      <c r="O60" s="22"/>
      <c r="P60" s="22"/>
      <c r="Q60" s="22"/>
      <c r="R60" s="36"/>
      <c r="S60" s="44"/>
      <c r="T60" s="47"/>
      <c r="U60" s="52">
        <f t="shared" si="6"/>
        <v>4</v>
      </c>
      <c r="V60" s="23" t="str">
        <f t="shared" si="3"/>
        <v>OK</v>
      </c>
    </row>
    <row r="61" spans="1:22" hidden="1" x14ac:dyDescent="0.3">
      <c r="A61" s="90" t="s">
        <v>91</v>
      </c>
      <c r="B61" s="76">
        <v>17121</v>
      </c>
      <c r="C61" s="70" t="s">
        <v>92</v>
      </c>
      <c r="D61" s="70"/>
      <c r="E61" s="70"/>
      <c r="F61" s="70"/>
      <c r="G61" s="91"/>
      <c r="H61" s="82"/>
      <c r="I61" s="82">
        <f t="shared" si="4"/>
        <v>0</v>
      </c>
      <c r="J61" s="74"/>
      <c r="K61" s="11"/>
      <c r="L61" s="16"/>
      <c r="M61" s="16"/>
      <c r="N61" s="16"/>
      <c r="O61" s="16"/>
      <c r="P61" s="16"/>
      <c r="Q61" s="16"/>
      <c r="R61" s="35"/>
      <c r="S61" s="43"/>
      <c r="T61" s="46"/>
      <c r="U61" s="75">
        <f t="shared" si="6"/>
        <v>0</v>
      </c>
      <c r="V61" s="93" t="str">
        <f t="shared" si="3"/>
        <v>OK</v>
      </c>
    </row>
    <row r="62" spans="1:22" x14ac:dyDescent="0.3">
      <c r="A62" s="54" t="s">
        <v>106</v>
      </c>
      <c r="B62" s="63">
        <v>19270</v>
      </c>
      <c r="C62" s="18" t="s">
        <v>68</v>
      </c>
      <c r="D62" s="18"/>
      <c r="E62" s="18"/>
      <c r="F62" s="18"/>
      <c r="G62" s="92"/>
      <c r="H62" s="22"/>
      <c r="I62" s="22">
        <f t="shared" si="4"/>
        <v>6</v>
      </c>
      <c r="J62" s="69"/>
      <c r="K62" s="11"/>
      <c r="L62" s="22"/>
      <c r="M62" s="22">
        <v>6</v>
      </c>
      <c r="N62" s="22"/>
      <c r="O62" s="22"/>
      <c r="P62" s="22"/>
      <c r="Q62" s="22"/>
      <c r="R62" s="36"/>
      <c r="S62" s="44"/>
      <c r="T62" s="47"/>
      <c r="U62" s="71">
        <f t="shared" si="6"/>
        <v>6</v>
      </c>
      <c r="V62" s="23" t="str">
        <f t="shared" si="3"/>
        <v>OK</v>
      </c>
    </row>
    <row r="63" spans="1:22" hidden="1" x14ac:dyDescent="0.3">
      <c r="A63" s="90" t="s">
        <v>107</v>
      </c>
      <c r="B63" s="76">
        <v>19276</v>
      </c>
      <c r="C63" s="70" t="s">
        <v>68</v>
      </c>
      <c r="D63" s="70"/>
      <c r="E63" s="70"/>
      <c r="F63" s="70"/>
      <c r="G63" s="91"/>
      <c r="H63" s="82"/>
      <c r="I63" s="82">
        <f t="shared" si="4"/>
        <v>0</v>
      </c>
      <c r="J63" s="74"/>
      <c r="K63" s="11"/>
      <c r="L63" s="16"/>
      <c r="M63" s="16"/>
      <c r="N63" s="16"/>
      <c r="O63" s="16"/>
      <c r="P63" s="16"/>
      <c r="Q63" s="16"/>
      <c r="R63" s="35"/>
      <c r="S63" s="43"/>
      <c r="T63" s="46"/>
      <c r="U63" s="75">
        <f t="shared" si="6"/>
        <v>0</v>
      </c>
      <c r="V63" s="93" t="str">
        <f t="shared" si="3"/>
        <v>OK</v>
      </c>
    </row>
    <row r="64" spans="1:22" hidden="1" x14ac:dyDescent="0.3">
      <c r="A64" s="54" t="s">
        <v>108</v>
      </c>
      <c r="B64" s="63">
        <v>19836</v>
      </c>
      <c r="C64" s="18" t="s">
        <v>45</v>
      </c>
      <c r="D64" s="18"/>
      <c r="E64" s="18"/>
      <c r="F64" s="18"/>
      <c r="G64" s="92"/>
      <c r="H64" s="22"/>
      <c r="I64" s="22">
        <f t="shared" si="4"/>
        <v>0</v>
      </c>
      <c r="J64" s="69"/>
      <c r="K64" s="11"/>
      <c r="L64" s="22"/>
      <c r="M64" s="22"/>
      <c r="N64" s="22"/>
      <c r="O64" s="22"/>
      <c r="P64" s="22"/>
      <c r="Q64" s="22"/>
      <c r="R64" s="36"/>
      <c r="S64" s="44"/>
      <c r="T64" s="47"/>
      <c r="U64" s="52">
        <f t="shared" si="6"/>
        <v>0</v>
      </c>
      <c r="V64" s="23" t="str">
        <f t="shared" si="3"/>
        <v>OK</v>
      </c>
    </row>
    <row r="65" spans="1:22" hidden="1" x14ac:dyDescent="0.3">
      <c r="A65" s="90" t="s">
        <v>109</v>
      </c>
      <c r="B65" s="76">
        <v>20278</v>
      </c>
      <c r="C65" s="70" t="s">
        <v>110</v>
      </c>
      <c r="D65" s="70"/>
      <c r="E65" s="70"/>
      <c r="F65" s="70"/>
      <c r="G65" s="91"/>
      <c r="H65" s="82"/>
      <c r="I65" s="82">
        <f t="shared" si="4"/>
        <v>0</v>
      </c>
      <c r="J65" s="74"/>
      <c r="K65" s="11"/>
      <c r="L65" s="16"/>
      <c r="M65" s="16"/>
      <c r="N65" s="16"/>
      <c r="O65" s="16"/>
      <c r="P65" s="16"/>
      <c r="Q65" s="16"/>
      <c r="R65" s="35"/>
      <c r="S65" s="43"/>
      <c r="T65" s="46"/>
      <c r="U65" s="75">
        <f t="shared" si="6"/>
        <v>0</v>
      </c>
      <c r="V65" s="93" t="str">
        <f t="shared" si="3"/>
        <v>OK</v>
      </c>
    </row>
    <row r="66" spans="1:22" hidden="1" x14ac:dyDescent="0.3">
      <c r="A66" s="54" t="s">
        <v>111</v>
      </c>
      <c r="B66" s="63">
        <v>20272</v>
      </c>
      <c r="C66" s="18" t="s">
        <v>110</v>
      </c>
      <c r="D66" s="18"/>
      <c r="E66" s="18"/>
      <c r="F66" s="18"/>
      <c r="G66" s="92"/>
      <c r="H66" s="22"/>
      <c r="I66" s="22">
        <f t="shared" si="4"/>
        <v>0</v>
      </c>
      <c r="J66" s="69"/>
      <c r="K66" s="11"/>
      <c r="L66" s="22"/>
      <c r="M66" s="22"/>
      <c r="N66" s="22"/>
      <c r="O66" s="22"/>
      <c r="P66" s="22"/>
      <c r="Q66" s="22"/>
      <c r="R66" s="36"/>
      <c r="S66" s="44"/>
      <c r="T66" s="47"/>
      <c r="U66" s="52">
        <f t="shared" si="6"/>
        <v>0</v>
      </c>
      <c r="V66" s="23" t="str">
        <f t="shared" si="3"/>
        <v>OK</v>
      </c>
    </row>
    <row r="67" spans="1:22" hidden="1" x14ac:dyDescent="0.3">
      <c r="A67" s="90" t="s">
        <v>112</v>
      </c>
      <c r="B67" s="76">
        <v>20956</v>
      </c>
      <c r="C67" s="70" t="s">
        <v>110</v>
      </c>
      <c r="D67" s="70"/>
      <c r="E67" s="70"/>
      <c r="F67" s="70"/>
      <c r="G67" s="91"/>
      <c r="H67" s="82"/>
      <c r="I67" s="82">
        <f t="shared" si="4"/>
        <v>0</v>
      </c>
      <c r="J67" s="74"/>
      <c r="K67" s="11"/>
      <c r="L67" s="16"/>
      <c r="M67" s="16"/>
      <c r="N67" s="16"/>
      <c r="O67" s="16"/>
      <c r="P67" s="16"/>
      <c r="Q67" s="16"/>
      <c r="R67" s="35"/>
      <c r="S67" s="43"/>
      <c r="T67" s="46"/>
      <c r="U67" s="75">
        <f t="shared" si="6"/>
        <v>0</v>
      </c>
      <c r="V67" s="93" t="str">
        <f t="shared" si="3"/>
        <v>OK</v>
      </c>
    </row>
    <row r="68" spans="1:22" hidden="1" x14ac:dyDescent="0.3">
      <c r="A68" s="54" t="s">
        <v>116</v>
      </c>
      <c r="B68" s="63">
        <v>21299</v>
      </c>
      <c r="C68" s="18" t="s">
        <v>78</v>
      </c>
      <c r="D68" s="18"/>
      <c r="E68" s="18"/>
      <c r="F68" s="18"/>
      <c r="G68" s="92"/>
      <c r="H68" s="22"/>
      <c r="I68" s="22">
        <f t="shared" si="4"/>
        <v>0</v>
      </c>
      <c r="J68" s="69"/>
      <c r="K68" s="11"/>
      <c r="L68" s="22"/>
      <c r="M68" s="22"/>
      <c r="N68" s="22"/>
      <c r="O68" s="22"/>
      <c r="P68" s="22"/>
      <c r="Q68" s="22"/>
      <c r="R68" s="36"/>
      <c r="S68" s="44"/>
      <c r="T68" s="47"/>
      <c r="U68" s="71">
        <f t="shared" si="6"/>
        <v>0</v>
      </c>
      <c r="V68" s="23" t="str">
        <f>IF(U68=I68,"OK","NG")</f>
        <v>OK</v>
      </c>
    </row>
    <row r="69" spans="1:22" hidden="1" x14ac:dyDescent="0.3">
      <c r="A69" s="99" t="s">
        <v>117</v>
      </c>
      <c r="B69" s="76">
        <v>22115</v>
      </c>
      <c r="C69" s="82" t="s">
        <v>118</v>
      </c>
      <c r="D69" s="82"/>
      <c r="E69" s="82"/>
      <c r="F69" s="82"/>
      <c r="G69" s="82"/>
      <c r="H69" s="82"/>
      <c r="I69" s="82">
        <f t="shared" si="4"/>
        <v>0</v>
      </c>
      <c r="J69" s="97"/>
      <c r="K69" s="112"/>
      <c r="L69" s="82"/>
      <c r="M69" s="82"/>
      <c r="N69" s="82"/>
      <c r="O69" s="82"/>
      <c r="P69" s="82"/>
      <c r="Q69" s="82"/>
      <c r="R69" s="83"/>
      <c r="S69" s="84"/>
      <c r="T69" s="100"/>
      <c r="U69" s="75">
        <f t="shared" si="6"/>
        <v>0</v>
      </c>
      <c r="V69" s="93" t="str">
        <f>IF(U69=I69,"OK","NG")</f>
        <v>OK</v>
      </c>
    </row>
    <row r="70" spans="1:22" hidden="1" x14ac:dyDescent="0.3">
      <c r="A70" s="54" t="s">
        <v>120</v>
      </c>
      <c r="B70" s="63">
        <v>22706</v>
      </c>
      <c r="C70" s="18" t="s">
        <v>119</v>
      </c>
      <c r="D70" s="18"/>
      <c r="E70" s="18"/>
      <c r="F70" s="18"/>
      <c r="G70" s="92"/>
      <c r="H70" s="22"/>
      <c r="I70" s="22">
        <f t="shared" si="4"/>
        <v>0</v>
      </c>
      <c r="J70" s="69"/>
      <c r="K70" s="11"/>
      <c r="L70" s="22"/>
      <c r="M70" s="22"/>
      <c r="N70" s="22"/>
      <c r="O70" s="22"/>
      <c r="P70" s="22"/>
      <c r="Q70" s="22"/>
      <c r="R70" s="36"/>
      <c r="S70" s="44"/>
      <c r="T70" s="47"/>
      <c r="U70" s="71">
        <f t="shared" ref="U70" si="7">SUM(L70:T70)</f>
        <v>0</v>
      </c>
      <c r="V70" s="23" t="str">
        <f>IF(U70=I70,"OK","NG")</f>
        <v>OK</v>
      </c>
    </row>
    <row r="71" spans="1:22" hidden="1" x14ac:dyDescent="0.3">
      <c r="A71" s="99" t="s">
        <v>121</v>
      </c>
      <c r="B71" s="76">
        <v>22886</v>
      </c>
      <c r="C71" s="82" t="s">
        <v>46</v>
      </c>
      <c r="D71" s="82"/>
      <c r="E71" s="82"/>
      <c r="F71" s="82"/>
      <c r="G71" s="82"/>
      <c r="H71" s="82"/>
      <c r="I71" s="82">
        <f t="shared" ref="I71:I80" si="8">SUM(L71:T71)</f>
        <v>0</v>
      </c>
      <c r="J71" s="97"/>
      <c r="K71" s="112"/>
      <c r="L71" s="82"/>
      <c r="M71" s="82"/>
      <c r="N71" s="82"/>
      <c r="O71" s="82"/>
      <c r="P71" s="82"/>
      <c r="Q71" s="82"/>
      <c r="R71" s="83"/>
      <c r="S71" s="84"/>
      <c r="T71" s="100"/>
      <c r="U71" s="75">
        <f>SUM(L71:T71)</f>
        <v>0</v>
      </c>
      <c r="V71" s="93" t="str">
        <f>IF(U71=I71,"OK","NG")</f>
        <v>OK</v>
      </c>
    </row>
    <row r="72" spans="1:22" hidden="1" x14ac:dyDescent="0.3">
      <c r="A72" s="54" t="s">
        <v>122</v>
      </c>
      <c r="B72" s="63">
        <v>17528</v>
      </c>
      <c r="C72" s="18" t="s">
        <v>123</v>
      </c>
      <c r="D72" s="18"/>
      <c r="E72" s="18"/>
      <c r="F72" s="18"/>
      <c r="G72" s="92"/>
      <c r="H72" s="22"/>
      <c r="I72" s="22">
        <f t="shared" si="8"/>
        <v>0</v>
      </c>
      <c r="J72" s="69"/>
      <c r="K72" s="11"/>
      <c r="L72" s="22"/>
      <c r="M72" s="22"/>
      <c r="N72" s="22"/>
      <c r="O72" s="22"/>
      <c r="P72" s="22"/>
      <c r="Q72" s="22"/>
      <c r="R72" s="36"/>
      <c r="S72" s="44"/>
      <c r="T72" s="47"/>
      <c r="U72" s="71">
        <f t="shared" ref="U72:U80" si="9">SUM(L72:T72)</f>
        <v>0</v>
      </c>
      <c r="V72" s="95" t="str">
        <f t="shared" ref="V72:V80" si="10">IF(U72=I72,"OK","NG")</f>
        <v>OK</v>
      </c>
    </row>
    <row r="73" spans="1:22" hidden="1" x14ac:dyDescent="0.3">
      <c r="A73" s="99" t="s">
        <v>124</v>
      </c>
      <c r="B73" s="76">
        <v>22380</v>
      </c>
      <c r="C73" s="82" t="s">
        <v>47</v>
      </c>
      <c r="D73" s="82"/>
      <c r="E73" s="82"/>
      <c r="F73" s="82"/>
      <c r="G73" s="82"/>
      <c r="H73" s="82"/>
      <c r="I73" s="82">
        <f t="shared" si="8"/>
        <v>0</v>
      </c>
      <c r="J73" s="97"/>
      <c r="K73" s="112"/>
      <c r="L73" s="82"/>
      <c r="M73" s="82"/>
      <c r="N73" s="82"/>
      <c r="O73" s="82"/>
      <c r="P73" s="82"/>
      <c r="Q73" s="82"/>
      <c r="R73" s="83"/>
      <c r="S73" s="84"/>
      <c r="T73" s="100"/>
      <c r="U73" s="75">
        <f t="shared" si="9"/>
        <v>0</v>
      </c>
      <c r="V73" s="93" t="str">
        <f t="shared" si="10"/>
        <v>OK</v>
      </c>
    </row>
    <row r="74" spans="1:22" hidden="1" x14ac:dyDescent="0.3">
      <c r="A74" s="54" t="s">
        <v>125</v>
      </c>
      <c r="B74" s="63">
        <v>19279</v>
      </c>
      <c r="C74" s="18" t="s">
        <v>126</v>
      </c>
      <c r="D74" s="18"/>
      <c r="E74" s="18"/>
      <c r="F74" s="18"/>
      <c r="G74" s="92"/>
      <c r="H74" s="22"/>
      <c r="I74" s="22">
        <f t="shared" si="8"/>
        <v>0</v>
      </c>
      <c r="J74" s="69"/>
      <c r="K74" s="11"/>
      <c r="L74" s="22"/>
      <c r="M74" s="22"/>
      <c r="N74" s="22"/>
      <c r="O74" s="22"/>
      <c r="P74" s="22"/>
      <c r="Q74" s="22"/>
      <c r="R74" s="36"/>
      <c r="S74" s="44"/>
      <c r="T74" s="47"/>
      <c r="U74" s="71">
        <f t="shared" si="9"/>
        <v>0</v>
      </c>
      <c r="V74" s="95" t="str">
        <f t="shared" si="10"/>
        <v>OK</v>
      </c>
    </row>
    <row r="75" spans="1:22" hidden="1" x14ac:dyDescent="0.3">
      <c r="A75" s="90" t="s">
        <v>131</v>
      </c>
      <c r="B75" s="76">
        <v>22724</v>
      </c>
      <c r="C75" s="70" t="s">
        <v>119</v>
      </c>
      <c r="D75" s="70"/>
      <c r="E75" s="70"/>
      <c r="F75" s="70"/>
      <c r="G75" s="91"/>
      <c r="H75" s="82"/>
      <c r="I75" s="82">
        <v>0</v>
      </c>
      <c r="J75" s="74"/>
      <c r="K75" s="11"/>
      <c r="L75" s="82"/>
      <c r="M75" s="82"/>
      <c r="N75" s="82"/>
      <c r="O75" s="82"/>
      <c r="P75" s="82"/>
      <c r="Q75" s="82"/>
      <c r="R75" s="83"/>
      <c r="S75" s="84"/>
      <c r="T75" s="85"/>
      <c r="U75" s="75">
        <v>0</v>
      </c>
      <c r="V75" s="93" t="s">
        <v>129</v>
      </c>
    </row>
    <row r="76" spans="1:22" hidden="1" x14ac:dyDescent="0.3">
      <c r="A76" s="54" t="s">
        <v>132</v>
      </c>
      <c r="B76" s="63">
        <v>22705</v>
      </c>
      <c r="C76" s="18" t="s">
        <v>119</v>
      </c>
      <c r="D76" s="18"/>
      <c r="E76" s="18"/>
      <c r="F76" s="18"/>
      <c r="G76" s="92"/>
      <c r="H76" s="22"/>
      <c r="I76" s="22">
        <f t="shared" si="8"/>
        <v>0</v>
      </c>
      <c r="J76" s="69"/>
      <c r="K76" s="11"/>
      <c r="L76" s="22"/>
      <c r="M76" s="22"/>
      <c r="N76" s="22"/>
      <c r="O76" s="22"/>
      <c r="P76" s="22"/>
      <c r="Q76" s="22"/>
      <c r="R76" s="36"/>
      <c r="S76" s="44"/>
      <c r="T76" s="47"/>
      <c r="U76" s="71">
        <f t="shared" si="9"/>
        <v>0</v>
      </c>
      <c r="V76" s="95" t="str">
        <f t="shared" si="10"/>
        <v>OK</v>
      </c>
    </row>
    <row r="77" spans="1:22" hidden="1" x14ac:dyDescent="0.3">
      <c r="A77" s="99" t="s">
        <v>128</v>
      </c>
      <c r="B77" s="76">
        <v>5655</v>
      </c>
      <c r="C77" s="82" t="s">
        <v>54</v>
      </c>
      <c r="D77" s="82"/>
      <c r="E77" s="82"/>
      <c r="F77" s="82"/>
      <c r="G77" s="82"/>
      <c r="H77" s="82"/>
      <c r="I77" s="82">
        <f t="shared" si="8"/>
        <v>0</v>
      </c>
      <c r="J77" s="97"/>
      <c r="K77" s="112"/>
      <c r="L77" s="82"/>
      <c r="M77" s="82"/>
      <c r="N77" s="82"/>
      <c r="O77" s="82"/>
      <c r="P77" s="82"/>
      <c r="Q77" s="82"/>
      <c r="R77" s="83"/>
      <c r="S77" s="84"/>
      <c r="T77" s="100"/>
      <c r="U77" s="75">
        <f t="shared" si="9"/>
        <v>0</v>
      </c>
      <c r="V77" s="93" t="str">
        <f t="shared" si="10"/>
        <v>OK</v>
      </c>
    </row>
    <row r="78" spans="1:22" ht="17.25" thickBot="1" x14ac:dyDescent="0.35">
      <c r="A78" s="120" t="s">
        <v>136</v>
      </c>
      <c r="B78" s="121">
        <v>22704</v>
      </c>
      <c r="C78" s="122" t="s">
        <v>137</v>
      </c>
      <c r="D78" s="122"/>
      <c r="E78" s="122"/>
      <c r="F78" s="122"/>
      <c r="G78" s="122"/>
      <c r="H78" s="122"/>
      <c r="I78" s="22">
        <f t="shared" si="8"/>
        <v>7</v>
      </c>
      <c r="J78" s="45"/>
      <c r="K78" s="112"/>
      <c r="L78" s="22"/>
      <c r="M78" s="22">
        <v>7</v>
      </c>
      <c r="N78" s="22"/>
      <c r="O78" s="22"/>
      <c r="P78" s="22"/>
      <c r="Q78" s="22"/>
      <c r="R78" s="36"/>
      <c r="S78" s="44"/>
      <c r="T78" s="116"/>
      <c r="U78" s="71">
        <f t="shared" si="9"/>
        <v>7</v>
      </c>
      <c r="V78" s="95" t="str">
        <f t="shared" si="10"/>
        <v>OK</v>
      </c>
    </row>
    <row r="79" spans="1:22" ht="17.25" hidden="1" thickBot="1" x14ac:dyDescent="0.35">
      <c r="A79" s="136" t="s">
        <v>139</v>
      </c>
      <c r="B79" s="133">
        <v>22722</v>
      </c>
      <c r="C79" s="137" t="s">
        <v>119</v>
      </c>
      <c r="D79" s="137"/>
      <c r="E79" s="137"/>
      <c r="F79" s="137"/>
      <c r="G79" s="137"/>
      <c r="H79" s="137"/>
      <c r="I79" s="82">
        <f t="shared" si="8"/>
        <v>0</v>
      </c>
      <c r="J79" s="97"/>
      <c r="K79" s="119"/>
      <c r="L79" s="82"/>
      <c r="M79" s="82"/>
      <c r="N79" s="82"/>
      <c r="O79" s="82"/>
      <c r="P79" s="82"/>
      <c r="Q79" s="82"/>
      <c r="R79" s="83"/>
      <c r="S79" s="84"/>
      <c r="T79" s="100"/>
      <c r="U79" s="75">
        <f t="shared" si="9"/>
        <v>0</v>
      </c>
      <c r="V79" s="93" t="str">
        <f t="shared" si="10"/>
        <v>OK</v>
      </c>
    </row>
    <row r="80" spans="1:22" ht="17.25" hidden="1" thickBot="1" x14ac:dyDescent="0.35">
      <c r="A80" s="126" t="s">
        <v>134</v>
      </c>
      <c r="B80" s="127">
        <v>22723</v>
      </c>
      <c r="C80" s="128" t="s">
        <v>119</v>
      </c>
      <c r="D80" s="128"/>
      <c r="E80" s="128"/>
      <c r="F80" s="128"/>
      <c r="G80" s="128"/>
      <c r="H80" s="128"/>
      <c r="I80" s="128">
        <f t="shared" si="8"/>
        <v>0</v>
      </c>
      <c r="J80" s="45"/>
      <c r="K80" s="112"/>
      <c r="L80" s="22"/>
      <c r="M80" s="22"/>
      <c r="N80" s="22"/>
      <c r="O80" s="22"/>
      <c r="P80" s="22"/>
      <c r="Q80" s="22"/>
      <c r="R80" s="36"/>
      <c r="S80" s="44"/>
      <c r="T80" s="116"/>
      <c r="U80" s="52">
        <f t="shared" si="9"/>
        <v>0</v>
      </c>
      <c r="V80" s="23" t="str">
        <f t="shared" si="10"/>
        <v>OK</v>
      </c>
    </row>
    <row r="81" spans="1:22" x14ac:dyDescent="0.3">
      <c r="A81" s="86"/>
      <c r="B81" s="86"/>
      <c r="C81" s="87" t="s">
        <v>9</v>
      </c>
      <c r="D81" s="87"/>
      <c r="E81" s="87"/>
      <c r="F81" s="87"/>
      <c r="G81" s="88">
        <f>SUM(G6:G49)</f>
        <v>0</v>
      </c>
      <c r="H81" s="89">
        <f>SUM(H6:H49)</f>
        <v>0</v>
      </c>
      <c r="I81" s="88">
        <f>SUM(I6:I80)</f>
        <v>25</v>
      </c>
      <c r="J81" s="40">
        <f>SUM(J6:J49)</f>
        <v>0</v>
      </c>
      <c r="K81" s="115">
        <f>SUM(K6:K51)</f>
        <v>0</v>
      </c>
      <c r="L81" s="38">
        <f>SUM(L6:L80)</f>
        <v>0</v>
      </c>
      <c r="M81" s="38">
        <f t="shared" ref="M81:U81" si="11">SUM(M6:M80)</f>
        <v>25</v>
      </c>
      <c r="N81" s="38">
        <f t="shared" si="11"/>
        <v>0</v>
      </c>
      <c r="O81" s="38">
        <f t="shared" si="11"/>
        <v>0</v>
      </c>
      <c r="P81" s="38">
        <f t="shared" si="11"/>
        <v>0</v>
      </c>
      <c r="Q81" s="38">
        <f t="shared" si="11"/>
        <v>0</v>
      </c>
      <c r="R81" s="38">
        <f t="shared" si="11"/>
        <v>0</v>
      </c>
      <c r="S81" s="38">
        <f t="shared" si="11"/>
        <v>0</v>
      </c>
      <c r="T81" s="38">
        <f t="shared" si="11"/>
        <v>0</v>
      </c>
      <c r="U81" s="38">
        <f t="shared" si="11"/>
        <v>25</v>
      </c>
      <c r="V81" s="41" t="str">
        <f>IF(U81=SUM(I81),"OK","NG")</f>
        <v>OK</v>
      </c>
    </row>
  </sheetData>
  <autoFilter ref="A5:V81" xr:uid="{00000000-0001-0000-0800-000000000000}">
    <filterColumn colId="8">
      <filters>
        <filter val="25"/>
        <filter val="3"/>
        <filter val="4"/>
        <filter val="5"/>
        <filter val="6"/>
        <filter val="7"/>
      </filters>
    </filterColumn>
  </autoFilter>
  <mergeCells count="20">
    <mergeCell ref="O4:O5"/>
    <mergeCell ref="P4:P5"/>
    <mergeCell ref="B3:C3"/>
    <mergeCell ref="N4:N5"/>
    <mergeCell ref="B1:C1"/>
    <mergeCell ref="F1:G1"/>
    <mergeCell ref="H1:J3"/>
    <mergeCell ref="B2:C2"/>
    <mergeCell ref="A4:D4"/>
    <mergeCell ref="E4:G4"/>
    <mergeCell ref="H4:J4"/>
    <mergeCell ref="L4:L5"/>
    <mergeCell ref="M4:M5"/>
    <mergeCell ref="Q4:Q5"/>
    <mergeCell ref="R4:R5"/>
    <mergeCell ref="S4:S5"/>
    <mergeCell ref="T4:T5"/>
    <mergeCell ref="V2:V3"/>
    <mergeCell ref="U4:U5"/>
    <mergeCell ref="V4:V5"/>
  </mergeCells>
  <phoneticPr fontId="3" type="noConversion"/>
  <conditionalFormatting sqref="A4 V6:V81">
    <cfRule type="containsText" dxfId="49" priority="5" operator="containsText" text="NG">
      <formula>NOT(ISERROR(SEARCH("NG",A4)))</formula>
    </cfRule>
    <cfRule type="containsText" dxfId="48" priority="6" operator="containsText" text="OK">
      <formula>NOT(ISERROR(SEARCH("OK",A4)))</formula>
    </cfRule>
  </conditionalFormatting>
  <pageMargins left="0.70866141732283472" right="0.70866141732283472" top="0.74803149606299213" bottom="0.74803149606299213" header="0.31496062992125984" footer="0.31496062992125984"/>
  <pageSetup paperSize="8" scale="1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 filterMode="1">
    <pageSetUpPr fitToPage="1"/>
  </sheetPr>
  <dimension ref="A1:Y81"/>
  <sheetViews>
    <sheetView showGridLines="0" zoomScale="85" zoomScaleNormal="85" workbookViewId="0">
      <pane ySplit="5" topLeftCell="A63" activePane="bottomLeft" state="frozen"/>
      <selection activeCell="W73" sqref="W73"/>
      <selection pane="bottomLeft" activeCell="L63" sqref="L63:N63"/>
    </sheetView>
  </sheetViews>
  <sheetFormatPr defaultColWidth="9" defaultRowHeight="16.5" x14ac:dyDescent="0.3"/>
  <cols>
    <col min="1" max="1" width="12.625" bestFit="1" customWidth="1"/>
    <col min="2" max="2" width="14.125" bestFit="1" customWidth="1"/>
    <col min="3" max="3" width="35.125" customWidth="1"/>
    <col min="4" max="4" width="11.75" hidden="1" customWidth="1"/>
    <col min="5" max="6" width="9" hidden="1" customWidth="1"/>
    <col min="7" max="7" width="15.375" hidden="1" customWidth="1"/>
    <col min="8" max="8" width="13.25" hidden="1" customWidth="1"/>
    <col min="9" max="9" width="13.25" customWidth="1"/>
    <col min="10" max="10" width="13.25" hidden="1" customWidth="1"/>
    <col min="11" max="11" width="0.875" customWidth="1"/>
    <col min="20" max="20" width="11" bestFit="1" customWidth="1"/>
  </cols>
  <sheetData>
    <row r="1" spans="1:22" ht="22.5" customHeight="1" thickBot="1" x14ac:dyDescent="0.35">
      <c r="A1" s="32" t="s">
        <v>28</v>
      </c>
      <c r="B1" s="153">
        <f>H69</f>
        <v>0</v>
      </c>
      <c r="C1" s="154"/>
      <c r="D1" s="55"/>
      <c r="E1" s="58" t="s">
        <v>1</v>
      </c>
      <c r="F1" s="155">
        <f>G69</f>
        <v>0</v>
      </c>
      <c r="G1" s="155"/>
      <c r="H1" s="156"/>
      <c r="I1" s="156"/>
      <c r="J1" s="156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22.5" customHeight="1" thickBot="1" x14ac:dyDescent="0.35">
      <c r="A2" s="32" t="s">
        <v>29</v>
      </c>
      <c r="B2" s="158">
        <f>I81</f>
        <v>10</v>
      </c>
      <c r="C2" s="159"/>
      <c r="D2" s="56"/>
      <c r="E2" s="59"/>
      <c r="F2" s="2"/>
      <c r="G2" s="2"/>
      <c r="H2" s="156"/>
      <c r="I2" s="156"/>
      <c r="J2" s="156"/>
      <c r="K2" s="113"/>
      <c r="L2" s="3">
        <f>SUBTOTAL(9,L6:L80)</f>
        <v>0</v>
      </c>
      <c r="M2" s="3">
        <f t="shared" ref="M2:T2" si="0">SUBTOTAL(9,M6:M80)</f>
        <v>10</v>
      </c>
      <c r="N2" s="3">
        <f t="shared" si="0"/>
        <v>0</v>
      </c>
      <c r="O2" s="3">
        <f t="shared" si="0"/>
        <v>0</v>
      </c>
      <c r="P2" s="3">
        <f t="shared" si="0"/>
        <v>0</v>
      </c>
      <c r="Q2" s="3">
        <f t="shared" si="0"/>
        <v>0</v>
      </c>
      <c r="R2" s="3">
        <f t="shared" si="0"/>
        <v>0</v>
      </c>
      <c r="S2" s="3">
        <f t="shared" si="0"/>
        <v>0</v>
      </c>
      <c r="T2" s="3">
        <f t="shared" si="0"/>
        <v>0</v>
      </c>
      <c r="U2" s="48">
        <f>SUBTOTAL(9,U6:U80)</f>
        <v>10</v>
      </c>
      <c r="V2" s="145"/>
    </row>
    <row r="3" spans="1:22" ht="22.5" customHeight="1" thickBot="1" x14ac:dyDescent="0.35">
      <c r="A3" s="33" t="s">
        <v>30</v>
      </c>
      <c r="B3" s="151">
        <f>IF(ISERROR(B2/(B2+B1)*1000000),"",(B2/(B2+B1)*1000000))</f>
        <v>1000000</v>
      </c>
      <c r="C3" s="152"/>
      <c r="D3" s="57"/>
      <c r="E3" s="60"/>
      <c r="F3" s="27"/>
      <c r="G3" s="27"/>
      <c r="H3" s="157"/>
      <c r="I3" s="157"/>
      <c r="J3" s="157"/>
      <c r="K3" s="114"/>
      <c r="L3" s="4">
        <f t="shared" ref="L3:U3" si="1">SUM(L6:L80)</f>
        <v>0</v>
      </c>
      <c r="M3" s="4">
        <f t="shared" si="1"/>
        <v>10</v>
      </c>
      <c r="N3" s="4">
        <f t="shared" si="1"/>
        <v>0</v>
      </c>
      <c r="O3" s="4">
        <f t="shared" si="1"/>
        <v>0</v>
      </c>
      <c r="P3" s="4">
        <f t="shared" si="1"/>
        <v>0</v>
      </c>
      <c r="Q3" s="4">
        <f t="shared" si="1"/>
        <v>0</v>
      </c>
      <c r="R3" s="4">
        <f t="shared" si="1"/>
        <v>0</v>
      </c>
      <c r="S3" s="4">
        <f t="shared" si="1"/>
        <v>0</v>
      </c>
      <c r="T3" s="4">
        <f t="shared" si="1"/>
        <v>0</v>
      </c>
      <c r="U3" s="49">
        <f t="shared" si="1"/>
        <v>10</v>
      </c>
      <c r="V3" s="146"/>
    </row>
    <row r="4" spans="1:22" ht="43.5" customHeight="1" x14ac:dyDescent="0.3">
      <c r="A4" s="160" t="str">
        <f>V81</f>
        <v>OK</v>
      </c>
      <c r="B4" s="160"/>
      <c r="C4" s="160"/>
      <c r="D4" s="161"/>
      <c r="E4" s="169" t="s">
        <v>15</v>
      </c>
      <c r="F4" s="170"/>
      <c r="G4" s="171"/>
      <c r="H4" s="169" t="s">
        <v>16</v>
      </c>
      <c r="I4" s="170"/>
      <c r="J4" s="171"/>
      <c r="K4" s="113"/>
      <c r="L4" s="164" t="s">
        <v>10</v>
      </c>
      <c r="M4" s="142" t="s">
        <v>17</v>
      </c>
      <c r="N4" s="142" t="s">
        <v>11</v>
      </c>
      <c r="O4" s="138" t="s">
        <v>12</v>
      </c>
      <c r="P4" s="142" t="s">
        <v>13</v>
      </c>
      <c r="Q4" s="138" t="s">
        <v>14</v>
      </c>
      <c r="R4" s="142" t="s">
        <v>20</v>
      </c>
      <c r="S4" s="142" t="s">
        <v>21</v>
      </c>
      <c r="T4" s="167" t="s">
        <v>22</v>
      </c>
      <c r="U4" s="147" t="s">
        <v>18</v>
      </c>
      <c r="V4" s="149" t="s">
        <v>19</v>
      </c>
    </row>
    <row r="5" spans="1:22" ht="33.75" thickBot="1" x14ac:dyDescent="0.35">
      <c r="A5" s="29" t="s">
        <v>3</v>
      </c>
      <c r="B5" s="30" t="s">
        <v>32</v>
      </c>
      <c r="C5" s="29" t="s">
        <v>4</v>
      </c>
      <c r="D5" s="29" t="s">
        <v>31</v>
      </c>
      <c r="E5" s="29" t="s">
        <v>5</v>
      </c>
      <c r="F5" s="29" t="s">
        <v>6</v>
      </c>
      <c r="G5" s="30" t="s">
        <v>7</v>
      </c>
      <c r="H5" s="31" t="s">
        <v>0</v>
      </c>
      <c r="I5" s="31" t="s">
        <v>2</v>
      </c>
      <c r="J5" s="31" t="s">
        <v>8</v>
      </c>
      <c r="K5" s="28"/>
      <c r="L5" s="165"/>
      <c r="M5" s="139"/>
      <c r="N5" s="139"/>
      <c r="O5" s="166"/>
      <c r="P5" s="139"/>
      <c r="Q5" s="166"/>
      <c r="R5" s="139"/>
      <c r="S5" s="139"/>
      <c r="T5" s="168"/>
      <c r="U5" s="148"/>
      <c r="V5" s="150"/>
    </row>
    <row r="6" spans="1:22" hidden="1" x14ac:dyDescent="0.3">
      <c r="A6" s="61" t="s">
        <v>33</v>
      </c>
      <c r="B6" s="61">
        <v>8092</v>
      </c>
      <c r="C6" s="6" t="s">
        <v>45</v>
      </c>
      <c r="D6" s="7"/>
      <c r="E6" s="7"/>
      <c r="F6" s="7"/>
      <c r="G6" s="8"/>
      <c r="H6" s="9"/>
      <c r="I6" s="10">
        <f>SUM(L6:T6)</f>
        <v>0</v>
      </c>
      <c r="J6" s="10"/>
      <c r="K6" s="11"/>
      <c r="L6" s="10"/>
      <c r="M6" s="10"/>
      <c r="N6" s="10"/>
      <c r="O6" s="10"/>
      <c r="P6" s="10"/>
      <c r="Q6" s="10"/>
      <c r="R6" s="34"/>
      <c r="S6" s="42"/>
      <c r="T6" s="45"/>
      <c r="U6" s="50">
        <f t="shared" ref="U6:U36" si="2">SUM(L6:T6)</f>
        <v>0</v>
      </c>
      <c r="V6" s="26" t="str">
        <f t="shared" ref="V6:V67" si="3">IF(U6=I6,"OK","NG")</f>
        <v>OK</v>
      </c>
    </row>
    <row r="7" spans="1:22" hidden="1" x14ac:dyDescent="0.3">
      <c r="A7" s="62" t="s">
        <v>95</v>
      </c>
      <c r="B7" s="62">
        <v>8088</v>
      </c>
      <c r="C7" s="12" t="s">
        <v>46</v>
      </c>
      <c r="D7" s="53"/>
      <c r="E7" s="13"/>
      <c r="F7" s="13"/>
      <c r="G7" s="14"/>
      <c r="H7" s="15"/>
      <c r="I7" s="16">
        <f t="shared" ref="I7:I70" si="4">SUM(L7:T7)</f>
        <v>0</v>
      </c>
      <c r="J7" s="16"/>
      <c r="K7" s="11"/>
      <c r="L7" s="16"/>
      <c r="M7" s="16"/>
      <c r="N7" s="16"/>
      <c r="O7" s="16"/>
      <c r="P7" s="16"/>
      <c r="Q7" s="16"/>
      <c r="R7" s="35"/>
      <c r="S7" s="43"/>
      <c r="T7" s="46"/>
      <c r="U7" s="51">
        <f t="shared" si="2"/>
        <v>0</v>
      </c>
      <c r="V7" s="17" t="str">
        <f t="shared" si="3"/>
        <v>OK</v>
      </c>
    </row>
    <row r="8" spans="1:22" hidden="1" x14ac:dyDescent="0.3">
      <c r="A8" s="63" t="s">
        <v>96</v>
      </c>
      <c r="B8" s="63">
        <v>8081</v>
      </c>
      <c r="C8" s="18" t="s">
        <v>46</v>
      </c>
      <c r="D8" s="19"/>
      <c r="E8" s="19"/>
      <c r="F8" s="19"/>
      <c r="G8" s="20"/>
      <c r="H8" s="21"/>
      <c r="I8" s="22">
        <f t="shared" si="4"/>
        <v>0</v>
      </c>
      <c r="J8" s="22"/>
      <c r="K8" s="11"/>
      <c r="L8" s="22"/>
      <c r="M8" s="22"/>
      <c r="N8" s="22"/>
      <c r="O8" s="22"/>
      <c r="P8" s="22"/>
      <c r="Q8" s="22"/>
      <c r="R8" s="36"/>
      <c r="S8" s="44"/>
      <c r="T8" s="47"/>
      <c r="U8" s="52">
        <f t="shared" si="2"/>
        <v>0</v>
      </c>
      <c r="V8" s="23" t="str">
        <f t="shared" si="3"/>
        <v>OK</v>
      </c>
    </row>
    <row r="9" spans="1:22" hidden="1" x14ac:dyDescent="0.3">
      <c r="A9" s="62" t="s">
        <v>97</v>
      </c>
      <c r="B9" s="62">
        <v>18524</v>
      </c>
      <c r="C9" s="12" t="s">
        <v>46</v>
      </c>
      <c r="D9" s="53"/>
      <c r="E9" s="13"/>
      <c r="F9" s="13"/>
      <c r="G9" s="14"/>
      <c r="H9" s="15"/>
      <c r="I9" s="16">
        <f t="shared" si="4"/>
        <v>0</v>
      </c>
      <c r="J9" s="16"/>
      <c r="K9" s="11"/>
      <c r="L9" s="16"/>
      <c r="M9" s="16"/>
      <c r="N9" s="16"/>
      <c r="O9" s="16"/>
      <c r="P9" s="16"/>
      <c r="Q9" s="16"/>
      <c r="R9" s="35"/>
      <c r="S9" s="43"/>
      <c r="T9" s="46"/>
      <c r="U9" s="51">
        <f t="shared" si="2"/>
        <v>0</v>
      </c>
      <c r="V9" s="17" t="str">
        <f t="shared" si="3"/>
        <v>OK</v>
      </c>
    </row>
    <row r="10" spans="1:22" hidden="1" x14ac:dyDescent="0.3">
      <c r="A10" s="63" t="s">
        <v>34</v>
      </c>
      <c r="B10" s="63">
        <v>6234</v>
      </c>
      <c r="C10" s="18" t="s">
        <v>47</v>
      </c>
      <c r="D10" s="19"/>
      <c r="E10" s="19"/>
      <c r="F10" s="19"/>
      <c r="G10" s="20"/>
      <c r="H10" s="21"/>
      <c r="I10" s="22">
        <f t="shared" si="4"/>
        <v>0</v>
      </c>
      <c r="J10" s="22"/>
      <c r="K10" s="11"/>
      <c r="L10" s="22"/>
      <c r="M10" s="22"/>
      <c r="N10" s="22"/>
      <c r="O10" s="22"/>
      <c r="P10" s="22"/>
      <c r="Q10" s="22"/>
      <c r="R10" s="36"/>
      <c r="S10" s="44"/>
      <c r="T10" s="47"/>
      <c r="U10" s="52">
        <f t="shared" si="2"/>
        <v>0</v>
      </c>
      <c r="V10" s="23" t="str">
        <f t="shared" si="3"/>
        <v>OK</v>
      </c>
    </row>
    <row r="11" spans="1:22" hidden="1" x14ac:dyDescent="0.3">
      <c r="A11" s="62" t="s">
        <v>80</v>
      </c>
      <c r="B11" s="62">
        <v>14830</v>
      </c>
      <c r="C11" s="12" t="s">
        <v>47</v>
      </c>
      <c r="D11" s="53"/>
      <c r="E11" s="13"/>
      <c r="F11" s="13"/>
      <c r="G11" s="14"/>
      <c r="H11" s="15"/>
      <c r="I11" s="16">
        <f t="shared" si="4"/>
        <v>0</v>
      </c>
      <c r="J11" s="16"/>
      <c r="K11" s="11"/>
      <c r="L11" s="16"/>
      <c r="M11" s="16"/>
      <c r="N11" s="16"/>
      <c r="O11" s="16"/>
      <c r="P11" s="16"/>
      <c r="Q11" s="16"/>
      <c r="R11" s="35"/>
      <c r="S11" s="43"/>
      <c r="T11" s="46"/>
      <c r="U11" s="51">
        <f t="shared" si="2"/>
        <v>0</v>
      </c>
      <c r="V11" s="17" t="str">
        <f t="shared" si="3"/>
        <v>OK</v>
      </c>
    </row>
    <row r="12" spans="1:22" hidden="1" x14ac:dyDescent="0.3">
      <c r="A12" s="63" t="s">
        <v>35</v>
      </c>
      <c r="B12" s="63">
        <v>6004</v>
      </c>
      <c r="C12" s="18" t="s">
        <v>48</v>
      </c>
      <c r="D12" s="19"/>
      <c r="E12" s="19"/>
      <c r="F12" s="19"/>
      <c r="G12" s="20"/>
      <c r="H12" s="21"/>
      <c r="I12" s="22">
        <f t="shared" si="4"/>
        <v>0</v>
      </c>
      <c r="J12" s="22"/>
      <c r="K12" s="11"/>
      <c r="L12" s="22"/>
      <c r="M12" s="22"/>
      <c r="N12" s="22"/>
      <c r="O12" s="22"/>
      <c r="P12" s="22"/>
      <c r="Q12" s="22"/>
      <c r="R12" s="36"/>
      <c r="S12" s="44"/>
      <c r="T12" s="47"/>
      <c r="U12" s="52">
        <f t="shared" si="2"/>
        <v>0</v>
      </c>
      <c r="V12" s="23" t="str">
        <f t="shared" si="3"/>
        <v>OK</v>
      </c>
    </row>
    <row r="13" spans="1:22" hidden="1" x14ac:dyDescent="0.3">
      <c r="A13" s="62" t="s">
        <v>36</v>
      </c>
      <c r="B13" s="62">
        <v>11857</v>
      </c>
      <c r="C13" s="12" t="s">
        <v>48</v>
      </c>
      <c r="D13" s="53"/>
      <c r="E13" s="13"/>
      <c r="F13" s="13"/>
      <c r="G13" s="14"/>
      <c r="H13" s="15"/>
      <c r="I13" s="16">
        <f t="shared" si="4"/>
        <v>0</v>
      </c>
      <c r="J13" s="16"/>
      <c r="K13" s="11"/>
      <c r="L13" s="16"/>
      <c r="M13" s="16"/>
      <c r="N13" s="16"/>
      <c r="O13" s="16"/>
      <c r="P13" s="16"/>
      <c r="Q13" s="16"/>
      <c r="R13" s="35"/>
      <c r="S13" s="43"/>
      <c r="T13" s="46"/>
      <c r="U13" s="51">
        <f t="shared" si="2"/>
        <v>0</v>
      </c>
      <c r="V13" s="17" t="str">
        <f t="shared" si="3"/>
        <v>OK</v>
      </c>
    </row>
    <row r="14" spans="1:22" hidden="1" x14ac:dyDescent="0.3">
      <c r="A14" s="63" t="s">
        <v>82</v>
      </c>
      <c r="B14" s="63">
        <v>15004</v>
      </c>
      <c r="C14" s="18" t="s">
        <v>48</v>
      </c>
      <c r="D14" s="19"/>
      <c r="E14" s="19"/>
      <c r="F14" s="19"/>
      <c r="G14" s="20"/>
      <c r="H14" s="21"/>
      <c r="I14" s="22">
        <f t="shared" si="4"/>
        <v>0</v>
      </c>
      <c r="J14" s="22"/>
      <c r="K14" s="11"/>
      <c r="L14" s="22"/>
      <c r="M14" s="22"/>
      <c r="N14" s="22"/>
      <c r="O14" s="22"/>
      <c r="P14" s="22"/>
      <c r="Q14" s="22"/>
      <c r="R14" s="36"/>
      <c r="S14" s="44"/>
      <c r="T14" s="47"/>
      <c r="U14" s="52">
        <f t="shared" si="2"/>
        <v>0</v>
      </c>
      <c r="V14" s="23" t="str">
        <f t="shared" si="3"/>
        <v>OK</v>
      </c>
    </row>
    <row r="15" spans="1:22" hidden="1" x14ac:dyDescent="0.3">
      <c r="A15" s="62" t="s">
        <v>86</v>
      </c>
      <c r="B15" s="62">
        <v>15174</v>
      </c>
      <c r="C15" s="12" t="s">
        <v>45</v>
      </c>
      <c r="D15" s="53"/>
      <c r="E15" s="13"/>
      <c r="F15" s="13"/>
      <c r="G15" s="14"/>
      <c r="H15" s="15"/>
      <c r="I15" s="16">
        <f t="shared" si="4"/>
        <v>0</v>
      </c>
      <c r="J15" s="16"/>
      <c r="K15" s="11"/>
      <c r="L15" s="16"/>
      <c r="M15" s="16"/>
      <c r="N15" s="16"/>
      <c r="O15" s="16"/>
      <c r="P15" s="16"/>
      <c r="Q15" s="16"/>
      <c r="R15" s="35"/>
      <c r="S15" s="43"/>
      <c r="T15" s="46"/>
      <c r="U15" s="51">
        <f t="shared" si="2"/>
        <v>0</v>
      </c>
      <c r="V15" s="17" t="str">
        <f t="shared" si="3"/>
        <v>OK</v>
      </c>
    </row>
    <row r="16" spans="1:22" hidden="1" x14ac:dyDescent="0.3">
      <c r="A16" s="63" t="s">
        <v>87</v>
      </c>
      <c r="B16" s="63">
        <v>15520</v>
      </c>
      <c r="C16" s="18" t="s">
        <v>47</v>
      </c>
      <c r="D16" s="19"/>
      <c r="E16" s="19"/>
      <c r="F16" s="19"/>
      <c r="G16" s="20"/>
      <c r="H16" s="21"/>
      <c r="I16" s="22">
        <f t="shared" si="4"/>
        <v>0</v>
      </c>
      <c r="J16" s="22"/>
      <c r="K16" s="11"/>
      <c r="L16" s="22"/>
      <c r="M16" s="22"/>
      <c r="N16" s="22"/>
      <c r="O16" s="22"/>
      <c r="P16" s="22"/>
      <c r="Q16" s="22"/>
      <c r="R16" s="36"/>
      <c r="S16" s="44"/>
      <c r="T16" s="47"/>
      <c r="U16" s="52">
        <f t="shared" si="2"/>
        <v>0</v>
      </c>
      <c r="V16" s="23" t="str">
        <f t="shared" si="3"/>
        <v>OK</v>
      </c>
    </row>
    <row r="17" spans="1:22" hidden="1" x14ac:dyDescent="0.3">
      <c r="A17" s="62" t="s">
        <v>85</v>
      </c>
      <c r="B17" s="62">
        <v>14989</v>
      </c>
      <c r="C17" s="12" t="s">
        <v>45</v>
      </c>
      <c r="D17" s="53"/>
      <c r="E17" s="13"/>
      <c r="F17" s="13"/>
      <c r="G17" s="14"/>
      <c r="H17" s="15"/>
      <c r="I17" s="16">
        <f t="shared" si="4"/>
        <v>0</v>
      </c>
      <c r="J17" s="16"/>
      <c r="K17" s="11"/>
      <c r="L17" s="16"/>
      <c r="M17" s="16"/>
      <c r="N17" s="16"/>
      <c r="O17" s="16"/>
      <c r="P17" s="16"/>
      <c r="Q17" s="16"/>
      <c r="R17" s="35"/>
      <c r="S17" s="43"/>
      <c r="T17" s="46"/>
      <c r="U17" s="51">
        <f t="shared" si="2"/>
        <v>0</v>
      </c>
      <c r="V17" s="17" t="str">
        <f t="shared" si="3"/>
        <v>OK</v>
      </c>
    </row>
    <row r="18" spans="1:22" hidden="1" x14ac:dyDescent="0.3">
      <c r="A18" s="63" t="s">
        <v>84</v>
      </c>
      <c r="B18" s="63">
        <v>14984</v>
      </c>
      <c r="C18" s="18" t="s">
        <v>46</v>
      </c>
      <c r="D18" s="19"/>
      <c r="E18" s="19"/>
      <c r="F18" s="19"/>
      <c r="G18" s="20"/>
      <c r="H18" s="21"/>
      <c r="I18" s="22">
        <f t="shared" si="4"/>
        <v>0</v>
      </c>
      <c r="J18" s="22"/>
      <c r="K18" s="11"/>
      <c r="L18" s="22"/>
      <c r="M18" s="22"/>
      <c r="N18" s="22"/>
      <c r="O18" s="22"/>
      <c r="P18" s="22"/>
      <c r="Q18" s="22"/>
      <c r="R18" s="36"/>
      <c r="S18" s="44"/>
      <c r="T18" s="47"/>
      <c r="U18" s="52">
        <f t="shared" si="2"/>
        <v>0</v>
      </c>
      <c r="V18" s="23" t="str">
        <f t="shared" si="3"/>
        <v>OK</v>
      </c>
    </row>
    <row r="19" spans="1:22" hidden="1" x14ac:dyDescent="0.3">
      <c r="A19" s="62" t="s">
        <v>88</v>
      </c>
      <c r="B19" s="62">
        <v>16270</v>
      </c>
      <c r="C19" s="12" t="s">
        <v>89</v>
      </c>
      <c r="D19" s="53"/>
      <c r="E19" s="13"/>
      <c r="F19" s="13"/>
      <c r="G19" s="14"/>
      <c r="H19" s="15"/>
      <c r="I19" s="16">
        <f t="shared" si="4"/>
        <v>0</v>
      </c>
      <c r="J19" s="16"/>
      <c r="K19" s="11"/>
      <c r="L19" s="16"/>
      <c r="M19" s="16"/>
      <c r="N19" s="16"/>
      <c r="O19" s="16"/>
      <c r="P19" s="16"/>
      <c r="Q19" s="16"/>
      <c r="R19" s="35"/>
      <c r="S19" s="43"/>
      <c r="T19" s="46"/>
      <c r="U19" s="51">
        <f t="shared" si="2"/>
        <v>0</v>
      </c>
      <c r="V19" s="17" t="str">
        <f t="shared" si="3"/>
        <v>OK</v>
      </c>
    </row>
    <row r="20" spans="1:22" hidden="1" x14ac:dyDescent="0.3">
      <c r="A20" s="63" t="s">
        <v>98</v>
      </c>
      <c r="B20" s="63">
        <v>19060</v>
      </c>
      <c r="C20" s="18" t="s">
        <v>47</v>
      </c>
      <c r="D20" s="19"/>
      <c r="E20" s="19"/>
      <c r="F20" s="19"/>
      <c r="G20" s="20"/>
      <c r="H20" s="21"/>
      <c r="I20" s="22">
        <f t="shared" si="4"/>
        <v>0</v>
      </c>
      <c r="J20" s="22"/>
      <c r="K20" s="11"/>
      <c r="L20" s="22"/>
      <c r="M20" s="22"/>
      <c r="N20" s="22"/>
      <c r="O20" s="22"/>
      <c r="P20" s="22"/>
      <c r="Q20" s="22"/>
      <c r="R20" s="36"/>
      <c r="S20" s="44"/>
      <c r="T20" s="47"/>
      <c r="U20" s="52">
        <f t="shared" si="2"/>
        <v>0</v>
      </c>
      <c r="V20" s="23" t="str">
        <f t="shared" si="3"/>
        <v>OK</v>
      </c>
    </row>
    <row r="21" spans="1:22" hidden="1" x14ac:dyDescent="0.3">
      <c r="A21" s="62" t="s">
        <v>99</v>
      </c>
      <c r="B21" s="62">
        <v>18828</v>
      </c>
      <c r="C21" s="12" t="s">
        <v>94</v>
      </c>
      <c r="D21" s="53"/>
      <c r="E21" s="13"/>
      <c r="F21" s="13"/>
      <c r="G21" s="14"/>
      <c r="H21" s="15"/>
      <c r="I21" s="16">
        <f t="shared" si="4"/>
        <v>0</v>
      </c>
      <c r="J21" s="16"/>
      <c r="K21" s="11"/>
      <c r="L21" s="16"/>
      <c r="M21" s="16"/>
      <c r="N21" s="16"/>
      <c r="O21" s="16"/>
      <c r="P21" s="16"/>
      <c r="Q21" s="16"/>
      <c r="R21" s="35"/>
      <c r="S21" s="43"/>
      <c r="T21" s="46"/>
      <c r="U21" s="51">
        <f t="shared" si="2"/>
        <v>0</v>
      </c>
      <c r="V21" s="17" t="str">
        <f t="shared" si="3"/>
        <v>OK</v>
      </c>
    </row>
    <row r="22" spans="1:22" hidden="1" x14ac:dyDescent="0.3">
      <c r="A22" s="63" t="s">
        <v>23</v>
      </c>
      <c r="B22" s="63">
        <v>5695</v>
      </c>
      <c r="C22" s="18" t="s">
        <v>140</v>
      </c>
      <c r="D22" s="19"/>
      <c r="E22" s="19"/>
      <c r="F22" s="19"/>
      <c r="G22" s="20"/>
      <c r="H22" s="21"/>
      <c r="I22" s="22">
        <f t="shared" si="4"/>
        <v>0</v>
      </c>
      <c r="J22" s="22"/>
      <c r="K22" s="11"/>
      <c r="L22" s="22"/>
      <c r="M22" s="22"/>
      <c r="N22" s="22"/>
      <c r="O22" s="22"/>
      <c r="P22" s="22"/>
      <c r="Q22" s="22"/>
      <c r="R22" s="36"/>
      <c r="S22" s="44"/>
      <c r="T22" s="47"/>
      <c r="U22" s="52">
        <f t="shared" si="2"/>
        <v>0</v>
      </c>
      <c r="V22" s="23" t="str">
        <f t="shared" si="3"/>
        <v>OK</v>
      </c>
    </row>
    <row r="23" spans="1:22" hidden="1" x14ac:dyDescent="0.3">
      <c r="A23" s="62" t="s">
        <v>24</v>
      </c>
      <c r="B23" s="62">
        <v>5691</v>
      </c>
      <c r="C23" s="12" t="s">
        <v>50</v>
      </c>
      <c r="D23" s="53"/>
      <c r="E23" s="13"/>
      <c r="F23" s="13"/>
      <c r="G23" s="14"/>
      <c r="H23" s="15"/>
      <c r="I23" s="16">
        <f t="shared" si="4"/>
        <v>0</v>
      </c>
      <c r="J23" s="16"/>
      <c r="K23" s="11"/>
      <c r="L23" s="16"/>
      <c r="M23" s="16"/>
      <c r="N23" s="16"/>
      <c r="O23" s="16"/>
      <c r="P23" s="16"/>
      <c r="Q23" s="16"/>
      <c r="R23" s="35"/>
      <c r="S23" s="43"/>
      <c r="T23" s="46"/>
      <c r="U23" s="51">
        <f t="shared" si="2"/>
        <v>0</v>
      </c>
      <c r="V23" s="17" t="str">
        <f t="shared" si="3"/>
        <v>OK</v>
      </c>
    </row>
    <row r="24" spans="1:22" hidden="1" x14ac:dyDescent="0.3">
      <c r="A24" s="63" t="s">
        <v>37</v>
      </c>
      <c r="B24" s="63">
        <v>5687</v>
      </c>
      <c r="C24" s="18" t="s">
        <v>51</v>
      </c>
      <c r="D24" s="19"/>
      <c r="E24" s="19"/>
      <c r="F24" s="19"/>
      <c r="G24" s="20"/>
      <c r="H24" s="21"/>
      <c r="I24" s="22">
        <f t="shared" si="4"/>
        <v>0</v>
      </c>
      <c r="J24" s="22"/>
      <c r="K24" s="11"/>
      <c r="L24" s="22"/>
      <c r="M24" s="22"/>
      <c r="N24" s="22"/>
      <c r="O24" s="22"/>
      <c r="P24" s="22"/>
      <c r="Q24" s="22"/>
      <c r="R24" s="36"/>
      <c r="S24" s="44"/>
      <c r="T24" s="47"/>
      <c r="U24" s="52">
        <f t="shared" si="2"/>
        <v>0</v>
      </c>
      <c r="V24" s="23" t="str">
        <f t="shared" si="3"/>
        <v>OK</v>
      </c>
    </row>
    <row r="25" spans="1:22" hidden="1" x14ac:dyDescent="0.3">
      <c r="A25" s="62" t="s">
        <v>38</v>
      </c>
      <c r="B25" s="62">
        <v>5683</v>
      </c>
      <c r="C25" s="12" t="s">
        <v>51</v>
      </c>
      <c r="D25" s="53"/>
      <c r="E25" s="13"/>
      <c r="F25" s="13"/>
      <c r="G25" s="14"/>
      <c r="H25" s="15"/>
      <c r="I25" s="16">
        <f t="shared" si="4"/>
        <v>0</v>
      </c>
      <c r="J25" s="16"/>
      <c r="K25" s="11"/>
      <c r="L25" s="16"/>
      <c r="M25" s="16"/>
      <c r="N25" s="16"/>
      <c r="O25" s="16"/>
      <c r="P25" s="16"/>
      <c r="Q25" s="16"/>
      <c r="R25" s="35"/>
      <c r="S25" s="43"/>
      <c r="T25" s="46"/>
      <c r="U25" s="51">
        <f t="shared" si="2"/>
        <v>0</v>
      </c>
      <c r="V25" s="17" t="str">
        <f t="shared" si="3"/>
        <v>OK</v>
      </c>
    </row>
    <row r="26" spans="1:22" hidden="1" x14ac:dyDescent="0.3">
      <c r="A26" s="63" t="s">
        <v>25</v>
      </c>
      <c r="B26" s="63">
        <v>5679</v>
      </c>
      <c r="C26" s="18" t="s">
        <v>52</v>
      </c>
      <c r="D26" s="19"/>
      <c r="E26" s="19"/>
      <c r="F26" s="19"/>
      <c r="G26" s="20"/>
      <c r="H26" s="21"/>
      <c r="I26" s="22">
        <f t="shared" si="4"/>
        <v>0</v>
      </c>
      <c r="J26" s="22"/>
      <c r="K26" s="11"/>
      <c r="L26" s="22"/>
      <c r="M26" s="22"/>
      <c r="N26" s="22"/>
      <c r="O26" s="22"/>
      <c r="P26" s="22"/>
      <c r="Q26" s="22"/>
      <c r="R26" s="36"/>
      <c r="S26" s="44"/>
      <c r="T26" s="47"/>
      <c r="U26" s="52">
        <f t="shared" si="2"/>
        <v>0</v>
      </c>
      <c r="V26" s="23" t="str">
        <f t="shared" si="3"/>
        <v>OK</v>
      </c>
    </row>
    <row r="27" spans="1:22" hidden="1" x14ac:dyDescent="0.3">
      <c r="A27" s="62" t="s">
        <v>39</v>
      </c>
      <c r="B27" s="62">
        <v>5675</v>
      </c>
      <c r="C27" s="12" t="s">
        <v>53</v>
      </c>
      <c r="D27" s="53"/>
      <c r="E27" s="13"/>
      <c r="F27" s="13"/>
      <c r="G27" s="14"/>
      <c r="H27" s="15"/>
      <c r="I27" s="16">
        <f t="shared" si="4"/>
        <v>0</v>
      </c>
      <c r="J27" s="16"/>
      <c r="K27" s="11"/>
      <c r="L27" s="16"/>
      <c r="M27" s="16"/>
      <c r="N27" s="16"/>
      <c r="O27" s="16"/>
      <c r="P27" s="16"/>
      <c r="Q27" s="16"/>
      <c r="R27" s="35"/>
      <c r="S27" s="43"/>
      <c r="T27" s="46"/>
      <c r="U27" s="51">
        <f t="shared" si="2"/>
        <v>0</v>
      </c>
      <c r="V27" s="17" t="str">
        <f t="shared" si="3"/>
        <v>OK</v>
      </c>
    </row>
    <row r="28" spans="1:22" hidden="1" x14ac:dyDescent="0.3">
      <c r="A28" s="63" t="s">
        <v>26</v>
      </c>
      <c r="B28" s="63">
        <v>5671</v>
      </c>
      <c r="C28" s="18" t="s">
        <v>49</v>
      </c>
      <c r="D28" s="19"/>
      <c r="E28" s="19"/>
      <c r="F28" s="19"/>
      <c r="G28" s="20"/>
      <c r="H28" s="21"/>
      <c r="I28" s="22">
        <f t="shared" si="4"/>
        <v>0</v>
      </c>
      <c r="J28" s="22"/>
      <c r="K28" s="11"/>
      <c r="L28" s="22"/>
      <c r="M28" s="22"/>
      <c r="N28" s="22"/>
      <c r="O28" s="22"/>
      <c r="P28" s="22"/>
      <c r="Q28" s="22"/>
      <c r="R28" s="36"/>
      <c r="S28" s="44"/>
      <c r="T28" s="47"/>
      <c r="U28" s="52">
        <f t="shared" si="2"/>
        <v>0</v>
      </c>
      <c r="V28" s="23" t="str">
        <f t="shared" si="3"/>
        <v>OK</v>
      </c>
    </row>
    <row r="29" spans="1:22" hidden="1" x14ac:dyDescent="0.3">
      <c r="A29" s="62" t="s">
        <v>40</v>
      </c>
      <c r="B29" s="62">
        <v>5667</v>
      </c>
      <c r="C29" s="12" t="s">
        <v>50</v>
      </c>
      <c r="D29" s="53"/>
      <c r="E29" s="13"/>
      <c r="F29" s="13"/>
      <c r="G29" s="14"/>
      <c r="H29" s="15"/>
      <c r="I29" s="16">
        <f t="shared" si="4"/>
        <v>0</v>
      </c>
      <c r="J29" s="16"/>
      <c r="K29" s="11"/>
      <c r="L29" s="16"/>
      <c r="M29" s="16"/>
      <c r="N29" s="16"/>
      <c r="O29" s="16"/>
      <c r="P29" s="16"/>
      <c r="Q29" s="16"/>
      <c r="R29" s="35"/>
      <c r="S29" s="43"/>
      <c r="T29" s="46"/>
      <c r="U29" s="51">
        <f t="shared" si="2"/>
        <v>0</v>
      </c>
      <c r="V29" s="17" t="str">
        <f t="shared" si="3"/>
        <v>OK</v>
      </c>
    </row>
    <row r="30" spans="1:22" hidden="1" x14ac:dyDescent="0.3">
      <c r="A30" s="63" t="s">
        <v>41</v>
      </c>
      <c r="B30" s="63">
        <v>5663</v>
      </c>
      <c r="C30" s="18" t="s">
        <v>51</v>
      </c>
      <c r="D30" s="19"/>
      <c r="E30" s="19"/>
      <c r="F30" s="19"/>
      <c r="G30" s="20"/>
      <c r="H30" s="21"/>
      <c r="I30" s="22">
        <f t="shared" si="4"/>
        <v>0</v>
      </c>
      <c r="J30" s="22"/>
      <c r="K30" s="11"/>
      <c r="L30" s="22"/>
      <c r="M30" s="22"/>
      <c r="N30" s="22"/>
      <c r="O30" s="22"/>
      <c r="P30" s="22"/>
      <c r="Q30" s="22"/>
      <c r="R30" s="36"/>
      <c r="S30" s="44"/>
      <c r="T30" s="47"/>
      <c r="U30" s="52">
        <f t="shared" si="2"/>
        <v>0</v>
      </c>
      <c r="V30" s="23" t="str">
        <f t="shared" si="3"/>
        <v>OK</v>
      </c>
    </row>
    <row r="31" spans="1:22" hidden="1" x14ac:dyDescent="0.3">
      <c r="A31" s="62" t="s">
        <v>42</v>
      </c>
      <c r="B31" s="62">
        <v>5659</v>
      </c>
      <c r="C31" s="12" t="s">
        <v>52</v>
      </c>
      <c r="D31" s="53"/>
      <c r="E31" s="13"/>
      <c r="F31" s="13"/>
      <c r="G31" s="14"/>
      <c r="H31" s="15"/>
      <c r="I31" s="16">
        <f t="shared" si="4"/>
        <v>0</v>
      </c>
      <c r="J31" s="16"/>
      <c r="K31" s="11"/>
      <c r="L31" s="16"/>
      <c r="M31" s="16"/>
      <c r="N31" s="16"/>
      <c r="O31" s="16"/>
      <c r="P31" s="16"/>
      <c r="Q31" s="16"/>
      <c r="R31" s="35"/>
      <c r="S31" s="43"/>
      <c r="T31" s="46"/>
      <c r="U31" s="51">
        <f t="shared" si="2"/>
        <v>0</v>
      </c>
      <c r="V31" s="17" t="str">
        <f t="shared" si="3"/>
        <v>OK</v>
      </c>
    </row>
    <row r="32" spans="1:22" hidden="1" x14ac:dyDescent="0.3">
      <c r="A32" s="63" t="s">
        <v>27</v>
      </c>
      <c r="B32" s="63">
        <v>5655</v>
      </c>
      <c r="C32" s="18" t="s">
        <v>54</v>
      </c>
      <c r="D32" s="19"/>
      <c r="E32" s="19"/>
      <c r="F32" s="19"/>
      <c r="G32" s="20"/>
      <c r="H32" s="21"/>
      <c r="I32" s="22">
        <f t="shared" si="4"/>
        <v>0</v>
      </c>
      <c r="J32" s="22"/>
      <c r="K32" s="11"/>
      <c r="L32" s="22"/>
      <c r="M32" s="22"/>
      <c r="N32" s="22"/>
      <c r="O32" s="22"/>
      <c r="P32" s="22"/>
      <c r="Q32" s="22"/>
      <c r="R32" s="36"/>
      <c r="S32" s="44"/>
      <c r="T32" s="47"/>
      <c r="U32" s="52">
        <f t="shared" si="2"/>
        <v>0</v>
      </c>
      <c r="V32" s="23" t="str">
        <f t="shared" si="3"/>
        <v>OK</v>
      </c>
    </row>
    <row r="33" spans="1:25" hidden="1" x14ac:dyDescent="0.3">
      <c r="A33" s="62" t="s">
        <v>70</v>
      </c>
      <c r="B33" s="62">
        <v>5651</v>
      </c>
      <c r="C33" s="12" t="s">
        <v>55</v>
      </c>
      <c r="D33" s="53"/>
      <c r="E33" s="13"/>
      <c r="F33" s="13"/>
      <c r="G33" s="14"/>
      <c r="H33" s="15"/>
      <c r="I33" s="16">
        <f t="shared" si="4"/>
        <v>0</v>
      </c>
      <c r="J33" s="16"/>
      <c r="K33" s="11"/>
      <c r="L33" s="16"/>
      <c r="M33" s="16"/>
      <c r="N33" s="16"/>
      <c r="O33" s="16"/>
      <c r="P33" s="16"/>
      <c r="Q33" s="16"/>
      <c r="R33" s="35"/>
      <c r="S33" s="43"/>
      <c r="T33" s="46"/>
      <c r="U33" s="51">
        <f t="shared" si="2"/>
        <v>0</v>
      </c>
      <c r="V33" s="17" t="str">
        <f t="shared" si="3"/>
        <v>OK</v>
      </c>
    </row>
    <row r="34" spans="1:25" hidden="1" x14ac:dyDescent="0.3">
      <c r="A34" s="63" t="s">
        <v>71</v>
      </c>
      <c r="B34" s="63">
        <v>5643</v>
      </c>
      <c r="C34" s="18" t="s">
        <v>56</v>
      </c>
      <c r="D34" s="19"/>
      <c r="E34" s="19"/>
      <c r="F34" s="19"/>
      <c r="G34" s="20"/>
      <c r="H34" s="21"/>
      <c r="I34" s="22">
        <f t="shared" si="4"/>
        <v>0</v>
      </c>
      <c r="J34" s="22"/>
      <c r="K34" s="11"/>
      <c r="L34" s="22"/>
      <c r="M34" s="22"/>
      <c r="N34" s="22"/>
      <c r="O34" s="22"/>
      <c r="P34" s="22"/>
      <c r="Q34" s="22"/>
      <c r="R34" s="36"/>
      <c r="S34" s="44"/>
      <c r="T34" s="47"/>
      <c r="U34" s="52">
        <f t="shared" si="2"/>
        <v>0</v>
      </c>
      <c r="V34" s="23" t="str">
        <f t="shared" si="3"/>
        <v>OK</v>
      </c>
    </row>
    <row r="35" spans="1:25" hidden="1" x14ac:dyDescent="0.3">
      <c r="A35" s="62" t="s">
        <v>57</v>
      </c>
      <c r="B35" s="62">
        <v>11350</v>
      </c>
      <c r="C35" s="12" t="s">
        <v>56</v>
      </c>
      <c r="D35" s="53"/>
      <c r="E35" s="13"/>
      <c r="F35" s="13"/>
      <c r="G35" s="14"/>
      <c r="H35" s="15"/>
      <c r="I35" s="16">
        <f t="shared" si="4"/>
        <v>0</v>
      </c>
      <c r="J35" s="16"/>
      <c r="K35" s="11"/>
      <c r="L35" s="16"/>
      <c r="M35" s="16"/>
      <c r="N35" s="16"/>
      <c r="O35" s="16"/>
      <c r="P35" s="16"/>
      <c r="Q35" s="16"/>
      <c r="R35" s="35"/>
      <c r="S35" s="43"/>
      <c r="T35" s="46"/>
      <c r="U35" s="51">
        <f t="shared" si="2"/>
        <v>0</v>
      </c>
      <c r="V35" s="17" t="str">
        <f t="shared" si="3"/>
        <v>OK</v>
      </c>
    </row>
    <row r="36" spans="1:25" hidden="1" x14ac:dyDescent="0.3">
      <c r="A36" s="63" t="s">
        <v>72</v>
      </c>
      <c r="B36" s="63">
        <v>5635</v>
      </c>
      <c r="C36" s="18" t="s">
        <v>55</v>
      </c>
      <c r="D36" s="19"/>
      <c r="E36" s="19"/>
      <c r="F36" s="19"/>
      <c r="G36" s="20"/>
      <c r="H36" s="21"/>
      <c r="I36" s="22">
        <f t="shared" si="4"/>
        <v>0</v>
      </c>
      <c r="J36" s="22"/>
      <c r="K36" s="11"/>
      <c r="L36" s="22"/>
      <c r="M36" s="22"/>
      <c r="N36" s="22"/>
      <c r="O36" s="22"/>
      <c r="P36" s="22"/>
      <c r="Q36" s="22"/>
      <c r="R36" s="36"/>
      <c r="S36" s="44"/>
      <c r="T36" s="47"/>
      <c r="U36" s="52">
        <f t="shared" si="2"/>
        <v>0</v>
      </c>
      <c r="V36" s="23" t="str">
        <f t="shared" si="3"/>
        <v>OK</v>
      </c>
    </row>
    <row r="37" spans="1:25" hidden="1" x14ac:dyDescent="0.3">
      <c r="A37" s="62" t="s">
        <v>58</v>
      </c>
      <c r="B37" s="62">
        <v>11349</v>
      </c>
      <c r="C37" s="12" t="s">
        <v>55</v>
      </c>
      <c r="D37" s="53"/>
      <c r="E37" s="13"/>
      <c r="F37" s="13"/>
      <c r="G37" s="14"/>
      <c r="H37" s="15"/>
      <c r="I37" s="16">
        <f t="shared" si="4"/>
        <v>0</v>
      </c>
      <c r="J37" s="16"/>
      <c r="K37" s="11"/>
      <c r="L37" s="16"/>
      <c r="M37" s="16"/>
      <c r="N37" s="16"/>
      <c r="O37" s="16"/>
      <c r="P37" s="16"/>
      <c r="Q37" s="16"/>
      <c r="R37" s="35"/>
      <c r="S37" s="43"/>
      <c r="T37" s="46"/>
      <c r="U37" s="51">
        <f t="shared" ref="U37:U55" si="5">SUM(L37:T37)</f>
        <v>0</v>
      </c>
      <c r="V37" s="17" t="str">
        <f t="shared" si="3"/>
        <v>OK</v>
      </c>
    </row>
    <row r="38" spans="1:25" hidden="1" x14ac:dyDescent="0.3">
      <c r="A38" s="63" t="s">
        <v>73</v>
      </c>
      <c r="B38" s="63">
        <v>5627</v>
      </c>
      <c r="C38" s="18" t="s">
        <v>56</v>
      </c>
      <c r="D38" s="19"/>
      <c r="E38" s="19"/>
      <c r="F38" s="19"/>
      <c r="G38" s="20"/>
      <c r="H38" s="21"/>
      <c r="I38" s="22">
        <f t="shared" si="4"/>
        <v>0</v>
      </c>
      <c r="J38" s="22"/>
      <c r="K38" s="11"/>
      <c r="L38" s="22"/>
      <c r="M38" s="22"/>
      <c r="N38" s="22"/>
      <c r="O38" s="22"/>
      <c r="P38" s="22"/>
      <c r="Q38" s="22"/>
      <c r="R38" s="36"/>
      <c r="S38" s="44"/>
      <c r="T38" s="47"/>
      <c r="U38" s="52">
        <f t="shared" si="5"/>
        <v>0</v>
      </c>
      <c r="V38" s="23" t="str">
        <f t="shared" si="3"/>
        <v>OK</v>
      </c>
    </row>
    <row r="39" spans="1:25" hidden="1" x14ac:dyDescent="0.3">
      <c r="A39" s="62" t="s">
        <v>59</v>
      </c>
      <c r="B39" s="62">
        <v>11348</v>
      </c>
      <c r="C39" s="12" t="s">
        <v>56</v>
      </c>
      <c r="D39" s="53"/>
      <c r="E39" s="13"/>
      <c r="F39" s="13"/>
      <c r="G39" s="14"/>
      <c r="H39" s="15"/>
      <c r="I39" s="16">
        <f t="shared" si="4"/>
        <v>0</v>
      </c>
      <c r="J39" s="16"/>
      <c r="K39" s="11"/>
      <c r="L39" s="16"/>
      <c r="M39" s="16"/>
      <c r="N39" s="16"/>
      <c r="O39" s="16"/>
      <c r="P39" s="16"/>
      <c r="Q39" s="16"/>
      <c r="R39" s="35"/>
      <c r="S39" s="43"/>
      <c r="T39" s="46"/>
      <c r="U39" s="51">
        <f t="shared" si="5"/>
        <v>0</v>
      </c>
      <c r="V39" s="17" t="str">
        <f t="shared" si="3"/>
        <v>OK</v>
      </c>
    </row>
    <row r="40" spans="1:25" hidden="1" x14ac:dyDescent="0.3">
      <c r="A40" s="63" t="s">
        <v>74</v>
      </c>
      <c r="B40" s="63">
        <v>5619</v>
      </c>
      <c r="C40" s="18" t="s">
        <v>60</v>
      </c>
      <c r="D40" s="19"/>
      <c r="E40" s="19"/>
      <c r="F40" s="19"/>
      <c r="G40" s="20"/>
      <c r="H40" s="21"/>
      <c r="I40" s="22">
        <f t="shared" si="4"/>
        <v>0</v>
      </c>
      <c r="J40" s="22"/>
      <c r="K40" s="11"/>
      <c r="L40" s="22"/>
      <c r="M40" s="22"/>
      <c r="N40" s="22"/>
      <c r="O40" s="22"/>
      <c r="P40" s="22"/>
      <c r="Q40" s="22"/>
      <c r="R40" s="36"/>
      <c r="S40" s="44"/>
      <c r="T40" s="47"/>
      <c r="U40" s="52">
        <f t="shared" si="5"/>
        <v>0</v>
      </c>
      <c r="V40" s="23" t="str">
        <f t="shared" si="3"/>
        <v>OK</v>
      </c>
    </row>
    <row r="41" spans="1:25" hidden="1" x14ac:dyDescent="0.3">
      <c r="A41" s="64" t="s">
        <v>61</v>
      </c>
      <c r="B41" s="62">
        <v>11347</v>
      </c>
      <c r="C41" s="12" t="s">
        <v>60</v>
      </c>
      <c r="D41" s="53"/>
      <c r="E41" s="13"/>
      <c r="F41" s="13"/>
      <c r="G41" s="14"/>
      <c r="H41" s="15"/>
      <c r="I41" s="16">
        <f t="shared" si="4"/>
        <v>0</v>
      </c>
      <c r="J41" s="16"/>
      <c r="K41" s="11"/>
      <c r="L41" s="16"/>
      <c r="M41" s="16"/>
      <c r="N41" s="16"/>
      <c r="O41" s="16"/>
      <c r="P41" s="16"/>
      <c r="Q41" s="16"/>
      <c r="R41" s="35"/>
      <c r="S41" s="43"/>
      <c r="T41" s="46"/>
      <c r="U41" s="51">
        <f t="shared" si="5"/>
        <v>0</v>
      </c>
      <c r="V41" s="17" t="str">
        <f t="shared" si="3"/>
        <v>OK</v>
      </c>
    </row>
    <row r="42" spans="1:25" hidden="1" x14ac:dyDescent="0.3">
      <c r="A42" s="54" t="s">
        <v>75</v>
      </c>
      <c r="B42" s="63">
        <v>5611</v>
      </c>
      <c r="C42" s="18" t="s">
        <v>62</v>
      </c>
      <c r="D42" s="19"/>
      <c r="E42" s="19"/>
      <c r="F42" s="19"/>
      <c r="G42" s="20"/>
      <c r="H42" s="21"/>
      <c r="I42" s="22">
        <f t="shared" si="4"/>
        <v>0</v>
      </c>
      <c r="J42" s="22"/>
      <c r="K42" s="11"/>
      <c r="L42" s="22"/>
      <c r="M42" s="22"/>
      <c r="N42" s="22"/>
      <c r="O42" s="22"/>
      <c r="P42" s="22"/>
      <c r="Q42" s="22"/>
      <c r="R42" s="36"/>
      <c r="S42" s="44"/>
      <c r="T42" s="47"/>
      <c r="U42" s="52">
        <f t="shared" si="5"/>
        <v>0</v>
      </c>
      <c r="V42" s="23" t="str">
        <f t="shared" si="3"/>
        <v>OK</v>
      </c>
    </row>
    <row r="43" spans="1:25" hidden="1" x14ac:dyDescent="0.3">
      <c r="A43" s="12" t="s">
        <v>63</v>
      </c>
      <c r="B43" s="62">
        <v>11336</v>
      </c>
      <c r="C43" s="12" t="s">
        <v>62</v>
      </c>
      <c r="D43" s="53"/>
      <c r="E43" s="13"/>
      <c r="F43" s="13"/>
      <c r="G43" s="14"/>
      <c r="H43" s="15"/>
      <c r="I43" s="16">
        <f t="shared" si="4"/>
        <v>0</v>
      </c>
      <c r="J43" s="16"/>
      <c r="K43" s="11"/>
      <c r="L43" s="16"/>
      <c r="M43" s="16"/>
      <c r="N43" s="16"/>
      <c r="O43" s="16"/>
      <c r="P43" s="16"/>
      <c r="Q43" s="16"/>
      <c r="R43" s="35"/>
      <c r="S43" s="43"/>
      <c r="T43" s="46"/>
      <c r="U43" s="51">
        <f t="shared" si="5"/>
        <v>0</v>
      </c>
      <c r="V43" s="17" t="str">
        <f t="shared" si="3"/>
        <v>OK</v>
      </c>
    </row>
    <row r="44" spans="1:25" hidden="1" x14ac:dyDescent="0.3">
      <c r="A44" s="54" t="s">
        <v>100</v>
      </c>
      <c r="B44" s="63">
        <v>14860</v>
      </c>
      <c r="C44" s="18" t="s">
        <v>56</v>
      </c>
      <c r="D44" s="19"/>
      <c r="E44" s="19"/>
      <c r="F44" s="19"/>
      <c r="G44" s="20"/>
      <c r="H44" s="21"/>
      <c r="I44" s="22">
        <f t="shared" si="4"/>
        <v>0</v>
      </c>
      <c r="J44" s="22"/>
      <c r="K44" s="11"/>
      <c r="L44" s="22"/>
      <c r="M44" s="22"/>
      <c r="N44" s="22"/>
      <c r="O44" s="22"/>
      <c r="P44" s="22"/>
      <c r="Q44" s="22"/>
      <c r="R44" s="36"/>
      <c r="S44" s="44"/>
      <c r="T44" s="47"/>
      <c r="U44" s="52">
        <f t="shared" si="5"/>
        <v>0</v>
      </c>
      <c r="V44" s="23" t="str">
        <f t="shared" si="3"/>
        <v>OK</v>
      </c>
    </row>
    <row r="45" spans="1:25" hidden="1" x14ac:dyDescent="0.3">
      <c r="A45" s="64" t="s">
        <v>83</v>
      </c>
      <c r="B45" s="62">
        <v>14861</v>
      </c>
      <c r="C45" s="12" t="s">
        <v>56</v>
      </c>
      <c r="D45" s="53"/>
      <c r="E45" s="13"/>
      <c r="F45" s="13"/>
      <c r="G45" s="14"/>
      <c r="H45" s="15"/>
      <c r="I45" s="16">
        <f t="shared" si="4"/>
        <v>0</v>
      </c>
      <c r="J45" s="16"/>
      <c r="K45" s="11"/>
      <c r="L45" s="16"/>
      <c r="M45" s="16"/>
      <c r="N45" s="16"/>
      <c r="O45" s="16"/>
      <c r="P45" s="16"/>
      <c r="Q45" s="16"/>
      <c r="R45" s="35"/>
      <c r="S45" s="43"/>
      <c r="T45" s="46"/>
      <c r="U45" s="51">
        <f t="shared" si="5"/>
        <v>0</v>
      </c>
      <c r="V45" s="17" t="str">
        <f t="shared" si="3"/>
        <v>OK</v>
      </c>
      <c r="Y45" s="102"/>
    </row>
    <row r="46" spans="1:25" hidden="1" x14ac:dyDescent="0.3">
      <c r="A46" s="54" t="s">
        <v>101</v>
      </c>
      <c r="B46" s="63">
        <v>15096</v>
      </c>
      <c r="C46" s="18" t="s">
        <v>56</v>
      </c>
      <c r="D46" s="19"/>
      <c r="E46" s="19"/>
      <c r="F46" s="19"/>
      <c r="G46" s="20"/>
      <c r="H46" s="21"/>
      <c r="I46" s="22">
        <f t="shared" si="4"/>
        <v>0</v>
      </c>
      <c r="J46" s="22"/>
      <c r="K46" s="11"/>
      <c r="L46" s="22"/>
      <c r="M46" s="22"/>
      <c r="N46" s="22"/>
      <c r="O46" s="22"/>
      <c r="P46" s="22"/>
      <c r="Q46" s="22"/>
      <c r="R46" s="36"/>
      <c r="S46" s="44"/>
      <c r="T46" s="47"/>
      <c r="U46" s="52">
        <f t="shared" si="5"/>
        <v>0</v>
      </c>
      <c r="V46" s="23" t="str">
        <f t="shared" si="3"/>
        <v>OK</v>
      </c>
    </row>
    <row r="47" spans="1:25" hidden="1" x14ac:dyDescent="0.3">
      <c r="A47" s="12" t="s">
        <v>81</v>
      </c>
      <c r="B47" s="62">
        <v>15097</v>
      </c>
      <c r="C47" s="12" t="s">
        <v>56</v>
      </c>
      <c r="D47" s="53"/>
      <c r="E47" s="13"/>
      <c r="F47" s="13"/>
      <c r="G47" s="14"/>
      <c r="H47" s="15"/>
      <c r="I47" s="16">
        <f t="shared" si="4"/>
        <v>0</v>
      </c>
      <c r="J47" s="16"/>
      <c r="K47" s="11"/>
      <c r="L47" s="16"/>
      <c r="M47" s="16"/>
      <c r="N47" s="16"/>
      <c r="O47" s="16"/>
      <c r="P47" s="16"/>
      <c r="Q47" s="16"/>
      <c r="R47" s="35"/>
      <c r="S47" s="43"/>
      <c r="T47" s="46"/>
      <c r="U47" s="51">
        <f t="shared" si="5"/>
        <v>0</v>
      </c>
      <c r="V47" s="17" t="str">
        <f t="shared" si="3"/>
        <v>OK</v>
      </c>
    </row>
    <row r="48" spans="1:25" hidden="1" x14ac:dyDescent="0.3">
      <c r="A48" s="54" t="s">
        <v>76</v>
      </c>
      <c r="B48" s="63">
        <v>5585</v>
      </c>
      <c r="C48" s="18" t="s">
        <v>64</v>
      </c>
      <c r="D48" s="19"/>
      <c r="E48" s="19"/>
      <c r="F48" s="19"/>
      <c r="G48" s="20"/>
      <c r="H48" s="21"/>
      <c r="I48" s="22">
        <f t="shared" si="4"/>
        <v>0</v>
      </c>
      <c r="J48" s="22"/>
      <c r="K48" s="11"/>
      <c r="L48" s="22"/>
      <c r="M48" s="22"/>
      <c r="N48" s="22"/>
      <c r="O48" s="22"/>
      <c r="P48" s="22"/>
      <c r="Q48" s="22"/>
      <c r="R48" s="36"/>
      <c r="S48" s="44"/>
      <c r="T48" s="47"/>
      <c r="U48" s="52">
        <f t="shared" si="5"/>
        <v>0</v>
      </c>
      <c r="V48" s="23" t="str">
        <f t="shared" si="3"/>
        <v>OK</v>
      </c>
    </row>
    <row r="49" spans="1:25" hidden="1" x14ac:dyDescent="0.3">
      <c r="A49" s="12" t="s">
        <v>65</v>
      </c>
      <c r="B49" s="62">
        <v>11351</v>
      </c>
      <c r="C49" s="12" t="s">
        <v>64</v>
      </c>
      <c r="D49" s="53"/>
      <c r="E49" s="13"/>
      <c r="F49" s="13"/>
      <c r="G49" s="14"/>
      <c r="H49" s="15"/>
      <c r="I49" s="16">
        <f t="shared" si="4"/>
        <v>0</v>
      </c>
      <c r="J49" s="16"/>
      <c r="K49" s="11"/>
      <c r="L49" s="16"/>
      <c r="M49" s="16"/>
      <c r="N49" s="16"/>
      <c r="O49" s="16"/>
      <c r="P49" s="16"/>
      <c r="Q49" s="16"/>
      <c r="R49" s="35"/>
      <c r="S49" s="43"/>
      <c r="T49" s="46"/>
      <c r="U49" s="51">
        <f t="shared" si="5"/>
        <v>0</v>
      </c>
      <c r="V49" s="17" t="str">
        <f t="shared" si="3"/>
        <v>OK</v>
      </c>
    </row>
    <row r="50" spans="1:25" hidden="1" x14ac:dyDescent="0.3">
      <c r="A50" s="54" t="s">
        <v>66</v>
      </c>
      <c r="B50" s="63">
        <v>11352</v>
      </c>
      <c r="C50" s="18" t="s">
        <v>64</v>
      </c>
      <c r="D50" s="19"/>
      <c r="E50" s="19"/>
      <c r="F50" s="19"/>
      <c r="G50" s="20"/>
      <c r="H50" s="21"/>
      <c r="I50" s="22">
        <f t="shared" si="4"/>
        <v>0</v>
      </c>
      <c r="J50" s="22"/>
      <c r="K50" s="11"/>
      <c r="L50" s="22"/>
      <c r="M50" s="22"/>
      <c r="N50" s="22"/>
      <c r="O50" s="22"/>
      <c r="P50" s="22"/>
      <c r="Q50" s="22"/>
      <c r="R50" s="36"/>
      <c r="S50" s="44"/>
      <c r="T50" s="47"/>
      <c r="U50" s="52">
        <f t="shared" si="5"/>
        <v>0</v>
      </c>
      <c r="V50" s="23" t="str">
        <f t="shared" si="3"/>
        <v>OK</v>
      </c>
    </row>
    <row r="51" spans="1:25" hidden="1" x14ac:dyDescent="0.3">
      <c r="A51" s="90" t="s">
        <v>102</v>
      </c>
      <c r="B51" s="76">
        <v>13515</v>
      </c>
      <c r="C51" s="70" t="s">
        <v>78</v>
      </c>
      <c r="D51" s="70"/>
      <c r="E51" s="70"/>
      <c r="F51" s="70"/>
      <c r="G51" s="91"/>
      <c r="H51" s="82"/>
      <c r="I51" s="82">
        <f t="shared" si="4"/>
        <v>0</v>
      </c>
      <c r="J51" s="74"/>
      <c r="K51" s="11"/>
      <c r="L51" s="16"/>
      <c r="M51" s="16"/>
      <c r="N51" s="16"/>
      <c r="O51" s="16"/>
      <c r="P51" s="16"/>
      <c r="Q51" s="16"/>
      <c r="R51" s="35"/>
      <c r="S51" s="43"/>
      <c r="T51" s="46"/>
      <c r="U51" s="75">
        <f t="shared" si="5"/>
        <v>0</v>
      </c>
      <c r="V51" s="93" t="str">
        <f t="shared" si="3"/>
        <v>OK</v>
      </c>
    </row>
    <row r="52" spans="1:25" hidden="1" x14ac:dyDescent="0.3">
      <c r="A52" s="54" t="s">
        <v>103</v>
      </c>
      <c r="B52" s="63">
        <v>13516</v>
      </c>
      <c r="C52" s="18" t="s">
        <v>78</v>
      </c>
      <c r="D52" s="18"/>
      <c r="E52" s="18"/>
      <c r="F52" s="18"/>
      <c r="G52" s="92"/>
      <c r="H52" s="22"/>
      <c r="I52" s="22">
        <f t="shared" si="4"/>
        <v>0</v>
      </c>
      <c r="J52" s="69"/>
      <c r="K52" s="11"/>
      <c r="L52" s="22"/>
      <c r="M52" s="22"/>
      <c r="N52" s="22"/>
      <c r="O52" s="22"/>
      <c r="P52" s="22"/>
      <c r="Q52" s="22"/>
      <c r="R52" s="36"/>
      <c r="S52" s="44"/>
      <c r="T52" s="47"/>
      <c r="U52" s="52">
        <f t="shared" si="5"/>
        <v>0</v>
      </c>
      <c r="V52" s="23" t="str">
        <f t="shared" si="3"/>
        <v>OK</v>
      </c>
    </row>
    <row r="53" spans="1:25" hidden="1" x14ac:dyDescent="0.3">
      <c r="A53" s="90" t="s">
        <v>104</v>
      </c>
      <c r="B53" s="76">
        <v>13468</v>
      </c>
      <c r="C53" s="70" t="s">
        <v>78</v>
      </c>
      <c r="D53" s="70"/>
      <c r="E53" s="70"/>
      <c r="F53" s="70"/>
      <c r="G53" s="91"/>
      <c r="H53" s="82"/>
      <c r="I53" s="82">
        <f t="shared" si="4"/>
        <v>0</v>
      </c>
      <c r="J53" s="74"/>
      <c r="K53" s="11"/>
      <c r="L53" s="16"/>
      <c r="M53" s="16"/>
      <c r="N53" s="16"/>
      <c r="O53" s="16"/>
      <c r="P53" s="16"/>
      <c r="Q53" s="16"/>
      <c r="R53" s="35"/>
      <c r="S53" s="43"/>
      <c r="T53" s="46"/>
      <c r="U53" s="75">
        <f t="shared" si="5"/>
        <v>0</v>
      </c>
      <c r="V53" s="93" t="str">
        <f t="shared" si="3"/>
        <v>OK</v>
      </c>
      <c r="Y53" s="101"/>
    </row>
    <row r="54" spans="1:25" hidden="1" x14ac:dyDescent="0.3">
      <c r="A54" s="54" t="s">
        <v>79</v>
      </c>
      <c r="B54" s="63">
        <v>13469</v>
      </c>
      <c r="C54" s="18" t="s">
        <v>78</v>
      </c>
      <c r="D54" s="18"/>
      <c r="E54" s="18"/>
      <c r="F54" s="18"/>
      <c r="G54" s="92"/>
      <c r="H54" s="22"/>
      <c r="I54" s="22">
        <f t="shared" si="4"/>
        <v>0</v>
      </c>
      <c r="J54" s="69"/>
      <c r="K54" s="11"/>
      <c r="L54" s="22"/>
      <c r="M54" s="22"/>
      <c r="N54" s="22"/>
      <c r="O54" s="22"/>
      <c r="P54" s="22"/>
      <c r="Q54" s="22"/>
      <c r="R54" s="36"/>
      <c r="S54" s="44"/>
      <c r="T54" s="47"/>
      <c r="U54" s="52">
        <f t="shared" si="5"/>
        <v>0</v>
      </c>
      <c r="V54" s="23" t="str">
        <f t="shared" si="3"/>
        <v>OK</v>
      </c>
    </row>
    <row r="55" spans="1:25" hidden="1" x14ac:dyDescent="0.3">
      <c r="A55" s="90" t="s">
        <v>43</v>
      </c>
      <c r="B55" s="76">
        <v>11820</v>
      </c>
      <c r="C55" s="70" t="s">
        <v>67</v>
      </c>
      <c r="D55" s="70"/>
      <c r="E55" s="70"/>
      <c r="F55" s="70"/>
      <c r="G55" s="91"/>
      <c r="H55" s="82"/>
      <c r="I55" s="82">
        <f t="shared" si="4"/>
        <v>0</v>
      </c>
      <c r="J55" s="74"/>
      <c r="K55" s="11"/>
      <c r="L55" s="16"/>
      <c r="M55" s="16"/>
      <c r="N55" s="16"/>
      <c r="O55" s="16"/>
      <c r="P55" s="16"/>
      <c r="Q55" s="16"/>
      <c r="R55" s="35"/>
      <c r="S55" s="43"/>
      <c r="T55" s="46"/>
      <c r="U55" s="75">
        <f t="shared" si="5"/>
        <v>0</v>
      </c>
      <c r="V55" s="93" t="str">
        <f t="shared" si="3"/>
        <v>OK</v>
      </c>
    </row>
    <row r="56" spans="1:25" hidden="1" x14ac:dyDescent="0.3">
      <c r="A56" s="54" t="s">
        <v>44</v>
      </c>
      <c r="B56" s="63">
        <v>11816</v>
      </c>
      <c r="C56" s="18" t="s">
        <v>67</v>
      </c>
      <c r="D56" s="18"/>
      <c r="E56" s="18"/>
      <c r="F56" s="18"/>
      <c r="G56" s="92"/>
      <c r="H56" s="22"/>
      <c r="I56" s="22">
        <f t="shared" si="4"/>
        <v>0</v>
      </c>
      <c r="J56" s="69"/>
      <c r="K56" s="11"/>
      <c r="L56" s="22"/>
      <c r="M56" s="22"/>
      <c r="N56" s="22"/>
      <c r="O56" s="22"/>
      <c r="P56" s="22"/>
      <c r="Q56" s="22"/>
      <c r="R56" s="36"/>
      <c r="S56" s="44"/>
      <c r="T56" s="47"/>
      <c r="U56" s="52">
        <f>SUM(L56:T56)</f>
        <v>0</v>
      </c>
      <c r="V56" s="23" t="str">
        <f t="shared" si="3"/>
        <v>OK</v>
      </c>
    </row>
    <row r="57" spans="1:25" hidden="1" x14ac:dyDescent="0.3">
      <c r="A57" s="76" t="s">
        <v>77</v>
      </c>
      <c r="B57" s="76">
        <v>11381</v>
      </c>
      <c r="C57" s="77" t="s">
        <v>68</v>
      </c>
      <c r="D57" s="70"/>
      <c r="E57" s="70"/>
      <c r="F57" s="70"/>
      <c r="G57" s="91"/>
      <c r="H57" s="82"/>
      <c r="I57" s="82">
        <f t="shared" si="4"/>
        <v>0</v>
      </c>
      <c r="J57" s="74"/>
      <c r="K57" s="11"/>
      <c r="L57" s="16"/>
      <c r="M57" s="16"/>
      <c r="N57" s="16"/>
      <c r="O57" s="16"/>
      <c r="P57" s="16"/>
      <c r="Q57" s="16"/>
      <c r="R57" s="35"/>
      <c r="S57" s="43"/>
      <c r="T57" s="46"/>
      <c r="U57" s="75">
        <f>SUM(L57:T57)</f>
        <v>0</v>
      </c>
      <c r="V57" s="93" t="str">
        <f t="shared" si="3"/>
        <v>OK</v>
      </c>
    </row>
    <row r="58" spans="1:25" hidden="1" x14ac:dyDescent="0.3">
      <c r="A58" s="54" t="s">
        <v>69</v>
      </c>
      <c r="B58" s="63">
        <v>11382</v>
      </c>
      <c r="C58" s="18" t="s">
        <v>68</v>
      </c>
      <c r="D58" s="18"/>
      <c r="E58" s="18"/>
      <c r="F58" s="18"/>
      <c r="G58" s="92"/>
      <c r="H58" s="22"/>
      <c r="I58" s="22">
        <f t="shared" si="4"/>
        <v>0</v>
      </c>
      <c r="J58" s="69"/>
      <c r="K58" s="11"/>
      <c r="L58" s="22"/>
      <c r="M58" s="22"/>
      <c r="N58" s="22"/>
      <c r="O58" s="22"/>
      <c r="P58" s="22"/>
      <c r="Q58" s="22"/>
      <c r="R58" s="36"/>
      <c r="S58" s="44"/>
      <c r="T58" s="47"/>
      <c r="U58" s="52">
        <f>SUM(L58:T58)</f>
        <v>0</v>
      </c>
      <c r="V58" s="23" t="str">
        <f t="shared" si="3"/>
        <v>OK</v>
      </c>
    </row>
    <row r="59" spans="1:25" hidden="1" x14ac:dyDescent="0.3">
      <c r="A59" s="96" t="s">
        <v>105</v>
      </c>
      <c r="B59" s="76">
        <v>16586</v>
      </c>
      <c r="C59" s="70" t="s">
        <v>78</v>
      </c>
      <c r="D59" s="70"/>
      <c r="E59" s="70"/>
      <c r="F59" s="70"/>
      <c r="G59" s="91"/>
      <c r="H59" s="82"/>
      <c r="I59" s="82">
        <f t="shared" si="4"/>
        <v>0</v>
      </c>
      <c r="J59" s="74"/>
      <c r="K59" s="11"/>
      <c r="L59" s="16"/>
      <c r="M59" s="16"/>
      <c r="N59" s="16"/>
      <c r="O59" s="16"/>
      <c r="P59" s="16"/>
      <c r="Q59" s="16"/>
      <c r="R59" s="35"/>
      <c r="S59" s="43"/>
      <c r="T59" s="46"/>
      <c r="U59" s="75">
        <f t="shared" ref="U59:U69" si="6">SUM(L59:T59)</f>
        <v>0</v>
      </c>
      <c r="V59" s="93" t="str">
        <f t="shared" si="3"/>
        <v>OK</v>
      </c>
    </row>
    <row r="60" spans="1:25" hidden="1" x14ac:dyDescent="0.3">
      <c r="A60" s="54" t="s">
        <v>90</v>
      </c>
      <c r="B60" s="63">
        <v>16587</v>
      </c>
      <c r="C60" s="18" t="s">
        <v>78</v>
      </c>
      <c r="D60" s="18"/>
      <c r="E60" s="18"/>
      <c r="F60" s="18"/>
      <c r="G60" s="92"/>
      <c r="H60" s="22"/>
      <c r="I60" s="22">
        <f t="shared" si="4"/>
        <v>0</v>
      </c>
      <c r="J60" s="69"/>
      <c r="K60" s="11"/>
      <c r="L60" s="22"/>
      <c r="M60" s="22"/>
      <c r="N60" s="22"/>
      <c r="O60" s="22"/>
      <c r="P60" s="22"/>
      <c r="Q60" s="22"/>
      <c r="R60" s="36"/>
      <c r="S60" s="44"/>
      <c r="T60" s="47"/>
      <c r="U60" s="52">
        <f t="shared" si="6"/>
        <v>0</v>
      </c>
      <c r="V60" s="23" t="str">
        <f t="shared" si="3"/>
        <v>OK</v>
      </c>
    </row>
    <row r="61" spans="1:25" hidden="1" x14ac:dyDescent="0.3">
      <c r="A61" s="90" t="s">
        <v>91</v>
      </c>
      <c r="B61" s="76">
        <v>17121</v>
      </c>
      <c r="C61" s="70" t="s">
        <v>92</v>
      </c>
      <c r="D61" s="70"/>
      <c r="E61" s="70"/>
      <c r="F61" s="70"/>
      <c r="G61" s="91"/>
      <c r="H61" s="82"/>
      <c r="I61" s="82">
        <f t="shared" si="4"/>
        <v>0</v>
      </c>
      <c r="J61" s="74"/>
      <c r="K61" s="11"/>
      <c r="L61" s="16"/>
      <c r="M61" s="16"/>
      <c r="N61" s="16"/>
      <c r="O61" s="16"/>
      <c r="P61" s="16"/>
      <c r="Q61" s="16"/>
      <c r="R61" s="35"/>
      <c r="S61" s="43"/>
      <c r="T61" s="46"/>
      <c r="U61" s="75">
        <f t="shared" si="6"/>
        <v>0</v>
      </c>
      <c r="V61" s="93" t="str">
        <f t="shared" si="3"/>
        <v>OK</v>
      </c>
    </row>
    <row r="62" spans="1:25" hidden="1" x14ac:dyDescent="0.3">
      <c r="A62" s="54" t="s">
        <v>106</v>
      </c>
      <c r="B62" s="63">
        <v>19270</v>
      </c>
      <c r="C62" s="18" t="s">
        <v>68</v>
      </c>
      <c r="D62" s="18"/>
      <c r="E62" s="18"/>
      <c r="F62" s="18"/>
      <c r="G62" s="92"/>
      <c r="H62" s="22"/>
      <c r="I62" s="22">
        <f t="shared" si="4"/>
        <v>0</v>
      </c>
      <c r="J62" s="69"/>
      <c r="K62" s="11"/>
      <c r="L62" s="22"/>
      <c r="M62" s="22"/>
      <c r="N62" s="22"/>
      <c r="O62" s="22"/>
      <c r="P62" s="22"/>
      <c r="Q62" s="22"/>
      <c r="R62" s="36"/>
      <c r="S62" s="44"/>
      <c r="T62" s="47"/>
      <c r="U62" s="71">
        <f t="shared" si="6"/>
        <v>0</v>
      </c>
      <c r="V62" s="23" t="str">
        <f t="shared" si="3"/>
        <v>OK</v>
      </c>
    </row>
    <row r="63" spans="1:25" ht="17.25" thickBot="1" x14ac:dyDescent="0.35">
      <c r="A63" s="90" t="s">
        <v>107</v>
      </c>
      <c r="B63" s="76">
        <v>19276</v>
      </c>
      <c r="C63" s="70" t="s">
        <v>68</v>
      </c>
      <c r="D63" s="70"/>
      <c r="E63" s="70"/>
      <c r="F63" s="70"/>
      <c r="G63" s="91"/>
      <c r="H63" s="82"/>
      <c r="I63" s="82">
        <f t="shared" si="4"/>
        <v>10</v>
      </c>
      <c r="J63" s="74"/>
      <c r="K63" s="11"/>
      <c r="L63" s="16"/>
      <c r="M63" s="16">
        <v>10</v>
      </c>
      <c r="N63" s="16"/>
      <c r="O63" s="16"/>
      <c r="P63" s="16"/>
      <c r="Q63" s="16"/>
      <c r="R63" s="35"/>
      <c r="S63" s="43"/>
      <c r="T63" s="46"/>
      <c r="U63" s="75">
        <f t="shared" si="6"/>
        <v>10</v>
      </c>
      <c r="V63" s="93" t="str">
        <f t="shared" si="3"/>
        <v>OK</v>
      </c>
    </row>
    <row r="64" spans="1:25" ht="17.25" hidden="1" thickBot="1" x14ac:dyDescent="0.35">
      <c r="A64" s="54" t="s">
        <v>108</v>
      </c>
      <c r="B64" s="63">
        <v>19836</v>
      </c>
      <c r="C64" s="18" t="s">
        <v>45</v>
      </c>
      <c r="D64" s="18"/>
      <c r="E64" s="18"/>
      <c r="F64" s="18"/>
      <c r="G64" s="92"/>
      <c r="H64" s="22"/>
      <c r="I64" s="22">
        <f t="shared" si="4"/>
        <v>0</v>
      </c>
      <c r="J64" s="69"/>
      <c r="K64" s="11"/>
      <c r="L64" s="22"/>
      <c r="M64" s="22"/>
      <c r="N64" s="22"/>
      <c r="O64" s="22"/>
      <c r="P64" s="22"/>
      <c r="Q64" s="22"/>
      <c r="R64" s="36"/>
      <c r="S64" s="44"/>
      <c r="T64" s="47"/>
      <c r="U64" s="52">
        <f t="shared" si="6"/>
        <v>0</v>
      </c>
      <c r="V64" s="23" t="str">
        <f t="shared" si="3"/>
        <v>OK</v>
      </c>
    </row>
    <row r="65" spans="1:22" ht="17.25" hidden="1" thickBot="1" x14ac:dyDescent="0.35">
      <c r="A65" s="90" t="s">
        <v>109</v>
      </c>
      <c r="B65" s="76">
        <v>20278</v>
      </c>
      <c r="C65" s="70" t="s">
        <v>110</v>
      </c>
      <c r="D65" s="70"/>
      <c r="E65" s="70"/>
      <c r="F65" s="70"/>
      <c r="G65" s="91"/>
      <c r="H65" s="82"/>
      <c r="I65" s="82">
        <f t="shared" si="4"/>
        <v>0</v>
      </c>
      <c r="J65" s="74"/>
      <c r="K65" s="11"/>
      <c r="L65" s="16"/>
      <c r="M65" s="16"/>
      <c r="N65" s="16"/>
      <c r="O65" s="16"/>
      <c r="P65" s="16"/>
      <c r="Q65" s="16"/>
      <c r="R65" s="35"/>
      <c r="S65" s="43"/>
      <c r="T65" s="46"/>
      <c r="U65" s="75">
        <f t="shared" si="6"/>
        <v>0</v>
      </c>
      <c r="V65" s="93" t="str">
        <f t="shared" si="3"/>
        <v>OK</v>
      </c>
    </row>
    <row r="66" spans="1:22" ht="17.25" hidden="1" thickBot="1" x14ac:dyDescent="0.35">
      <c r="A66" s="54" t="s">
        <v>111</v>
      </c>
      <c r="B66" s="63">
        <v>20272</v>
      </c>
      <c r="C66" s="18" t="s">
        <v>110</v>
      </c>
      <c r="D66" s="18"/>
      <c r="E66" s="18"/>
      <c r="F66" s="18"/>
      <c r="G66" s="92"/>
      <c r="H66" s="22"/>
      <c r="I66" s="22">
        <f t="shared" si="4"/>
        <v>0</v>
      </c>
      <c r="J66" s="69"/>
      <c r="K66" s="11"/>
      <c r="L66" s="22"/>
      <c r="M66" s="22"/>
      <c r="N66" s="22"/>
      <c r="O66" s="22"/>
      <c r="P66" s="22"/>
      <c r="Q66" s="22"/>
      <c r="R66" s="36"/>
      <c r="S66" s="44"/>
      <c r="T66" s="47"/>
      <c r="U66" s="52">
        <f t="shared" si="6"/>
        <v>0</v>
      </c>
      <c r="V66" s="23" t="str">
        <f t="shared" si="3"/>
        <v>OK</v>
      </c>
    </row>
    <row r="67" spans="1:22" ht="17.25" hidden="1" thickBot="1" x14ac:dyDescent="0.35">
      <c r="A67" s="90" t="s">
        <v>112</v>
      </c>
      <c r="B67" s="76">
        <v>20956</v>
      </c>
      <c r="C67" s="70" t="s">
        <v>110</v>
      </c>
      <c r="D67" s="70"/>
      <c r="E67" s="70"/>
      <c r="F67" s="70"/>
      <c r="G67" s="91"/>
      <c r="H67" s="82"/>
      <c r="I67" s="82">
        <f t="shared" si="4"/>
        <v>0</v>
      </c>
      <c r="J67" s="74"/>
      <c r="K67" s="11"/>
      <c r="L67" s="16"/>
      <c r="M67" s="16"/>
      <c r="N67" s="16"/>
      <c r="O67" s="16"/>
      <c r="P67" s="16"/>
      <c r="Q67" s="16"/>
      <c r="R67" s="35"/>
      <c r="S67" s="43"/>
      <c r="T67" s="46"/>
      <c r="U67" s="75">
        <f t="shared" si="6"/>
        <v>0</v>
      </c>
      <c r="V67" s="93" t="str">
        <f t="shared" si="3"/>
        <v>OK</v>
      </c>
    </row>
    <row r="68" spans="1:22" ht="17.25" hidden="1" thickBot="1" x14ac:dyDescent="0.35">
      <c r="A68" s="54" t="s">
        <v>116</v>
      </c>
      <c r="B68" s="63">
        <v>21299</v>
      </c>
      <c r="C68" s="18" t="s">
        <v>78</v>
      </c>
      <c r="D68" s="18"/>
      <c r="E68" s="18"/>
      <c r="F68" s="18"/>
      <c r="G68" s="92"/>
      <c r="H68" s="22"/>
      <c r="I68" s="22">
        <f t="shared" si="4"/>
        <v>0</v>
      </c>
      <c r="J68" s="69"/>
      <c r="K68" s="11"/>
      <c r="L68" s="22"/>
      <c r="M68" s="22"/>
      <c r="N68" s="22"/>
      <c r="O68" s="22"/>
      <c r="P68" s="22"/>
      <c r="Q68" s="22"/>
      <c r="R68" s="36"/>
      <c r="S68" s="44"/>
      <c r="T68" s="47"/>
      <c r="U68" s="71">
        <f t="shared" si="6"/>
        <v>0</v>
      </c>
      <c r="V68" s="23" t="str">
        <f>IF(U68=I68,"OK","NG")</f>
        <v>OK</v>
      </c>
    </row>
    <row r="69" spans="1:22" ht="17.25" hidden="1" thickBot="1" x14ac:dyDescent="0.35">
      <c r="A69" s="99" t="s">
        <v>117</v>
      </c>
      <c r="B69" s="76">
        <v>22115</v>
      </c>
      <c r="C69" s="82" t="s">
        <v>118</v>
      </c>
      <c r="D69" s="82"/>
      <c r="E69" s="82"/>
      <c r="F69" s="82"/>
      <c r="G69" s="82"/>
      <c r="H69" s="82"/>
      <c r="I69" s="82">
        <f t="shared" si="4"/>
        <v>0</v>
      </c>
      <c r="J69" s="97"/>
      <c r="K69" s="112"/>
      <c r="L69" s="82"/>
      <c r="M69" s="82"/>
      <c r="N69" s="82"/>
      <c r="O69" s="82"/>
      <c r="P69" s="82"/>
      <c r="Q69" s="82"/>
      <c r="R69" s="83"/>
      <c r="S69" s="84"/>
      <c r="T69" s="100"/>
      <c r="U69" s="75">
        <f t="shared" si="6"/>
        <v>0</v>
      </c>
      <c r="V69" s="93" t="str">
        <f>IF(U69=I69,"OK","NG")</f>
        <v>OK</v>
      </c>
    </row>
    <row r="70" spans="1:22" ht="17.25" hidden="1" thickBot="1" x14ac:dyDescent="0.35">
      <c r="A70" s="54" t="s">
        <v>120</v>
      </c>
      <c r="B70" s="63">
        <v>22706</v>
      </c>
      <c r="C70" s="18" t="s">
        <v>119</v>
      </c>
      <c r="D70" s="18"/>
      <c r="E70" s="18"/>
      <c r="F70" s="18"/>
      <c r="G70" s="92"/>
      <c r="H70" s="22"/>
      <c r="I70" s="22">
        <f t="shared" si="4"/>
        <v>0</v>
      </c>
      <c r="J70" s="69"/>
      <c r="K70" s="11"/>
      <c r="L70" s="22"/>
      <c r="M70" s="22"/>
      <c r="N70" s="22"/>
      <c r="O70" s="22"/>
      <c r="P70" s="22"/>
      <c r="Q70" s="22"/>
      <c r="R70" s="36"/>
      <c r="S70" s="44"/>
      <c r="T70" s="47"/>
      <c r="U70" s="71">
        <f t="shared" ref="U70" si="7">SUM(L70:T70)</f>
        <v>0</v>
      </c>
      <c r="V70" s="23" t="str">
        <f>IF(U70=I70,"OK","NG")</f>
        <v>OK</v>
      </c>
    </row>
    <row r="71" spans="1:22" ht="17.25" hidden="1" thickBot="1" x14ac:dyDescent="0.35">
      <c r="A71" s="99" t="s">
        <v>121</v>
      </c>
      <c r="B71" s="76">
        <v>22886</v>
      </c>
      <c r="C71" s="82" t="s">
        <v>46</v>
      </c>
      <c r="D71" s="82"/>
      <c r="E71" s="82"/>
      <c r="F71" s="82"/>
      <c r="G71" s="82"/>
      <c r="H71" s="82"/>
      <c r="I71" s="82">
        <f t="shared" ref="I71:I80" si="8">SUM(L71:T71)</f>
        <v>0</v>
      </c>
      <c r="J71" s="97"/>
      <c r="K71" s="112"/>
      <c r="L71" s="82"/>
      <c r="M71" s="82"/>
      <c r="N71" s="82"/>
      <c r="O71" s="82"/>
      <c r="P71" s="82"/>
      <c r="Q71" s="82"/>
      <c r="R71" s="83"/>
      <c r="S71" s="84"/>
      <c r="T71" s="100"/>
      <c r="U71" s="75">
        <f>SUM(L71:T71)</f>
        <v>0</v>
      </c>
      <c r="V71" s="93" t="str">
        <f>IF(U71=I71,"OK","NG")</f>
        <v>OK</v>
      </c>
    </row>
    <row r="72" spans="1:22" ht="17.25" hidden="1" thickBot="1" x14ac:dyDescent="0.35">
      <c r="A72" s="54" t="s">
        <v>122</v>
      </c>
      <c r="B72" s="63">
        <v>17528</v>
      </c>
      <c r="C72" s="18" t="s">
        <v>123</v>
      </c>
      <c r="D72" s="18"/>
      <c r="E72" s="18"/>
      <c r="F72" s="18"/>
      <c r="G72" s="92"/>
      <c r="H72" s="22"/>
      <c r="I72" s="22">
        <f t="shared" si="8"/>
        <v>0</v>
      </c>
      <c r="J72" s="69"/>
      <c r="K72" s="11"/>
      <c r="L72" s="22"/>
      <c r="M72" s="22"/>
      <c r="N72" s="22"/>
      <c r="O72" s="22"/>
      <c r="P72" s="22"/>
      <c r="Q72" s="22"/>
      <c r="R72" s="36"/>
      <c r="S72" s="44"/>
      <c r="T72" s="47"/>
      <c r="U72" s="71">
        <f t="shared" ref="U72:U80" si="9">SUM(L72:T72)</f>
        <v>0</v>
      </c>
      <c r="V72" s="95" t="str">
        <f t="shared" ref="V72:V80" si="10">IF(U72=I72,"OK","NG")</f>
        <v>OK</v>
      </c>
    </row>
    <row r="73" spans="1:22" ht="17.25" hidden="1" thickBot="1" x14ac:dyDescent="0.35">
      <c r="A73" s="99" t="s">
        <v>124</v>
      </c>
      <c r="B73" s="76">
        <v>22380</v>
      </c>
      <c r="C73" s="82" t="s">
        <v>47</v>
      </c>
      <c r="D73" s="82"/>
      <c r="E73" s="82"/>
      <c r="F73" s="82"/>
      <c r="G73" s="82"/>
      <c r="H73" s="82"/>
      <c r="I73" s="82">
        <f t="shared" si="8"/>
        <v>0</v>
      </c>
      <c r="J73" s="97"/>
      <c r="K73" s="112"/>
      <c r="L73" s="82"/>
      <c r="M73" s="82"/>
      <c r="N73" s="82"/>
      <c r="O73" s="82"/>
      <c r="P73" s="82"/>
      <c r="Q73" s="82"/>
      <c r="R73" s="83"/>
      <c r="S73" s="84"/>
      <c r="T73" s="100"/>
      <c r="U73" s="75">
        <f t="shared" si="9"/>
        <v>0</v>
      </c>
      <c r="V73" s="93" t="str">
        <f t="shared" si="10"/>
        <v>OK</v>
      </c>
    </row>
    <row r="74" spans="1:22" ht="17.25" hidden="1" thickBot="1" x14ac:dyDescent="0.35">
      <c r="A74" s="54" t="s">
        <v>125</v>
      </c>
      <c r="B74" s="63">
        <v>19279</v>
      </c>
      <c r="C74" s="18" t="s">
        <v>126</v>
      </c>
      <c r="D74" s="18"/>
      <c r="E74" s="18"/>
      <c r="F74" s="18"/>
      <c r="G74" s="92"/>
      <c r="H74" s="22"/>
      <c r="I74" s="22">
        <f t="shared" si="8"/>
        <v>0</v>
      </c>
      <c r="J74" s="69"/>
      <c r="K74" s="11"/>
      <c r="L74" s="22"/>
      <c r="M74" s="22"/>
      <c r="N74" s="22"/>
      <c r="O74" s="22"/>
      <c r="P74" s="22"/>
      <c r="Q74" s="22"/>
      <c r="R74" s="36"/>
      <c r="S74" s="44"/>
      <c r="T74" s="47"/>
      <c r="U74" s="71">
        <f t="shared" si="9"/>
        <v>0</v>
      </c>
      <c r="V74" s="95" t="str">
        <f t="shared" si="10"/>
        <v>OK</v>
      </c>
    </row>
    <row r="75" spans="1:22" ht="17.25" hidden="1" thickBot="1" x14ac:dyDescent="0.35">
      <c r="A75" s="90" t="s">
        <v>131</v>
      </c>
      <c r="B75" s="76">
        <v>22724</v>
      </c>
      <c r="C75" s="70" t="s">
        <v>119</v>
      </c>
      <c r="D75" s="70"/>
      <c r="E75" s="70"/>
      <c r="F75" s="70"/>
      <c r="G75" s="91"/>
      <c r="H75" s="82"/>
      <c r="I75" s="82">
        <v>0</v>
      </c>
      <c r="J75" s="74"/>
      <c r="K75" s="11"/>
      <c r="L75" s="82"/>
      <c r="M75" s="82"/>
      <c r="N75" s="82"/>
      <c r="O75" s="82"/>
      <c r="P75" s="82"/>
      <c r="Q75" s="82"/>
      <c r="R75" s="83"/>
      <c r="S75" s="84"/>
      <c r="T75" s="85"/>
      <c r="U75" s="75">
        <v>0</v>
      </c>
      <c r="V75" s="93" t="s">
        <v>129</v>
      </c>
    </row>
    <row r="76" spans="1:22" ht="17.25" hidden="1" thickBot="1" x14ac:dyDescent="0.35">
      <c r="A76" s="54" t="s">
        <v>132</v>
      </c>
      <c r="B76" s="63">
        <v>22705</v>
      </c>
      <c r="C76" s="18" t="s">
        <v>119</v>
      </c>
      <c r="D76" s="18"/>
      <c r="E76" s="18"/>
      <c r="F76" s="18"/>
      <c r="G76" s="92"/>
      <c r="H76" s="22"/>
      <c r="I76" s="22">
        <f t="shared" si="8"/>
        <v>0</v>
      </c>
      <c r="J76" s="69"/>
      <c r="K76" s="11"/>
      <c r="L76" s="22"/>
      <c r="M76" s="22"/>
      <c r="N76" s="22"/>
      <c r="O76" s="22"/>
      <c r="P76" s="22"/>
      <c r="Q76" s="22"/>
      <c r="R76" s="36"/>
      <c r="S76" s="44"/>
      <c r="T76" s="47"/>
      <c r="U76" s="71">
        <f t="shared" si="9"/>
        <v>0</v>
      </c>
      <c r="V76" s="95" t="str">
        <f t="shared" si="10"/>
        <v>OK</v>
      </c>
    </row>
    <row r="77" spans="1:22" ht="17.25" hidden="1" thickBot="1" x14ac:dyDescent="0.35">
      <c r="A77" s="99" t="s">
        <v>128</v>
      </c>
      <c r="B77" s="76">
        <v>5655</v>
      </c>
      <c r="C77" s="82" t="s">
        <v>54</v>
      </c>
      <c r="D77" s="82"/>
      <c r="E77" s="82"/>
      <c r="F77" s="82"/>
      <c r="G77" s="82"/>
      <c r="H77" s="82"/>
      <c r="I77" s="82">
        <f t="shared" si="8"/>
        <v>0</v>
      </c>
      <c r="J77" s="97"/>
      <c r="K77" s="112"/>
      <c r="L77" s="82"/>
      <c r="M77" s="82"/>
      <c r="N77" s="82"/>
      <c r="O77" s="82"/>
      <c r="P77" s="82"/>
      <c r="Q77" s="82"/>
      <c r="R77" s="83"/>
      <c r="S77" s="84"/>
      <c r="T77" s="100"/>
      <c r="U77" s="75">
        <f t="shared" si="9"/>
        <v>0</v>
      </c>
      <c r="V77" s="93" t="str">
        <f t="shared" si="10"/>
        <v>OK</v>
      </c>
    </row>
    <row r="78" spans="1:22" ht="17.25" hidden="1" thickBot="1" x14ac:dyDescent="0.35">
      <c r="A78" s="120" t="s">
        <v>136</v>
      </c>
      <c r="B78" s="121">
        <v>22704</v>
      </c>
      <c r="C78" s="122" t="s">
        <v>137</v>
      </c>
      <c r="D78" s="122"/>
      <c r="E78" s="122"/>
      <c r="F78" s="122"/>
      <c r="G78" s="122"/>
      <c r="H78" s="122"/>
      <c r="I78" s="22">
        <f t="shared" si="8"/>
        <v>0</v>
      </c>
      <c r="J78" s="45"/>
      <c r="K78" s="112"/>
      <c r="L78" s="22"/>
      <c r="M78" s="22"/>
      <c r="N78" s="22"/>
      <c r="O78" s="22"/>
      <c r="P78" s="22"/>
      <c r="Q78" s="22"/>
      <c r="R78" s="36"/>
      <c r="S78" s="44"/>
      <c r="T78" s="116"/>
      <c r="U78" s="71">
        <f t="shared" si="9"/>
        <v>0</v>
      </c>
      <c r="V78" s="95" t="str">
        <f t="shared" si="10"/>
        <v>OK</v>
      </c>
    </row>
    <row r="79" spans="1:22" ht="17.25" hidden="1" thickBot="1" x14ac:dyDescent="0.35">
      <c r="A79" s="136" t="s">
        <v>139</v>
      </c>
      <c r="B79" s="133">
        <v>22722</v>
      </c>
      <c r="C79" s="137" t="s">
        <v>119</v>
      </c>
      <c r="D79" s="137"/>
      <c r="E79" s="137"/>
      <c r="F79" s="137"/>
      <c r="G79" s="137"/>
      <c r="H79" s="137"/>
      <c r="I79" s="82">
        <f t="shared" si="8"/>
        <v>0</v>
      </c>
      <c r="J79" s="97"/>
      <c r="K79" s="119"/>
      <c r="L79" s="82"/>
      <c r="M79" s="82"/>
      <c r="N79" s="82"/>
      <c r="O79" s="82"/>
      <c r="P79" s="82"/>
      <c r="Q79" s="82"/>
      <c r="R79" s="83"/>
      <c r="S79" s="84"/>
      <c r="T79" s="100"/>
      <c r="U79" s="75">
        <f t="shared" si="9"/>
        <v>0</v>
      </c>
      <c r="V79" s="93" t="str">
        <f t="shared" si="10"/>
        <v>OK</v>
      </c>
    </row>
    <row r="80" spans="1:22" ht="17.25" hidden="1" thickBot="1" x14ac:dyDescent="0.35">
      <c r="A80" s="126" t="s">
        <v>134</v>
      </c>
      <c r="B80" s="127">
        <v>22723</v>
      </c>
      <c r="C80" s="128" t="s">
        <v>119</v>
      </c>
      <c r="D80" s="128"/>
      <c r="E80" s="128"/>
      <c r="F80" s="128"/>
      <c r="G80" s="128"/>
      <c r="H80" s="128"/>
      <c r="I80" s="128">
        <f t="shared" si="8"/>
        <v>0</v>
      </c>
      <c r="J80" s="45"/>
      <c r="K80" s="112"/>
      <c r="L80" s="22"/>
      <c r="M80" s="22"/>
      <c r="N80" s="22"/>
      <c r="O80" s="22"/>
      <c r="P80" s="22"/>
      <c r="Q80" s="22"/>
      <c r="R80" s="36"/>
      <c r="S80" s="44"/>
      <c r="T80" s="116"/>
      <c r="U80" s="52">
        <f t="shared" si="9"/>
        <v>0</v>
      </c>
      <c r="V80" s="23" t="str">
        <f t="shared" si="10"/>
        <v>OK</v>
      </c>
    </row>
    <row r="81" spans="1:22" x14ac:dyDescent="0.3">
      <c r="A81" s="86"/>
      <c r="B81" s="86"/>
      <c r="C81" s="87" t="s">
        <v>9</v>
      </c>
      <c r="D81" s="87"/>
      <c r="E81" s="87"/>
      <c r="F81" s="87"/>
      <c r="G81" s="88">
        <f>SUM(G6:G49)</f>
        <v>0</v>
      </c>
      <c r="H81" s="89">
        <f>SUM(H6:H49)</f>
        <v>0</v>
      </c>
      <c r="I81" s="88">
        <f>SUM(I6:I80)</f>
        <v>10</v>
      </c>
      <c r="J81" s="40">
        <f>SUM(J6:J49)</f>
        <v>0</v>
      </c>
      <c r="K81" s="115">
        <f>SUM(K6:K51)</f>
        <v>0</v>
      </c>
      <c r="L81" s="38">
        <f>SUM(L6:L80)</f>
        <v>0</v>
      </c>
      <c r="M81" s="38">
        <f t="shared" ref="M81:U81" si="11">SUM(M6:M80)</f>
        <v>10</v>
      </c>
      <c r="N81" s="38">
        <f t="shared" si="11"/>
        <v>0</v>
      </c>
      <c r="O81" s="38">
        <f t="shared" si="11"/>
        <v>0</v>
      </c>
      <c r="P81" s="38">
        <f t="shared" si="11"/>
        <v>0</v>
      </c>
      <c r="Q81" s="38">
        <f t="shared" si="11"/>
        <v>0</v>
      </c>
      <c r="R81" s="38">
        <f t="shared" si="11"/>
        <v>0</v>
      </c>
      <c r="S81" s="38">
        <f t="shared" si="11"/>
        <v>0</v>
      </c>
      <c r="T81" s="38">
        <f t="shared" si="11"/>
        <v>0</v>
      </c>
      <c r="U81" s="38">
        <f t="shared" si="11"/>
        <v>10</v>
      </c>
      <c r="V81" s="41" t="str">
        <f>IF(U81=SUM(I81),"OK","NG")</f>
        <v>OK</v>
      </c>
    </row>
  </sheetData>
  <autoFilter ref="A5:Y81" xr:uid="{00000000-0001-0000-0900-000000000000}">
    <filterColumn colId="8">
      <filters>
        <filter val="10"/>
      </filters>
    </filterColumn>
  </autoFilter>
  <mergeCells count="20">
    <mergeCell ref="O4:O5"/>
    <mergeCell ref="P4:P5"/>
    <mergeCell ref="B3:C3"/>
    <mergeCell ref="N4:N5"/>
    <mergeCell ref="B1:C1"/>
    <mergeCell ref="F1:G1"/>
    <mergeCell ref="H1:J3"/>
    <mergeCell ref="B2:C2"/>
    <mergeCell ref="A4:D4"/>
    <mergeCell ref="E4:G4"/>
    <mergeCell ref="H4:J4"/>
    <mergeCell ref="L4:L5"/>
    <mergeCell ref="M4:M5"/>
    <mergeCell ref="Q4:Q5"/>
    <mergeCell ref="R4:R5"/>
    <mergeCell ref="S4:S5"/>
    <mergeCell ref="T4:T5"/>
    <mergeCell ref="V2:V3"/>
    <mergeCell ref="U4:U5"/>
    <mergeCell ref="V4:V5"/>
  </mergeCells>
  <phoneticPr fontId="3" type="noConversion"/>
  <conditionalFormatting sqref="A4 V6:V81">
    <cfRule type="containsText" dxfId="47" priority="5" operator="containsText" text="NG">
      <formula>NOT(ISERROR(SEARCH("NG",A4)))</formula>
    </cfRule>
    <cfRule type="containsText" dxfId="46" priority="6" operator="containsText" text="OK">
      <formula>NOT(ISERROR(SEARCH("OK",A4)))</formula>
    </cfRule>
  </conditionalFormatting>
  <pageMargins left="0.70866141732283472" right="0.70866141732283472" top="0.74803149606299213" bottom="0.74803149606299213" header="0.31496062992125984" footer="0.31496062992125984"/>
  <pageSetup paperSize="8" scale="59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pageSetUpPr fitToPage="1"/>
  </sheetPr>
  <dimension ref="A1:V81"/>
  <sheetViews>
    <sheetView showGridLines="0" zoomScale="85" zoomScaleNormal="85" workbookViewId="0">
      <pane ySplit="5" topLeftCell="A22" activePane="bottomLeft" state="frozen"/>
      <selection activeCell="W73" sqref="W73"/>
      <selection pane="bottomLeft" activeCell="I37" sqref="I37"/>
    </sheetView>
  </sheetViews>
  <sheetFormatPr defaultColWidth="9" defaultRowHeight="16.5" x14ac:dyDescent="0.3"/>
  <cols>
    <col min="1" max="1" width="12.625" bestFit="1" customWidth="1"/>
    <col min="2" max="2" width="14.125" bestFit="1" customWidth="1"/>
    <col min="3" max="3" width="35.125" customWidth="1"/>
    <col min="4" max="4" width="11.75" hidden="1" customWidth="1"/>
    <col min="5" max="6" width="9" hidden="1" customWidth="1"/>
    <col min="7" max="7" width="15.375" hidden="1" customWidth="1"/>
    <col min="8" max="8" width="13.25" hidden="1" customWidth="1"/>
    <col min="9" max="9" width="13.25" customWidth="1"/>
    <col min="10" max="10" width="13.25" hidden="1" customWidth="1"/>
    <col min="11" max="11" width="0.875" customWidth="1"/>
    <col min="20" max="20" width="11" bestFit="1" customWidth="1"/>
  </cols>
  <sheetData>
    <row r="1" spans="1:22" ht="22.5" customHeight="1" thickBot="1" x14ac:dyDescent="0.35">
      <c r="A1" s="32" t="s">
        <v>28</v>
      </c>
      <c r="B1" s="153">
        <f>H81</f>
        <v>0</v>
      </c>
      <c r="C1" s="154"/>
      <c r="D1" s="55"/>
      <c r="E1" s="58" t="s">
        <v>1</v>
      </c>
      <c r="F1" s="155">
        <f>G81</f>
        <v>0</v>
      </c>
      <c r="G1" s="155"/>
      <c r="H1" s="156"/>
      <c r="I1" s="156"/>
      <c r="J1" s="156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22.5" customHeight="1" thickBot="1" x14ac:dyDescent="0.35">
      <c r="A2" s="32" t="s">
        <v>29</v>
      </c>
      <c r="B2" s="158">
        <f>I81</f>
        <v>0</v>
      </c>
      <c r="C2" s="159"/>
      <c r="D2" s="56"/>
      <c r="E2" s="59"/>
      <c r="F2" s="2"/>
      <c r="G2" s="2"/>
      <c r="H2" s="156"/>
      <c r="I2" s="156"/>
      <c r="J2" s="156"/>
      <c r="K2" s="113"/>
      <c r="L2" s="3">
        <f>SUBTOTAL(9,L6:L80)</f>
        <v>0</v>
      </c>
      <c r="M2" s="3">
        <f t="shared" ref="M2:T2" si="0">SUBTOTAL(9,M6:M80)</f>
        <v>0</v>
      </c>
      <c r="N2" s="3">
        <f t="shared" si="0"/>
        <v>0</v>
      </c>
      <c r="O2" s="3">
        <f t="shared" si="0"/>
        <v>0</v>
      </c>
      <c r="P2" s="3">
        <f t="shared" si="0"/>
        <v>0</v>
      </c>
      <c r="Q2" s="3">
        <f t="shared" si="0"/>
        <v>0</v>
      </c>
      <c r="R2" s="3">
        <f t="shared" si="0"/>
        <v>0</v>
      </c>
      <c r="S2" s="3">
        <f t="shared" si="0"/>
        <v>0</v>
      </c>
      <c r="T2" s="3">
        <f t="shared" si="0"/>
        <v>0</v>
      </c>
      <c r="U2" s="48">
        <f>SUBTOTAL(9,U6:U80)</f>
        <v>0</v>
      </c>
      <c r="V2" s="145"/>
    </row>
    <row r="3" spans="1:22" ht="22.5" customHeight="1" thickBot="1" x14ac:dyDescent="0.35">
      <c r="A3" s="33" t="s">
        <v>30</v>
      </c>
      <c r="B3" s="151" t="str">
        <f>IF(ISERROR(B2/(B2+B1)*1000000),"",(B2/(B2+B1)*1000000))</f>
        <v/>
      </c>
      <c r="C3" s="152"/>
      <c r="D3" s="57"/>
      <c r="E3" s="60"/>
      <c r="F3" s="27"/>
      <c r="G3" s="27"/>
      <c r="H3" s="157"/>
      <c r="I3" s="157"/>
      <c r="J3" s="157"/>
      <c r="K3" s="114"/>
      <c r="L3" s="4">
        <f t="shared" ref="L3:U3" si="1">SUM(L6:L80)</f>
        <v>0</v>
      </c>
      <c r="M3" s="4">
        <f t="shared" si="1"/>
        <v>0</v>
      </c>
      <c r="N3" s="4">
        <f t="shared" si="1"/>
        <v>0</v>
      </c>
      <c r="O3" s="4">
        <f t="shared" si="1"/>
        <v>0</v>
      </c>
      <c r="P3" s="4">
        <f t="shared" si="1"/>
        <v>0</v>
      </c>
      <c r="Q3" s="4">
        <f t="shared" si="1"/>
        <v>0</v>
      </c>
      <c r="R3" s="4">
        <f t="shared" si="1"/>
        <v>0</v>
      </c>
      <c r="S3" s="4">
        <f t="shared" si="1"/>
        <v>0</v>
      </c>
      <c r="T3" s="4">
        <f t="shared" si="1"/>
        <v>0</v>
      </c>
      <c r="U3" s="49">
        <f t="shared" si="1"/>
        <v>0</v>
      </c>
      <c r="V3" s="146"/>
    </row>
    <row r="4" spans="1:22" ht="43.5" customHeight="1" x14ac:dyDescent="0.3">
      <c r="A4" s="160" t="str">
        <f>V81</f>
        <v>OK</v>
      </c>
      <c r="B4" s="160"/>
      <c r="C4" s="160"/>
      <c r="D4" s="161"/>
      <c r="E4" s="162" t="s">
        <v>15</v>
      </c>
      <c r="F4" s="162"/>
      <c r="G4" s="162"/>
      <c r="H4" s="163" t="s">
        <v>16</v>
      </c>
      <c r="I4" s="163"/>
      <c r="J4" s="163"/>
      <c r="K4" s="113"/>
      <c r="L4" s="164" t="s">
        <v>10</v>
      </c>
      <c r="M4" s="142" t="s">
        <v>17</v>
      </c>
      <c r="N4" s="142" t="s">
        <v>11</v>
      </c>
      <c r="O4" s="138" t="s">
        <v>12</v>
      </c>
      <c r="P4" s="142" t="s">
        <v>13</v>
      </c>
      <c r="Q4" s="138" t="s">
        <v>14</v>
      </c>
      <c r="R4" s="140" t="s">
        <v>20</v>
      </c>
      <c r="S4" s="142" t="s">
        <v>21</v>
      </c>
      <c r="T4" s="143" t="s">
        <v>22</v>
      </c>
      <c r="U4" s="147" t="s">
        <v>18</v>
      </c>
      <c r="V4" s="149" t="s">
        <v>19</v>
      </c>
    </row>
    <row r="5" spans="1:22" ht="33.75" thickBot="1" x14ac:dyDescent="0.35">
      <c r="A5" s="29" t="s">
        <v>3</v>
      </c>
      <c r="B5" s="30" t="s">
        <v>32</v>
      </c>
      <c r="C5" s="29" t="s">
        <v>4</v>
      </c>
      <c r="D5" s="29" t="s">
        <v>31</v>
      </c>
      <c r="E5" s="29" t="s">
        <v>5</v>
      </c>
      <c r="F5" s="29" t="s">
        <v>6</v>
      </c>
      <c r="G5" s="30" t="s">
        <v>7</v>
      </c>
      <c r="H5" s="31" t="s">
        <v>0</v>
      </c>
      <c r="I5" s="31" t="s">
        <v>114</v>
      </c>
      <c r="J5" s="31" t="s">
        <v>8</v>
      </c>
      <c r="K5" s="28"/>
      <c r="L5" s="165"/>
      <c r="M5" s="139"/>
      <c r="N5" s="139"/>
      <c r="O5" s="139"/>
      <c r="P5" s="139"/>
      <c r="Q5" s="139"/>
      <c r="R5" s="141"/>
      <c r="S5" s="139"/>
      <c r="T5" s="144"/>
      <c r="U5" s="148"/>
      <c r="V5" s="150"/>
    </row>
    <row r="6" spans="1:22" x14ac:dyDescent="0.3">
      <c r="A6" s="61" t="s">
        <v>33</v>
      </c>
      <c r="B6" s="61">
        <v>8092</v>
      </c>
      <c r="C6" s="6" t="s">
        <v>45</v>
      </c>
      <c r="D6" s="7"/>
      <c r="E6" s="7"/>
      <c r="F6" s="7"/>
      <c r="G6" s="8"/>
      <c r="H6" s="9"/>
      <c r="I6" s="10">
        <f>SUM(L6:T6)</f>
        <v>0</v>
      </c>
      <c r="J6" s="10"/>
      <c r="K6" s="11"/>
      <c r="L6" s="10"/>
      <c r="M6" s="10"/>
      <c r="N6" s="10"/>
      <c r="O6" s="10"/>
      <c r="P6" s="10"/>
      <c r="Q6" s="10"/>
      <c r="R6" s="34"/>
      <c r="S6" s="42"/>
      <c r="T6" s="45"/>
      <c r="U6" s="50">
        <f t="shared" ref="U6:U36" si="2">SUM(L6:T6)</f>
        <v>0</v>
      </c>
      <c r="V6" s="26" t="str">
        <f t="shared" ref="V6:V67" si="3">IF(U6=I6,"OK","NG")</f>
        <v>OK</v>
      </c>
    </row>
    <row r="7" spans="1:22" x14ac:dyDescent="0.3">
      <c r="A7" s="62" t="s">
        <v>95</v>
      </c>
      <c r="B7" s="62">
        <v>8088</v>
      </c>
      <c r="C7" s="12" t="s">
        <v>46</v>
      </c>
      <c r="D7" s="53"/>
      <c r="E7" s="13"/>
      <c r="F7" s="13"/>
      <c r="G7" s="14"/>
      <c r="H7" s="15"/>
      <c r="I7" s="16">
        <f t="shared" ref="I7:I70" si="4">SUM(L7:T7)</f>
        <v>0</v>
      </c>
      <c r="J7" s="16"/>
      <c r="K7" s="11"/>
      <c r="L7" s="16"/>
      <c r="M7" s="16"/>
      <c r="N7" s="16"/>
      <c r="O7" s="16"/>
      <c r="P7" s="16"/>
      <c r="Q7" s="16"/>
      <c r="R7" s="35"/>
      <c r="S7" s="43"/>
      <c r="T7" s="46"/>
      <c r="U7" s="51">
        <f t="shared" si="2"/>
        <v>0</v>
      </c>
      <c r="V7" s="17" t="str">
        <f t="shared" si="3"/>
        <v>OK</v>
      </c>
    </row>
    <row r="8" spans="1:22" x14ac:dyDescent="0.3">
      <c r="A8" s="63" t="s">
        <v>96</v>
      </c>
      <c r="B8" s="63">
        <v>8081</v>
      </c>
      <c r="C8" s="18" t="s">
        <v>46</v>
      </c>
      <c r="D8" s="19"/>
      <c r="E8" s="19"/>
      <c r="F8" s="19"/>
      <c r="G8" s="20"/>
      <c r="H8" s="21"/>
      <c r="I8" s="22">
        <f t="shared" si="4"/>
        <v>0</v>
      </c>
      <c r="J8" s="22"/>
      <c r="K8" s="11"/>
      <c r="L8" s="22"/>
      <c r="M8" s="22"/>
      <c r="N8" s="22"/>
      <c r="O8" s="22"/>
      <c r="P8" s="22"/>
      <c r="Q8" s="22"/>
      <c r="R8" s="36"/>
      <c r="S8" s="44"/>
      <c r="T8" s="47"/>
      <c r="U8" s="52">
        <f t="shared" si="2"/>
        <v>0</v>
      </c>
      <c r="V8" s="23" t="str">
        <f t="shared" si="3"/>
        <v>OK</v>
      </c>
    </row>
    <row r="9" spans="1:22" x14ac:dyDescent="0.3">
      <c r="A9" s="62" t="s">
        <v>97</v>
      </c>
      <c r="B9" s="62">
        <v>18524</v>
      </c>
      <c r="C9" s="12" t="s">
        <v>46</v>
      </c>
      <c r="D9" s="53"/>
      <c r="E9" s="13"/>
      <c r="F9" s="13"/>
      <c r="G9" s="14"/>
      <c r="H9" s="15"/>
      <c r="I9" s="16">
        <f t="shared" si="4"/>
        <v>0</v>
      </c>
      <c r="J9" s="16"/>
      <c r="K9" s="11"/>
      <c r="L9" s="16"/>
      <c r="M9" s="16"/>
      <c r="N9" s="16"/>
      <c r="O9" s="16"/>
      <c r="P9" s="16"/>
      <c r="Q9" s="16"/>
      <c r="R9" s="35"/>
      <c r="S9" s="43"/>
      <c r="T9" s="46"/>
      <c r="U9" s="51">
        <f t="shared" si="2"/>
        <v>0</v>
      </c>
      <c r="V9" s="17" t="str">
        <f t="shared" si="3"/>
        <v>OK</v>
      </c>
    </row>
    <row r="10" spans="1:22" x14ac:dyDescent="0.3">
      <c r="A10" s="63" t="s">
        <v>34</v>
      </c>
      <c r="B10" s="63">
        <v>6234</v>
      </c>
      <c r="C10" s="18" t="s">
        <v>47</v>
      </c>
      <c r="D10" s="19"/>
      <c r="E10" s="19"/>
      <c r="F10" s="19"/>
      <c r="G10" s="20"/>
      <c r="H10" s="21"/>
      <c r="I10" s="22">
        <f t="shared" si="4"/>
        <v>0</v>
      </c>
      <c r="J10" s="22"/>
      <c r="K10" s="11"/>
      <c r="L10" s="22"/>
      <c r="M10" s="22"/>
      <c r="N10" s="22"/>
      <c r="O10" s="22"/>
      <c r="P10" s="22"/>
      <c r="Q10" s="22"/>
      <c r="R10" s="36"/>
      <c r="S10" s="44"/>
      <c r="T10" s="47"/>
      <c r="U10" s="52">
        <f t="shared" si="2"/>
        <v>0</v>
      </c>
      <c r="V10" s="23" t="str">
        <f t="shared" si="3"/>
        <v>OK</v>
      </c>
    </row>
    <row r="11" spans="1:22" x14ac:dyDescent="0.3">
      <c r="A11" s="62" t="s">
        <v>80</v>
      </c>
      <c r="B11" s="62">
        <v>14830</v>
      </c>
      <c r="C11" s="12" t="s">
        <v>47</v>
      </c>
      <c r="D11" s="53"/>
      <c r="E11" s="13"/>
      <c r="F11" s="13"/>
      <c r="G11" s="14"/>
      <c r="H11" s="15"/>
      <c r="I11" s="16">
        <f t="shared" si="4"/>
        <v>0</v>
      </c>
      <c r="J11" s="16"/>
      <c r="K11" s="11"/>
      <c r="L11" s="16"/>
      <c r="M11" s="16"/>
      <c r="N11" s="16"/>
      <c r="O11" s="16"/>
      <c r="P11" s="16"/>
      <c r="Q11" s="16"/>
      <c r="R11" s="35"/>
      <c r="S11" s="43"/>
      <c r="T11" s="46"/>
      <c r="U11" s="51">
        <f t="shared" si="2"/>
        <v>0</v>
      </c>
      <c r="V11" s="17" t="str">
        <f t="shared" si="3"/>
        <v>OK</v>
      </c>
    </row>
    <row r="12" spans="1:22" x14ac:dyDescent="0.3">
      <c r="A12" s="63" t="s">
        <v>35</v>
      </c>
      <c r="B12" s="63">
        <v>6004</v>
      </c>
      <c r="C12" s="18" t="s">
        <v>48</v>
      </c>
      <c r="D12" s="19"/>
      <c r="E12" s="19"/>
      <c r="F12" s="19"/>
      <c r="G12" s="20"/>
      <c r="H12" s="21"/>
      <c r="I12" s="22">
        <f t="shared" si="4"/>
        <v>0</v>
      </c>
      <c r="J12" s="22"/>
      <c r="K12" s="11"/>
      <c r="L12" s="22"/>
      <c r="M12" s="22"/>
      <c r="N12" s="22"/>
      <c r="O12" s="22"/>
      <c r="P12" s="22"/>
      <c r="Q12" s="22"/>
      <c r="R12" s="36"/>
      <c r="S12" s="44"/>
      <c r="T12" s="47"/>
      <c r="U12" s="52">
        <f t="shared" si="2"/>
        <v>0</v>
      </c>
      <c r="V12" s="23" t="str">
        <f t="shared" si="3"/>
        <v>OK</v>
      </c>
    </row>
    <row r="13" spans="1:22" x14ac:dyDescent="0.3">
      <c r="A13" s="62" t="s">
        <v>36</v>
      </c>
      <c r="B13" s="62">
        <v>11857</v>
      </c>
      <c r="C13" s="12" t="s">
        <v>48</v>
      </c>
      <c r="D13" s="53"/>
      <c r="E13" s="13"/>
      <c r="F13" s="13"/>
      <c r="G13" s="14"/>
      <c r="H13" s="15"/>
      <c r="I13" s="16">
        <f t="shared" si="4"/>
        <v>0</v>
      </c>
      <c r="J13" s="16"/>
      <c r="K13" s="11"/>
      <c r="L13" s="16"/>
      <c r="M13" s="16"/>
      <c r="N13" s="16"/>
      <c r="O13" s="16"/>
      <c r="P13" s="16"/>
      <c r="Q13" s="16"/>
      <c r="R13" s="35"/>
      <c r="S13" s="43"/>
      <c r="T13" s="46"/>
      <c r="U13" s="51">
        <f t="shared" si="2"/>
        <v>0</v>
      </c>
      <c r="V13" s="17" t="str">
        <f t="shared" si="3"/>
        <v>OK</v>
      </c>
    </row>
    <row r="14" spans="1:22" x14ac:dyDescent="0.3">
      <c r="A14" s="63" t="s">
        <v>82</v>
      </c>
      <c r="B14" s="63">
        <v>15004</v>
      </c>
      <c r="C14" s="18" t="s">
        <v>48</v>
      </c>
      <c r="D14" s="19"/>
      <c r="E14" s="19"/>
      <c r="F14" s="19"/>
      <c r="G14" s="20"/>
      <c r="H14" s="21"/>
      <c r="I14" s="22">
        <f t="shared" si="4"/>
        <v>0</v>
      </c>
      <c r="J14" s="22"/>
      <c r="K14" s="11"/>
      <c r="L14" s="22"/>
      <c r="M14" s="22"/>
      <c r="N14" s="22"/>
      <c r="O14" s="22"/>
      <c r="P14" s="22"/>
      <c r="Q14" s="22"/>
      <c r="R14" s="36"/>
      <c r="S14" s="44"/>
      <c r="T14" s="47"/>
      <c r="U14" s="52">
        <f t="shared" si="2"/>
        <v>0</v>
      </c>
      <c r="V14" s="23" t="str">
        <f t="shared" si="3"/>
        <v>OK</v>
      </c>
    </row>
    <row r="15" spans="1:22" x14ac:dyDescent="0.3">
      <c r="A15" s="62" t="s">
        <v>86</v>
      </c>
      <c r="B15" s="62">
        <v>15174</v>
      </c>
      <c r="C15" s="12" t="s">
        <v>45</v>
      </c>
      <c r="D15" s="53"/>
      <c r="E15" s="13"/>
      <c r="F15" s="13"/>
      <c r="G15" s="14"/>
      <c r="H15" s="15"/>
      <c r="I15" s="16">
        <f t="shared" si="4"/>
        <v>0</v>
      </c>
      <c r="J15" s="16"/>
      <c r="K15" s="11"/>
      <c r="L15" s="16"/>
      <c r="M15" s="16"/>
      <c r="N15" s="16"/>
      <c r="O15" s="16"/>
      <c r="P15" s="16"/>
      <c r="Q15" s="16"/>
      <c r="R15" s="35"/>
      <c r="S15" s="43"/>
      <c r="T15" s="46"/>
      <c r="U15" s="51">
        <f t="shared" si="2"/>
        <v>0</v>
      </c>
      <c r="V15" s="17" t="str">
        <f t="shared" si="3"/>
        <v>OK</v>
      </c>
    </row>
    <row r="16" spans="1:22" x14ac:dyDescent="0.3">
      <c r="A16" s="63" t="s">
        <v>87</v>
      </c>
      <c r="B16" s="63">
        <v>15520</v>
      </c>
      <c r="C16" s="18" t="s">
        <v>47</v>
      </c>
      <c r="D16" s="19"/>
      <c r="E16" s="19"/>
      <c r="F16" s="19"/>
      <c r="G16" s="20"/>
      <c r="H16" s="21"/>
      <c r="I16" s="22">
        <f t="shared" si="4"/>
        <v>0</v>
      </c>
      <c r="J16" s="22"/>
      <c r="K16" s="11"/>
      <c r="L16" s="22"/>
      <c r="M16" s="22"/>
      <c r="N16" s="22"/>
      <c r="O16" s="22"/>
      <c r="P16" s="22"/>
      <c r="Q16" s="22"/>
      <c r="R16" s="36"/>
      <c r="S16" s="44"/>
      <c r="T16" s="47"/>
      <c r="U16" s="52">
        <f t="shared" si="2"/>
        <v>0</v>
      </c>
      <c r="V16" s="23" t="str">
        <f t="shared" si="3"/>
        <v>OK</v>
      </c>
    </row>
    <row r="17" spans="1:22" x14ac:dyDescent="0.3">
      <c r="A17" s="62" t="s">
        <v>85</v>
      </c>
      <c r="B17" s="62">
        <v>14989</v>
      </c>
      <c r="C17" s="12" t="s">
        <v>45</v>
      </c>
      <c r="D17" s="53"/>
      <c r="E17" s="13"/>
      <c r="F17" s="13"/>
      <c r="G17" s="14"/>
      <c r="H17" s="15"/>
      <c r="I17" s="16">
        <f t="shared" si="4"/>
        <v>0</v>
      </c>
      <c r="J17" s="16"/>
      <c r="K17" s="11"/>
      <c r="L17" s="16"/>
      <c r="M17" s="16"/>
      <c r="N17" s="16"/>
      <c r="O17" s="16"/>
      <c r="P17" s="16"/>
      <c r="Q17" s="16"/>
      <c r="R17" s="35"/>
      <c r="S17" s="43"/>
      <c r="T17" s="46"/>
      <c r="U17" s="51">
        <f t="shared" si="2"/>
        <v>0</v>
      </c>
      <c r="V17" s="17" t="str">
        <f t="shared" si="3"/>
        <v>OK</v>
      </c>
    </row>
    <row r="18" spans="1:22" x14ac:dyDescent="0.3">
      <c r="A18" s="63" t="s">
        <v>84</v>
      </c>
      <c r="B18" s="63">
        <v>14984</v>
      </c>
      <c r="C18" s="18" t="s">
        <v>46</v>
      </c>
      <c r="D18" s="19"/>
      <c r="E18" s="19"/>
      <c r="F18" s="19"/>
      <c r="G18" s="20"/>
      <c r="H18" s="21"/>
      <c r="I18" s="22">
        <f t="shared" si="4"/>
        <v>0</v>
      </c>
      <c r="J18" s="22"/>
      <c r="K18" s="11"/>
      <c r="L18" s="22"/>
      <c r="M18" s="22"/>
      <c r="N18" s="22"/>
      <c r="O18" s="22"/>
      <c r="P18" s="22"/>
      <c r="Q18" s="22"/>
      <c r="R18" s="36"/>
      <c r="S18" s="44"/>
      <c r="T18" s="47"/>
      <c r="U18" s="52">
        <f t="shared" si="2"/>
        <v>0</v>
      </c>
      <c r="V18" s="23" t="str">
        <f t="shared" si="3"/>
        <v>OK</v>
      </c>
    </row>
    <row r="19" spans="1:22" x14ac:dyDescent="0.3">
      <c r="A19" s="62" t="s">
        <v>88</v>
      </c>
      <c r="B19" s="62">
        <v>16270</v>
      </c>
      <c r="C19" s="12" t="s">
        <v>89</v>
      </c>
      <c r="D19" s="53"/>
      <c r="E19" s="13"/>
      <c r="F19" s="13"/>
      <c r="G19" s="14"/>
      <c r="H19" s="15"/>
      <c r="I19" s="16">
        <f t="shared" si="4"/>
        <v>0</v>
      </c>
      <c r="J19" s="16"/>
      <c r="K19" s="11"/>
      <c r="L19" s="16"/>
      <c r="M19" s="16"/>
      <c r="N19" s="16"/>
      <c r="O19" s="16"/>
      <c r="P19" s="16"/>
      <c r="Q19" s="16"/>
      <c r="R19" s="35"/>
      <c r="S19" s="43"/>
      <c r="T19" s="46"/>
      <c r="U19" s="51">
        <f t="shared" si="2"/>
        <v>0</v>
      </c>
      <c r="V19" s="17" t="str">
        <f t="shared" si="3"/>
        <v>OK</v>
      </c>
    </row>
    <row r="20" spans="1:22" x14ac:dyDescent="0.3">
      <c r="A20" s="63" t="s">
        <v>98</v>
      </c>
      <c r="B20" s="63">
        <v>19060</v>
      </c>
      <c r="C20" s="18" t="s">
        <v>47</v>
      </c>
      <c r="D20" s="19"/>
      <c r="E20" s="19"/>
      <c r="F20" s="19"/>
      <c r="G20" s="20"/>
      <c r="H20" s="21"/>
      <c r="I20" s="22">
        <f t="shared" si="4"/>
        <v>0</v>
      </c>
      <c r="J20" s="22"/>
      <c r="K20" s="11"/>
      <c r="L20" s="22"/>
      <c r="M20" s="22"/>
      <c r="N20" s="22"/>
      <c r="O20" s="22"/>
      <c r="P20" s="22"/>
      <c r="Q20" s="22"/>
      <c r="R20" s="36"/>
      <c r="S20" s="44"/>
      <c r="T20" s="47"/>
      <c r="U20" s="52">
        <f t="shared" si="2"/>
        <v>0</v>
      </c>
      <c r="V20" s="23" t="str">
        <f t="shared" si="3"/>
        <v>OK</v>
      </c>
    </row>
    <row r="21" spans="1:22" x14ac:dyDescent="0.3">
      <c r="A21" s="62" t="s">
        <v>99</v>
      </c>
      <c r="B21" s="62">
        <v>18828</v>
      </c>
      <c r="C21" s="12" t="s">
        <v>94</v>
      </c>
      <c r="D21" s="53"/>
      <c r="E21" s="13"/>
      <c r="F21" s="13"/>
      <c r="G21" s="14"/>
      <c r="H21" s="15"/>
      <c r="I21" s="16">
        <f t="shared" si="4"/>
        <v>0</v>
      </c>
      <c r="J21" s="16"/>
      <c r="K21" s="11"/>
      <c r="L21" s="16"/>
      <c r="M21" s="16"/>
      <c r="N21" s="16"/>
      <c r="O21" s="16"/>
      <c r="P21" s="16"/>
      <c r="Q21" s="16"/>
      <c r="R21" s="35"/>
      <c r="S21" s="43"/>
      <c r="T21" s="46"/>
      <c r="U21" s="51">
        <f t="shared" si="2"/>
        <v>0</v>
      </c>
      <c r="V21" s="17" t="str">
        <f t="shared" si="3"/>
        <v>OK</v>
      </c>
    </row>
    <row r="22" spans="1:22" x14ac:dyDescent="0.3">
      <c r="A22" s="63" t="s">
        <v>23</v>
      </c>
      <c r="B22" s="63">
        <v>5695</v>
      </c>
      <c r="C22" s="18" t="s">
        <v>49</v>
      </c>
      <c r="D22" s="19"/>
      <c r="E22" s="19"/>
      <c r="F22" s="19"/>
      <c r="G22" s="20"/>
      <c r="H22" s="21"/>
      <c r="I22" s="22">
        <f t="shared" si="4"/>
        <v>0</v>
      </c>
      <c r="J22" s="22"/>
      <c r="K22" s="11"/>
      <c r="L22" s="22"/>
      <c r="M22" s="22"/>
      <c r="N22" s="22"/>
      <c r="O22" s="22"/>
      <c r="P22" s="22"/>
      <c r="Q22" s="22"/>
      <c r="R22" s="36"/>
      <c r="S22" s="44"/>
      <c r="T22" s="47"/>
      <c r="U22" s="52">
        <f t="shared" si="2"/>
        <v>0</v>
      </c>
      <c r="V22" s="23" t="str">
        <f t="shared" si="3"/>
        <v>OK</v>
      </c>
    </row>
    <row r="23" spans="1:22" x14ac:dyDescent="0.3">
      <c r="A23" s="62" t="s">
        <v>24</v>
      </c>
      <c r="B23" s="62">
        <v>5691</v>
      </c>
      <c r="C23" s="12" t="s">
        <v>50</v>
      </c>
      <c r="D23" s="53"/>
      <c r="E23" s="13"/>
      <c r="F23" s="13"/>
      <c r="G23" s="14"/>
      <c r="H23" s="15"/>
      <c r="I23" s="16">
        <f t="shared" si="4"/>
        <v>0</v>
      </c>
      <c r="J23" s="16"/>
      <c r="K23" s="11"/>
      <c r="L23" s="16"/>
      <c r="M23" s="16"/>
      <c r="N23" s="16"/>
      <c r="O23" s="16"/>
      <c r="P23" s="16"/>
      <c r="Q23" s="16"/>
      <c r="R23" s="35"/>
      <c r="S23" s="43"/>
      <c r="T23" s="46"/>
      <c r="U23" s="51">
        <f t="shared" si="2"/>
        <v>0</v>
      </c>
      <c r="V23" s="17" t="str">
        <f t="shared" si="3"/>
        <v>OK</v>
      </c>
    </row>
    <row r="24" spans="1:22" x14ac:dyDescent="0.3">
      <c r="A24" s="63" t="s">
        <v>37</v>
      </c>
      <c r="B24" s="63">
        <v>5687</v>
      </c>
      <c r="C24" s="18" t="s">
        <v>51</v>
      </c>
      <c r="D24" s="19"/>
      <c r="E24" s="19"/>
      <c r="F24" s="19"/>
      <c r="G24" s="20"/>
      <c r="H24" s="21"/>
      <c r="I24" s="22">
        <f t="shared" si="4"/>
        <v>0</v>
      </c>
      <c r="J24" s="22"/>
      <c r="K24" s="11"/>
      <c r="L24" s="22"/>
      <c r="M24" s="22"/>
      <c r="N24" s="22"/>
      <c r="O24" s="22"/>
      <c r="P24" s="22"/>
      <c r="Q24" s="22"/>
      <c r="R24" s="36"/>
      <c r="S24" s="44"/>
      <c r="T24" s="47"/>
      <c r="U24" s="52">
        <f t="shared" si="2"/>
        <v>0</v>
      </c>
      <c r="V24" s="23" t="str">
        <f t="shared" si="3"/>
        <v>OK</v>
      </c>
    </row>
    <row r="25" spans="1:22" x14ac:dyDescent="0.3">
      <c r="A25" s="62" t="s">
        <v>38</v>
      </c>
      <c r="B25" s="62">
        <v>5683</v>
      </c>
      <c r="C25" s="12" t="s">
        <v>51</v>
      </c>
      <c r="D25" s="53"/>
      <c r="E25" s="13"/>
      <c r="F25" s="13"/>
      <c r="G25" s="14"/>
      <c r="H25" s="15"/>
      <c r="I25" s="16">
        <f t="shared" si="4"/>
        <v>0</v>
      </c>
      <c r="J25" s="16"/>
      <c r="K25" s="11"/>
      <c r="L25" s="16"/>
      <c r="M25" s="16"/>
      <c r="N25" s="16"/>
      <c r="O25" s="16"/>
      <c r="P25" s="16"/>
      <c r="Q25" s="16"/>
      <c r="R25" s="35"/>
      <c r="S25" s="43"/>
      <c r="T25" s="46"/>
      <c r="U25" s="51">
        <f t="shared" si="2"/>
        <v>0</v>
      </c>
      <c r="V25" s="17" t="str">
        <f t="shared" si="3"/>
        <v>OK</v>
      </c>
    </row>
    <row r="26" spans="1:22" x14ac:dyDescent="0.3">
      <c r="A26" s="63" t="s">
        <v>25</v>
      </c>
      <c r="B26" s="63">
        <v>5679</v>
      </c>
      <c r="C26" s="18" t="s">
        <v>52</v>
      </c>
      <c r="D26" s="19"/>
      <c r="E26" s="19"/>
      <c r="F26" s="19"/>
      <c r="G26" s="20"/>
      <c r="H26" s="21"/>
      <c r="I26" s="22">
        <f t="shared" si="4"/>
        <v>0</v>
      </c>
      <c r="J26" s="22"/>
      <c r="K26" s="11"/>
      <c r="L26" s="22"/>
      <c r="M26" s="22"/>
      <c r="N26" s="22"/>
      <c r="O26" s="22"/>
      <c r="P26" s="22"/>
      <c r="Q26" s="22"/>
      <c r="R26" s="36"/>
      <c r="S26" s="44"/>
      <c r="T26" s="47"/>
      <c r="U26" s="52">
        <f t="shared" si="2"/>
        <v>0</v>
      </c>
      <c r="V26" s="23" t="str">
        <f t="shared" si="3"/>
        <v>OK</v>
      </c>
    </row>
    <row r="27" spans="1:22" x14ac:dyDescent="0.3">
      <c r="A27" s="62" t="s">
        <v>39</v>
      </c>
      <c r="B27" s="62">
        <v>5675</v>
      </c>
      <c r="C27" s="12" t="s">
        <v>53</v>
      </c>
      <c r="D27" s="53"/>
      <c r="E27" s="13"/>
      <c r="F27" s="13"/>
      <c r="G27" s="14"/>
      <c r="H27" s="15"/>
      <c r="I27" s="16">
        <f t="shared" si="4"/>
        <v>0</v>
      </c>
      <c r="J27" s="16"/>
      <c r="K27" s="11"/>
      <c r="L27" s="16"/>
      <c r="M27" s="16"/>
      <c r="N27" s="16"/>
      <c r="O27" s="16"/>
      <c r="P27" s="16"/>
      <c r="Q27" s="16"/>
      <c r="R27" s="35"/>
      <c r="S27" s="43"/>
      <c r="T27" s="46"/>
      <c r="U27" s="51">
        <f t="shared" si="2"/>
        <v>0</v>
      </c>
      <c r="V27" s="17" t="str">
        <f t="shared" si="3"/>
        <v>OK</v>
      </c>
    </row>
    <row r="28" spans="1:22" x14ac:dyDescent="0.3">
      <c r="A28" s="63" t="s">
        <v>26</v>
      </c>
      <c r="B28" s="63">
        <v>5671</v>
      </c>
      <c r="C28" s="18" t="s">
        <v>49</v>
      </c>
      <c r="D28" s="19"/>
      <c r="E28" s="19"/>
      <c r="F28" s="19"/>
      <c r="G28" s="20"/>
      <c r="H28" s="21"/>
      <c r="I28" s="22">
        <f t="shared" si="4"/>
        <v>0</v>
      </c>
      <c r="J28" s="22"/>
      <c r="K28" s="11"/>
      <c r="L28" s="22"/>
      <c r="M28" s="22"/>
      <c r="N28" s="22"/>
      <c r="O28" s="22"/>
      <c r="P28" s="22"/>
      <c r="Q28" s="22"/>
      <c r="R28" s="36"/>
      <c r="S28" s="44"/>
      <c r="T28" s="47"/>
      <c r="U28" s="52">
        <f t="shared" si="2"/>
        <v>0</v>
      </c>
      <c r="V28" s="23" t="str">
        <f t="shared" si="3"/>
        <v>OK</v>
      </c>
    </row>
    <row r="29" spans="1:22" x14ac:dyDescent="0.3">
      <c r="A29" s="62" t="s">
        <v>40</v>
      </c>
      <c r="B29" s="62">
        <v>5667</v>
      </c>
      <c r="C29" s="12" t="s">
        <v>50</v>
      </c>
      <c r="D29" s="53"/>
      <c r="E29" s="13"/>
      <c r="F29" s="13"/>
      <c r="G29" s="14"/>
      <c r="H29" s="15"/>
      <c r="I29" s="16">
        <f t="shared" si="4"/>
        <v>0</v>
      </c>
      <c r="J29" s="16"/>
      <c r="K29" s="11"/>
      <c r="L29" s="16"/>
      <c r="M29" s="16"/>
      <c r="N29" s="16"/>
      <c r="O29" s="16"/>
      <c r="P29" s="16"/>
      <c r="Q29" s="16"/>
      <c r="R29" s="35"/>
      <c r="S29" s="43"/>
      <c r="T29" s="46"/>
      <c r="U29" s="51">
        <f t="shared" si="2"/>
        <v>0</v>
      </c>
      <c r="V29" s="17" t="str">
        <f t="shared" si="3"/>
        <v>OK</v>
      </c>
    </row>
    <row r="30" spans="1:22" x14ac:dyDescent="0.3">
      <c r="A30" s="63" t="s">
        <v>41</v>
      </c>
      <c r="B30" s="63">
        <v>5663</v>
      </c>
      <c r="C30" s="18" t="s">
        <v>51</v>
      </c>
      <c r="D30" s="19"/>
      <c r="E30" s="19"/>
      <c r="F30" s="19"/>
      <c r="G30" s="20"/>
      <c r="H30" s="21"/>
      <c r="I30" s="22">
        <f t="shared" si="4"/>
        <v>0</v>
      </c>
      <c r="J30" s="22"/>
      <c r="K30" s="11"/>
      <c r="L30" s="22"/>
      <c r="M30" s="22"/>
      <c r="N30" s="22"/>
      <c r="O30" s="22"/>
      <c r="P30" s="22"/>
      <c r="Q30" s="22"/>
      <c r="R30" s="36"/>
      <c r="S30" s="44"/>
      <c r="T30" s="47"/>
      <c r="U30" s="52">
        <f t="shared" si="2"/>
        <v>0</v>
      </c>
      <c r="V30" s="23" t="str">
        <f t="shared" si="3"/>
        <v>OK</v>
      </c>
    </row>
    <row r="31" spans="1:22" x14ac:dyDescent="0.3">
      <c r="A31" s="62" t="s">
        <v>42</v>
      </c>
      <c r="B31" s="62">
        <v>5659</v>
      </c>
      <c r="C31" s="12" t="s">
        <v>52</v>
      </c>
      <c r="D31" s="53"/>
      <c r="E31" s="13"/>
      <c r="F31" s="13"/>
      <c r="G31" s="14"/>
      <c r="H31" s="15"/>
      <c r="I31" s="16">
        <f t="shared" si="4"/>
        <v>0</v>
      </c>
      <c r="J31" s="16"/>
      <c r="K31" s="11"/>
      <c r="L31" s="16"/>
      <c r="M31" s="16"/>
      <c r="N31" s="16"/>
      <c r="O31" s="16"/>
      <c r="P31" s="16"/>
      <c r="Q31" s="16"/>
      <c r="R31" s="35"/>
      <c r="S31" s="43"/>
      <c r="T31" s="46"/>
      <c r="U31" s="51">
        <f t="shared" si="2"/>
        <v>0</v>
      </c>
      <c r="V31" s="17" t="str">
        <f t="shared" si="3"/>
        <v>OK</v>
      </c>
    </row>
    <row r="32" spans="1:22" x14ac:dyDescent="0.3">
      <c r="A32" s="63" t="s">
        <v>27</v>
      </c>
      <c r="B32" s="63">
        <v>5655</v>
      </c>
      <c r="C32" s="18" t="s">
        <v>54</v>
      </c>
      <c r="D32" s="19"/>
      <c r="E32" s="19"/>
      <c r="F32" s="19"/>
      <c r="G32" s="20"/>
      <c r="H32" s="21"/>
      <c r="I32" s="22">
        <f t="shared" si="4"/>
        <v>0</v>
      </c>
      <c r="J32" s="22"/>
      <c r="K32" s="11"/>
      <c r="L32" s="22"/>
      <c r="M32" s="22"/>
      <c r="N32" s="22"/>
      <c r="O32" s="22"/>
      <c r="P32" s="22"/>
      <c r="Q32" s="22"/>
      <c r="R32" s="36"/>
      <c r="S32" s="44"/>
      <c r="T32" s="47"/>
      <c r="U32" s="52">
        <f t="shared" si="2"/>
        <v>0</v>
      </c>
      <c r="V32" s="23" t="str">
        <f t="shared" si="3"/>
        <v>OK</v>
      </c>
    </row>
    <row r="33" spans="1:22" x14ac:dyDescent="0.3">
      <c r="A33" s="62" t="s">
        <v>70</v>
      </c>
      <c r="B33" s="62">
        <v>5651</v>
      </c>
      <c r="C33" s="12" t="s">
        <v>55</v>
      </c>
      <c r="D33" s="53"/>
      <c r="E33" s="13"/>
      <c r="F33" s="13"/>
      <c r="G33" s="14"/>
      <c r="H33" s="15"/>
      <c r="I33" s="16">
        <f t="shared" si="4"/>
        <v>0</v>
      </c>
      <c r="J33" s="16"/>
      <c r="K33" s="11"/>
      <c r="L33" s="16"/>
      <c r="M33" s="16"/>
      <c r="N33" s="16"/>
      <c r="O33" s="16"/>
      <c r="P33" s="16"/>
      <c r="Q33" s="16"/>
      <c r="R33" s="35"/>
      <c r="S33" s="43"/>
      <c r="T33" s="46"/>
      <c r="U33" s="51">
        <f t="shared" si="2"/>
        <v>0</v>
      </c>
      <c r="V33" s="17" t="str">
        <f t="shared" si="3"/>
        <v>OK</v>
      </c>
    </row>
    <row r="34" spans="1:22" x14ac:dyDescent="0.3">
      <c r="A34" s="63" t="s">
        <v>71</v>
      </c>
      <c r="B34" s="63">
        <v>5643</v>
      </c>
      <c r="C34" s="18" t="s">
        <v>56</v>
      </c>
      <c r="D34" s="19"/>
      <c r="E34" s="19"/>
      <c r="F34" s="19"/>
      <c r="G34" s="20"/>
      <c r="H34" s="21"/>
      <c r="I34" s="22">
        <f t="shared" si="4"/>
        <v>0</v>
      </c>
      <c r="J34" s="22"/>
      <c r="K34" s="11"/>
      <c r="L34" s="22"/>
      <c r="M34" s="22"/>
      <c r="N34" s="22"/>
      <c r="O34" s="22"/>
      <c r="P34" s="22"/>
      <c r="Q34" s="22"/>
      <c r="R34" s="36"/>
      <c r="S34" s="44"/>
      <c r="T34" s="47"/>
      <c r="U34" s="52">
        <f t="shared" si="2"/>
        <v>0</v>
      </c>
      <c r="V34" s="23" t="str">
        <f t="shared" si="3"/>
        <v>OK</v>
      </c>
    </row>
    <row r="35" spans="1:22" x14ac:dyDescent="0.3">
      <c r="A35" s="62" t="s">
        <v>57</v>
      </c>
      <c r="B35" s="62">
        <v>11350</v>
      </c>
      <c r="C35" s="12" t="s">
        <v>56</v>
      </c>
      <c r="D35" s="53"/>
      <c r="E35" s="13"/>
      <c r="F35" s="13"/>
      <c r="G35" s="14"/>
      <c r="H35" s="15"/>
      <c r="I35" s="16">
        <f t="shared" si="4"/>
        <v>0</v>
      </c>
      <c r="J35" s="16"/>
      <c r="K35" s="11"/>
      <c r="L35" s="16"/>
      <c r="M35" s="16"/>
      <c r="N35" s="16"/>
      <c r="O35" s="16"/>
      <c r="P35" s="16"/>
      <c r="Q35" s="16"/>
      <c r="R35" s="35"/>
      <c r="S35" s="43"/>
      <c r="T35" s="46"/>
      <c r="U35" s="51">
        <f t="shared" si="2"/>
        <v>0</v>
      </c>
      <c r="V35" s="17" t="str">
        <f t="shared" si="3"/>
        <v>OK</v>
      </c>
    </row>
    <row r="36" spans="1:22" x14ac:dyDescent="0.3">
      <c r="A36" s="63" t="s">
        <v>72</v>
      </c>
      <c r="B36" s="63">
        <v>5635</v>
      </c>
      <c r="C36" s="18" t="s">
        <v>55</v>
      </c>
      <c r="D36" s="19"/>
      <c r="E36" s="19"/>
      <c r="F36" s="19"/>
      <c r="G36" s="20"/>
      <c r="H36" s="21"/>
      <c r="I36" s="22">
        <f t="shared" si="4"/>
        <v>0</v>
      </c>
      <c r="J36" s="22"/>
      <c r="K36" s="11"/>
      <c r="L36" s="22"/>
      <c r="M36" s="22"/>
      <c r="N36" s="22"/>
      <c r="O36" s="22"/>
      <c r="P36" s="22"/>
      <c r="Q36" s="22"/>
      <c r="R36" s="36"/>
      <c r="S36" s="44"/>
      <c r="T36" s="47"/>
      <c r="U36" s="52">
        <f t="shared" si="2"/>
        <v>0</v>
      </c>
      <c r="V36" s="23" t="str">
        <f t="shared" si="3"/>
        <v>OK</v>
      </c>
    </row>
    <row r="37" spans="1:22" x14ac:dyDescent="0.3">
      <c r="A37" s="62" t="s">
        <v>58</v>
      </c>
      <c r="B37" s="62">
        <v>11349</v>
      </c>
      <c r="C37" s="12" t="s">
        <v>55</v>
      </c>
      <c r="D37" s="53"/>
      <c r="E37" s="13"/>
      <c r="F37" s="13"/>
      <c r="G37" s="14"/>
      <c r="H37" s="15"/>
      <c r="I37" s="16">
        <f t="shared" si="4"/>
        <v>0</v>
      </c>
      <c r="J37" s="16"/>
      <c r="K37" s="11"/>
      <c r="L37" s="16"/>
      <c r="M37" s="16"/>
      <c r="N37" s="16"/>
      <c r="O37" s="16"/>
      <c r="P37" s="16"/>
      <c r="Q37" s="16"/>
      <c r="R37" s="35"/>
      <c r="S37" s="43"/>
      <c r="T37" s="46"/>
      <c r="U37" s="51">
        <f t="shared" ref="U37:U55" si="5">SUM(L37:T37)</f>
        <v>0</v>
      </c>
      <c r="V37" s="17" t="str">
        <f t="shared" si="3"/>
        <v>OK</v>
      </c>
    </row>
    <row r="38" spans="1:22" x14ac:dyDescent="0.3">
      <c r="A38" s="63" t="s">
        <v>73</v>
      </c>
      <c r="B38" s="63">
        <v>5627</v>
      </c>
      <c r="C38" s="18" t="s">
        <v>56</v>
      </c>
      <c r="D38" s="19"/>
      <c r="E38" s="19"/>
      <c r="F38" s="19"/>
      <c r="G38" s="20"/>
      <c r="H38" s="21"/>
      <c r="I38" s="22">
        <f t="shared" si="4"/>
        <v>0</v>
      </c>
      <c r="J38" s="22"/>
      <c r="K38" s="11"/>
      <c r="L38" s="22"/>
      <c r="M38" s="22"/>
      <c r="N38" s="22"/>
      <c r="O38" s="22"/>
      <c r="P38" s="22"/>
      <c r="Q38" s="22"/>
      <c r="R38" s="36"/>
      <c r="S38" s="44"/>
      <c r="T38" s="47"/>
      <c r="U38" s="52">
        <f t="shared" si="5"/>
        <v>0</v>
      </c>
      <c r="V38" s="23" t="str">
        <f t="shared" si="3"/>
        <v>OK</v>
      </c>
    </row>
    <row r="39" spans="1:22" x14ac:dyDescent="0.3">
      <c r="A39" s="62" t="s">
        <v>59</v>
      </c>
      <c r="B39" s="62">
        <v>11348</v>
      </c>
      <c r="C39" s="12" t="s">
        <v>56</v>
      </c>
      <c r="D39" s="53"/>
      <c r="E39" s="13"/>
      <c r="F39" s="13"/>
      <c r="G39" s="14"/>
      <c r="H39" s="15"/>
      <c r="I39" s="16">
        <f t="shared" si="4"/>
        <v>0</v>
      </c>
      <c r="J39" s="16"/>
      <c r="K39" s="11"/>
      <c r="L39" s="16"/>
      <c r="M39" s="16"/>
      <c r="N39" s="16"/>
      <c r="O39" s="16"/>
      <c r="P39" s="16"/>
      <c r="Q39" s="16"/>
      <c r="R39" s="35"/>
      <c r="S39" s="43"/>
      <c r="T39" s="46"/>
      <c r="U39" s="51">
        <f t="shared" si="5"/>
        <v>0</v>
      </c>
      <c r="V39" s="17" t="str">
        <f t="shared" si="3"/>
        <v>OK</v>
      </c>
    </row>
    <row r="40" spans="1:22" x14ac:dyDescent="0.3">
      <c r="A40" s="63" t="s">
        <v>74</v>
      </c>
      <c r="B40" s="63">
        <v>5619</v>
      </c>
      <c r="C40" s="18" t="s">
        <v>60</v>
      </c>
      <c r="D40" s="19"/>
      <c r="E40" s="19"/>
      <c r="F40" s="19"/>
      <c r="G40" s="20"/>
      <c r="H40" s="21"/>
      <c r="I40" s="22">
        <f t="shared" si="4"/>
        <v>0</v>
      </c>
      <c r="J40" s="22"/>
      <c r="K40" s="11"/>
      <c r="L40" s="22"/>
      <c r="M40" s="22"/>
      <c r="N40" s="22"/>
      <c r="O40" s="22"/>
      <c r="P40" s="22"/>
      <c r="Q40" s="22"/>
      <c r="R40" s="36"/>
      <c r="S40" s="44"/>
      <c r="T40" s="47"/>
      <c r="U40" s="52">
        <f t="shared" si="5"/>
        <v>0</v>
      </c>
      <c r="V40" s="23" t="str">
        <f t="shared" si="3"/>
        <v>OK</v>
      </c>
    </row>
    <row r="41" spans="1:22" x14ac:dyDescent="0.3">
      <c r="A41" s="64" t="s">
        <v>61</v>
      </c>
      <c r="B41" s="62">
        <v>11347</v>
      </c>
      <c r="C41" s="12" t="s">
        <v>60</v>
      </c>
      <c r="D41" s="53"/>
      <c r="E41" s="13"/>
      <c r="F41" s="13"/>
      <c r="G41" s="14"/>
      <c r="H41" s="15"/>
      <c r="I41" s="16">
        <f t="shared" si="4"/>
        <v>0</v>
      </c>
      <c r="J41" s="16"/>
      <c r="K41" s="11"/>
      <c r="L41" s="16"/>
      <c r="M41" s="16"/>
      <c r="N41" s="16"/>
      <c r="O41" s="16"/>
      <c r="P41" s="16"/>
      <c r="Q41" s="16"/>
      <c r="R41" s="35"/>
      <c r="S41" s="43"/>
      <c r="T41" s="46"/>
      <c r="U41" s="51">
        <f t="shared" si="5"/>
        <v>0</v>
      </c>
      <c r="V41" s="17" t="str">
        <f t="shared" si="3"/>
        <v>OK</v>
      </c>
    </row>
    <row r="42" spans="1:22" x14ac:dyDescent="0.3">
      <c r="A42" s="54" t="s">
        <v>75</v>
      </c>
      <c r="B42" s="63">
        <v>5611</v>
      </c>
      <c r="C42" s="18" t="s">
        <v>62</v>
      </c>
      <c r="D42" s="19"/>
      <c r="E42" s="19"/>
      <c r="F42" s="19"/>
      <c r="G42" s="20"/>
      <c r="H42" s="21"/>
      <c r="I42" s="22">
        <f t="shared" si="4"/>
        <v>0</v>
      </c>
      <c r="J42" s="22"/>
      <c r="K42" s="11"/>
      <c r="L42" s="22"/>
      <c r="M42" s="22"/>
      <c r="N42" s="22"/>
      <c r="O42" s="22"/>
      <c r="P42" s="22"/>
      <c r="Q42" s="22"/>
      <c r="R42" s="36"/>
      <c r="S42" s="44"/>
      <c r="T42" s="47"/>
      <c r="U42" s="52">
        <f t="shared" si="5"/>
        <v>0</v>
      </c>
      <c r="V42" s="23" t="str">
        <f t="shared" si="3"/>
        <v>OK</v>
      </c>
    </row>
    <row r="43" spans="1:22" x14ac:dyDescent="0.3">
      <c r="A43" s="12" t="s">
        <v>63</v>
      </c>
      <c r="B43" s="62">
        <v>11336</v>
      </c>
      <c r="C43" s="12" t="s">
        <v>62</v>
      </c>
      <c r="D43" s="53"/>
      <c r="E43" s="13"/>
      <c r="F43" s="13"/>
      <c r="G43" s="14"/>
      <c r="H43" s="15"/>
      <c r="I43" s="16">
        <f t="shared" si="4"/>
        <v>0</v>
      </c>
      <c r="J43" s="16"/>
      <c r="K43" s="11"/>
      <c r="L43" s="16"/>
      <c r="M43" s="16"/>
      <c r="N43" s="16"/>
      <c r="O43" s="16"/>
      <c r="P43" s="16"/>
      <c r="Q43" s="16"/>
      <c r="R43" s="35"/>
      <c r="S43" s="43"/>
      <c r="T43" s="46"/>
      <c r="U43" s="51">
        <f t="shared" si="5"/>
        <v>0</v>
      </c>
      <c r="V43" s="17" t="str">
        <f t="shared" si="3"/>
        <v>OK</v>
      </c>
    </row>
    <row r="44" spans="1:22" x14ac:dyDescent="0.3">
      <c r="A44" s="54" t="s">
        <v>100</v>
      </c>
      <c r="B44" s="63">
        <v>14860</v>
      </c>
      <c r="C44" s="18" t="s">
        <v>56</v>
      </c>
      <c r="D44" s="19"/>
      <c r="E44" s="19"/>
      <c r="F44" s="19"/>
      <c r="G44" s="20"/>
      <c r="H44" s="21"/>
      <c r="I44" s="22">
        <f t="shared" si="4"/>
        <v>0</v>
      </c>
      <c r="J44" s="22"/>
      <c r="K44" s="11"/>
      <c r="L44" s="22"/>
      <c r="M44" s="22"/>
      <c r="N44" s="22"/>
      <c r="O44" s="22"/>
      <c r="P44" s="22"/>
      <c r="Q44" s="22"/>
      <c r="R44" s="36"/>
      <c r="S44" s="44"/>
      <c r="T44" s="47"/>
      <c r="U44" s="52">
        <f t="shared" si="5"/>
        <v>0</v>
      </c>
      <c r="V44" s="23" t="str">
        <f t="shared" si="3"/>
        <v>OK</v>
      </c>
    </row>
    <row r="45" spans="1:22" x14ac:dyDescent="0.3">
      <c r="A45" s="64" t="s">
        <v>83</v>
      </c>
      <c r="B45" s="62">
        <v>14861</v>
      </c>
      <c r="C45" s="12" t="s">
        <v>56</v>
      </c>
      <c r="D45" s="53"/>
      <c r="E45" s="13"/>
      <c r="F45" s="13"/>
      <c r="G45" s="14"/>
      <c r="H45" s="15"/>
      <c r="I45" s="16">
        <f t="shared" si="4"/>
        <v>0</v>
      </c>
      <c r="J45" s="16"/>
      <c r="K45" s="11"/>
      <c r="L45" s="16"/>
      <c r="M45" s="16"/>
      <c r="N45" s="16"/>
      <c r="O45" s="16"/>
      <c r="P45" s="16"/>
      <c r="Q45" s="16"/>
      <c r="R45" s="35"/>
      <c r="S45" s="43"/>
      <c r="T45" s="46"/>
      <c r="U45" s="51">
        <f t="shared" si="5"/>
        <v>0</v>
      </c>
      <c r="V45" s="17" t="str">
        <f t="shared" si="3"/>
        <v>OK</v>
      </c>
    </row>
    <row r="46" spans="1:22" x14ac:dyDescent="0.3">
      <c r="A46" s="54" t="s">
        <v>101</v>
      </c>
      <c r="B46" s="63">
        <v>15096</v>
      </c>
      <c r="C46" s="18" t="s">
        <v>56</v>
      </c>
      <c r="D46" s="19"/>
      <c r="E46" s="19"/>
      <c r="F46" s="19"/>
      <c r="G46" s="20"/>
      <c r="H46" s="21"/>
      <c r="I46" s="22">
        <f t="shared" si="4"/>
        <v>0</v>
      </c>
      <c r="J46" s="22"/>
      <c r="K46" s="11"/>
      <c r="L46" s="22"/>
      <c r="M46" s="22"/>
      <c r="N46" s="22"/>
      <c r="O46" s="22"/>
      <c r="P46" s="22"/>
      <c r="Q46" s="22"/>
      <c r="R46" s="36"/>
      <c r="S46" s="44"/>
      <c r="T46" s="47"/>
      <c r="U46" s="52">
        <f t="shared" si="5"/>
        <v>0</v>
      </c>
      <c r="V46" s="23" t="str">
        <f t="shared" si="3"/>
        <v>OK</v>
      </c>
    </row>
    <row r="47" spans="1:22" x14ac:dyDescent="0.3">
      <c r="A47" s="12" t="s">
        <v>81</v>
      </c>
      <c r="B47" s="62">
        <v>15097</v>
      </c>
      <c r="C47" s="12" t="s">
        <v>56</v>
      </c>
      <c r="D47" s="53"/>
      <c r="E47" s="13"/>
      <c r="F47" s="13"/>
      <c r="G47" s="14"/>
      <c r="H47" s="15"/>
      <c r="I47" s="16">
        <f t="shared" si="4"/>
        <v>0</v>
      </c>
      <c r="J47" s="16"/>
      <c r="K47" s="11"/>
      <c r="L47" s="16"/>
      <c r="M47" s="16"/>
      <c r="N47" s="16"/>
      <c r="O47" s="16"/>
      <c r="P47" s="16"/>
      <c r="Q47" s="16"/>
      <c r="R47" s="35"/>
      <c r="S47" s="43"/>
      <c r="T47" s="46"/>
      <c r="U47" s="51">
        <f t="shared" si="5"/>
        <v>0</v>
      </c>
      <c r="V47" s="17" t="str">
        <f t="shared" si="3"/>
        <v>OK</v>
      </c>
    </row>
    <row r="48" spans="1:22" x14ac:dyDescent="0.3">
      <c r="A48" s="54" t="s">
        <v>76</v>
      </c>
      <c r="B48" s="63">
        <v>5585</v>
      </c>
      <c r="C48" s="18" t="s">
        <v>64</v>
      </c>
      <c r="D48" s="19"/>
      <c r="E48" s="19"/>
      <c r="F48" s="19"/>
      <c r="G48" s="20"/>
      <c r="H48" s="21"/>
      <c r="I48" s="22">
        <f t="shared" si="4"/>
        <v>0</v>
      </c>
      <c r="J48" s="22"/>
      <c r="K48" s="11"/>
      <c r="L48" s="22"/>
      <c r="M48" s="22"/>
      <c r="N48" s="22"/>
      <c r="O48" s="22"/>
      <c r="P48" s="22"/>
      <c r="Q48" s="22"/>
      <c r="R48" s="36"/>
      <c r="S48" s="44"/>
      <c r="T48" s="47"/>
      <c r="U48" s="52">
        <f t="shared" si="5"/>
        <v>0</v>
      </c>
      <c r="V48" s="23" t="str">
        <f t="shared" si="3"/>
        <v>OK</v>
      </c>
    </row>
    <row r="49" spans="1:22" x14ac:dyDescent="0.3">
      <c r="A49" s="12" t="s">
        <v>65</v>
      </c>
      <c r="B49" s="62">
        <v>11351</v>
      </c>
      <c r="C49" s="12" t="s">
        <v>64</v>
      </c>
      <c r="D49" s="53"/>
      <c r="E49" s="13"/>
      <c r="F49" s="13"/>
      <c r="G49" s="14"/>
      <c r="H49" s="15"/>
      <c r="I49" s="16">
        <f t="shared" si="4"/>
        <v>0</v>
      </c>
      <c r="J49" s="16"/>
      <c r="K49" s="11"/>
      <c r="L49" s="16"/>
      <c r="M49" s="16"/>
      <c r="N49" s="16"/>
      <c r="O49" s="16"/>
      <c r="P49" s="16"/>
      <c r="Q49" s="16"/>
      <c r="R49" s="35"/>
      <c r="S49" s="43"/>
      <c r="T49" s="46"/>
      <c r="U49" s="51">
        <f t="shared" si="5"/>
        <v>0</v>
      </c>
      <c r="V49" s="17" t="str">
        <f t="shared" si="3"/>
        <v>OK</v>
      </c>
    </row>
    <row r="50" spans="1:22" x14ac:dyDescent="0.3">
      <c r="A50" s="54" t="s">
        <v>66</v>
      </c>
      <c r="B50" s="63">
        <v>11352</v>
      </c>
      <c r="C50" s="18" t="s">
        <v>64</v>
      </c>
      <c r="D50" s="19"/>
      <c r="E50" s="19"/>
      <c r="F50" s="19"/>
      <c r="G50" s="20"/>
      <c r="H50" s="21"/>
      <c r="I50" s="22">
        <f t="shared" si="4"/>
        <v>0</v>
      </c>
      <c r="J50" s="22"/>
      <c r="K50" s="11"/>
      <c r="L50" s="22"/>
      <c r="M50" s="22"/>
      <c r="N50" s="22"/>
      <c r="O50" s="22"/>
      <c r="P50" s="22"/>
      <c r="Q50" s="22"/>
      <c r="R50" s="36"/>
      <c r="S50" s="44"/>
      <c r="T50" s="47"/>
      <c r="U50" s="52">
        <f t="shared" si="5"/>
        <v>0</v>
      </c>
      <c r="V50" s="23" t="str">
        <f t="shared" si="3"/>
        <v>OK</v>
      </c>
    </row>
    <row r="51" spans="1:22" x14ac:dyDescent="0.3">
      <c r="A51" s="90" t="s">
        <v>102</v>
      </c>
      <c r="B51" s="76">
        <v>13515</v>
      </c>
      <c r="C51" s="70" t="s">
        <v>78</v>
      </c>
      <c r="D51" s="70"/>
      <c r="E51" s="70"/>
      <c r="F51" s="70"/>
      <c r="G51" s="91"/>
      <c r="H51" s="82"/>
      <c r="I51" s="82">
        <f t="shared" si="4"/>
        <v>0</v>
      </c>
      <c r="J51" s="74"/>
      <c r="K51" s="11"/>
      <c r="L51" s="16"/>
      <c r="M51" s="16"/>
      <c r="N51" s="16"/>
      <c r="O51" s="16"/>
      <c r="P51" s="16"/>
      <c r="Q51" s="16"/>
      <c r="R51" s="35"/>
      <c r="S51" s="43"/>
      <c r="T51" s="46"/>
      <c r="U51" s="75">
        <f t="shared" si="5"/>
        <v>0</v>
      </c>
      <c r="V51" s="93" t="str">
        <f t="shared" si="3"/>
        <v>OK</v>
      </c>
    </row>
    <row r="52" spans="1:22" x14ac:dyDescent="0.3">
      <c r="A52" s="54" t="s">
        <v>103</v>
      </c>
      <c r="B52" s="63">
        <v>13516</v>
      </c>
      <c r="C52" s="18" t="s">
        <v>78</v>
      </c>
      <c r="D52" s="18"/>
      <c r="E52" s="18"/>
      <c r="F52" s="18"/>
      <c r="G52" s="92"/>
      <c r="H52" s="22"/>
      <c r="I52" s="22">
        <f t="shared" si="4"/>
        <v>0</v>
      </c>
      <c r="J52" s="69"/>
      <c r="K52" s="11"/>
      <c r="L52" s="22"/>
      <c r="M52" s="22"/>
      <c r="N52" s="22"/>
      <c r="O52" s="22"/>
      <c r="P52" s="22"/>
      <c r="Q52" s="22"/>
      <c r="R52" s="36"/>
      <c r="S52" s="44"/>
      <c r="T52" s="47"/>
      <c r="U52" s="52">
        <f t="shared" si="5"/>
        <v>0</v>
      </c>
      <c r="V52" s="23" t="str">
        <f t="shared" si="3"/>
        <v>OK</v>
      </c>
    </row>
    <row r="53" spans="1:22" x14ac:dyDescent="0.3">
      <c r="A53" s="90" t="s">
        <v>104</v>
      </c>
      <c r="B53" s="76">
        <v>13468</v>
      </c>
      <c r="C53" s="70" t="s">
        <v>78</v>
      </c>
      <c r="D53" s="70"/>
      <c r="E53" s="70"/>
      <c r="F53" s="70"/>
      <c r="G53" s="91"/>
      <c r="H53" s="82"/>
      <c r="I53" s="82">
        <f t="shared" si="4"/>
        <v>0</v>
      </c>
      <c r="J53" s="74"/>
      <c r="K53" s="11"/>
      <c r="L53" s="16"/>
      <c r="M53" s="16"/>
      <c r="N53" s="16"/>
      <c r="O53" s="16"/>
      <c r="P53" s="16"/>
      <c r="Q53" s="16"/>
      <c r="R53" s="35"/>
      <c r="S53" s="43"/>
      <c r="T53" s="46"/>
      <c r="U53" s="75">
        <f t="shared" si="5"/>
        <v>0</v>
      </c>
      <c r="V53" s="93" t="str">
        <f t="shared" si="3"/>
        <v>OK</v>
      </c>
    </row>
    <row r="54" spans="1:22" x14ac:dyDescent="0.3">
      <c r="A54" s="54" t="s">
        <v>79</v>
      </c>
      <c r="B54" s="63">
        <v>13469</v>
      </c>
      <c r="C54" s="18" t="s">
        <v>78</v>
      </c>
      <c r="D54" s="18"/>
      <c r="E54" s="18"/>
      <c r="F54" s="18"/>
      <c r="G54" s="92"/>
      <c r="H54" s="22"/>
      <c r="I54" s="22">
        <f t="shared" si="4"/>
        <v>0</v>
      </c>
      <c r="J54" s="69"/>
      <c r="K54" s="11"/>
      <c r="L54" s="22"/>
      <c r="M54" s="22"/>
      <c r="N54" s="22"/>
      <c r="O54" s="22"/>
      <c r="P54" s="22"/>
      <c r="Q54" s="22"/>
      <c r="R54" s="36"/>
      <c r="S54" s="44"/>
      <c r="T54" s="47"/>
      <c r="U54" s="52">
        <f t="shared" si="5"/>
        <v>0</v>
      </c>
      <c r="V54" s="23" t="str">
        <f t="shared" si="3"/>
        <v>OK</v>
      </c>
    </row>
    <row r="55" spans="1:22" x14ac:dyDescent="0.3">
      <c r="A55" s="90" t="s">
        <v>43</v>
      </c>
      <c r="B55" s="76">
        <v>11820</v>
      </c>
      <c r="C55" s="70" t="s">
        <v>67</v>
      </c>
      <c r="D55" s="70"/>
      <c r="E55" s="70"/>
      <c r="F55" s="70"/>
      <c r="G55" s="91"/>
      <c r="H55" s="82"/>
      <c r="I55" s="82">
        <f t="shared" si="4"/>
        <v>0</v>
      </c>
      <c r="J55" s="74"/>
      <c r="K55" s="11"/>
      <c r="L55" s="16"/>
      <c r="M55" s="16"/>
      <c r="N55" s="16"/>
      <c r="O55" s="16"/>
      <c r="P55" s="16"/>
      <c r="Q55" s="16"/>
      <c r="R55" s="35"/>
      <c r="S55" s="43"/>
      <c r="T55" s="46"/>
      <c r="U55" s="75">
        <f t="shared" si="5"/>
        <v>0</v>
      </c>
      <c r="V55" s="93" t="str">
        <f t="shared" si="3"/>
        <v>OK</v>
      </c>
    </row>
    <row r="56" spans="1:22" x14ac:dyDescent="0.3">
      <c r="A56" s="54" t="s">
        <v>44</v>
      </c>
      <c r="B56" s="63">
        <v>11816</v>
      </c>
      <c r="C56" s="18" t="s">
        <v>67</v>
      </c>
      <c r="D56" s="18"/>
      <c r="E56" s="18"/>
      <c r="F56" s="18"/>
      <c r="G56" s="92"/>
      <c r="H56" s="22"/>
      <c r="I56" s="22">
        <f t="shared" si="4"/>
        <v>0</v>
      </c>
      <c r="J56" s="69"/>
      <c r="K56" s="11"/>
      <c r="L56" s="22"/>
      <c r="M56" s="22"/>
      <c r="N56" s="22"/>
      <c r="O56" s="22"/>
      <c r="P56" s="22"/>
      <c r="Q56" s="22"/>
      <c r="R56" s="36"/>
      <c r="S56" s="44"/>
      <c r="T56" s="47"/>
      <c r="U56" s="52">
        <f>SUM(L56:T56)</f>
        <v>0</v>
      </c>
      <c r="V56" s="23" t="str">
        <f t="shared" si="3"/>
        <v>OK</v>
      </c>
    </row>
    <row r="57" spans="1:22" x14ac:dyDescent="0.3">
      <c r="A57" s="76" t="s">
        <v>77</v>
      </c>
      <c r="B57" s="76">
        <v>11381</v>
      </c>
      <c r="C57" s="77" t="s">
        <v>68</v>
      </c>
      <c r="D57" s="70"/>
      <c r="E57" s="70"/>
      <c r="F57" s="70"/>
      <c r="G57" s="91"/>
      <c r="H57" s="82"/>
      <c r="I57" s="82">
        <f t="shared" si="4"/>
        <v>0</v>
      </c>
      <c r="J57" s="74"/>
      <c r="K57" s="11"/>
      <c r="L57" s="16"/>
      <c r="M57" s="16"/>
      <c r="N57" s="16"/>
      <c r="O57" s="16"/>
      <c r="P57" s="16"/>
      <c r="Q57" s="16"/>
      <c r="R57" s="35"/>
      <c r="S57" s="43"/>
      <c r="T57" s="46"/>
      <c r="U57" s="75">
        <f>SUM(L57:T57)</f>
        <v>0</v>
      </c>
      <c r="V57" s="93" t="str">
        <f t="shared" si="3"/>
        <v>OK</v>
      </c>
    </row>
    <row r="58" spans="1:22" x14ac:dyDescent="0.3">
      <c r="A58" s="54" t="s">
        <v>69</v>
      </c>
      <c r="B58" s="63">
        <v>11382</v>
      </c>
      <c r="C58" s="18" t="s">
        <v>68</v>
      </c>
      <c r="D58" s="18"/>
      <c r="E58" s="18"/>
      <c r="F58" s="18"/>
      <c r="G58" s="92"/>
      <c r="H58" s="22"/>
      <c r="I58" s="22">
        <f t="shared" si="4"/>
        <v>0</v>
      </c>
      <c r="J58" s="69"/>
      <c r="K58" s="11"/>
      <c r="L58" s="22"/>
      <c r="M58" s="22"/>
      <c r="N58" s="22"/>
      <c r="O58" s="22"/>
      <c r="P58" s="22"/>
      <c r="Q58" s="22"/>
      <c r="R58" s="36"/>
      <c r="S58" s="44"/>
      <c r="T58" s="47"/>
      <c r="U58" s="52">
        <f>SUM(L58:T58)</f>
        <v>0</v>
      </c>
      <c r="V58" s="23" t="str">
        <f t="shared" si="3"/>
        <v>OK</v>
      </c>
    </row>
    <row r="59" spans="1:22" x14ac:dyDescent="0.3">
      <c r="A59" s="96" t="s">
        <v>105</v>
      </c>
      <c r="B59" s="76">
        <v>16586</v>
      </c>
      <c r="C59" s="70" t="s">
        <v>78</v>
      </c>
      <c r="D59" s="70"/>
      <c r="E59" s="70"/>
      <c r="F59" s="70"/>
      <c r="G59" s="91"/>
      <c r="H59" s="82"/>
      <c r="I59" s="82">
        <f t="shared" si="4"/>
        <v>0</v>
      </c>
      <c r="J59" s="74"/>
      <c r="K59" s="11"/>
      <c r="L59" s="16"/>
      <c r="M59" s="16"/>
      <c r="N59" s="16"/>
      <c r="O59" s="16"/>
      <c r="P59" s="16"/>
      <c r="Q59" s="16"/>
      <c r="R59" s="35"/>
      <c r="S59" s="43"/>
      <c r="T59" s="46"/>
      <c r="U59" s="75">
        <f t="shared" ref="U59:U69" si="6">SUM(L59:T59)</f>
        <v>0</v>
      </c>
      <c r="V59" s="93" t="str">
        <f t="shared" si="3"/>
        <v>OK</v>
      </c>
    </row>
    <row r="60" spans="1:22" x14ac:dyDescent="0.3">
      <c r="A60" s="54" t="s">
        <v>90</v>
      </c>
      <c r="B60" s="63">
        <v>16587</v>
      </c>
      <c r="C60" s="18" t="s">
        <v>78</v>
      </c>
      <c r="D60" s="18"/>
      <c r="E60" s="18"/>
      <c r="F60" s="18"/>
      <c r="G60" s="92"/>
      <c r="H60" s="22"/>
      <c r="I60" s="22">
        <f t="shared" si="4"/>
        <v>0</v>
      </c>
      <c r="J60" s="69"/>
      <c r="K60" s="11"/>
      <c r="L60" s="22"/>
      <c r="M60" s="22"/>
      <c r="N60" s="22"/>
      <c r="O60" s="22"/>
      <c r="P60" s="22"/>
      <c r="Q60" s="22"/>
      <c r="R60" s="36"/>
      <c r="S60" s="44"/>
      <c r="T60" s="47"/>
      <c r="U60" s="52">
        <f t="shared" si="6"/>
        <v>0</v>
      </c>
      <c r="V60" s="23" t="str">
        <f t="shared" si="3"/>
        <v>OK</v>
      </c>
    </row>
    <row r="61" spans="1:22" x14ac:dyDescent="0.3">
      <c r="A61" s="90" t="s">
        <v>91</v>
      </c>
      <c r="B61" s="76">
        <v>17121</v>
      </c>
      <c r="C61" s="70" t="s">
        <v>92</v>
      </c>
      <c r="D61" s="70"/>
      <c r="E61" s="70"/>
      <c r="F61" s="70"/>
      <c r="G61" s="91"/>
      <c r="H61" s="82"/>
      <c r="I61" s="82">
        <f t="shared" si="4"/>
        <v>0</v>
      </c>
      <c r="J61" s="74"/>
      <c r="K61" s="11"/>
      <c r="L61" s="16"/>
      <c r="M61" s="16"/>
      <c r="N61" s="16"/>
      <c r="O61" s="16"/>
      <c r="P61" s="16"/>
      <c r="Q61" s="16"/>
      <c r="R61" s="35"/>
      <c r="S61" s="43"/>
      <c r="T61" s="46"/>
      <c r="U61" s="75">
        <f t="shared" si="6"/>
        <v>0</v>
      </c>
      <c r="V61" s="93" t="str">
        <f t="shared" si="3"/>
        <v>OK</v>
      </c>
    </row>
    <row r="62" spans="1:22" x14ac:dyDescent="0.3">
      <c r="A62" s="54" t="s">
        <v>106</v>
      </c>
      <c r="B62" s="63">
        <v>19270</v>
      </c>
      <c r="C62" s="18" t="s">
        <v>68</v>
      </c>
      <c r="D62" s="18"/>
      <c r="E62" s="18"/>
      <c r="F62" s="18"/>
      <c r="G62" s="92"/>
      <c r="H62" s="22"/>
      <c r="I62" s="22">
        <f t="shared" si="4"/>
        <v>0</v>
      </c>
      <c r="J62" s="69"/>
      <c r="K62" s="11"/>
      <c r="L62" s="22"/>
      <c r="M62" s="22"/>
      <c r="N62" s="22"/>
      <c r="O62" s="22"/>
      <c r="P62" s="22"/>
      <c r="Q62" s="22"/>
      <c r="R62" s="36"/>
      <c r="S62" s="44"/>
      <c r="T62" s="47"/>
      <c r="U62" s="71">
        <f t="shared" si="6"/>
        <v>0</v>
      </c>
      <c r="V62" s="23" t="str">
        <f t="shared" si="3"/>
        <v>OK</v>
      </c>
    </row>
    <row r="63" spans="1:22" x14ac:dyDescent="0.3">
      <c r="A63" s="90" t="s">
        <v>107</v>
      </c>
      <c r="B63" s="76">
        <v>19276</v>
      </c>
      <c r="C63" s="70" t="s">
        <v>68</v>
      </c>
      <c r="D63" s="70"/>
      <c r="E63" s="70"/>
      <c r="F63" s="70"/>
      <c r="G63" s="91"/>
      <c r="H63" s="82"/>
      <c r="I63" s="82">
        <f t="shared" si="4"/>
        <v>0</v>
      </c>
      <c r="J63" s="74"/>
      <c r="K63" s="11"/>
      <c r="L63" s="16"/>
      <c r="M63" s="16"/>
      <c r="N63" s="16"/>
      <c r="O63" s="16"/>
      <c r="P63" s="16"/>
      <c r="Q63" s="16"/>
      <c r="R63" s="35"/>
      <c r="S63" s="43"/>
      <c r="T63" s="46"/>
      <c r="U63" s="75">
        <f t="shared" si="6"/>
        <v>0</v>
      </c>
      <c r="V63" s="93" t="str">
        <f t="shared" si="3"/>
        <v>OK</v>
      </c>
    </row>
    <row r="64" spans="1:22" x14ac:dyDescent="0.3">
      <c r="A64" s="54" t="s">
        <v>108</v>
      </c>
      <c r="B64" s="63">
        <v>19836</v>
      </c>
      <c r="C64" s="18" t="s">
        <v>45</v>
      </c>
      <c r="D64" s="18"/>
      <c r="E64" s="18"/>
      <c r="F64" s="18"/>
      <c r="G64" s="92"/>
      <c r="H64" s="22"/>
      <c r="I64" s="22">
        <f t="shared" si="4"/>
        <v>0</v>
      </c>
      <c r="J64" s="69"/>
      <c r="K64" s="11"/>
      <c r="L64" s="22"/>
      <c r="M64" s="22"/>
      <c r="N64" s="22"/>
      <c r="O64" s="22"/>
      <c r="P64" s="22"/>
      <c r="Q64" s="22"/>
      <c r="R64" s="36"/>
      <c r="S64" s="44"/>
      <c r="T64" s="47"/>
      <c r="U64" s="52">
        <f t="shared" si="6"/>
        <v>0</v>
      </c>
      <c r="V64" s="23" t="str">
        <f t="shared" si="3"/>
        <v>OK</v>
      </c>
    </row>
    <row r="65" spans="1:22" x14ac:dyDescent="0.3">
      <c r="A65" s="90" t="s">
        <v>109</v>
      </c>
      <c r="B65" s="76">
        <v>20278</v>
      </c>
      <c r="C65" s="70" t="s">
        <v>110</v>
      </c>
      <c r="D65" s="70"/>
      <c r="E65" s="70"/>
      <c r="F65" s="70"/>
      <c r="G65" s="91"/>
      <c r="H65" s="82"/>
      <c r="I65" s="82">
        <f t="shared" si="4"/>
        <v>0</v>
      </c>
      <c r="J65" s="74"/>
      <c r="K65" s="11"/>
      <c r="L65" s="16"/>
      <c r="M65" s="16"/>
      <c r="N65" s="16"/>
      <c r="O65" s="16"/>
      <c r="P65" s="16"/>
      <c r="Q65" s="16"/>
      <c r="R65" s="35"/>
      <c r="S65" s="43"/>
      <c r="T65" s="46"/>
      <c r="U65" s="75">
        <f t="shared" si="6"/>
        <v>0</v>
      </c>
      <c r="V65" s="93" t="str">
        <f t="shared" si="3"/>
        <v>OK</v>
      </c>
    </row>
    <row r="66" spans="1:22" x14ac:dyDescent="0.3">
      <c r="A66" s="54" t="s">
        <v>111</v>
      </c>
      <c r="B66" s="63">
        <v>20272</v>
      </c>
      <c r="C66" s="18" t="s">
        <v>110</v>
      </c>
      <c r="D66" s="18"/>
      <c r="E66" s="18"/>
      <c r="F66" s="18"/>
      <c r="G66" s="92"/>
      <c r="H66" s="22"/>
      <c r="I66" s="22">
        <f t="shared" si="4"/>
        <v>0</v>
      </c>
      <c r="J66" s="69"/>
      <c r="K66" s="11"/>
      <c r="L66" s="22"/>
      <c r="M66" s="22"/>
      <c r="N66" s="22"/>
      <c r="O66" s="22"/>
      <c r="P66" s="22"/>
      <c r="Q66" s="22"/>
      <c r="R66" s="36"/>
      <c r="S66" s="44"/>
      <c r="T66" s="47"/>
      <c r="U66" s="52">
        <f t="shared" si="6"/>
        <v>0</v>
      </c>
      <c r="V66" s="23" t="str">
        <f t="shared" si="3"/>
        <v>OK</v>
      </c>
    </row>
    <row r="67" spans="1:22" x14ac:dyDescent="0.3">
      <c r="A67" s="90" t="s">
        <v>112</v>
      </c>
      <c r="B67" s="76">
        <v>20956</v>
      </c>
      <c r="C67" s="70" t="s">
        <v>110</v>
      </c>
      <c r="D67" s="70"/>
      <c r="E67" s="70"/>
      <c r="F67" s="70"/>
      <c r="G67" s="91"/>
      <c r="H67" s="82"/>
      <c r="I67" s="82">
        <f t="shared" si="4"/>
        <v>0</v>
      </c>
      <c r="J67" s="74"/>
      <c r="K67" s="11"/>
      <c r="L67" s="16"/>
      <c r="M67" s="16"/>
      <c r="N67" s="16"/>
      <c r="O67" s="16"/>
      <c r="P67" s="16"/>
      <c r="Q67" s="16"/>
      <c r="R67" s="35"/>
      <c r="S67" s="43"/>
      <c r="T67" s="46"/>
      <c r="U67" s="75">
        <f t="shared" si="6"/>
        <v>0</v>
      </c>
      <c r="V67" s="93" t="str">
        <f t="shared" si="3"/>
        <v>OK</v>
      </c>
    </row>
    <row r="68" spans="1:22" x14ac:dyDescent="0.3">
      <c r="A68" s="54" t="s">
        <v>116</v>
      </c>
      <c r="B68" s="63">
        <v>21299</v>
      </c>
      <c r="C68" s="18" t="s">
        <v>78</v>
      </c>
      <c r="D68" s="18"/>
      <c r="E68" s="18"/>
      <c r="F68" s="18"/>
      <c r="G68" s="92"/>
      <c r="H68" s="22"/>
      <c r="I68" s="22">
        <f t="shared" si="4"/>
        <v>0</v>
      </c>
      <c r="J68" s="69"/>
      <c r="K68" s="11"/>
      <c r="L68" s="22"/>
      <c r="M68" s="22"/>
      <c r="N68" s="22"/>
      <c r="O68" s="22"/>
      <c r="P68" s="22"/>
      <c r="Q68" s="22"/>
      <c r="R68" s="36"/>
      <c r="S68" s="44"/>
      <c r="T68" s="47"/>
      <c r="U68" s="71">
        <f t="shared" si="6"/>
        <v>0</v>
      </c>
      <c r="V68" s="23" t="str">
        <f>IF(U68=I68,"OK","NG")</f>
        <v>OK</v>
      </c>
    </row>
    <row r="69" spans="1:22" x14ac:dyDescent="0.3">
      <c r="A69" s="99" t="s">
        <v>117</v>
      </c>
      <c r="B69" s="76">
        <v>22115</v>
      </c>
      <c r="C69" s="82" t="s">
        <v>118</v>
      </c>
      <c r="D69" s="82"/>
      <c r="E69" s="82"/>
      <c r="F69" s="82"/>
      <c r="G69" s="82"/>
      <c r="H69" s="82"/>
      <c r="I69" s="82">
        <f t="shared" si="4"/>
        <v>0</v>
      </c>
      <c r="J69" s="97"/>
      <c r="K69" s="112"/>
      <c r="L69" s="82"/>
      <c r="M69" s="82"/>
      <c r="N69" s="82"/>
      <c r="O69" s="82"/>
      <c r="P69" s="82"/>
      <c r="Q69" s="82"/>
      <c r="R69" s="83"/>
      <c r="S69" s="84"/>
      <c r="T69" s="100"/>
      <c r="U69" s="75">
        <f t="shared" si="6"/>
        <v>0</v>
      </c>
      <c r="V69" s="93" t="str">
        <f>IF(U69=I69,"OK","NG")</f>
        <v>OK</v>
      </c>
    </row>
    <row r="70" spans="1:22" x14ac:dyDescent="0.3">
      <c r="A70" s="54" t="s">
        <v>120</v>
      </c>
      <c r="B70" s="63">
        <v>22706</v>
      </c>
      <c r="C70" s="18" t="s">
        <v>119</v>
      </c>
      <c r="D70" s="18"/>
      <c r="E70" s="18"/>
      <c r="F70" s="18"/>
      <c r="G70" s="92"/>
      <c r="H70" s="22"/>
      <c r="I70" s="22">
        <f t="shared" si="4"/>
        <v>0</v>
      </c>
      <c r="J70" s="69"/>
      <c r="K70" s="11"/>
      <c r="L70" s="22"/>
      <c r="M70" s="22"/>
      <c r="N70" s="22"/>
      <c r="O70" s="22"/>
      <c r="P70" s="22"/>
      <c r="Q70" s="22"/>
      <c r="R70" s="36"/>
      <c r="S70" s="44"/>
      <c r="T70" s="47"/>
      <c r="U70" s="71">
        <f t="shared" ref="U70" si="7">SUM(L70:T70)</f>
        <v>0</v>
      </c>
      <c r="V70" s="23" t="str">
        <f>IF(U70=I70,"OK","NG")</f>
        <v>OK</v>
      </c>
    </row>
    <row r="71" spans="1:22" x14ac:dyDescent="0.3">
      <c r="A71" s="99" t="s">
        <v>121</v>
      </c>
      <c r="B71" s="76">
        <v>22886</v>
      </c>
      <c r="C71" s="82" t="s">
        <v>46</v>
      </c>
      <c r="D71" s="82"/>
      <c r="E71" s="82"/>
      <c r="F71" s="82"/>
      <c r="G71" s="82"/>
      <c r="H71" s="82"/>
      <c r="I71" s="82">
        <f t="shared" ref="I71:I80" si="8">SUM(L71:T71)</f>
        <v>0</v>
      </c>
      <c r="J71" s="97"/>
      <c r="K71" s="112"/>
      <c r="L71" s="82"/>
      <c r="M71" s="82"/>
      <c r="N71" s="82"/>
      <c r="O71" s="82"/>
      <c r="P71" s="82"/>
      <c r="Q71" s="82"/>
      <c r="R71" s="83"/>
      <c r="S71" s="84"/>
      <c r="T71" s="100"/>
      <c r="U71" s="75">
        <f>SUM(L71:T71)</f>
        <v>0</v>
      </c>
      <c r="V71" s="93" t="str">
        <f>IF(U71=I71,"OK","NG")</f>
        <v>OK</v>
      </c>
    </row>
    <row r="72" spans="1:22" x14ac:dyDescent="0.3">
      <c r="A72" s="54" t="s">
        <v>122</v>
      </c>
      <c r="B72" s="63">
        <v>17528</v>
      </c>
      <c r="C72" s="18" t="s">
        <v>123</v>
      </c>
      <c r="D72" s="18"/>
      <c r="E72" s="18"/>
      <c r="F72" s="18"/>
      <c r="G72" s="92"/>
      <c r="H72" s="22"/>
      <c r="I72" s="22">
        <f t="shared" si="8"/>
        <v>0</v>
      </c>
      <c r="J72" s="69"/>
      <c r="K72" s="11"/>
      <c r="L72" s="22"/>
      <c r="M72" s="22"/>
      <c r="N72" s="22"/>
      <c r="O72" s="22"/>
      <c r="P72" s="22"/>
      <c r="Q72" s="22"/>
      <c r="R72" s="36"/>
      <c r="S72" s="44"/>
      <c r="T72" s="47"/>
      <c r="U72" s="71">
        <f t="shared" ref="U72:U80" si="9">SUM(L72:T72)</f>
        <v>0</v>
      </c>
      <c r="V72" s="95" t="str">
        <f t="shared" ref="V72:V80" si="10">IF(U72=I72,"OK","NG")</f>
        <v>OK</v>
      </c>
    </row>
    <row r="73" spans="1:22" x14ac:dyDescent="0.3">
      <c r="A73" s="99" t="s">
        <v>124</v>
      </c>
      <c r="B73" s="76">
        <v>22380</v>
      </c>
      <c r="C73" s="82" t="s">
        <v>47</v>
      </c>
      <c r="D73" s="82"/>
      <c r="E73" s="82"/>
      <c r="F73" s="82"/>
      <c r="G73" s="82"/>
      <c r="H73" s="82"/>
      <c r="I73" s="82">
        <f t="shared" si="8"/>
        <v>0</v>
      </c>
      <c r="J73" s="97"/>
      <c r="K73" s="112"/>
      <c r="L73" s="82"/>
      <c r="M73" s="82"/>
      <c r="N73" s="82"/>
      <c r="O73" s="82"/>
      <c r="P73" s="82"/>
      <c r="Q73" s="82"/>
      <c r="R73" s="83"/>
      <c r="S73" s="84"/>
      <c r="T73" s="100"/>
      <c r="U73" s="75">
        <f t="shared" si="9"/>
        <v>0</v>
      </c>
      <c r="V73" s="93" t="str">
        <f t="shared" si="10"/>
        <v>OK</v>
      </c>
    </row>
    <row r="74" spans="1:22" x14ac:dyDescent="0.3">
      <c r="A74" s="54" t="s">
        <v>125</v>
      </c>
      <c r="B74" s="63">
        <v>19279</v>
      </c>
      <c r="C74" s="18" t="s">
        <v>126</v>
      </c>
      <c r="D74" s="18"/>
      <c r="E74" s="18"/>
      <c r="F74" s="18"/>
      <c r="G74" s="92"/>
      <c r="H74" s="22"/>
      <c r="I74" s="22">
        <f t="shared" si="8"/>
        <v>0</v>
      </c>
      <c r="J74" s="69"/>
      <c r="K74" s="11"/>
      <c r="L74" s="22"/>
      <c r="M74" s="22"/>
      <c r="N74" s="22"/>
      <c r="O74" s="22"/>
      <c r="P74" s="22"/>
      <c r="Q74" s="22"/>
      <c r="R74" s="36"/>
      <c r="S74" s="44"/>
      <c r="T74" s="47"/>
      <c r="U74" s="71">
        <f t="shared" si="9"/>
        <v>0</v>
      </c>
      <c r="V74" s="95" t="str">
        <f t="shared" si="10"/>
        <v>OK</v>
      </c>
    </row>
    <row r="75" spans="1:22" x14ac:dyDescent="0.3">
      <c r="A75" s="90" t="s">
        <v>131</v>
      </c>
      <c r="B75" s="76">
        <v>22724</v>
      </c>
      <c r="C75" s="70" t="s">
        <v>119</v>
      </c>
      <c r="D75" s="70"/>
      <c r="E75" s="70"/>
      <c r="F75" s="70"/>
      <c r="G75" s="91"/>
      <c r="H75" s="82"/>
      <c r="I75" s="82">
        <v>0</v>
      </c>
      <c r="J75" s="74"/>
      <c r="K75" s="11"/>
      <c r="L75" s="82"/>
      <c r="M75" s="82"/>
      <c r="N75" s="82"/>
      <c r="O75" s="82"/>
      <c r="P75" s="82"/>
      <c r="Q75" s="82"/>
      <c r="R75" s="83"/>
      <c r="S75" s="84"/>
      <c r="T75" s="85"/>
      <c r="U75" s="75">
        <v>0</v>
      </c>
      <c r="V75" s="93" t="s">
        <v>129</v>
      </c>
    </row>
    <row r="76" spans="1:22" x14ac:dyDescent="0.3">
      <c r="A76" s="54" t="s">
        <v>132</v>
      </c>
      <c r="B76" s="63">
        <v>22705</v>
      </c>
      <c r="C76" s="18" t="s">
        <v>119</v>
      </c>
      <c r="D76" s="18"/>
      <c r="E76" s="18"/>
      <c r="F76" s="18"/>
      <c r="G76" s="92"/>
      <c r="H76" s="22"/>
      <c r="I76" s="22">
        <f t="shared" si="8"/>
        <v>0</v>
      </c>
      <c r="J76" s="69"/>
      <c r="K76" s="11"/>
      <c r="L76" s="22"/>
      <c r="M76" s="22"/>
      <c r="N76" s="22"/>
      <c r="O76" s="22"/>
      <c r="P76" s="22"/>
      <c r="Q76" s="22"/>
      <c r="R76" s="36"/>
      <c r="S76" s="44"/>
      <c r="T76" s="47"/>
      <c r="U76" s="71">
        <f t="shared" si="9"/>
        <v>0</v>
      </c>
      <c r="V76" s="95" t="str">
        <f t="shared" si="10"/>
        <v>OK</v>
      </c>
    </row>
    <row r="77" spans="1:22" x14ac:dyDescent="0.3">
      <c r="A77" s="99" t="s">
        <v>128</v>
      </c>
      <c r="B77" s="76">
        <v>5655</v>
      </c>
      <c r="C77" s="82" t="s">
        <v>54</v>
      </c>
      <c r="D77" s="82"/>
      <c r="E77" s="82"/>
      <c r="F77" s="82"/>
      <c r="G77" s="82"/>
      <c r="H77" s="82"/>
      <c r="I77" s="82">
        <f t="shared" si="8"/>
        <v>0</v>
      </c>
      <c r="J77" s="97"/>
      <c r="K77" s="112"/>
      <c r="L77" s="82"/>
      <c r="M77" s="82"/>
      <c r="N77" s="82"/>
      <c r="O77" s="82"/>
      <c r="P77" s="82"/>
      <c r="Q77" s="82"/>
      <c r="R77" s="83"/>
      <c r="S77" s="84"/>
      <c r="T77" s="100"/>
      <c r="U77" s="75">
        <f t="shared" si="9"/>
        <v>0</v>
      </c>
      <c r="V77" s="93" t="str">
        <f t="shared" si="10"/>
        <v>OK</v>
      </c>
    </row>
    <row r="78" spans="1:22" x14ac:dyDescent="0.3">
      <c r="A78" s="120" t="s">
        <v>136</v>
      </c>
      <c r="B78" s="121">
        <v>22704</v>
      </c>
      <c r="C78" s="122" t="s">
        <v>137</v>
      </c>
      <c r="D78" s="122"/>
      <c r="E78" s="122"/>
      <c r="F78" s="122"/>
      <c r="G78" s="122"/>
      <c r="H78" s="122"/>
      <c r="I78" s="22">
        <f t="shared" si="8"/>
        <v>0</v>
      </c>
      <c r="J78" s="45"/>
      <c r="K78" s="112"/>
      <c r="L78" s="22"/>
      <c r="M78" s="22"/>
      <c r="N78" s="22"/>
      <c r="O78" s="22"/>
      <c r="P78" s="22"/>
      <c r="Q78" s="22"/>
      <c r="R78" s="36"/>
      <c r="S78" s="44"/>
      <c r="T78" s="116"/>
      <c r="U78" s="71">
        <f t="shared" si="9"/>
        <v>0</v>
      </c>
      <c r="V78" s="95" t="str">
        <f t="shared" si="10"/>
        <v>OK</v>
      </c>
    </row>
    <row r="79" spans="1:22" x14ac:dyDescent="0.3">
      <c r="A79" s="136" t="s">
        <v>139</v>
      </c>
      <c r="B79" s="133">
        <v>22722</v>
      </c>
      <c r="C79" s="137" t="s">
        <v>119</v>
      </c>
      <c r="D79" s="137"/>
      <c r="E79" s="137"/>
      <c r="F79" s="137"/>
      <c r="G79" s="137"/>
      <c r="H79" s="137"/>
      <c r="I79" s="82">
        <f t="shared" si="8"/>
        <v>0</v>
      </c>
      <c r="J79" s="97"/>
      <c r="K79" s="119"/>
      <c r="L79" s="82"/>
      <c r="M79" s="82"/>
      <c r="N79" s="82"/>
      <c r="O79" s="82"/>
      <c r="P79" s="82"/>
      <c r="Q79" s="82"/>
      <c r="R79" s="83"/>
      <c r="S79" s="84"/>
      <c r="T79" s="100"/>
      <c r="U79" s="75">
        <f t="shared" si="9"/>
        <v>0</v>
      </c>
      <c r="V79" s="93" t="str">
        <f t="shared" si="10"/>
        <v>OK</v>
      </c>
    </row>
    <row r="80" spans="1:22" ht="17.25" thickBot="1" x14ac:dyDescent="0.35">
      <c r="A80" s="126" t="s">
        <v>134</v>
      </c>
      <c r="B80" s="127">
        <v>22723</v>
      </c>
      <c r="C80" s="128" t="s">
        <v>119</v>
      </c>
      <c r="D80" s="128"/>
      <c r="E80" s="128"/>
      <c r="F80" s="128"/>
      <c r="G80" s="128"/>
      <c r="H80" s="128"/>
      <c r="I80" s="128">
        <f t="shared" si="8"/>
        <v>0</v>
      </c>
      <c r="J80" s="45"/>
      <c r="K80" s="112"/>
      <c r="L80" s="22"/>
      <c r="M80" s="22"/>
      <c r="N80" s="22"/>
      <c r="O80" s="22"/>
      <c r="P80" s="22"/>
      <c r="Q80" s="22"/>
      <c r="R80" s="36"/>
      <c r="S80" s="44"/>
      <c r="T80" s="116"/>
      <c r="U80" s="52">
        <f t="shared" si="9"/>
        <v>0</v>
      </c>
      <c r="V80" s="23" t="str">
        <f t="shared" si="10"/>
        <v>OK</v>
      </c>
    </row>
    <row r="81" spans="1:22" x14ac:dyDescent="0.3">
      <c r="A81" s="86"/>
      <c r="B81" s="86"/>
      <c r="C81" s="87" t="s">
        <v>9</v>
      </c>
      <c r="D81" s="87"/>
      <c r="E81" s="87"/>
      <c r="F81" s="87"/>
      <c r="G81" s="88">
        <f>SUM(G6:G49)</f>
        <v>0</v>
      </c>
      <c r="H81" s="89">
        <f>SUM(H6:H49)</f>
        <v>0</v>
      </c>
      <c r="I81" s="88">
        <f>SUM(I6:I80)</f>
        <v>0</v>
      </c>
      <c r="J81" s="40">
        <f>SUM(J6:J49)</f>
        <v>0</v>
      </c>
      <c r="K81" s="115">
        <f>SUM(K6:K51)</f>
        <v>0</v>
      </c>
      <c r="L81" s="38">
        <f>SUM(L6:L80)</f>
        <v>0</v>
      </c>
      <c r="M81" s="38">
        <f t="shared" ref="M81:U81" si="11">SUM(M6:M80)</f>
        <v>0</v>
      </c>
      <c r="N81" s="38">
        <f t="shared" si="11"/>
        <v>0</v>
      </c>
      <c r="O81" s="38">
        <f t="shared" si="11"/>
        <v>0</v>
      </c>
      <c r="P81" s="38">
        <f t="shared" si="11"/>
        <v>0</v>
      </c>
      <c r="Q81" s="38">
        <f t="shared" si="11"/>
        <v>0</v>
      </c>
      <c r="R81" s="38">
        <f t="shared" si="11"/>
        <v>0</v>
      </c>
      <c r="S81" s="38">
        <f t="shared" si="11"/>
        <v>0</v>
      </c>
      <c r="T81" s="38">
        <f t="shared" si="11"/>
        <v>0</v>
      </c>
      <c r="U81" s="38">
        <f t="shared" si="11"/>
        <v>0</v>
      </c>
      <c r="V81" s="41" t="str">
        <f>IF(U81=SUM(I81),"OK","NG")</f>
        <v>OK</v>
      </c>
    </row>
  </sheetData>
  <autoFilter ref="A5:V5" xr:uid="{00000000-0001-0000-0C00-000000000000}"/>
  <mergeCells count="20">
    <mergeCell ref="O4:O5"/>
    <mergeCell ref="P4:P5"/>
    <mergeCell ref="B3:C3"/>
    <mergeCell ref="N4:N5"/>
    <mergeCell ref="B1:C1"/>
    <mergeCell ref="F1:G1"/>
    <mergeCell ref="H1:J3"/>
    <mergeCell ref="B2:C2"/>
    <mergeCell ref="A4:D4"/>
    <mergeCell ref="E4:G4"/>
    <mergeCell ref="H4:J4"/>
    <mergeCell ref="L4:L5"/>
    <mergeCell ref="M4:M5"/>
    <mergeCell ref="Q4:Q5"/>
    <mergeCell ref="R4:R5"/>
    <mergeCell ref="S4:S5"/>
    <mergeCell ref="T4:T5"/>
    <mergeCell ref="V2:V3"/>
    <mergeCell ref="U4:U5"/>
    <mergeCell ref="V4:V5"/>
  </mergeCells>
  <phoneticPr fontId="3" type="noConversion"/>
  <conditionalFormatting sqref="A4 V6:V81">
    <cfRule type="containsText" dxfId="45" priority="5" operator="containsText" text="NG">
      <formula>NOT(ISERROR(SEARCH("NG",A4)))</formula>
    </cfRule>
    <cfRule type="containsText" dxfId="44" priority="6" operator="containsText" text="OK">
      <formula>NOT(ISERROR(SEARCH("OK",A4)))</formula>
    </cfRule>
  </conditionalFormatting>
  <pageMargins left="0.70866141732283472" right="0.70866141732283472" top="0.74803149606299213" bottom="0.74803149606299213" header="0.31496062992125984" footer="0.31496062992125984"/>
  <pageSetup paperSize="8" scale="10" orientation="landscape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 filterMode="1">
    <pageSetUpPr fitToPage="1"/>
  </sheetPr>
  <dimension ref="A1:V81"/>
  <sheetViews>
    <sheetView showGridLines="0" zoomScale="85" zoomScaleNormal="85" workbookViewId="0">
      <pane ySplit="5" topLeftCell="A22" activePane="bottomLeft" state="frozen"/>
      <selection activeCell="W73" sqref="W73"/>
      <selection pane="bottomLeft" activeCell="W73" sqref="W73"/>
    </sheetView>
  </sheetViews>
  <sheetFormatPr defaultColWidth="9" defaultRowHeight="16.5" x14ac:dyDescent="0.3"/>
  <cols>
    <col min="1" max="1" width="12.625" bestFit="1" customWidth="1"/>
    <col min="2" max="2" width="14.125" bestFit="1" customWidth="1"/>
    <col min="3" max="3" width="35.125" customWidth="1"/>
    <col min="4" max="4" width="11.75" hidden="1" customWidth="1"/>
    <col min="5" max="6" width="9" hidden="1" customWidth="1"/>
    <col min="7" max="7" width="15.375" hidden="1" customWidth="1"/>
    <col min="8" max="8" width="13.25" hidden="1" customWidth="1"/>
    <col min="9" max="9" width="13.25" customWidth="1"/>
    <col min="10" max="10" width="13.25" hidden="1" customWidth="1"/>
    <col min="11" max="11" width="0.875" customWidth="1"/>
    <col min="20" max="20" width="11" bestFit="1" customWidth="1"/>
  </cols>
  <sheetData>
    <row r="1" spans="1:22" ht="22.5" customHeight="1" thickBot="1" x14ac:dyDescent="0.35">
      <c r="A1" s="32" t="s">
        <v>28</v>
      </c>
      <c r="B1" s="153">
        <f>H69</f>
        <v>0</v>
      </c>
      <c r="C1" s="154"/>
      <c r="D1" s="55"/>
      <c r="E1" s="58" t="s">
        <v>1</v>
      </c>
      <c r="F1" s="155">
        <f>G69</f>
        <v>0</v>
      </c>
      <c r="G1" s="155"/>
      <c r="H1" s="156"/>
      <c r="I1" s="156"/>
      <c r="J1" s="156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22.5" customHeight="1" thickBot="1" x14ac:dyDescent="0.35">
      <c r="A2" s="32" t="s">
        <v>29</v>
      </c>
      <c r="B2" s="158">
        <f>I81</f>
        <v>0</v>
      </c>
      <c r="C2" s="159"/>
      <c r="D2" s="56"/>
      <c r="E2" s="59"/>
      <c r="F2" s="2"/>
      <c r="G2" s="2"/>
      <c r="H2" s="156"/>
      <c r="I2" s="156"/>
      <c r="J2" s="156"/>
      <c r="K2" s="113"/>
      <c r="L2" s="3">
        <f>SUBTOTAL(9,L6:L80)</f>
        <v>0</v>
      </c>
      <c r="M2" s="3">
        <f t="shared" ref="M2:T2" si="0">SUBTOTAL(9,M6:M80)</f>
        <v>0</v>
      </c>
      <c r="N2" s="3">
        <f t="shared" si="0"/>
        <v>0</v>
      </c>
      <c r="O2" s="3">
        <f t="shared" si="0"/>
        <v>0</v>
      </c>
      <c r="P2" s="3">
        <f t="shared" si="0"/>
        <v>0</v>
      </c>
      <c r="Q2" s="3">
        <f t="shared" si="0"/>
        <v>0</v>
      </c>
      <c r="R2" s="3">
        <f t="shared" si="0"/>
        <v>0</v>
      </c>
      <c r="S2" s="3">
        <f t="shared" si="0"/>
        <v>0</v>
      </c>
      <c r="T2" s="3">
        <f t="shared" si="0"/>
        <v>0</v>
      </c>
      <c r="U2" s="48">
        <f>SUBTOTAL(9,U6:U80)</f>
        <v>0</v>
      </c>
      <c r="V2" s="145"/>
    </row>
    <row r="3" spans="1:22" ht="22.5" customHeight="1" thickBot="1" x14ac:dyDescent="0.35">
      <c r="A3" s="33" t="s">
        <v>30</v>
      </c>
      <c r="B3" s="151" t="str">
        <f>IF(ISERROR(B2/(B2+B1)*1000000),"",(B2/(B2+B1)*1000000))</f>
        <v/>
      </c>
      <c r="C3" s="152"/>
      <c r="D3" s="57"/>
      <c r="E3" s="60"/>
      <c r="F3" s="27"/>
      <c r="G3" s="27"/>
      <c r="H3" s="157"/>
      <c r="I3" s="157"/>
      <c r="J3" s="157"/>
      <c r="K3" s="114"/>
      <c r="L3" s="4">
        <f t="shared" ref="L3:U3" si="1">SUM(L6:L80)</f>
        <v>0</v>
      </c>
      <c r="M3" s="4">
        <f t="shared" si="1"/>
        <v>0</v>
      </c>
      <c r="N3" s="4">
        <f t="shared" si="1"/>
        <v>0</v>
      </c>
      <c r="O3" s="4">
        <f t="shared" si="1"/>
        <v>0</v>
      </c>
      <c r="P3" s="4">
        <f t="shared" si="1"/>
        <v>0</v>
      </c>
      <c r="Q3" s="4">
        <f t="shared" si="1"/>
        <v>0</v>
      </c>
      <c r="R3" s="4">
        <f t="shared" si="1"/>
        <v>0</v>
      </c>
      <c r="S3" s="4">
        <f t="shared" si="1"/>
        <v>0</v>
      </c>
      <c r="T3" s="4">
        <f t="shared" si="1"/>
        <v>0</v>
      </c>
      <c r="U3" s="49">
        <f t="shared" si="1"/>
        <v>0</v>
      </c>
      <c r="V3" s="146"/>
    </row>
    <row r="4" spans="1:22" ht="43.5" customHeight="1" x14ac:dyDescent="0.3">
      <c r="A4" s="160" t="str">
        <f>V81</f>
        <v>OK</v>
      </c>
      <c r="B4" s="160"/>
      <c r="C4" s="160"/>
      <c r="D4" s="161"/>
      <c r="E4" s="162" t="s">
        <v>15</v>
      </c>
      <c r="F4" s="162"/>
      <c r="G4" s="162"/>
      <c r="H4" s="163" t="s">
        <v>16</v>
      </c>
      <c r="I4" s="163"/>
      <c r="J4" s="163"/>
      <c r="K4" s="113"/>
      <c r="L4" s="164" t="s">
        <v>10</v>
      </c>
      <c r="M4" s="142" t="s">
        <v>17</v>
      </c>
      <c r="N4" s="142" t="s">
        <v>11</v>
      </c>
      <c r="O4" s="138" t="s">
        <v>12</v>
      </c>
      <c r="P4" s="142" t="s">
        <v>13</v>
      </c>
      <c r="Q4" s="138" t="s">
        <v>14</v>
      </c>
      <c r="R4" s="140" t="s">
        <v>20</v>
      </c>
      <c r="S4" s="142" t="s">
        <v>21</v>
      </c>
      <c r="T4" s="143" t="s">
        <v>22</v>
      </c>
      <c r="U4" s="147" t="s">
        <v>18</v>
      </c>
      <c r="V4" s="149" t="s">
        <v>19</v>
      </c>
    </row>
    <row r="5" spans="1:22" ht="33.75" thickBot="1" x14ac:dyDescent="0.35">
      <c r="A5" s="29" t="s">
        <v>3</v>
      </c>
      <c r="B5" s="30" t="s">
        <v>32</v>
      </c>
      <c r="C5" s="29" t="s">
        <v>4</v>
      </c>
      <c r="D5" s="29" t="s">
        <v>31</v>
      </c>
      <c r="E5" s="29" t="s">
        <v>5</v>
      </c>
      <c r="F5" s="29" t="s">
        <v>6</v>
      </c>
      <c r="G5" s="30" t="s">
        <v>7</v>
      </c>
      <c r="H5" s="31" t="s">
        <v>0</v>
      </c>
      <c r="I5" s="31" t="s">
        <v>115</v>
      </c>
      <c r="J5" s="31" t="s">
        <v>8</v>
      </c>
      <c r="K5" s="28"/>
      <c r="L5" s="165"/>
      <c r="M5" s="139"/>
      <c r="N5" s="139"/>
      <c r="O5" s="139"/>
      <c r="P5" s="139"/>
      <c r="Q5" s="139"/>
      <c r="R5" s="141"/>
      <c r="S5" s="139"/>
      <c r="T5" s="144"/>
      <c r="U5" s="148"/>
      <c r="V5" s="150"/>
    </row>
    <row r="6" spans="1:22" hidden="1" x14ac:dyDescent="0.3">
      <c r="A6" s="61" t="s">
        <v>33</v>
      </c>
      <c r="B6" s="61">
        <v>8092</v>
      </c>
      <c r="C6" s="6" t="s">
        <v>45</v>
      </c>
      <c r="D6" s="7"/>
      <c r="E6" s="7"/>
      <c r="F6" s="7"/>
      <c r="G6" s="8"/>
      <c r="H6" s="9"/>
      <c r="I6" s="10">
        <f>SUM(L6:T6)</f>
        <v>0</v>
      </c>
      <c r="J6" s="10"/>
      <c r="K6" s="11"/>
      <c r="L6" s="10"/>
      <c r="M6" s="10"/>
      <c r="N6" s="10"/>
      <c r="O6" s="10"/>
      <c r="P6" s="10"/>
      <c r="Q6" s="10"/>
      <c r="R6" s="34"/>
      <c r="S6" s="42"/>
      <c r="T6" s="45"/>
      <c r="U6" s="50">
        <f t="shared" ref="U6:U36" si="2">SUM(L6:T6)</f>
        <v>0</v>
      </c>
      <c r="V6" s="26" t="str">
        <f t="shared" ref="V6:V67" si="3">IF(U6=I6,"OK","NG")</f>
        <v>OK</v>
      </c>
    </row>
    <row r="7" spans="1:22" hidden="1" x14ac:dyDescent="0.3">
      <c r="A7" s="62" t="s">
        <v>95</v>
      </c>
      <c r="B7" s="62">
        <v>8088</v>
      </c>
      <c r="C7" s="12" t="s">
        <v>46</v>
      </c>
      <c r="D7" s="53"/>
      <c r="E7" s="13"/>
      <c r="F7" s="13"/>
      <c r="G7" s="14"/>
      <c r="H7" s="15"/>
      <c r="I7" s="16">
        <f t="shared" ref="I7:I70" si="4">SUM(L7:T7)</f>
        <v>0</v>
      </c>
      <c r="J7" s="16"/>
      <c r="K7" s="11"/>
      <c r="L7" s="16"/>
      <c r="M7" s="16"/>
      <c r="N7" s="16"/>
      <c r="O7" s="16"/>
      <c r="P7" s="16"/>
      <c r="Q7" s="16"/>
      <c r="R7" s="35"/>
      <c r="S7" s="43"/>
      <c r="T7" s="46"/>
      <c r="U7" s="51">
        <f t="shared" si="2"/>
        <v>0</v>
      </c>
      <c r="V7" s="17" t="str">
        <f t="shared" si="3"/>
        <v>OK</v>
      </c>
    </row>
    <row r="8" spans="1:22" hidden="1" x14ac:dyDescent="0.3">
      <c r="A8" s="63" t="s">
        <v>96</v>
      </c>
      <c r="B8" s="63">
        <v>8081</v>
      </c>
      <c r="C8" s="18" t="s">
        <v>46</v>
      </c>
      <c r="D8" s="19"/>
      <c r="E8" s="19"/>
      <c r="F8" s="19"/>
      <c r="G8" s="20"/>
      <c r="H8" s="21"/>
      <c r="I8" s="22">
        <f t="shared" si="4"/>
        <v>0</v>
      </c>
      <c r="J8" s="22"/>
      <c r="K8" s="11"/>
      <c r="L8" s="22"/>
      <c r="M8" s="22"/>
      <c r="N8" s="22"/>
      <c r="O8" s="22"/>
      <c r="P8" s="22"/>
      <c r="Q8" s="22"/>
      <c r="R8" s="36"/>
      <c r="S8" s="44"/>
      <c r="T8" s="47"/>
      <c r="U8" s="52">
        <f t="shared" si="2"/>
        <v>0</v>
      </c>
      <c r="V8" s="23" t="str">
        <f t="shared" si="3"/>
        <v>OK</v>
      </c>
    </row>
    <row r="9" spans="1:22" hidden="1" x14ac:dyDescent="0.3">
      <c r="A9" s="62" t="s">
        <v>97</v>
      </c>
      <c r="B9" s="62">
        <v>18524</v>
      </c>
      <c r="C9" s="12" t="s">
        <v>46</v>
      </c>
      <c r="D9" s="53"/>
      <c r="E9" s="13"/>
      <c r="F9" s="13"/>
      <c r="G9" s="14"/>
      <c r="H9" s="15"/>
      <c r="I9" s="16">
        <f t="shared" si="4"/>
        <v>0</v>
      </c>
      <c r="J9" s="16"/>
      <c r="K9" s="11"/>
      <c r="L9" s="16"/>
      <c r="M9" s="16"/>
      <c r="N9" s="16"/>
      <c r="O9" s="16"/>
      <c r="P9" s="16"/>
      <c r="Q9" s="16"/>
      <c r="R9" s="35"/>
      <c r="S9" s="43"/>
      <c r="T9" s="46"/>
      <c r="U9" s="51">
        <f t="shared" si="2"/>
        <v>0</v>
      </c>
      <c r="V9" s="17" t="str">
        <f t="shared" si="3"/>
        <v>OK</v>
      </c>
    </row>
    <row r="10" spans="1:22" hidden="1" x14ac:dyDescent="0.3">
      <c r="A10" s="63" t="s">
        <v>34</v>
      </c>
      <c r="B10" s="63">
        <v>6234</v>
      </c>
      <c r="C10" s="18" t="s">
        <v>47</v>
      </c>
      <c r="D10" s="19"/>
      <c r="E10" s="19"/>
      <c r="F10" s="19"/>
      <c r="G10" s="20"/>
      <c r="H10" s="21"/>
      <c r="I10" s="22">
        <f t="shared" si="4"/>
        <v>0</v>
      </c>
      <c r="J10" s="22"/>
      <c r="K10" s="11"/>
      <c r="L10" s="22"/>
      <c r="M10" s="22"/>
      <c r="N10" s="22"/>
      <c r="O10" s="22"/>
      <c r="P10" s="22"/>
      <c r="Q10" s="22"/>
      <c r="R10" s="36"/>
      <c r="S10" s="44"/>
      <c r="T10" s="47"/>
      <c r="U10" s="52">
        <f t="shared" si="2"/>
        <v>0</v>
      </c>
      <c r="V10" s="23" t="str">
        <f t="shared" si="3"/>
        <v>OK</v>
      </c>
    </row>
    <row r="11" spans="1:22" hidden="1" x14ac:dyDescent="0.3">
      <c r="A11" s="62" t="s">
        <v>80</v>
      </c>
      <c r="B11" s="62">
        <v>14830</v>
      </c>
      <c r="C11" s="12" t="s">
        <v>47</v>
      </c>
      <c r="D11" s="53"/>
      <c r="E11" s="13"/>
      <c r="F11" s="13"/>
      <c r="G11" s="14"/>
      <c r="H11" s="15"/>
      <c r="I11" s="16">
        <f t="shared" si="4"/>
        <v>0</v>
      </c>
      <c r="J11" s="16"/>
      <c r="K11" s="11"/>
      <c r="L11" s="16"/>
      <c r="M11" s="16"/>
      <c r="N11" s="16"/>
      <c r="O11" s="16"/>
      <c r="P11" s="16"/>
      <c r="Q11" s="16"/>
      <c r="R11" s="35"/>
      <c r="S11" s="43"/>
      <c r="T11" s="46"/>
      <c r="U11" s="51">
        <f t="shared" si="2"/>
        <v>0</v>
      </c>
      <c r="V11" s="17" t="str">
        <f t="shared" si="3"/>
        <v>OK</v>
      </c>
    </row>
    <row r="12" spans="1:22" hidden="1" x14ac:dyDescent="0.3">
      <c r="A12" s="63" t="s">
        <v>35</v>
      </c>
      <c r="B12" s="63">
        <v>6004</v>
      </c>
      <c r="C12" s="18" t="s">
        <v>48</v>
      </c>
      <c r="D12" s="19"/>
      <c r="E12" s="19"/>
      <c r="F12" s="19"/>
      <c r="G12" s="20"/>
      <c r="H12" s="21"/>
      <c r="I12" s="22">
        <f t="shared" si="4"/>
        <v>0</v>
      </c>
      <c r="J12" s="22"/>
      <c r="K12" s="11"/>
      <c r="L12" s="22"/>
      <c r="M12" s="22"/>
      <c r="N12" s="22"/>
      <c r="O12" s="22"/>
      <c r="P12" s="22"/>
      <c r="Q12" s="22"/>
      <c r="R12" s="36"/>
      <c r="S12" s="44"/>
      <c r="T12" s="47"/>
      <c r="U12" s="52">
        <f t="shared" si="2"/>
        <v>0</v>
      </c>
      <c r="V12" s="23" t="str">
        <f t="shared" si="3"/>
        <v>OK</v>
      </c>
    </row>
    <row r="13" spans="1:22" hidden="1" x14ac:dyDescent="0.3">
      <c r="A13" s="62" t="s">
        <v>36</v>
      </c>
      <c r="B13" s="62">
        <v>11857</v>
      </c>
      <c r="C13" s="12" t="s">
        <v>48</v>
      </c>
      <c r="D13" s="53"/>
      <c r="E13" s="13"/>
      <c r="F13" s="13"/>
      <c r="G13" s="14"/>
      <c r="H13" s="15"/>
      <c r="I13" s="16">
        <f t="shared" si="4"/>
        <v>0</v>
      </c>
      <c r="J13" s="16"/>
      <c r="K13" s="11"/>
      <c r="L13" s="16"/>
      <c r="M13" s="16"/>
      <c r="N13" s="16"/>
      <c r="O13" s="16"/>
      <c r="P13" s="16"/>
      <c r="Q13" s="16"/>
      <c r="R13" s="35"/>
      <c r="S13" s="43"/>
      <c r="T13" s="46"/>
      <c r="U13" s="51">
        <f t="shared" si="2"/>
        <v>0</v>
      </c>
      <c r="V13" s="17" t="str">
        <f t="shared" si="3"/>
        <v>OK</v>
      </c>
    </row>
    <row r="14" spans="1:22" hidden="1" x14ac:dyDescent="0.3">
      <c r="A14" s="63" t="s">
        <v>82</v>
      </c>
      <c r="B14" s="63">
        <v>15004</v>
      </c>
      <c r="C14" s="18" t="s">
        <v>48</v>
      </c>
      <c r="D14" s="19"/>
      <c r="E14" s="19"/>
      <c r="F14" s="19"/>
      <c r="G14" s="20"/>
      <c r="H14" s="21"/>
      <c r="I14" s="22">
        <f t="shared" si="4"/>
        <v>0</v>
      </c>
      <c r="J14" s="22"/>
      <c r="K14" s="11"/>
      <c r="L14" s="22"/>
      <c r="M14" s="22"/>
      <c r="N14" s="22"/>
      <c r="O14" s="22"/>
      <c r="P14" s="22"/>
      <c r="Q14" s="22"/>
      <c r="R14" s="36"/>
      <c r="S14" s="44"/>
      <c r="T14" s="47"/>
      <c r="U14" s="52">
        <f t="shared" si="2"/>
        <v>0</v>
      </c>
      <c r="V14" s="23" t="str">
        <f t="shared" si="3"/>
        <v>OK</v>
      </c>
    </row>
    <row r="15" spans="1:22" hidden="1" x14ac:dyDescent="0.3">
      <c r="A15" s="62" t="s">
        <v>86</v>
      </c>
      <c r="B15" s="62">
        <v>15174</v>
      </c>
      <c r="C15" s="12" t="s">
        <v>45</v>
      </c>
      <c r="D15" s="53"/>
      <c r="E15" s="13"/>
      <c r="F15" s="13"/>
      <c r="G15" s="14"/>
      <c r="H15" s="15"/>
      <c r="I15" s="16">
        <f t="shared" si="4"/>
        <v>0</v>
      </c>
      <c r="J15" s="16"/>
      <c r="K15" s="11"/>
      <c r="L15" s="16"/>
      <c r="M15" s="16"/>
      <c r="N15" s="16"/>
      <c r="O15" s="16"/>
      <c r="P15" s="16"/>
      <c r="Q15" s="16"/>
      <c r="R15" s="35"/>
      <c r="S15" s="43"/>
      <c r="T15" s="46"/>
      <c r="U15" s="51">
        <f t="shared" si="2"/>
        <v>0</v>
      </c>
      <c r="V15" s="17" t="str">
        <f t="shared" si="3"/>
        <v>OK</v>
      </c>
    </row>
    <row r="16" spans="1:22" hidden="1" x14ac:dyDescent="0.3">
      <c r="A16" s="63" t="s">
        <v>87</v>
      </c>
      <c r="B16" s="63">
        <v>15520</v>
      </c>
      <c r="C16" s="18" t="s">
        <v>47</v>
      </c>
      <c r="D16" s="19"/>
      <c r="E16" s="19"/>
      <c r="F16" s="19"/>
      <c r="G16" s="20"/>
      <c r="H16" s="21"/>
      <c r="I16" s="22">
        <f t="shared" si="4"/>
        <v>0</v>
      </c>
      <c r="J16" s="22"/>
      <c r="K16" s="11"/>
      <c r="L16" s="22"/>
      <c r="M16" s="22"/>
      <c r="N16" s="22"/>
      <c r="O16" s="22"/>
      <c r="P16" s="22"/>
      <c r="Q16" s="22"/>
      <c r="R16" s="36"/>
      <c r="S16" s="44"/>
      <c r="T16" s="47"/>
      <c r="U16" s="52">
        <f t="shared" si="2"/>
        <v>0</v>
      </c>
      <c r="V16" s="23" t="str">
        <f t="shared" si="3"/>
        <v>OK</v>
      </c>
    </row>
    <row r="17" spans="1:22" hidden="1" x14ac:dyDescent="0.3">
      <c r="A17" s="62" t="s">
        <v>85</v>
      </c>
      <c r="B17" s="62">
        <v>14989</v>
      </c>
      <c r="C17" s="12" t="s">
        <v>45</v>
      </c>
      <c r="D17" s="53"/>
      <c r="E17" s="13"/>
      <c r="F17" s="13"/>
      <c r="G17" s="14"/>
      <c r="H17" s="15"/>
      <c r="I17" s="16">
        <f t="shared" si="4"/>
        <v>0</v>
      </c>
      <c r="J17" s="16"/>
      <c r="K17" s="11"/>
      <c r="L17" s="16"/>
      <c r="M17" s="16"/>
      <c r="N17" s="16"/>
      <c r="O17" s="16"/>
      <c r="P17" s="16"/>
      <c r="Q17" s="16"/>
      <c r="R17" s="35"/>
      <c r="S17" s="43"/>
      <c r="T17" s="46"/>
      <c r="U17" s="51">
        <f t="shared" si="2"/>
        <v>0</v>
      </c>
      <c r="V17" s="17" t="str">
        <f t="shared" si="3"/>
        <v>OK</v>
      </c>
    </row>
    <row r="18" spans="1:22" hidden="1" x14ac:dyDescent="0.3">
      <c r="A18" s="63" t="s">
        <v>84</v>
      </c>
      <c r="B18" s="63">
        <v>14984</v>
      </c>
      <c r="C18" s="18" t="s">
        <v>46</v>
      </c>
      <c r="D18" s="19"/>
      <c r="E18" s="19"/>
      <c r="F18" s="19"/>
      <c r="G18" s="20"/>
      <c r="H18" s="21"/>
      <c r="I18" s="22">
        <f t="shared" si="4"/>
        <v>0</v>
      </c>
      <c r="J18" s="22"/>
      <c r="K18" s="11"/>
      <c r="L18" s="22"/>
      <c r="M18" s="22"/>
      <c r="N18" s="22"/>
      <c r="O18" s="22"/>
      <c r="P18" s="22"/>
      <c r="Q18" s="22"/>
      <c r="R18" s="36"/>
      <c r="S18" s="44"/>
      <c r="T18" s="47"/>
      <c r="U18" s="52">
        <f t="shared" si="2"/>
        <v>0</v>
      </c>
      <c r="V18" s="23" t="str">
        <f t="shared" si="3"/>
        <v>OK</v>
      </c>
    </row>
    <row r="19" spans="1:22" hidden="1" x14ac:dyDescent="0.3">
      <c r="A19" s="62" t="s">
        <v>88</v>
      </c>
      <c r="B19" s="62">
        <v>16270</v>
      </c>
      <c r="C19" s="12" t="s">
        <v>89</v>
      </c>
      <c r="D19" s="53"/>
      <c r="E19" s="13"/>
      <c r="F19" s="13"/>
      <c r="G19" s="14"/>
      <c r="H19" s="15"/>
      <c r="I19" s="16">
        <f t="shared" si="4"/>
        <v>0</v>
      </c>
      <c r="J19" s="16"/>
      <c r="K19" s="11"/>
      <c r="L19" s="16"/>
      <c r="M19" s="16"/>
      <c r="N19" s="16"/>
      <c r="O19" s="16"/>
      <c r="P19" s="16"/>
      <c r="Q19" s="16"/>
      <c r="R19" s="35"/>
      <c r="S19" s="43"/>
      <c r="T19" s="46"/>
      <c r="U19" s="51">
        <f t="shared" si="2"/>
        <v>0</v>
      </c>
      <c r="V19" s="17" t="str">
        <f t="shared" si="3"/>
        <v>OK</v>
      </c>
    </row>
    <row r="20" spans="1:22" hidden="1" x14ac:dyDescent="0.3">
      <c r="A20" s="63" t="s">
        <v>98</v>
      </c>
      <c r="B20" s="63">
        <v>19060</v>
      </c>
      <c r="C20" s="18" t="s">
        <v>47</v>
      </c>
      <c r="D20" s="19"/>
      <c r="E20" s="19"/>
      <c r="F20" s="19"/>
      <c r="G20" s="20"/>
      <c r="H20" s="21"/>
      <c r="I20" s="22">
        <f t="shared" si="4"/>
        <v>0</v>
      </c>
      <c r="J20" s="22"/>
      <c r="K20" s="11"/>
      <c r="L20" s="22"/>
      <c r="M20" s="22"/>
      <c r="N20" s="22"/>
      <c r="O20" s="22"/>
      <c r="P20" s="22"/>
      <c r="Q20" s="22"/>
      <c r="R20" s="36"/>
      <c r="S20" s="44"/>
      <c r="T20" s="47"/>
      <c r="U20" s="52">
        <f t="shared" si="2"/>
        <v>0</v>
      </c>
      <c r="V20" s="23" t="str">
        <f t="shared" si="3"/>
        <v>OK</v>
      </c>
    </row>
    <row r="21" spans="1:22" hidden="1" x14ac:dyDescent="0.3">
      <c r="A21" s="62" t="s">
        <v>99</v>
      </c>
      <c r="B21" s="62">
        <v>18828</v>
      </c>
      <c r="C21" s="12" t="s">
        <v>94</v>
      </c>
      <c r="D21" s="53"/>
      <c r="E21" s="13"/>
      <c r="F21" s="13"/>
      <c r="G21" s="14"/>
      <c r="H21" s="15"/>
      <c r="I21" s="16">
        <f t="shared" si="4"/>
        <v>0</v>
      </c>
      <c r="J21" s="16"/>
      <c r="K21" s="11"/>
      <c r="L21" s="16"/>
      <c r="M21" s="16"/>
      <c r="N21" s="16"/>
      <c r="O21" s="16"/>
      <c r="P21" s="16"/>
      <c r="Q21" s="16"/>
      <c r="R21" s="35"/>
      <c r="S21" s="43"/>
      <c r="T21" s="46"/>
      <c r="U21" s="51">
        <f t="shared" si="2"/>
        <v>0</v>
      </c>
      <c r="V21" s="17" t="str">
        <f t="shared" si="3"/>
        <v>OK</v>
      </c>
    </row>
    <row r="22" spans="1:22" x14ac:dyDescent="0.3">
      <c r="A22" s="63" t="s">
        <v>23</v>
      </c>
      <c r="B22" s="63">
        <v>5695</v>
      </c>
      <c r="C22" s="18" t="s">
        <v>49</v>
      </c>
      <c r="D22" s="19"/>
      <c r="E22" s="19"/>
      <c r="F22" s="19"/>
      <c r="G22" s="20"/>
      <c r="H22" s="21"/>
      <c r="I22" s="22">
        <f t="shared" si="4"/>
        <v>0</v>
      </c>
      <c r="J22" s="22"/>
      <c r="K22" s="11"/>
      <c r="L22" s="22"/>
      <c r="M22" s="22"/>
      <c r="N22" s="22"/>
      <c r="O22" s="22"/>
      <c r="P22" s="22"/>
      <c r="Q22" s="22"/>
      <c r="R22" s="36"/>
      <c r="S22" s="44"/>
      <c r="T22" s="47"/>
      <c r="U22" s="52">
        <f t="shared" si="2"/>
        <v>0</v>
      </c>
      <c r="V22" s="23" t="str">
        <f t="shared" si="3"/>
        <v>OK</v>
      </c>
    </row>
    <row r="23" spans="1:22" hidden="1" x14ac:dyDescent="0.3">
      <c r="A23" s="62" t="s">
        <v>24</v>
      </c>
      <c r="B23" s="62">
        <v>5691</v>
      </c>
      <c r="C23" s="12" t="s">
        <v>50</v>
      </c>
      <c r="D23" s="53"/>
      <c r="E23" s="13"/>
      <c r="F23" s="13"/>
      <c r="G23" s="14"/>
      <c r="H23" s="15"/>
      <c r="I23" s="16">
        <f t="shared" si="4"/>
        <v>0</v>
      </c>
      <c r="J23" s="16"/>
      <c r="K23" s="11"/>
      <c r="L23" s="16"/>
      <c r="M23" s="16"/>
      <c r="N23" s="16"/>
      <c r="O23" s="16"/>
      <c r="P23" s="16"/>
      <c r="Q23" s="16"/>
      <c r="R23" s="35"/>
      <c r="S23" s="43"/>
      <c r="T23" s="46"/>
      <c r="U23" s="51">
        <f t="shared" si="2"/>
        <v>0</v>
      </c>
      <c r="V23" s="17" t="str">
        <f t="shared" si="3"/>
        <v>OK</v>
      </c>
    </row>
    <row r="24" spans="1:22" hidden="1" x14ac:dyDescent="0.3">
      <c r="A24" s="63" t="s">
        <v>37</v>
      </c>
      <c r="B24" s="63">
        <v>5687</v>
      </c>
      <c r="C24" s="18" t="s">
        <v>51</v>
      </c>
      <c r="D24" s="19"/>
      <c r="E24" s="19"/>
      <c r="F24" s="19"/>
      <c r="G24" s="20"/>
      <c r="H24" s="21"/>
      <c r="I24" s="22">
        <f t="shared" si="4"/>
        <v>0</v>
      </c>
      <c r="J24" s="22"/>
      <c r="K24" s="11"/>
      <c r="L24" s="22"/>
      <c r="M24" s="22"/>
      <c r="N24" s="22"/>
      <c r="O24" s="22"/>
      <c r="P24" s="22"/>
      <c r="Q24" s="22"/>
      <c r="R24" s="36"/>
      <c r="S24" s="44"/>
      <c r="T24" s="47"/>
      <c r="U24" s="52">
        <f t="shared" si="2"/>
        <v>0</v>
      </c>
      <c r="V24" s="23" t="str">
        <f t="shared" si="3"/>
        <v>OK</v>
      </c>
    </row>
    <row r="25" spans="1:22" hidden="1" x14ac:dyDescent="0.3">
      <c r="A25" s="62" t="s">
        <v>38</v>
      </c>
      <c r="B25" s="62">
        <v>5683</v>
      </c>
      <c r="C25" s="12" t="s">
        <v>51</v>
      </c>
      <c r="D25" s="53"/>
      <c r="E25" s="13"/>
      <c r="F25" s="13"/>
      <c r="G25" s="14"/>
      <c r="H25" s="15"/>
      <c r="I25" s="16">
        <f t="shared" si="4"/>
        <v>0</v>
      </c>
      <c r="J25" s="16"/>
      <c r="K25" s="11"/>
      <c r="L25" s="16"/>
      <c r="M25" s="16"/>
      <c r="N25" s="16"/>
      <c r="O25" s="16"/>
      <c r="P25" s="16"/>
      <c r="Q25" s="16"/>
      <c r="R25" s="35"/>
      <c r="S25" s="43"/>
      <c r="T25" s="46"/>
      <c r="U25" s="51">
        <f t="shared" si="2"/>
        <v>0</v>
      </c>
      <c r="V25" s="17" t="str">
        <f t="shared" si="3"/>
        <v>OK</v>
      </c>
    </row>
    <row r="26" spans="1:22" hidden="1" x14ac:dyDescent="0.3">
      <c r="A26" s="63" t="s">
        <v>25</v>
      </c>
      <c r="B26" s="63">
        <v>5679</v>
      </c>
      <c r="C26" s="18" t="s">
        <v>52</v>
      </c>
      <c r="D26" s="19"/>
      <c r="E26" s="19"/>
      <c r="F26" s="19"/>
      <c r="G26" s="20"/>
      <c r="H26" s="21"/>
      <c r="I26" s="22">
        <f t="shared" si="4"/>
        <v>0</v>
      </c>
      <c r="J26" s="22"/>
      <c r="K26" s="11"/>
      <c r="L26" s="22"/>
      <c r="M26" s="22"/>
      <c r="N26" s="22"/>
      <c r="O26" s="22"/>
      <c r="P26" s="22"/>
      <c r="Q26" s="22"/>
      <c r="R26" s="36"/>
      <c r="S26" s="44"/>
      <c r="T26" s="47"/>
      <c r="U26" s="52">
        <f t="shared" si="2"/>
        <v>0</v>
      </c>
      <c r="V26" s="23" t="str">
        <f t="shared" si="3"/>
        <v>OK</v>
      </c>
    </row>
    <row r="27" spans="1:22" hidden="1" x14ac:dyDescent="0.3">
      <c r="A27" s="62" t="s">
        <v>39</v>
      </c>
      <c r="B27" s="62">
        <v>5675</v>
      </c>
      <c r="C27" s="12" t="s">
        <v>53</v>
      </c>
      <c r="D27" s="53"/>
      <c r="E27" s="13"/>
      <c r="F27" s="13"/>
      <c r="G27" s="14"/>
      <c r="H27" s="15"/>
      <c r="I27" s="16">
        <f t="shared" si="4"/>
        <v>0</v>
      </c>
      <c r="J27" s="16"/>
      <c r="K27" s="11"/>
      <c r="L27" s="16"/>
      <c r="M27" s="16"/>
      <c r="N27" s="16"/>
      <c r="O27" s="16"/>
      <c r="P27" s="16"/>
      <c r="Q27" s="16"/>
      <c r="R27" s="35"/>
      <c r="S27" s="43"/>
      <c r="T27" s="46"/>
      <c r="U27" s="51">
        <f t="shared" si="2"/>
        <v>0</v>
      </c>
      <c r="V27" s="17" t="str">
        <f t="shared" si="3"/>
        <v>OK</v>
      </c>
    </row>
    <row r="28" spans="1:22" hidden="1" x14ac:dyDescent="0.3">
      <c r="A28" s="63" t="s">
        <v>26</v>
      </c>
      <c r="B28" s="63">
        <v>5671</v>
      </c>
      <c r="C28" s="18" t="s">
        <v>49</v>
      </c>
      <c r="D28" s="19"/>
      <c r="E28" s="19"/>
      <c r="F28" s="19"/>
      <c r="G28" s="20"/>
      <c r="H28" s="21"/>
      <c r="I28" s="22">
        <f t="shared" si="4"/>
        <v>0</v>
      </c>
      <c r="J28" s="22"/>
      <c r="K28" s="11"/>
      <c r="L28" s="22"/>
      <c r="M28" s="22"/>
      <c r="N28" s="22"/>
      <c r="O28" s="22"/>
      <c r="P28" s="22"/>
      <c r="Q28" s="22"/>
      <c r="R28" s="36"/>
      <c r="S28" s="44"/>
      <c r="T28" s="47"/>
      <c r="U28" s="52">
        <f t="shared" si="2"/>
        <v>0</v>
      </c>
      <c r="V28" s="23" t="str">
        <f t="shared" si="3"/>
        <v>OK</v>
      </c>
    </row>
    <row r="29" spans="1:22" hidden="1" x14ac:dyDescent="0.3">
      <c r="A29" s="62" t="s">
        <v>40</v>
      </c>
      <c r="B29" s="62">
        <v>5667</v>
      </c>
      <c r="C29" s="12" t="s">
        <v>50</v>
      </c>
      <c r="D29" s="53"/>
      <c r="E29" s="13"/>
      <c r="F29" s="13"/>
      <c r="G29" s="14"/>
      <c r="H29" s="15"/>
      <c r="I29" s="16">
        <f t="shared" si="4"/>
        <v>0</v>
      </c>
      <c r="J29" s="16"/>
      <c r="K29" s="11"/>
      <c r="L29" s="16"/>
      <c r="M29" s="16"/>
      <c r="N29" s="16"/>
      <c r="O29" s="16"/>
      <c r="P29" s="16"/>
      <c r="Q29" s="16"/>
      <c r="R29" s="35"/>
      <c r="S29" s="43"/>
      <c r="T29" s="46"/>
      <c r="U29" s="51">
        <f t="shared" si="2"/>
        <v>0</v>
      </c>
      <c r="V29" s="17" t="str">
        <f t="shared" si="3"/>
        <v>OK</v>
      </c>
    </row>
    <row r="30" spans="1:22" hidden="1" x14ac:dyDescent="0.3">
      <c r="A30" s="63" t="s">
        <v>41</v>
      </c>
      <c r="B30" s="63">
        <v>5663</v>
      </c>
      <c r="C30" s="18" t="s">
        <v>51</v>
      </c>
      <c r="D30" s="19"/>
      <c r="E30" s="19"/>
      <c r="F30" s="19"/>
      <c r="G30" s="20"/>
      <c r="H30" s="21"/>
      <c r="I30" s="22">
        <f t="shared" si="4"/>
        <v>0</v>
      </c>
      <c r="J30" s="22"/>
      <c r="K30" s="11"/>
      <c r="L30" s="22"/>
      <c r="M30" s="22"/>
      <c r="N30" s="22"/>
      <c r="O30" s="22"/>
      <c r="P30" s="22"/>
      <c r="Q30" s="22"/>
      <c r="R30" s="36"/>
      <c r="S30" s="44"/>
      <c r="T30" s="47"/>
      <c r="U30" s="52">
        <f t="shared" si="2"/>
        <v>0</v>
      </c>
      <c r="V30" s="23" t="str">
        <f t="shared" si="3"/>
        <v>OK</v>
      </c>
    </row>
    <row r="31" spans="1:22" hidden="1" x14ac:dyDescent="0.3">
      <c r="A31" s="62" t="s">
        <v>42</v>
      </c>
      <c r="B31" s="62">
        <v>5659</v>
      </c>
      <c r="C31" s="12" t="s">
        <v>52</v>
      </c>
      <c r="D31" s="53"/>
      <c r="E31" s="13"/>
      <c r="F31" s="13"/>
      <c r="G31" s="14"/>
      <c r="H31" s="15"/>
      <c r="I31" s="16">
        <f t="shared" si="4"/>
        <v>0</v>
      </c>
      <c r="J31" s="16"/>
      <c r="K31" s="11"/>
      <c r="L31" s="16"/>
      <c r="M31" s="16"/>
      <c r="N31" s="16"/>
      <c r="O31" s="16"/>
      <c r="P31" s="16"/>
      <c r="Q31" s="16"/>
      <c r="R31" s="35"/>
      <c r="S31" s="43"/>
      <c r="T31" s="46"/>
      <c r="U31" s="51">
        <f t="shared" si="2"/>
        <v>0</v>
      </c>
      <c r="V31" s="17" t="str">
        <f t="shared" si="3"/>
        <v>OK</v>
      </c>
    </row>
    <row r="32" spans="1:22" hidden="1" x14ac:dyDescent="0.3">
      <c r="A32" s="63" t="s">
        <v>27</v>
      </c>
      <c r="B32" s="63">
        <v>5655</v>
      </c>
      <c r="C32" s="18" t="s">
        <v>54</v>
      </c>
      <c r="D32" s="19"/>
      <c r="E32" s="19"/>
      <c r="F32" s="19"/>
      <c r="G32" s="20"/>
      <c r="H32" s="21"/>
      <c r="I32" s="22">
        <f t="shared" si="4"/>
        <v>0</v>
      </c>
      <c r="J32" s="22"/>
      <c r="K32" s="11"/>
      <c r="L32" s="22"/>
      <c r="M32" s="22"/>
      <c r="N32" s="22"/>
      <c r="O32" s="22"/>
      <c r="P32" s="22"/>
      <c r="Q32" s="22"/>
      <c r="R32" s="36"/>
      <c r="S32" s="44"/>
      <c r="T32" s="47"/>
      <c r="U32" s="52">
        <f t="shared" si="2"/>
        <v>0</v>
      </c>
      <c r="V32" s="23" t="str">
        <f t="shared" si="3"/>
        <v>OK</v>
      </c>
    </row>
    <row r="33" spans="1:22" hidden="1" x14ac:dyDescent="0.3">
      <c r="A33" s="62" t="s">
        <v>70</v>
      </c>
      <c r="B33" s="62">
        <v>5651</v>
      </c>
      <c r="C33" s="12" t="s">
        <v>55</v>
      </c>
      <c r="D33" s="53"/>
      <c r="E33" s="13"/>
      <c r="F33" s="13"/>
      <c r="G33" s="14"/>
      <c r="H33" s="15"/>
      <c r="I33" s="16">
        <f t="shared" si="4"/>
        <v>0</v>
      </c>
      <c r="J33" s="16"/>
      <c r="K33" s="11"/>
      <c r="L33" s="16"/>
      <c r="M33" s="16"/>
      <c r="N33" s="16"/>
      <c r="O33" s="16"/>
      <c r="P33" s="16"/>
      <c r="Q33" s="16"/>
      <c r="R33" s="35"/>
      <c r="S33" s="43"/>
      <c r="T33" s="46"/>
      <c r="U33" s="51">
        <f t="shared" si="2"/>
        <v>0</v>
      </c>
      <c r="V33" s="17" t="str">
        <f t="shared" si="3"/>
        <v>OK</v>
      </c>
    </row>
    <row r="34" spans="1:22" hidden="1" x14ac:dyDescent="0.3">
      <c r="A34" s="63" t="s">
        <v>71</v>
      </c>
      <c r="B34" s="63">
        <v>5643</v>
      </c>
      <c r="C34" s="18" t="s">
        <v>56</v>
      </c>
      <c r="D34" s="19"/>
      <c r="E34" s="19"/>
      <c r="F34" s="19"/>
      <c r="G34" s="20"/>
      <c r="H34" s="21"/>
      <c r="I34" s="22">
        <f t="shared" si="4"/>
        <v>0</v>
      </c>
      <c r="J34" s="22"/>
      <c r="K34" s="11"/>
      <c r="L34" s="22"/>
      <c r="M34" s="22"/>
      <c r="N34" s="22"/>
      <c r="O34" s="22"/>
      <c r="P34" s="22"/>
      <c r="Q34" s="22"/>
      <c r="R34" s="36"/>
      <c r="S34" s="44"/>
      <c r="T34" s="47"/>
      <c r="U34" s="52">
        <f t="shared" si="2"/>
        <v>0</v>
      </c>
      <c r="V34" s="23" t="str">
        <f t="shared" si="3"/>
        <v>OK</v>
      </c>
    </row>
    <row r="35" spans="1:22" hidden="1" x14ac:dyDescent="0.3">
      <c r="A35" s="62" t="s">
        <v>57</v>
      </c>
      <c r="B35" s="62">
        <v>11350</v>
      </c>
      <c r="C35" s="12" t="s">
        <v>56</v>
      </c>
      <c r="D35" s="53"/>
      <c r="E35" s="13"/>
      <c r="F35" s="13"/>
      <c r="G35" s="14"/>
      <c r="H35" s="15"/>
      <c r="I35" s="16">
        <f t="shared" si="4"/>
        <v>0</v>
      </c>
      <c r="J35" s="16"/>
      <c r="K35" s="11"/>
      <c r="L35" s="16"/>
      <c r="M35" s="16"/>
      <c r="N35" s="16"/>
      <c r="O35" s="16"/>
      <c r="P35" s="16"/>
      <c r="Q35" s="16"/>
      <c r="R35" s="35"/>
      <c r="S35" s="43"/>
      <c r="T35" s="46"/>
      <c r="U35" s="51">
        <f t="shared" si="2"/>
        <v>0</v>
      </c>
      <c r="V35" s="17" t="str">
        <f t="shared" si="3"/>
        <v>OK</v>
      </c>
    </row>
    <row r="36" spans="1:22" hidden="1" x14ac:dyDescent="0.3">
      <c r="A36" s="63" t="s">
        <v>72</v>
      </c>
      <c r="B36" s="63">
        <v>5635</v>
      </c>
      <c r="C36" s="18" t="s">
        <v>55</v>
      </c>
      <c r="D36" s="19"/>
      <c r="E36" s="19"/>
      <c r="F36" s="19"/>
      <c r="G36" s="20"/>
      <c r="H36" s="21"/>
      <c r="I36" s="22">
        <f t="shared" si="4"/>
        <v>0</v>
      </c>
      <c r="J36" s="22"/>
      <c r="K36" s="11"/>
      <c r="L36" s="22"/>
      <c r="M36" s="22"/>
      <c r="N36" s="22"/>
      <c r="O36" s="22"/>
      <c r="P36" s="22"/>
      <c r="Q36" s="22"/>
      <c r="R36" s="36"/>
      <c r="S36" s="44"/>
      <c r="T36" s="47"/>
      <c r="U36" s="52">
        <f t="shared" si="2"/>
        <v>0</v>
      </c>
      <c r="V36" s="23" t="str">
        <f t="shared" si="3"/>
        <v>OK</v>
      </c>
    </row>
    <row r="37" spans="1:22" hidden="1" x14ac:dyDescent="0.3">
      <c r="A37" s="62" t="s">
        <v>58</v>
      </c>
      <c r="B37" s="62">
        <v>11349</v>
      </c>
      <c r="C37" s="12" t="s">
        <v>55</v>
      </c>
      <c r="D37" s="53"/>
      <c r="E37" s="13"/>
      <c r="F37" s="13"/>
      <c r="G37" s="14"/>
      <c r="H37" s="15"/>
      <c r="I37" s="16">
        <f t="shared" si="4"/>
        <v>0</v>
      </c>
      <c r="J37" s="16"/>
      <c r="K37" s="11"/>
      <c r="L37" s="16"/>
      <c r="M37" s="16"/>
      <c r="N37" s="16"/>
      <c r="O37" s="16"/>
      <c r="P37" s="16"/>
      <c r="Q37" s="16"/>
      <c r="R37" s="35"/>
      <c r="S37" s="43"/>
      <c r="T37" s="46"/>
      <c r="U37" s="51">
        <f t="shared" ref="U37:U55" si="5">SUM(L37:T37)</f>
        <v>0</v>
      </c>
      <c r="V37" s="17" t="str">
        <f t="shared" si="3"/>
        <v>OK</v>
      </c>
    </row>
    <row r="38" spans="1:22" hidden="1" x14ac:dyDescent="0.3">
      <c r="A38" s="63" t="s">
        <v>73</v>
      </c>
      <c r="B38" s="63">
        <v>5627</v>
      </c>
      <c r="C38" s="18" t="s">
        <v>56</v>
      </c>
      <c r="D38" s="19"/>
      <c r="E38" s="19"/>
      <c r="F38" s="19"/>
      <c r="G38" s="20"/>
      <c r="H38" s="21"/>
      <c r="I38" s="22">
        <f t="shared" si="4"/>
        <v>0</v>
      </c>
      <c r="J38" s="22"/>
      <c r="K38" s="11"/>
      <c r="L38" s="22"/>
      <c r="M38" s="22"/>
      <c r="N38" s="22"/>
      <c r="O38" s="22"/>
      <c r="P38" s="22"/>
      <c r="Q38" s="22"/>
      <c r="R38" s="36"/>
      <c r="S38" s="44"/>
      <c r="T38" s="47"/>
      <c r="U38" s="52">
        <f t="shared" si="5"/>
        <v>0</v>
      </c>
      <c r="V38" s="23" t="str">
        <f t="shared" si="3"/>
        <v>OK</v>
      </c>
    </row>
    <row r="39" spans="1:22" hidden="1" x14ac:dyDescent="0.3">
      <c r="A39" s="62" t="s">
        <v>59</v>
      </c>
      <c r="B39" s="62">
        <v>11348</v>
      </c>
      <c r="C39" s="12" t="s">
        <v>56</v>
      </c>
      <c r="D39" s="53"/>
      <c r="E39" s="13"/>
      <c r="F39" s="13"/>
      <c r="G39" s="14"/>
      <c r="H39" s="15"/>
      <c r="I39" s="16">
        <f t="shared" si="4"/>
        <v>0</v>
      </c>
      <c r="J39" s="16"/>
      <c r="K39" s="11"/>
      <c r="L39" s="16"/>
      <c r="M39" s="16"/>
      <c r="N39" s="16"/>
      <c r="O39" s="16"/>
      <c r="P39" s="16"/>
      <c r="Q39" s="16"/>
      <c r="R39" s="35"/>
      <c r="S39" s="43"/>
      <c r="T39" s="46"/>
      <c r="U39" s="51">
        <f t="shared" si="5"/>
        <v>0</v>
      </c>
      <c r="V39" s="17" t="str">
        <f t="shared" si="3"/>
        <v>OK</v>
      </c>
    </row>
    <row r="40" spans="1:22" hidden="1" x14ac:dyDescent="0.3">
      <c r="A40" s="63" t="s">
        <v>74</v>
      </c>
      <c r="B40" s="63">
        <v>5619</v>
      </c>
      <c r="C40" s="18" t="s">
        <v>60</v>
      </c>
      <c r="D40" s="19"/>
      <c r="E40" s="19"/>
      <c r="F40" s="19"/>
      <c r="G40" s="20"/>
      <c r="H40" s="21"/>
      <c r="I40" s="22">
        <f t="shared" si="4"/>
        <v>0</v>
      </c>
      <c r="J40" s="22"/>
      <c r="K40" s="11"/>
      <c r="L40" s="22"/>
      <c r="M40" s="22"/>
      <c r="N40" s="22"/>
      <c r="O40" s="22"/>
      <c r="P40" s="22"/>
      <c r="Q40" s="22"/>
      <c r="R40" s="36"/>
      <c r="S40" s="44"/>
      <c r="T40" s="47"/>
      <c r="U40" s="52">
        <f t="shared" si="5"/>
        <v>0</v>
      </c>
      <c r="V40" s="23" t="str">
        <f t="shared" si="3"/>
        <v>OK</v>
      </c>
    </row>
    <row r="41" spans="1:22" hidden="1" x14ac:dyDescent="0.3">
      <c r="A41" s="64" t="s">
        <v>61</v>
      </c>
      <c r="B41" s="62">
        <v>11347</v>
      </c>
      <c r="C41" s="12" t="s">
        <v>60</v>
      </c>
      <c r="D41" s="53"/>
      <c r="E41" s="13"/>
      <c r="F41" s="13"/>
      <c r="G41" s="14"/>
      <c r="H41" s="15"/>
      <c r="I41" s="16">
        <f t="shared" si="4"/>
        <v>0</v>
      </c>
      <c r="J41" s="16"/>
      <c r="K41" s="11"/>
      <c r="L41" s="16"/>
      <c r="M41" s="16"/>
      <c r="N41" s="16"/>
      <c r="O41" s="16"/>
      <c r="P41" s="16"/>
      <c r="Q41" s="16"/>
      <c r="R41" s="35"/>
      <c r="S41" s="43"/>
      <c r="T41" s="46"/>
      <c r="U41" s="51">
        <f t="shared" si="5"/>
        <v>0</v>
      </c>
      <c r="V41" s="17" t="str">
        <f t="shared" si="3"/>
        <v>OK</v>
      </c>
    </row>
    <row r="42" spans="1:22" hidden="1" x14ac:dyDescent="0.3">
      <c r="A42" s="54" t="s">
        <v>75</v>
      </c>
      <c r="B42" s="63">
        <v>5611</v>
      </c>
      <c r="C42" s="18" t="s">
        <v>62</v>
      </c>
      <c r="D42" s="19"/>
      <c r="E42" s="19"/>
      <c r="F42" s="19"/>
      <c r="G42" s="20"/>
      <c r="H42" s="21"/>
      <c r="I42" s="22">
        <f t="shared" si="4"/>
        <v>0</v>
      </c>
      <c r="J42" s="22"/>
      <c r="K42" s="11"/>
      <c r="L42" s="22"/>
      <c r="M42" s="22"/>
      <c r="N42" s="22"/>
      <c r="O42" s="22"/>
      <c r="P42" s="22"/>
      <c r="Q42" s="22"/>
      <c r="R42" s="36"/>
      <c r="S42" s="44"/>
      <c r="T42" s="47"/>
      <c r="U42" s="52">
        <f t="shared" si="5"/>
        <v>0</v>
      </c>
      <c r="V42" s="23" t="str">
        <f t="shared" si="3"/>
        <v>OK</v>
      </c>
    </row>
    <row r="43" spans="1:22" hidden="1" x14ac:dyDescent="0.3">
      <c r="A43" s="12" t="s">
        <v>63</v>
      </c>
      <c r="B43" s="62">
        <v>11336</v>
      </c>
      <c r="C43" s="12" t="s">
        <v>62</v>
      </c>
      <c r="D43" s="53"/>
      <c r="E43" s="13"/>
      <c r="F43" s="13"/>
      <c r="G43" s="14"/>
      <c r="H43" s="15"/>
      <c r="I43" s="16">
        <f t="shared" si="4"/>
        <v>0</v>
      </c>
      <c r="J43" s="16"/>
      <c r="K43" s="11"/>
      <c r="L43" s="16"/>
      <c r="M43" s="16"/>
      <c r="N43" s="16"/>
      <c r="O43" s="16"/>
      <c r="P43" s="16"/>
      <c r="Q43" s="16"/>
      <c r="R43" s="35"/>
      <c r="S43" s="43"/>
      <c r="T43" s="46"/>
      <c r="U43" s="51">
        <f t="shared" si="5"/>
        <v>0</v>
      </c>
      <c r="V43" s="17" t="str">
        <f t="shared" si="3"/>
        <v>OK</v>
      </c>
    </row>
    <row r="44" spans="1:22" hidden="1" x14ac:dyDescent="0.3">
      <c r="A44" s="54" t="s">
        <v>100</v>
      </c>
      <c r="B44" s="63">
        <v>14860</v>
      </c>
      <c r="C44" s="18" t="s">
        <v>56</v>
      </c>
      <c r="D44" s="19"/>
      <c r="E44" s="19"/>
      <c r="F44" s="19"/>
      <c r="G44" s="20"/>
      <c r="H44" s="21"/>
      <c r="I44" s="22">
        <f t="shared" si="4"/>
        <v>0</v>
      </c>
      <c r="J44" s="22"/>
      <c r="K44" s="11"/>
      <c r="L44" s="22"/>
      <c r="M44" s="22"/>
      <c r="N44" s="22"/>
      <c r="O44" s="22"/>
      <c r="P44" s="22"/>
      <c r="Q44" s="22"/>
      <c r="R44" s="36"/>
      <c r="S44" s="44"/>
      <c r="T44" s="47"/>
      <c r="U44" s="52">
        <f t="shared" si="5"/>
        <v>0</v>
      </c>
      <c r="V44" s="23" t="str">
        <f t="shared" si="3"/>
        <v>OK</v>
      </c>
    </row>
    <row r="45" spans="1:22" hidden="1" x14ac:dyDescent="0.3">
      <c r="A45" s="64" t="s">
        <v>83</v>
      </c>
      <c r="B45" s="62">
        <v>14861</v>
      </c>
      <c r="C45" s="12" t="s">
        <v>56</v>
      </c>
      <c r="D45" s="53"/>
      <c r="E45" s="13"/>
      <c r="F45" s="13"/>
      <c r="G45" s="14"/>
      <c r="H45" s="15"/>
      <c r="I45" s="16">
        <f t="shared" si="4"/>
        <v>0</v>
      </c>
      <c r="J45" s="16"/>
      <c r="K45" s="11"/>
      <c r="L45" s="16"/>
      <c r="M45" s="16"/>
      <c r="N45" s="16"/>
      <c r="O45" s="16"/>
      <c r="P45" s="16"/>
      <c r="Q45" s="16"/>
      <c r="R45" s="35"/>
      <c r="S45" s="43"/>
      <c r="T45" s="46"/>
      <c r="U45" s="51">
        <f t="shared" si="5"/>
        <v>0</v>
      </c>
      <c r="V45" s="17" t="str">
        <f t="shared" si="3"/>
        <v>OK</v>
      </c>
    </row>
    <row r="46" spans="1:22" hidden="1" x14ac:dyDescent="0.3">
      <c r="A46" s="54" t="s">
        <v>101</v>
      </c>
      <c r="B46" s="63">
        <v>15096</v>
      </c>
      <c r="C46" s="18" t="s">
        <v>56</v>
      </c>
      <c r="D46" s="19"/>
      <c r="E46" s="19"/>
      <c r="F46" s="19"/>
      <c r="G46" s="20"/>
      <c r="H46" s="21"/>
      <c r="I46" s="22">
        <f t="shared" si="4"/>
        <v>0</v>
      </c>
      <c r="J46" s="22"/>
      <c r="K46" s="11"/>
      <c r="L46" s="22"/>
      <c r="M46" s="22"/>
      <c r="N46" s="22"/>
      <c r="O46" s="22"/>
      <c r="P46" s="22"/>
      <c r="Q46" s="22"/>
      <c r="R46" s="36"/>
      <c r="S46" s="44"/>
      <c r="T46" s="47"/>
      <c r="U46" s="52">
        <f t="shared" si="5"/>
        <v>0</v>
      </c>
      <c r="V46" s="23" t="str">
        <f t="shared" si="3"/>
        <v>OK</v>
      </c>
    </row>
    <row r="47" spans="1:22" hidden="1" x14ac:dyDescent="0.3">
      <c r="A47" s="12" t="s">
        <v>81</v>
      </c>
      <c r="B47" s="62">
        <v>15097</v>
      </c>
      <c r="C47" s="12" t="s">
        <v>56</v>
      </c>
      <c r="D47" s="53"/>
      <c r="E47" s="13"/>
      <c r="F47" s="13"/>
      <c r="G47" s="14"/>
      <c r="H47" s="15"/>
      <c r="I47" s="16">
        <f t="shared" si="4"/>
        <v>0</v>
      </c>
      <c r="J47" s="16"/>
      <c r="K47" s="11"/>
      <c r="L47" s="16"/>
      <c r="M47" s="16"/>
      <c r="N47" s="16"/>
      <c r="O47" s="16"/>
      <c r="P47" s="16"/>
      <c r="Q47" s="16"/>
      <c r="R47" s="35"/>
      <c r="S47" s="43"/>
      <c r="T47" s="46"/>
      <c r="U47" s="51">
        <f t="shared" si="5"/>
        <v>0</v>
      </c>
      <c r="V47" s="17" t="str">
        <f t="shared" si="3"/>
        <v>OK</v>
      </c>
    </row>
    <row r="48" spans="1:22" hidden="1" x14ac:dyDescent="0.3">
      <c r="A48" s="54" t="s">
        <v>76</v>
      </c>
      <c r="B48" s="63">
        <v>5585</v>
      </c>
      <c r="C48" s="18" t="s">
        <v>64</v>
      </c>
      <c r="D48" s="19"/>
      <c r="E48" s="19"/>
      <c r="F48" s="19"/>
      <c r="G48" s="20"/>
      <c r="H48" s="21"/>
      <c r="I48" s="22">
        <f t="shared" si="4"/>
        <v>0</v>
      </c>
      <c r="J48" s="22"/>
      <c r="K48" s="11"/>
      <c r="L48" s="22"/>
      <c r="M48" s="22"/>
      <c r="N48" s="22"/>
      <c r="O48" s="22"/>
      <c r="P48" s="22"/>
      <c r="Q48" s="22"/>
      <c r="R48" s="36"/>
      <c r="S48" s="44"/>
      <c r="T48" s="47"/>
      <c r="U48" s="52">
        <f t="shared" si="5"/>
        <v>0</v>
      </c>
      <c r="V48" s="23" t="str">
        <f t="shared" si="3"/>
        <v>OK</v>
      </c>
    </row>
    <row r="49" spans="1:22" hidden="1" x14ac:dyDescent="0.3">
      <c r="A49" s="12" t="s">
        <v>65</v>
      </c>
      <c r="B49" s="62">
        <v>11351</v>
      </c>
      <c r="C49" s="12" t="s">
        <v>64</v>
      </c>
      <c r="D49" s="53"/>
      <c r="E49" s="13"/>
      <c r="F49" s="13"/>
      <c r="G49" s="14"/>
      <c r="H49" s="15"/>
      <c r="I49" s="16">
        <f t="shared" si="4"/>
        <v>0</v>
      </c>
      <c r="J49" s="16"/>
      <c r="K49" s="11"/>
      <c r="L49" s="16"/>
      <c r="M49" s="16"/>
      <c r="N49" s="16"/>
      <c r="O49" s="16"/>
      <c r="P49" s="16"/>
      <c r="Q49" s="16"/>
      <c r="R49" s="35"/>
      <c r="S49" s="43"/>
      <c r="T49" s="46"/>
      <c r="U49" s="51">
        <f t="shared" si="5"/>
        <v>0</v>
      </c>
      <c r="V49" s="17" t="str">
        <f t="shared" si="3"/>
        <v>OK</v>
      </c>
    </row>
    <row r="50" spans="1:22" hidden="1" x14ac:dyDescent="0.3">
      <c r="A50" s="54" t="s">
        <v>66</v>
      </c>
      <c r="B50" s="63">
        <v>11352</v>
      </c>
      <c r="C50" s="18" t="s">
        <v>64</v>
      </c>
      <c r="D50" s="19"/>
      <c r="E50" s="19"/>
      <c r="F50" s="19"/>
      <c r="G50" s="20"/>
      <c r="H50" s="21"/>
      <c r="I50" s="22">
        <f t="shared" si="4"/>
        <v>0</v>
      </c>
      <c r="J50" s="22"/>
      <c r="K50" s="11"/>
      <c r="L50" s="22"/>
      <c r="M50" s="22"/>
      <c r="N50" s="22"/>
      <c r="O50" s="22"/>
      <c r="P50" s="22"/>
      <c r="Q50" s="22"/>
      <c r="R50" s="36"/>
      <c r="S50" s="44"/>
      <c r="T50" s="47"/>
      <c r="U50" s="52">
        <f t="shared" si="5"/>
        <v>0</v>
      </c>
      <c r="V50" s="23" t="str">
        <f t="shared" si="3"/>
        <v>OK</v>
      </c>
    </row>
    <row r="51" spans="1:22" hidden="1" x14ac:dyDescent="0.3">
      <c r="A51" s="90" t="s">
        <v>102</v>
      </c>
      <c r="B51" s="76">
        <v>13515</v>
      </c>
      <c r="C51" s="70" t="s">
        <v>78</v>
      </c>
      <c r="D51" s="70"/>
      <c r="E51" s="70"/>
      <c r="F51" s="70"/>
      <c r="G51" s="91"/>
      <c r="H51" s="82"/>
      <c r="I51" s="82">
        <f t="shared" si="4"/>
        <v>0</v>
      </c>
      <c r="J51" s="74"/>
      <c r="K51" s="11"/>
      <c r="L51" s="16"/>
      <c r="M51" s="16"/>
      <c r="N51" s="16"/>
      <c r="O51" s="16"/>
      <c r="P51" s="16"/>
      <c r="Q51" s="16"/>
      <c r="R51" s="35"/>
      <c r="S51" s="43"/>
      <c r="T51" s="46"/>
      <c r="U51" s="75">
        <f t="shared" si="5"/>
        <v>0</v>
      </c>
      <c r="V51" s="93" t="str">
        <f t="shared" si="3"/>
        <v>OK</v>
      </c>
    </row>
    <row r="52" spans="1:22" hidden="1" x14ac:dyDescent="0.3">
      <c r="A52" s="54" t="s">
        <v>103</v>
      </c>
      <c r="B52" s="63">
        <v>13516</v>
      </c>
      <c r="C52" s="18" t="s">
        <v>78</v>
      </c>
      <c r="D52" s="18"/>
      <c r="E52" s="18"/>
      <c r="F52" s="18"/>
      <c r="G52" s="92"/>
      <c r="H52" s="22"/>
      <c r="I52" s="22">
        <f t="shared" si="4"/>
        <v>0</v>
      </c>
      <c r="J52" s="69"/>
      <c r="K52" s="11"/>
      <c r="L52" s="22"/>
      <c r="M52" s="22"/>
      <c r="N52" s="22"/>
      <c r="O52" s="22"/>
      <c r="P52" s="22"/>
      <c r="Q52" s="22"/>
      <c r="R52" s="36"/>
      <c r="S52" s="44"/>
      <c r="T52" s="47"/>
      <c r="U52" s="52">
        <f t="shared" si="5"/>
        <v>0</v>
      </c>
      <c r="V52" s="23" t="str">
        <f t="shared" si="3"/>
        <v>OK</v>
      </c>
    </row>
    <row r="53" spans="1:22" hidden="1" x14ac:dyDescent="0.3">
      <c r="A53" s="90" t="s">
        <v>104</v>
      </c>
      <c r="B53" s="76">
        <v>13468</v>
      </c>
      <c r="C53" s="70" t="s">
        <v>78</v>
      </c>
      <c r="D53" s="70"/>
      <c r="E53" s="70"/>
      <c r="F53" s="70"/>
      <c r="G53" s="91"/>
      <c r="H53" s="82"/>
      <c r="I53" s="82">
        <f t="shared" si="4"/>
        <v>0</v>
      </c>
      <c r="J53" s="74"/>
      <c r="K53" s="11"/>
      <c r="L53" s="16"/>
      <c r="M53" s="16"/>
      <c r="N53" s="16"/>
      <c r="O53" s="16"/>
      <c r="P53" s="16"/>
      <c r="Q53" s="16"/>
      <c r="R53" s="35"/>
      <c r="S53" s="43"/>
      <c r="T53" s="46"/>
      <c r="U53" s="75">
        <f t="shared" si="5"/>
        <v>0</v>
      </c>
      <c r="V53" s="93" t="str">
        <f t="shared" si="3"/>
        <v>OK</v>
      </c>
    </row>
    <row r="54" spans="1:22" hidden="1" x14ac:dyDescent="0.3">
      <c r="A54" s="54" t="s">
        <v>79</v>
      </c>
      <c r="B54" s="63">
        <v>13469</v>
      </c>
      <c r="C54" s="18" t="s">
        <v>78</v>
      </c>
      <c r="D54" s="18"/>
      <c r="E54" s="18"/>
      <c r="F54" s="18"/>
      <c r="G54" s="92"/>
      <c r="H54" s="22"/>
      <c r="I54" s="22">
        <f t="shared" si="4"/>
        <v>0</v>
      </c>
      <c r="J54" s="69"/>
      <c r="K54" s="11"/>
      <c r="L54" s="22"/>
      <c r="M54" s="22"/>
      <c r="N54" s="22"/>
      <c r="O54" s="22"/>
      <c r="P54" s="22"/>
      <c r="Q54" s="22"/>
      <c r="R54" s="36"/>
      <c r="S54" s="44"/>
      <c r="T54" s="47"/>
      <c r="U54" s="52">
        <f t="shared" si="5"/>
        <v>0</v>
      </c>
      <c r="V54" s="23" t="str">
        <f t="shared" si="3"/>
        <v>OK</v>
      </c>
    </row>
    <row r="55" spans="1:22" hidden="1" x14ac:dyDescent="0.3">
      <c r="A55" s="90" t="s">
        <v>43</v>
      </c>
      <c r="B55" s="76">
        <v>11820</v>
      </c>
      <c r="C55" s="70" t="s">
        <v>67</v>
      </c>
      <c r="D55" s="70"/>
      <c r="E55" s="70"/>
      <c r="F55" s="70"/>
      <c r="G55" s="91"/>
      <c r="H55" s="82"/>
      <c r="I55" s="82">
        <f t="shared" si="4"/>
        <v>0</v>
      </c>
      <c r="J55" s="74"/>
      <c r="K55" s="11"/>
      <c r="L55" s="16"/>
      <c r="M55" s="16"/>
      <c r="N55" s="16"/>
      <c r="O55" s="16"/>
      <c r="P55" s="16"/>
      <c r="Q55" s="16"/>
      <c r="R55" s="35"/>
      <c r="S55" s="43"/>
      <c r="T55" s="46"/>
      <c r="U55" s="75">
        <f t="shared" si="5"/>
        <v>0</v>
      </c>
      <c r="V55" s="93" t="str">
        <f t="shared" si="3"/>
        <v>OK</v>
      </c>
    </row>
    <row r="56" spans="1:22" hidden="1" x14ac:dyDescent="0.3">
      <c r="A56" s="54" t="s">
        <v>44</v>
      </c>
      <c r="B56" s="63">
        <v>11816</v>
      </c>
      <c r="C56" s="18" t="s">
        <v>67</v>
      </c>
      <c r="D56" s="18"/>
      <c r="E56" s="18"/>
      <c r="F56" s="18"/>
      <c r="G56" s="92"/>
      <c r="H56" s="22"/>
      <c r="I56" s="22">
        <f t="shared" si="4"/>
        <v>0</v>
      </c>
      <c r="J56" s="69"/>
      <c r="K56" s="11"/>
      <c r="L56" s="22"/>
      <c r="M56" s="22"/>
      <c r="N56" s="22"/>
      <c r="O56" s="22"/>
      <c r="P56" s="22"/>
      <c r="Q56" s="22"/>
      <c r="R56" s="36"/>
      <c r="S56" s="44"/>
      <c r="T56" s="47"/>
      <c r="U56" s="52">
        <f>SUM(L56:T56)</f>
        <v>0</v>
      </c>
      <c r="V56" s="23" t="str">
        <f t="shared" si="3"/>
        <v>OK</v>
      </c>
    </row>
    <row r="57" spans="1:22" hidden="1" x14ac:dyDescent="0.3">
      <c r="A57" s="76" t="s">
        <v>77</v>
      </c>
      <c r="B57" s="76">
        <v>11381</v>
      </c>
      <c r="C57" s="77" t="s">
        <v>68</v>
      </c>
      <c r="D57" s="70"/>
      <c r="E57" s="70"/>
      <c r="F57" s="70"/>
      <c r="G57" s="91"/>
      <c r="H57" s="82"/>
      <c r="I57" s="82">
        <f t="shared" si="4"/>
        <v>0</v>
      </c>
      <c r="J57" s="74"/>
      <c r="K57" s="11"/>
      <c r="L57" s="16"/>
      <c r="M57" s="16"/>
      <c r="N57" s="16"/>
      <c r="O57" s="16"/>
      <c r="P57" s="16"/>
      <c r="Q57" s="16"/>
      <c r="R57" s="35"/>
      <c r="S57" s="43"/>
      <c r="T57" s="46"/>
      <c r="U57" s="75">
        <f>SUM(L57:T57)</f>
        <v>0</v>
      </c>
      <c r="V57" s="93" t="str">
        <f t="shared" si="3"/>
        <v>OK</v>
      </c>
    </row>
    <row r="58" spans="1:22" hidden="1" x14ac:dyDescent="0.3">
      <c r="A58" s="54" t="s">
        <v>69</v>
      </c>
      <c r="B58" s="63">
        <v>11382</v>
      </c>
      <c r="C58" s="18" t="s">
        <v>68</v>
      </c>
      <c r="D58" s="18"/>
      <c r="E58" s="18"/>
      <c r="F58" s="18"/>
      <c r="G58" s="92"/>
      <c r="H58" s="22"/>
      <c r="I58" s="22">
        <f t="shared" si="4"/>
        <v>0</v>
      </c>
      <c r="J58" s="69"/>
      <c r="K58" s="11"/>
      <c r="L58" s="22"/>
      <c r="M58" s="22"/>
      <c r="N58" s="22"/>
      <c r="O58" s="22"/>
      <c r="P58" s="22"/>
      <c r="Q58" s="22"/>
      <c r="R58" s="36"/>
      <c r="S58" s="44"/>
      <c r="T58" s="47"/>
      <c r="U58" s="52">
        <f>SUM(L58:T58)</f>
        <v>0</v>
      </c>
      <c r="V58" s="23" t="str">
        <f t="shared" si="3"/>
        <v>OK</v>
      </c>
    </row>
    <row r="59" spans="1:22" hidden="1" x14ac:dyDescent="0.3">
      <c r="A59" s="96" t="s">
        <v>105</v>
      </c>
      <c r="B59" s="76">
        <v>16586</v>
      </c>
      <c r="C59" s="70" t="s">
        <v>78</v>
      </c>
      <c r="D59" s="70"/>
      <c r="E59" s="70"/>
      <c r="F59" s="70"/>
      <c r="G59" s="91"/>
      <c r="H59" s="82"/>
      <c r="I59" s="82">
        <f t="shared" si="4"/>
        <v>0</v>
      </c>
      <c r="J59" s="74"/>
      <c r="K59" s="11"/>
      <c r="L59" s="16"/>
      <c r="M59" s="16"/>
      <c r="N59" s="16"/>
      <c r="O59" s="16"/>
      <c r="P59" s="16"/>
      <c r="Q59" s="16"/>
      <c r="R59" s="35"/>
      <c r="S59" s="43"/>
      <c r="T59" s="46"/>
      <c r="U59" s="75">
        <f t="shared" ref="U59:U69" si="6">SUM(L59:T59)</f>
        <v>0</v>
      </c>
      <c r="V59" s="93" t="str">
        <f t="shared" si="3"/>
        <v>OK</v>
      </c>
    </row>
    <row r="60" spans="1:22" hidden="1" x14ac:dyDescent="0.3">
      <c r="A60" s="54" t="s">
        <v>90</v>
      </c>
      <c r="B60" s="63">
        <v>16587</v>
      </c>
      <c r="C60" s="18" t="s">
        <v>78</v>
      </c>
      <c r="D60" s="18"/>
      <c r="E60" s="18"/>
      <c r="F60" s="18"/>
      <c r="G60" s="92"/>
      <c r="H60" s="22"/>
      <c r="I60" s="22">
        <f t="shared" si="4"/>
        <v>0</v>
      </c>
      <c r="J60" s="69"/>
      <c r="K60" s="11"/>
      <c r="L60" s="22"/>
      <c r="M60" s="22"/>
      <c r="N60" s="22"/>
      <c r="O60" s="22"/>
      <c r="P60" s="22"/>
      <c r="Q60" s="22"/>
      <c r="R60" s="36"/>
      <c r="S60" s="44"/>
      <c r="T60" s="47"/>
      <c r="U60" s="52">
        <f t="shared" si="6"/>
        <v>0</v>
      </c>
      <c r="V60" s="23" t="str">
        <f t="shared" si="3"/>
        <v>OK</v>
      </c>
    </row>
    <row r="61" spans="1:22" hidden="1" x14ac:dyDescent="0.3">
      <c r="A61" s="90" t="s">
        <v>91</v>
      </c>
      <c r="B61" s="76">
        <v>17121</v>
      </c>
      <c r="C61" s="70" t="s">
        <v>92</v>
      </c>
      <c r="D61" s="70"/>
      <c r="E61" s="70"/>
      <c r="F61" s="70"/>
      <c r="G61" s="91"/>
      <c r="H61" s="82"/>
      <c r="I61" s="82">
        <f t="shared" si="4"/>
        <v>0</v>
      </c>
      <c r="J61" s="74"/>
      <c r="K61" s="11"/>
      <c r="L61" s="16"/>
      <c r="M61" s="16"/>
      <c r="N61" s="16"/>
      <c r="O61" s="16"/>
      <c r="P61" s="16"/>
      <c r="Q61" s="16"/>
      <c r="R61" s="35"/>
      <c r="S61" s="43"/>
      <c r="T61" s="46"/>
      <c r="U61" s="75">
        <f t="shared" si="6"/>
        <v>0</v>
      </c>
      <c r="V61" s="93" t="str">
        <f t="shared" si="3"/>
        <v>OK</v>
      </c>
    </row>
    <row r="62" spans="1:22" x14ac:dyDescent="0.3">
      <c r="A62" s="54" t="s">
        <v>106</v>
      </c>
      <c r="B62" s="63">
        <v>19270</v>
      </c>
      <c r="C62" s="18" t="s">
        <v>68</v>
      </c>
      <c r="D62" s="18"/>
      <c r="E62" s="18"/>
      <c r="F62" s="18"/>
      <c r="G62" s="92"/>
      <c r="H62" s="22"/>
      <c r="I62" s="22">
        <f t="shared" si="4"/>
        <v>0</v>
      </c>
      <c r="J62" s="69"/>
      <c r="K62" s="11"/>
      <c r="L62" s="22"/>
      <c r="M62" s="22"/>
      <c r="N62" s="22"/>
      <c r="O62" s="22"/>
      <c r="P62" s="22"/>
      <c r="Q62" s="22"/>
      <c r="R62" s="36"/>
      <c r="S62" s="44"/>
      <c r="T62" s="47"/>
      <c r="U62" s="71">
        <f t="shared" si="6"/>
        <v>0</v>
      </c>
      <c r="V62" s="23" t="str">
        <f t="shared" si="3"/>
        <v>OK</v>
      </c>
    </row>
    <row r="63" spans="1:22" x14ac:dyDescent="0.3">
      <c r="A63" s="90" t="s">
        <v>107</v>
      </c>
      <c r="B63" s="76">
        <v>19276</v>
      </c>
      <c r="C63" s="70" t="s">
        <v>68</v>
      </c>
      <c r="D63" s="70"/>
      <c r="E63" s="70"/>
      <c r="F63" s="70"/>
      <c r="G63" s="91"/>
      <c r="H63" s="82"/>
      <c r="I63" s="82">
        <f t="shared" si="4"/>
        <v>0</v>
      </c>
      <c r="J63" s="74"/>
      <c r="K63" s="11"/>
      <c r="L63" s="16"/>
      <c r="M63" s="16"/>
      <c r="N63" s="16"/>
      <c r="O63" s="16"/>
      <c r="P63" s="16"/>
      <c r="Q63" s="16"/>
      <c r="R63" s="35"/>
      <c r="S63" s="43"/>
      <c r="T63" s="46"/>
      <c r="U63" s="75">
        <f t="shared" si="6"/>
        <v>0</v>
      </c>
      <c r="V63" s="93" t="str">
        <f t="shared" si="3"/>
        <v>OK</v>
      </c>
    </row>
    <row r="64" spans="1:22" hidden="1" x14ac:dyDescent="0.3">
      <c r="A64" s="54" t="s">
        <v>108</v>
      </c>
      <c r="B64" s="63">
        <v>19836</v>
      </c>
      <c r="C64" s="18" t="s">
        <v>45</v>
      </c>
      <c r="D64" s="18"/>
      <c r="E64" s="18"/>
      <c r="F64" s="18"/>
      <c r="G64" s="92"/>
      <c r="H64" s="22"/>
      <c r="I64" s="22">
        <f t="shared" si="4"/>
        <v>0</v>
      </c>
      <c r="J64" s="69"/>
      <c r="K64" s="11"/>
      <c r="L64" s="22"/>
      <c r="M64" s="22"/>
      <c r="N64" s="22"/>
      <c r="O64" s="22"/>
      <c r="P64" s="22"/>
      <c r="Q64" s="22"/>
      <c r="R64" s="36"/>
      <c r="S64" s="44"/>
      <c r="T64" s="47"/>
      <c r="U64" s="52">
        <f t="shared" si="6"/>
        <v>0</v>
      </c>
      <c r="V64" s="23" t="str">
        <f t="shared" si="3"/>
        <v>OK</v>
      </c>
    </row>
    <row r="65" spans="1:22" ht="17.25" thickBot="1" x14ac:dyDescent="0.35">
      <c r="A65" s="90" t="s">
        <v>109</v>
      </c>
      <c r="B65" s="76">
        <v>20278</v>
      </c>
      <c r="C65" s="70" t="s">
        <v>110</v>
      </c>
      <c r="D65" s="70"/>
      <c r="E65" s="70"/>
      <c r="F65" s="70"/>
      <c r="G65" s="91"/>
      <c r="H65" s="82"/>
      <c r="I65" s="82">
        <f t="shared" si="4"/>
        <v>0</v>
      </c>
      <c r="J65" s="74"/>
      <c r="K65" s="11"/>
      <c r="L65" s="16"/>
      <c r="M65" s="16"/>
      <c r="N65" s="16"/>
      <c r="O65" s="16"/>
      <c r="P65" s="16"/>
      <c r="Q65" s="16"/>
      <c r="R65" s="35"/>
      <c r="S65" s="43"/>
      <c r="T65" s="46"/>
      <c r="U65" s="75">
        <f t="shared" si="6"/>
        <v>0</v>
      </c>
      <c r="V65" s="93" t="str">
        <f t="shared" si="3"/>
        <v>OK</v>
      </c>
    </row>
    <row r="66" spans="1:22" ht="17.25" hidden="1" thickBot="1" x14ac:dyDescent="0.35">
      <c r="A66" s="54" t="s">
        <v>111</v>
      </c>
      <c r="B66" s="63">
        <v>20272</v>
      </c>
      <c r="C66" s="18" t="s">
        <v>110</v>
      </c>
      <c r="D66" s="18"/>
      <c r="E66" s="18"/>
      <c r="F66" s="18"/>
      <c r="G66" s="92"/>
      <c r="H66" s="22"/>
      <c r="I66" s="22">
        <f t="shared" si="4"/>
        <v>0</v>
      </c>
      <c r="J66" s="69"/>
      <c r="K66" s="11"/>
      <c r="L66" s="22"/>
      <c r="M66" s="22"/>
      <c r="N66" s="22"/>
      <c r="O66" s="22"/>
      <c r="P66" s="22"/>
      <c r="Q66" s="22"/>
      <c r="R66" s="36"/>
      <c r="S66" s="44"/>
      <c r="T66" s="47"/>
      <c r="U66" s="52">
        <f t="shared" si="6"/>
        <v>0</v>
      </c>
      <c r="V66" s="23" t="str">
        <f t="shared" si="3"/>
        <v>OK</v>
      </c>
    </row>
    <row r="67" spans="1:22" ht="17.25" hidden="1" thickBot="1" x14ac:dyDescent="0.35">
      <c r="A67" s="90" t="s">
        <v>112</v>
      </c>
      <c r="B67" s="76">
        <v>20956</v>
      </c>
      <c r="C67" s="70" t="s">
        <v>110</v>
      </c>
      <c r="D67" s="70"/>
      <c r="E67" s="70"/>
      <c r="F67" s="70"/>
      <c r="G67" s="91"/>
      <c r="H67" s="82"/>
      <c r="I67" s="82">
        <f t="shared" si="4"/>
        <v>0</v>
      </c>
      <c r="J67" s="74"/>
      <c r="K67" s="11"/>
      <c r="L67" s="16"/>
      <c r="M67" s="16"/>
      <c r="N67" s="16"/>
      <c r="O67" s="16"/>
      <c r="P67" s="16"/>
      <c r="Q67" s="16"/>
      <c r="R67" s="35"/>
      <c r="S67" s="43"/>
      <c r="T67" s="46"/>
      <c r="U67" s="75">
        <f t="shared" si="6"/>
        <v>0</v>
      </c>
      <c r="V67" s="93" t="str">
        <f t="shared" si="3"/>
        <v>OK</v>
      </c>
    </row>
    <row r="68" spans="1:22" ht="17.25" hidden="1" thickBot="1" x14ac:dyDescent="0.35">
      <c r="A68" s="54" t="s">
        <v>116</v>
      </c>
      <c r="B68" s="63">
        <v>21299</v>
      </c>
      <c r="C68" s="18" t="s">
        <v>78</v>
      </c>
      <c r="D68" s="18"/>
      <c r="E68" s="18"/>
      <c r="F68" s="18"/>
      <c r="G68" s="92"/>
      <c r="H68" s="22"/>
      <c r="I68" s="22">
        <f t="shared" si="4"/>
        <v>0</v>
      </c>
      <c r="J68" s="69"/>
      <c r="K68" s="11"/>
      <c r="L68" s="22"/>
      <c r="M68" s="22"/>
      <c r="N68" s="22"/>
      <c r="O68" s="22"/>
      <c r="P68" s="22"/>
      <c r="Q68" s="22"/>
      <c r="R68" s="36"/>
      <c r="S68" s="44"/>
      <c r="T68" s="47"/>
      <c r="U68" s="71">
        <f t="shared" si="6"/>
        <v>0</v>
      </c>
      <c r="V68" s="23" t="str">
        <f>IF(U68=I68,"OK","NG")</f>
        <v>OK</v>
      </c>
    </row>
    <row r="69" spans="1:22" ht="17.25" hidden="1" thickBot="1" x14ac:dyDescent="0.35">
      <c r="A69" s="99" t="s">
        <v>117</v>
      </c>
      <c r="B69" s="76">
        <v>22115</v>
      </c>
      <c r="C69" s="82" t="s">
        <v>118</v>
      </c>
      <c r="D69" s="82"/>
      <c r="E69" s="82"/>
      <c r="F69" s="82"/>
      <c r="G69" s="82"/>
      <c r="H69" s="82"/>
      <c r="I69" s="82">
        <f t="shared" si="4"/>
        <v>0</v>
      </c>
      <c r="J69" s="97"/>
      <c r="K69" s="112"/>
      <c r="L69" s="82"/>
      <c r="M69" s="82"/>
      <c r="N69" s="82"/>
      <c r="O69" s="82"/>
      <c r="P69" s="82"/>
      <c r="Q69" s="82"/>
      <c r="R69" s="83"/>
      <c r="S69" s="84"/>
      <c r="T69" s="100"/>
      <c r="U69" s="75">
        <f t="shared" si="6"/>
        <v>0</v>
      </c>
      <c r="V69" s="93" t="str">
        <f>IF(U69=I69,"OK","NG")</f>
        <v>OK</v>
      </c>
    </row>
    <row r="70" spans="1:22" ht="17.25" hidden="1" thickBot="1" x14ac:dyDescent="0.35">
      <c r="A70" s="54" t="s">
        <v>120</v>
      </c>
      <c r="B70" s="63">
        <v>22706</v>
      </c>
      <c r="C70" s="18" t="s">
        <v>119</v>
      </c>
      <c r="D70" s="18"/>
      <c r="E70" s="18"/>
      <c r="F70" s="18"/>
      <c r="G70" s="92"/>
      <c r="H70" s="22"/>
      <c r="I70" s="22">
        <f t="shared" si="4"/>
        <v>0</v>
      </c>
      <c r="J70" s="69"/>
      <c r="K70" s="11"/>
      <c r="L70" s="22"/>
      <c r="M70" s="22"/>
      <c r="N70" s="22"/>
      <c r="O70" s="22"/>
      <c r="P70" s="22"/>
      <c r="Q70" s="22"/>
      <c r="R70" s="36"/>
      <c r="S70" s="44"/>
      <c r="T70" s="47"/>
      <c r="U70" s="71">
        <f t="shared" ref="U70" si="7">SUM(L70:T70)</f>
        <v>0</v>
      </c>
      <c r="V70" s="23" t="str">
        <f>IF(U70=I70,"OK","NG")</f>
        <v>OK</v>
      </c>
    </row>
    <row r="71" spans="1:22" ht="17.25" hidden="1" thickBot="1" x14ac:dyDescent="0.35">
      <c r="A71" s="99" t="s">
        <v>121</v>
      </c>
      <c r="B71" s="76">
        <v>22886</v>
      </c>
      <c r="C71" s="82" t="s">
        <v>46</v>
      </c>
      <c r="D71" s="82"/>
      <c r="E71" s="82"/>
      <c r="F71" s="82"/>
      <c r="G71" s="82"/>
      <c r="H71" s="82"/>
      <c r="I71" s="82">
        <f t="shared" ref="I71:I80" si="8">SUM(L71:T71)</f>
        <v>0</v>
      </c>
      <c r="J71" s="97"/>
      <c r="K71" s="112"/>
      <c r="L71" s="82"/>
      <c r="M71" s="82"/>
      <c r="N71" s="82"/>
      <c r="O71" s="82"/>
      <c r="P71" s="82"/>
      <c r="Q71" s="82"/>
      <c r="R71" s="83"/>
      <c r="S71" s="84"/>
      <c r="T71" s="100"/>
      <c r="U71" s="75">
        <f>SUM(L71:T71)</f>
        <v>0</v>
      </c>
      <c r="V71" s="93" t="str">
        <f>IF(U71=I71,"OK","NG")</f>
        <v>OK</v>
      </c>
    </row>
    <row r="72" spans="1:22" ht="17.25" hidden="1" thickBot="1" x14ac:dyDescent="0.35">
      <c r="A72" s="54" t="s">
        <v>122</v>
      </c>
      <c r="B72" s="63">
        <v>17528</v>
      </c>
      <c r="C72" s="18" t="s">
        <v>123</v>
      </c>
      <c r="D72" s="18"/>
      <c r="E72" s="18"/>
      <c r="F72" s="18"/>
      <c r="G72" s="92"/>
      <c r="H72" s="22"/>
      <c r="I72" s="22">
        <f t="shared" si="8"/>
        <v>0</v>
      </c>
      <c r="J72" s="69"/>
      <c r="K72" s="11"/>
      <c r="L72" s="22"/>
      <c r="M72" s="22"/>
      <c r="N72" s="22"/>
      <c r="O72" s="22"/>
      <c r="P72" s="22"/>
      <c r="Q72" s="22"/>
      <c r="R72" s="36"/>
      <c r="S72" s="44"/>
      <c r="T72" s="47"/>
      <c r="U72" s="71">
        <f t="shared" ref="U72:U80" si="9">SUM(L72:T72)</f>
        <v>0</v>
      </c>
      <c r="V72" s="95" t="str">
        <f t="shared" ref="V72:V80" si="10">IF(U72=I72,"OK","NG")</f>
        <v>OK</v>
      </c>
    </row>
    <row r="73" spans="1:22" ht="17.25" hidden="1" thickBot="1" x14ac:dyDescent="0.35">
      <c r="A73" s="99" t="s">
        <v>124</v>
      </c>
      <c r="B73" s="76">
        <v>22380</v>
      </c>
      <c r="C73" s="82" t="s">
        <v>47</v>
      </c>
      <c r="D73" s="82"/>
      <c r="E73" s="82"/>
      <c r="F73" s="82"/>
      <c r="G73" s="82"/>
      <c r="H73" s="82"/>
      <c r="I73" s="82">
        <f t="shared" si="8"/>
        <v>0</v>
      </c>
      <c r="J73" s="97"/>
      <c r="K73" s="112"/>
      <c r="L73" s="82"/>
      <c r="M73" s="82"/>
      <c r="N73" s="82"/>
      <c r="O73" s="82"/>
      <c r="P73" s="82"/>
      <c r="Q73" s="82"/>
      <c r="R73" s="83"/>
      <c r="S73" s="84"/>
      <c r="T73" s="100"/>
      <c r="U73" s="75">
        <f t="shared" si="9"/>
        <v>0</v>
      </c>
      <c r="V73" s="93" t="str">
        <f t="shared" si="10"/>
        <v>OK</v>
      </c>
    </row>
    <row r="74" spans="1:22" ht="17.25" hidden="1" thickBot="1" x14ac:dyDescent="0.35">
      <c r="A74" s="54" t="s">
        <v>125</v>
      </c>
      <c r="B74" s="63">
        <v>19279</v>
      </c>
      <c r="C74" s="18" t="s">
        <v>126</v>
      </c>
      <c r="D74" s="18"/>
      <c r="E74" s="18"/>
      <c r="F74" s="18"/>
      <c r="G74" s="92"/>
      <c r="H74" s="22"/>
      <c r="I74" s="22">
        <f t="shared" si="8"/>
        <v>0</v>
      </c>
      <c r="J74" s="69"/>
      <c r="K74" s="11"/>
      <c r="L74" s="22"/>
      <c r="M74" s="22"/>
      <c r="N74" s="22"/>
      <c r="O74" s="22"/>
      <c r="P74" s="22"/>
      <c r="Q74" s="22"/>
      <c r="R74" s="36"/>
      <c r="S74" s="44"/>
      <c r="T74" s="47"/>
      <c r="U74" s="71">
        <f t="shared" si="9"/>
        <v>0</v>
      </c>
      <c r="V74" s="95" t="str">
        <f t="shared" si="10"/>
        <v>OK</v>
      </c>
    </row>
    <row r="75" spans="1:22" ht="17.25" hidden="1" thickBot="1" x14ac:dyDescent="0.35">
      <c r="A75" s="90" t="s">
        <v>131</v>
      </c>
      <c r="B75" s="76">
        <v>22724</v>
      </c>
      <c r="C75" s="70" t="s">
        <v>119</v>
      </c>
      <c r="D75" s="70"/>
      <c r="E75" s="70"/>
      <c r="F75" s="70"/>
      <c r="G75" s="91"/>
      <c r="H75" s="82"/>
      <c r="I75" s="82">
        <v>0</v>
      </c>
      <c r="J75" s="74"/>
      <c r="K75" s="11"/>
      <c r="L75" s="82"/>
      <c r="M75" s="82"/>
      <c r="N75" s="82"/>
      <c r="O75" s="82"/>
      <c r="P75" s="82"/>
      <c r="Q75" s="82"/>
      <c r="R75" s="83"/>
      <c r="S75" s="84"/>
      <c r="T75" s="85"/>
      <c r="U75" s="75">
        <v>0</v>
      </c>
      <c r="V75" s="93" t="s">
        <v>129</v>
      </c>
    </row>
    <row r="76" spans="1:22" ht="17.25" hidden="1" thickBot="1" x14ac:dyDescent="0.35">
      <c r="A76" s="54" t="s">
        <v>132</v>
      </c>
      <c r="B76" s="63">
        <v>22705</v>
      </c>
      <c r="C76" s="18" t="s">
        <v>119</v>
      </c>
      <c r="D76" s="18"/>
      <c r="E76" s="18"/>
      <c r="F76" s="18"/>
      <c r="G76" s="92"/>
      <c r="H76" s="22"/>
      <c r="I76" s="22">
        <f t="shared" si="8"/>
        <v>0</v>
      </c>
      <c r="J76" s="69"/>
      <c r="K76" s="11"/>
      <c r="L76" s="22"/>
      <c r="M76" s="22"/>
      <c r="N76" s="22"/>
      <c r="O76" s="22"/>
      <c r="P76" s="22"/>
      <c r="Q76" s="22"/>
      <c r="R76" s="36"/>
      <c r="S76" s="44"/>
      <c r="T76" s="47"/>
      <c r="U76" s="71">
        <f t="shared" si="9"/>
        <v>0</v>
      </c>
      <c r="V76" s="95" t="str">
        <f t="shared" si="10"/>
        <v>OK</v>
      </c>
    </row>
    <row r="77" spans="1:22" ht="17.25" hidden="1" thickBot="1" x14ac:dyDescent="0.35">
      <c r="A77" s="90" t="s">
        <v>27</v>
      </c>
      <c r="B77" s="76">
        <v>5655</v>
      </c>
      <c r="C77" s="70" t="s">
        <v>54</v>
      </c>
      <c r="D77" s="70"/>
      <c r="E77" s="70"/>
      <c r="F77" s="70"/>
      <c r="G77" s="91"/>
      <c r="H77" s="82"/>
      <c r="I77" s="82">
        <v>0</v>
      </c>
      <c r="J77" s="74"/>
      <c r="K77" s="11"/>
      <c r="L77" s="82"/>
      <c r="M77" s="82"/>
      <c r="N77" s="82"/>
      <c r="O77" s="82"/>
      <c r="P77" s="82"/>
      <c r="Q77" s="82"/>
      <c r="R77" s="83"/>
      <c r="S77" s="84"/>
      <c r="T77" s="85"/>
      <c r="U77" s="75">
        <v>0</v>
      </c>
      <c r="V77" s="93" t="s">
        <v>129</v>
      </c>
    </row>
    <row r="78" spans="1:22" ht="17.25" hidden="1" thickBot="1" x14ac:dyDescent="0.35">
      <c r="A78" s="123" t="s">
        <v>136</v>
      </c>
      <c r="B78" s="121">
        <v>22704</v>
      </c>
      <c r="C78" s="124" t="s">
        <v>137</v>
      </c>
      <c r="D78" s="124"/>
      <c r="E78" s="124"/>
      <c r="F78" s="124"/>
      <c r="G78" s="125"/>
      <c r="H78" s="122"/>
      <c r="I78" s="22">
        <f t="shared" si="8"/>
        <v>0</v>
      </c>
      <c r="J78" s="69"/>
      <c r="K78" s="11"/>
      <c r="L78" s="22"/>
      <c r="M78" s="22"/>
      <c r="N78" s="22"/>
      <c r="O78" s="22"/>
      <c r="P78" s="22"/>
      <c r="Q78" s="22"/>
      <c r="R78" s="36"/>
      <c r="S78" s="44"/>
      <c r="T78" s="47"/>
      <c r="U78" s="71">
        <f t="shared" si="9"/>
        <v>0</v>
      </c>
      <c r="V78" s="95" t="str">
        <f t="shared" si="10"/>
        <v>OK</v>
      </c>
    </row>
    <row r="79" spans="1:22" ht="17.25" hidden="1" thickBot="1" x14ac:dyDescent="0.35">
      <c r="A79" s="132" t="s">
        <v>139</v>
      </c>
      <c r="B79" s="133">
        <v>22722</v>
      </c>
      <c r="C79" s="134" t="s">
        <v>119</v>
      </c>
      <c r="D79" s="134"/>
      <c r="E79" s="134"/>
      <c r="F79" s="134"/>
      <c r="G79" s="135"/>
      <c r="H79" s="137"/>
      <c r="I79" s="82">
        <v>0</v>
      </c>
      <c r="J79" s="74"/>
      <c r="K79" s="118"/>
      <c r="L79" s="82"/>
      <c r="M79" s="82"/>
      <c r="N79" s="82"/>
      <c r="O79" s="82"/>
      <c r="P79" s="82"/>
      <c r="Q79" s="82"/>
      <c r="R79" s="83"/>
      <c r="S79" s="84"/>
      <c r="T79" s="85"/>
      <c r="U79" s="75">
        <v>0</v>
      </c>
      <c r="V79" s="93" t="s">
        <v>129</v>
      </c>
    </row>
    <row r="80" spans="1:22" ht="17.25" hidden="1" thickBot="1" x14ac:dyDescent="0.35">
      <c r="A80" s="129" t="s">
        <v>134</v>
      </c>
      <c r="B80" s="127">
        <v>22723</v>
      </c>
      <c r="C80" s="130" t="s">
        <v>119</v>
      </c>
      <c r="D80" s="130"/>
      <c r="E80" s="130"/>
      <c r="F80" s="130"/>
      <c r="G80" s="131"/>
      <c r="H80" s="128"/>
      <c r="I80" s="128">
        <f t="shared" si="8"/>
        <v>0</v>
      </c>
      <c r="J80" s="69"/>
      <c r="K80" s="11"/>
      <c r="L80" s="22"/>
      <c r="M80" s="22"/>
      <c r="N80" s="22"/>
      <c r="O80" s="22"/>
      <c r="P80" s="22"/>
      <c r="Q80" s="22"/>
      <c r="R80" s="36"/>
      <c r="S80" s="44"/>
      <c r="T80" s="47"/>
      <c r="U80" s="52">
        <f t="shared" si="9"/>
        <v>0</v>
      </c>
      <c r="V80" s="23" t="str">
        <f t="shared" si="10"/>
        <v>OK</v>
      </c>
    </row>
    <row r="81" spans="1:22" x14ac:dyDescent="0.3">
      <c r="A81" s="86"/>
      <c r="B81" s="86"/>
      <c r="C81" s="87" t="s">
        <v>9</v>
      </c>
      <c r="D81" s="87"/>
      <c r="E81" s="87"/>
      <c r="F81" s="87"/>
      <c r="G81" s="88">
        <f>SUM(G6:G49)</f>
        <v>0</v>
      </c>
      <c r="H81" s="89">
        <f>SUM(H6:H49)</f>
        <v>0</v>
      </c>
      <c r="I81" s="88">
        <f>SUM(I6:I80)</f>
        <v>0</v>
      </c>
      <c r="J81" s="40">
        <f>SUM(J6:J49)</f>
        <v>0</v>
      </c>
      <c r="K81" s="115">
        <f>SUM(K6:K51)</f>
        <v>0</v>
      </c>
      <c r="L81" s="38">
        <f>SUM(L6:L80)</f>
        <v>0</v>
      </c>
      <c r="M81" s="38">
        <f t="shared" ref="M81:U81" si="11">SUM(M6:M80)</f>
        <v>0</v>
      </c>
      <c r="N81" s="38">
        <f t="shared" si="11"/>
        <v>0</v>
      </c>
      <c r="O81" s="38">
        <f t="shared" si="11"/>
        <v>0</v>
      </c>
      <c r="P81" s="38">
        <f t="shared" si="11"/>
        <v>0</v>
      </c>
      <c r="Q81" s="38">
        <f t="shared" si="11"/>
        <v>0</v>
      </c>
      <c r="R81" s="38">
        <f t="shared" si="11"/>
        <v>0</v>
      </c>
      <c r="S81" s="38">
        <f t="shared" si="11"/>
        <v>0</v>
      </c>
      <c r="T81" s="38">
        <f t="shared" si="11"/>
        <v>0</v>
      </c>
      <c r="U81" s="38">
        <f t="shared" si="11"/>
        <v>0</v>
      </c>
      <c r="V81" s="41" t="str">
        <f>IF(U81=SUM(I81),"OK","NG")</f>
        <v>OK</v>
      </c>
    </row>
  </sheetData>
  <autoFilter ref="A5:V81" xr:uid="{00000000-0001-0000-0B00-000000000000}">
    <filterColumn colId="8">
      <filters>
        <filter val="10"/>
        <filter val="20"/>
        <filter val="46"/>
        <filter val="6"/>
      </filters>
    </filterColumn>
  </autoFilter>
  <mergeCells count="20">
    <mergeCell ref="O4:O5"/>
    <mergeCell ref="P4:P5"/>
    <mergeCell ref="B3:C3"/>
    <mergeCell ref="N4:N5"/>
    <mergeCell ref="B1:C1"/>
    <mergeCell ref="F1:G1"/>
    <mergeCell ref="H1:J3"/>
    <mergeCell ref="B2:C2"/>
    <mergeCell ref="A4:D4"/>
    <mergeCell ref="E4:G4"/>
    <mergeCell ref="H4:J4"/>
    <mergeCell ref="L4:L5"/>
    <mergeCell ref="M4:M5"/>
    <mergeCell ref="Q4:Q5"/>
    <mergeCell ref="R4:R5"/>
    <mergeCell ref="S4:S5"/>
    <mergeCell ref="T4:T5"/>
    <mergeCell ref="V2:V3"/>
    <mergeCell ref="U4:U5"/>
    <mergeCell ref="V4:V5"/>
  </mergeCells>
  <phoneticPr fontId="3" type="noConversion"/>
  <conditionalFormatting sqref="A4 V6:V81">
    <cfRule type="containsText" dxfId="43" priority="5" operator="containsText" text="NG">
      <formula>NOT(ISERROR(SEARCH("NG",A4)))</formula>
    </cfRule>
    <cfRule type="containsText" dxfId="42" priority="6" operator="containsText" text="OK">
      <formula>NOT(ISERROR(SEARCH("OK",A4)))</formula>
    </cfRule>
  </conditionalFormatting>
  <pageMargins left="0.70866141732283472" right="0.70866141732283472" top="0.74803149606299213" bottom="0.74803149606299213" header="0.31496062992125984" footer="0.31496062992125984"/>
  <pageSetup paperSize="8" scale="10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0" filterMode="1">
    <pageSetUpPr fitToPage="1"/>
  </sheetPr>
  <dimension ref="A1:V81"/>
  <sheetViews>
    <sheetView showGridLines="0" zoomScale="85" zoomScaleNormal="85" workbookViewId="0">
      <pane ySplit="5" topLeftCell="A36" activePane="bottomLeft" state="frozen"/>
      <selection activeCell="W73" sqref="W73"/>
      <selection pane="bottomLeft" activeCell="L36" sqref="L36:R77"/>
    </sheetView>
  </sheetViews>
  <sheetFormatPr defaultColWidth="9" defaultRowHeight="16.5" x14ac:dyDescent="0.3"/>
  <cols>
    <col min="1" max="1" width="12.625" bestFit="1" customWidth="1"/>
    <col min="2" max="2" width="14.125" bestFit="1" customWidth="1"/>
    <col min="3" max="3" width="35.125" customWidth="1"/>
    <col min="4" max="4" width="11.75" hidden="1" customWidth="1"/>
    <col min="5" max="6" width="9" hidden="1" customWidth="1"/>
    <col min="7" max="7" width="15.375" hidden="1" customWidth="1"/>
    <col min="8" max="8" width="13.25" hidden="1" customWidth="1"/>
    <col min="9" max="9" width="13.25" customWidth="1"/>
    <col min="10" max="10" width="13.25" hidden="1" customWidth="1"/>
    <col min="11" max="11" width="0.875" customWidth="1"/>
    <col min="20" max="20" width="11" bestFit="1" customWidth="1"/>
  </cols>
  <sheetData>
    <row r="1" spans="1:22" ht="22.5" customHeight="1" thickBot="1" x14ac:dyDescent="0.35">
      <c r="A1" s="32" t="s">
        <v>28</v>
      </c>
      <c r="B1" s="153">
        <f>H69</f>
        <v>0</v>
      </c>
      <c r="C1" s="154"/>
      <c r="D1" s="55"/>
      <c r="E1" s="58" t="s">
        <v>1</v>
      </c>
      <c r="F1" s="155">
        <f>G69</f>
        <v>0</v>
      </c>
      <c r="G1" s="155"/>
      <c r="H1" s="156"/>
      <c r="I1" s="156"/>
      <c r="J1" s="156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22.5" customHeight="1" thickBot="1" x14ac:dyDescent="0.35">
      <c r="A2" s="32" t="s">
        <v>29</v>
      </c>
      <c r="B2" s="158">
        <f>I81</f>
        <v>29</v>
      </c>
      <c r="C2" s="159"/>
      <c r="D2" s="56"/>
      <c r="E2" s="59"/>
      <c r="F2" s="2"/>
      <c r="G2" s="2"/>
      <c r="H2" s="156"/>
      <c r="I2" s="156"/>
      <c r="J2" s="156"/>
      <c r="K2" s="113"/>
      <c r="L2" s="3">
        <f>SUBTOTAL(9,L6:L80)</f>
        <v>0</v>
      </c>
      <c r="M2" s="3">
        <f t="shared" ref="M2:T2" si="0">SUBTOTAL(9,M6:M80)</f>
        <v>18</v>
      </c>
      <c r="N2" s="3">
        <f t="shared" si="0"/>
        <v>0</v>
      </c>
      <c r="O2" s="3">
        <f t="shared" si="0"/>
        <v>11</v>
      </c>
      <c r="P2" s="3">
        <f t="shared" si="0"/>
        <v>0</v>
      </c>
      <c r="Q2" s="3">
        <f t="shared" si="0"/>
        <v>0</v>
      </c>
      <c r="R2" s="3">
        <f t="shared" si="0"/>
        <v>0</v>
      </c>
      <c r="S2" s="3">
        <f t="shared" si="0"/>
        <v>0</v>
      </c>
      <c r="T2" s="3">
        <f t="shared" si="0"/>
        <v>0</v>
      </c>
      <c r="U2" s="48">
        <f>SUBTOTAL(9,U6:U80)</f>
        <v>29</v>
      </c>
      <c r="V2" s="145"/>
    </row>
    <row r="3" spans="1:22" ht="22.5" customHeight="1" thickBot="1" x14ac:dyDescent="0.35">
      <c r="A3" s="33" t="s">
        <v>30</v>
      </c>
      <c r="B3" s="151">
        <f>IF(ISERROR(B2/(B2+B1)*1000000),"",(B2/(B2+B1)*1000000))</f>
        <v>1000000</v>
      </c>
      <c r="C3" s="152"/>
      <c r="D3" s="57"/>
      <c r="E3" s="60"/>
      <c r="F3" s="27"/>
      <c r="G3" s="27"/>
      <c r="H3" s="157"/>
      <c r="I3" s="157"/>
      <c r="J3" s="157"/>
      <c r="K3" s="114"/>
      <c r="L3" s="4">
        <f t="shared" ref="L3:U3" si="1">SUM(L6:L80)</f>
        <v>0</v>
      </c>
      <c r="M3" s="4">
        <f t="shared" si="1"/>
        <v>18</v>
      </c>
      <c r="N3" s="4">
        <f t="shared" si="1"/>
        <v>0</v>
      </c>
      <c r="O3" s="4">
        <f t="shared" si="1"/>
        <v>11</v>
      </c>
      <c r="P3" s="4">
        <f t="shared" si="1"/>
        <v>0</v>
      </c>
      <c r="Q3" s="4">
        <f t="shared" si="1"/>
        <v>0</v>
      </c>
      <c r="R3" s="4">
        <f t="shared" si="1"/>
        <v>0</v>
      </c>
      <c r="S3" s="4">
        <f t="shared" si="1"/>
        <v>0</v>
      </c>
      <c r="T3" s="4">
        <f t="shared" si="1"/>
        <v>0</v>
      </c>
      <c r="U3" s="49">
        <f t="shared" si="1"/>
        <v>29</v>
      </c>
      <c r="V3" s="146"/>
    </row>
    <row r="4" spans="1:22" ht="43.5" customHeight="1" x14ac:dyDescent="0.3">
      <c r="A4" s="160" t="str">
        <f>V81</f>
        <v>OK</v>
      </c>
      <c r="B4" s="160"/>
      <c r="C4" s="160"/>
      <c r="D4" s="161"/>
      <c r="E4" s="162" t="s">
        <v>15</v>
      </c>
      <c r="F4" s="162"/>
      <c r="G4" s="162"/>
      <c r="H4" s="163" t="s">
        <v>16</v>
      </c>
      <c r="I4" s="163"/>
      <c r="J4" s="163"/>
      <c r="K4" s="113"/>
      <c r="L4" s="164" t="s">
        <v>10</v>
      </c>
      <c r="M4" s="142" t="s">
        <v>17</v>
      </c>
      <c r="N4" s="142" t="s">
        <v>11</v>
      </c>
      <c r="O4" s="138" t="s">
        <v>12</v>
      </c>
      <c r="P4" s="142" t="s">
        <v>13</v>
      </c>
      <c r="Q4" s="138" t="s">
        <v>14</v>
      </c>
      <c r="R4" s="140" t="s">
        <v>20</v>
      </c>
      <c r="S4" s="142" t="s">
        <v>21</v>
      </c>
      <c r="T4" s="143" t="s">
        <v>22</v>
      </c>
      <c r="U4" s="147" t="s">
        <v>18</v>
      </c>
      <c r="V4" s="149" t="s">
        <v>19</v>
      </c>
    </row>
    <row r="5" spans="1:22" ht="33.75" thickBot="1" x14ac:dyDescent="0.35">
      <c r="A5" s="29" t="s">
        <v>3</v>
      </c>
      <c r="B5" s="30" t="s">
        <v>32</v>
      </c>
      <c r="C5" s="29" t="s">
        <v>4</v>
      </c>
      <c r="D5" s="29" t="s">
        <v>31</v>
      </c>
      <c r="E5" s="29" t="s">
        <v>5</v>
      </c>
      <c r="F5" s="29" t="s">
        <v>6</v>
      </c>
      <c r="G5" s="30" t="s">
        <v>7</v>
      </c>
      <c r="H5" s="31" t="s">
        <v>0</v>
      </c>
      <c r="I5" s="31" t="s">
        <v>2</v>
      </c>
      <c r="J5" s="31" t="s">
        <v>8</v>
      </c>
      <c r="K5" s="28"/>
      <c r="L5" s="165"/>
      <c r="M5" s="139"/>
      <c r="N5" s="139"/>
      <c r="O5" s="139"/>
      <c r="P5" s="139"/>
      <c r="Q5" s="139"/>
      <c r="R5" s="141"/>
      <c r="S5" s="139"/>
      <c r="T5" s="144"/>
      <c r="U5" s="148"/>
      <c r="V5" s="150"/>
    </row>
    <row r="6" spans="1:22" hidden="1" x14ac:dyDescent="0.3">
      <c r="A6" s="61" t="s">
        <v>33</v>
      </c>
      <c r="B6" s="61">
        <v>8092</v>
      </c>
      <c r="C6" s="6" t="s">
        <v>45</v>
      </c>
      <c r="D6" s="7"/>
      <c r="E6" s="7"/>
      <c r="F6" s="7"/>
      <c r="G6" s="8"/>
      <c r="H6" s="9"/>
      <c r="I6" s="10">
        <f>SUM(L6:T6)</f>
        <v>0</v>
      </c>
      <c r="J6" s="10"/>
      <c r="K6" s="11"/>
      <c r="L6" s="10"/>
      <c r="M6" s="10"/>
      <c r="N6" s="10"/>
      <c r="O6" s="10"/>
      <c r="P6" s="10"/>
      <c r="Q6" s="10"/>
      <c r="R6" s="34"/>
      <c r="S6" s="42"/>
      <c r="T6" s="45"/>
      <c r="U6" s="50">
        <f t="shared" ref="U6:U36" si="2">SUM(L6:T6)</f>
        <v>0</v>
      </c>
      <c r="V6" s="26" t="str">
        <f t="shared" ref="V6:V67" si="3">IF(U6=I6,"OK","NG")</f>
        <v>OK</v>
      </c>
    </row>
    <row r="7" spans="1:22" hidden="1" x14ac:dyDescent="0.3">
      <c r="A7" s="62" t="s">
        <v>95</v>
      </c>
      <c r="B7" s="62">
        <v>8088</v>
      </c>
      <c r="C7" s="12" t="s">
        <v>46</v>
      </c>
      <c r="D7" s="53"/>
      <c r="E7" s="13"/>
      <c r="F7" s="13"/>
      <c r="G7" s="14"/>
      <c r="H7" s="15"/>
      <c r="I7" s="16">
        <f t="shared" ref="I7:I70" si="4">SUM(L7:T7)</f>
        <v>0</v>
      </c>
      <c r="J7" s="16"/>
      <c r="K7" s="11"/>
      <c r="L7" s="16"/>
      <c r="M7" s="16"/>
      <c r="N7" s="16"/>
      <c r="O7" s="16"/>
      <c r="P7" s="16"/>
      <c r="Q7" s="16"/>
      <c r="R7" s="35"/>
      <c r="S7" s="43"/>
      <c r="T7" s="46"/>
      <c r="U7" s="51">
        <f t="shared" si="2"/>
        <v>0</v>
      </c>
      <c r="V7" s="17" t="str">
        <f t="shared" si="3"/>
        <v>OK</v>
      </c>
    </row>
    <row r="8" spans="1:22" hidden="1" x14ac:dyDescent="0.3">
      <c r="A8" s="63" t="s">
        <v>96</v>
      </c>
      <c r="B8" s="63">
        <v>8081</v>
      </c>
      <c r="C8" s="18" t="s">
        <v>46</v>
      </c>
      <c r="D8" s="19"/>
      <c r="E8" s="19"/>
      <c r="F8" s="19"/>
      <c r="G8" s="20"/>
      <c r="H8" s="21"/>
      <c r="I8" s="22">
        <f t="shared" si="4"/>
        <v>0</v>
      </c>
      <c r="J8" s="22"/>
      <c r="K8" s="11"/>
      <c r="L8" s="22"/>
      <c r="M8" s="22"/>
      <c r="N8" s="22"/>
      <c r="O8" s="22"/>
      <c r="P8" s="22"/>
      <c r="Q8" s="22"/>
      <c r="R8" s="36"/>
      <c r="S8" s="44"/>
      <c r="T8" s="47"/>
      <c r="U8" s="52">
        <f t="shared" si="2"/>
        <v>0</v>
      </c>
      <c r="V8" s="23" t="str">
        <f t="shared" si="3"/>
        <v>OK</v>
      </c>
    </row>
    <row r="9" spans="1:22" hidden="1" x14ac:dyDescent="0.3">
      <c r="A9" s="62" t="s">
        <v>97</v>
      </c>
      <c r="B9" s="62">
        <v>18524</v>
      </c>
      <c r="C9" s="12" t="s">
        <v>46</v>
      </c>
      <c r="D9" s="53"/>
      <c r="E9" s="13"/>
      <c r="F9" s="13"/>
      <c r="G9" s="14"/>
      <c r="H9" s="15"/>
      <c r="I9" s="16">
        <f t="shared" si="4"/>
        <v>0</v>
      </c>
      <c r="J9" s="16"/>
      <c r="K9" s="11"/>
      <c r="L9" s="16"/>
      <c r="M9" s="16"/>
      <c r="N9" s="16"/>
      <c r="O9" s="16"/>
      <c r="P9" s="16"/>
      <c r="Q9" s="16"/>
      <c r="R9" s="35"/>
      <c r="S9" s="43"/>
      <c r="T9" s="46"/>
      <c r="U9" s="51">
        <f t="shared" si="2"/>
        <v>0</v>
      </c>
      <c r="V9" s="17" t="str">
        <f t="shared" si="3"/>
        <v>OK</v>
      </c>
    </row>
    <row r="10" spans="1:22" hidden="1" x14ac:dyDescent="0.3">
      <c r="A10" s="63" t="s">
        <v>34</v>
      </c>
      <c r="B10" s="63">
        <v>6234</v>
      </c>
      <c r="C10" s="18" t="s">
        <v>47</v>
      </c>
      <c r="D10" s="19"/>
      <c r="E10" s="19"/>
      <c r="F10" s="19"/>
      <c r="G10" s="20"/>
      <c r="H10" s="21"/>
      <c r="I10" s="22">
        <f t="shared" si="4"/>
        <v>0</v>
      </c>
      <c r="J10" s="22"/>
      <c r="K10" s="11"/>
      <c r="L10" s="22"/>
      <c r="M10" s="22"/>
      <c r="N10" s="22"/>
      <c r="O10" s="22"/>
      <c r="P10" s="22"/>
      <c r="Q10" s="22"/>
      <c r="R10" s="36"/>
      <c r="S10" s="44"/>
      <c r="T10" s="47"/>
      <c r="U10" s="52">
        <f t="shared" si="2"/>
        <v>0</v>
      </c>
      <c r="V10" s="23" t="str">
        <f t="shared" si="3"/>
        <v>OK</v>
      </c>
    </row>
    <row r="11" spans="1:22" hidden="1" x14ac:dyDescent="0.3">
      <c r="A11" s="62" t="s">
        <v>80</v>
      </c>
      <c r="B11" s="62">
        <v>14830</v>
      </c>
      <c r="C11" s="12" t="s">
        <v>47</v>
      </c>
      <c r="D11" s="53"/>
      <c r="E11" s="13"/>
      <c r="F11" s="13"/>
      <c r="G11" s="14"/>
      <c r="H11" s="15"/>
      <c r="I11" s="16">
        <f t="shared" si="4"/>
        <v>0</v>
      </c>
      <c r="J11" s="16"/>
      <c r="K11" s="11"/>
      <c r="L11" s="16"/>
      <c r="M11" s="16"/>
      <c r="N11" s="16"/>
      <c r="O11" s="16"/>
      <c r="P11" s="16"/>
      <c r="Q11" s="16"/>
      <c r="R11" s="35"/>
      <c r="S11" s="43"/>
      <c r="T11" s="46"/>
      <c r="U11" s="51">
        <f t="shared" si="2"/>
        <v>0</v>
      </c>
      <c r="V11" s="17" t="str">
        <f t="shared" si="3"/>
        <v>OK</v>
      </c>
    </row>
    <row r="12" spans="1:22" hidden="1" x14ac:dyDescent="0.3">
      <c r="A12" s="63" t="s">
        <v>35</v>
      </c>
      <c r="B12" s="63">
        <v>6004</v>
      </c>
      <c r="C12" s="18" t="s">
        <v>48</v>
      </c>
      <c r="D12" s="19"/>
      <c r="E12" s="19"/>
      <c r="F12" s="19"/>
      <c r="G12" s="20"/>
      <c r="H12" s="21"/>
      <c r="I12" s="22">
        <f t="shared" si="4"/>
        <v>0</v>
      </c>
      <c r="J12" s="22"/>
      <c r="K12" s="11"/>
      <c r="L12" s="22"/>
      <c r="M12" s="22"/>
      <c r="N12" s="22"/>
      <c r="O12" s="22"/>
      <c r="P12" s="22"/>
      <c r="Q12" s="22"/>
      <c r="R12" s="36"/>
      <c r="S12" s="44"/>
      <c r="T12" s="47"/>
      <c r="U12" s="52">
        <f t="shared" si="2"/>
        <v>0</v>
      </c>
      <c r="V12" s="23" t="str">
        <f t="shared" si="3"/>
        <v>OK</v>
      </c>
    </row>
    <row r="13" spans="1:22" hidden="1" x14ac:dyDescent="0.3">
      <c r="A13" s="62" t="s">
        <v>36</v>
      </c>
      <c r="B13" s="62">
        <v>11857</v>
      </c>
      <c r="C13" s="12" t="s">
        <v>48</v>
      </c>
      <c r="D13" s="53"/>
      <c r="E13" s="13"/>
      <c r="F13" s="13"/>
      <c r="G13" s="14"/>
      <c r="H13" s="15"/>
      <c r="I13" s="16">
        <f t="shared" si="4"/>
        <v>0</v>
      </c>
      <c r="J13" s="16"/>
      <c r="K13" s="11"/>
      <c r="L13" s="16"/>
      <c r="M13" s="16"/>
      <c r="N13" s="16"/>
      <c r="O13" s="16"/>
      <c r="P13" s="16"/>
      <c r="Q13" s="16"/>
      <c r="R13" s="35"/>
      <c r="S13" s="43"/>
      <c r="T13" s="46"/>
      <c r="U13" s="51">
        <f t="shared" si="2"/>
        <v>0</v>
      </c>
      <c r="V13" s="17" t="str">
        <f t="shared" si="3"/>
        <v>OK</v>
      </c>
    </row>
    <row r="14" spans="1:22" hidden="1" x14ac:dyDescent="0.3">
      <c r="A14" s="63" t="s">
        <v>82</v>
      </c>
      <c r="B14" s="63">
        <v>15004</v>
      </c>
      <c r="C14" s="18" t="s">
        <v>48</v>
      </c>
      <c r="D14" s="19"/>
      <c r="E14" s="19"/>
      <c r="F14" s="19"/>
      <c r="G14" s="20"/>
      <c r="H14" s="21"/>
      <c r="I14" s="22">
        <f t="shared" si="4"/>
        <v>0</v>
      </c>
      <c r="J14" s="22"/>
      <c r="K14" s="11"/>
      <c r="L14" s="22"/>
      <c r="M14" s="22"/>
      <c r="N14" s="22"/>
      <c r="O14" s="22"/>
      <c r="P14" s="22"/>
      <c r="Q14" s="22"/>
      <c r="R14" s="36"/>
      <c r="S14" s="44"/>
      <c r="T14" s="47"/>
      <c r="U14" s="52">
        <f t="shared" si="2"/>
        <v>0</v>
      </c>
      <c r="V14" s="23" t="str">
        <f t="shared" si="3"/>
        <v>OK</v>
      </c>
    </row>
    <row r="15" spans="1:22" hidden="1" x14ac:dyDescent="0.3">
      <c r="A15" s="62" t="s">
        <v>86</v>
      </c>
      <c r="B15" s="62">
        <v>15174</v>
      </c>
      <c r="C15" s="12" t="s">
        <v>45</v>
      </c>
      <c r="D15" s="53"/>
      <c r="E15" s="13"/>
      <c r="F15" s="13"/>
      <c r="G15" s="14"/>
      <c r="H15" s="15"/>
      <c r="I15" s="16">
        <f t="shared" si="4"/>
        <v>0</v>
      </c>
      <c r="J15" s="16"/>
      <c r="K15" s="11"/>
      <c r="L15" s="16"/>
      <c r="M15" s="16"/>
      <c r="N15" s="16"/>
      <c r="O15" s="16"/>
      <c r="P15" s="16"/>
      <c r="Q15" s="16"/>
      <c r="R15" s="35"/>
      <c r="S15" s="43"/>
      <c r="T15" s="46"/>
      <c r="U15" s="51">
        <f t="shared" si="2"/>
        <v>0</v>
      </c>
      <c r="V15" s="17" t="str">
        <f t="shared" si="3"/>
        <v>OK</v>
      </c>
    </row>
    <row r="16" spans="1:22" hidden="1" x14ac:dyDescent="0.3">
      <c r="A16" s="63" t="s">
        <v>87</v>
      </c>
      <c r="B16" s="63">
        <v>15520</v>
      </c>
      <c r="C16" s="18" t="s">
        <v>47</v>
      </c>
      <c r="D16" s="19"/>
      <c r="E16" s="19"/>
      <c r="F16" s="19"/>
      <c r="G16" s="20"/>
      <c r="H16" s="21"/>
      <c r="I16" s="22">
        <f t="shared" si="4"/>
        <v>0</v>
      </c>
      <c r="J16" s="22"/>
      <c r="K16" s="11"/>
      <c r="L16" s="22"/>
      <c r="M16" s="22"/>
      <c r="N16" s="22"/>
      <c r="O16" s="22"/>
      <c r="P16" s="22"/>
      <c r="Q16" s="22"/>
      <c r="R16" s="36"/>
      <c r="S16" s="44"/>
      <c r="T16" s="47"/>
      <c r="U16" s="52">
        <f t="shared" si="2"/>
        <v>0</v>
      </c>
      <c r="V16" s="23" t="str">
        <f t="shared" si="3"/>
        <v>OK</v>
      </c>
    </row>
    <row r="17" spans="1:22" hidden="1" x14ac:dyDescent="0.3">
      <c r="A17" s="62" t="s">
        <v>85</v>
      </c>
      <c r="B17" s="62">
        <v>14989</v>
      </c>
      <c r="C17" s="12" t="s">
        <v>45</v>
      </c>
      <c r="D17" s="53"/>
      <c r="E17" s="13"/>
      <c r="F17" s="13"/>
      <c r="G17" s="14"/>
      <c r="H17" s="15"/>
      <c r="I17" s="16">
        <f t="shared" si="4"/>
        <v>0</v>
      </c>
      <c r="J17" s="16"/>
      <c r="K17" s="11"/>
      <c r="L17" s="16"/>
      <c r="M17" s="16"/>
      <c r="N17" s="16"/>
      <c r="O17" s="16"/>
      <c r="P17" s="16"/>
      <c r="Q17" s="16"/>
      <c r="R17" s="35"/>
      <c r="S17" s="43"/>
      <c r="T17" s="46"/>
      <c r="U17" s="51">
        <f t="shared" si="2"/>
        <v>0</v>
      </c>
      <c r="V17" s="17" t="str">
        <f t="shared" si="3"/>
        <v>OK</v>
      </c>
    </row>
    <row r="18" spans="1:22" hidden="1" x14ac:dyDescent="0.3">
      <c r="A18" s="63" t="s">
        <v>84</v>
      </c>
      <c r="B18" s="63">
        <v>14984</v>
      </c>
      <c r="C18" s="18" t="s">
        <v>46</v>
      </c>
      <c r="D18" s="19"/>
      <c r="E18" s="19"/>
      <c r="F18" s="19"/>
      <c r="G18" s="20"/>
      <c r="H18" s="21"/>
      <c r="I18" s="22">
        <f t="shared" si="4"/>
        <v>0</v>
      </c>
      <c r="J18" s="22"/>
      <c r="K18" s="11"/>
      <c r="L18" s="22"/>
      <c r="M18" s="22"/>
      <c r="N18" s="22"/>
      <c r="O18" s="22"/>
      <c r="P18" s="22"/>
      <c r="Q18" s="22"/>
      <c r="R18" s="36"/>
      <c r="S18" s="44"/>
      <c r="T18" s="47"/>
      <c r="U18" s="52">
        <f t="shared" si="2"/>
        <v>0</v>
      </c>
      <c r="V18" s="23" t="str">
        <f t="shared" si="3"/>
        <v>OK</v>
      </c>
    </row>
    <row r="19" spans="1:22" hidden="1" x14ac:dyDescent="0.3">
      <c r="A19" s="62" t="s">
        <v>88</v>
      </c>
      <c r="B19" s="62">
        <v>16270</v>
      </c>
      <c r="C19" s="12" t="s">
        <v>89</v>
      </c>
      <c r="D19" s="53"/>
      <c r="E19" s="13"/>
      <c r="F19" s="13"/>
      <c r="G19" s="14"/>
      <c r="H19" s="15"/>
      <c r="I19" s="16">
        <f t="shared" si="4"/>
        <v>0</v>
      </c>
      <c r="J19" s="16"/>
      <c r="K19" s="11"/>
      <c r="L19" s="16"/>
      <c r="M19" s="16"/>
      <c r="N19" s="16"/>
      <c r="O19" s="16"/>
      <c r="P19" s="16"/>
      <c r="Q19" s="16"/>
      <c r="R19" s="35"/>
      <c r="S19" s="43"/>
      <c r="T19" s="46"/>
      <c r="U19" s="51">
        <f t="shared" si="2"/>
        <v>0</v>
      </c>
      <c r="V19" s="17" t="str">
        <f t="shared" si="3"/>
        <v>OK</v>
      </c>
    </row>
    <row r="20" spans="1:22" hidden="1" x14ac:dyDescent="0.3">
      <c r="A20" s="63" t="s">
        <v>98</v>
      </c>
      <c r="B20" s="63">
        <v>19060</v>
      </c>
      <c r="C20" s="18" t="s">
        <v>47</v>
      </c>
      <c r="D20" s="19"/>
      <c r="E20" s="19"/>
      <c r="F20" s="19"/>
      <c r="G20" s="20"/>
      <c r="H20" s="21"/>
      <c r="I20" s="22">
        <f t="shared" si="4"/>
        <v>0</v>
      </c>
      <c r="J20" s="22"/>
      <c r="K20" s="11"/>
      <c r="L20" s="22"/>
      <c r="M20" s="22"/>
      <c r="N20" s="22"/>
      <c r="O20" s="22"/>
      <c r="P20" s="22"/>
      <c r="Q20" s="22"/>
      <c r="R20" s="36"/>
      <c r="S20" s="44"/>
      <c r="T20" s="47"/>
      <c r="U20" s="52">
        <f t="shared" si="2"/>
        <v>0</v>
      </c>
      <c r="V20" s="23" t="str">
        <f t="shared" si="3"/>
        <v>OK</v>
      </c>
    </row>
    <row r="21" spans="1:22" hidden="1" x14ac:dyDescent="0.3">
      <c r="A21" s="62" t="s">
        <v>99</v>
      </c>
      <c r="B21" s="62">
        <v>18828</v>
      </c>
      <c r="C21" s="12" t="s">
        <v>94</v>
      </c>
      <c r="D21" s="53"/>
      <c r="E21" s="13"/>
      <c r="F21" s="13"/>
      <c r="G21" s="14"/>
      <c r="H21" s="15"/>
      <c r="I21" s="16">
        <f t="shared" si="4"/>
        <v>0</v>
      </c>
      <c r="J21" s="16"/>
      <c r="K21" s="11"/>
      <c r="L21" s="16"/>
      <c r="M21" s="16"/>
      <c r="N21" s="16"/>
      <c r="O21" s="16"/>
      <c r="P21" s="16"/>
      <c r="Q21" s="16"/>
      <c r="R21" s="35"/>
      <c r="S21" s="43"/>
      <c r="T21" s="46"/>
      <c r="U21" s="51">
        <f t="shared" si="2"/>
        <v>0</v>
      </c>
      <c r="V21" s="17" t="str">
        <f t="shared" si="3"/>
        <v>OK</v>
      </c>
    </row>
    <row r="22" spans="1:22" hidden="1" x14ac:dyDescent="0.3">
      <c r="A22" s="63" t="s">
        <v>23</v>
      </c>
      <c r="B22" s="63">
        <v>5695</v>
      </c>
      <c r="C22" s="18" t="s">
        <v>49</v>
      </c>
      <c r="D22" s="19"/>
      <c r="E22" s="19"/>
      <c r="F22" s="19"/>
      <c r="G22" s="20"/>
      <c r="H22" s="21"/>
      <c r="I22" s="22">
        <f t="shared" si="4"/>
        <v>0</v>
      </c>
      <c r="J22" s="22"/>
      <c r="K22" s="11"/>
      <c r="L22" s="22"/>
      <c r="M22" s="22"/>
      <c r="N22" s="22"/>
      <c r="O22" s="22"/>
      <c r="P22" s="22"/>
      <c r="Q22" s="22"/>
      <c r="R22" s="36"/>
      <c r="S22" s="44"/>
      <c r="T22" s="47"/>
      <c r="U22" s="52">
        <f t="shared" si="2"/>
        <v>0</v>
      </c>
      <c r="V22" s="23" t="str">
        <f t="shared" si="3"/>
        <v>OK</v>
      </c>
    </row>
    <row r="23" spans="1:22" hidden="1" x14ac:dyDescent="0.3">
      <c r="A23" s="62" t="s">
        <v>24</v>
      </c>
      <c r="B23" s="62">
        <v>5691</v>
      </c>
      <c r="C23" s="12" t="s">
        <v>50</v>
      </c>
      <c r="D23" s="53"/>
      <c r="E23" s="13"/>
      <c r="F23" s="13"/>
      <c r="G23" s="14"/>
      <c r="H23" s="15"/>
      <c r="I23" s="16">
        <f t="shared" si="4"/>
        <v>0</v>
      </c>
      <c r="J23" s="16"/>
      <c r="K23" s="11"/>
      <c r="L23" s="16"/>
      <c r="M23" s="16"/>
      <c r="N23" s="16"/>
      <c r="O23" s="16"/>
      <c r="P23" s="16"/>
      <c r="Q23" s="16"/>
      <c r="R23" s="35"/>
      <c r="S23" s="43"/>
      <c r="T23" s="46"/>
      <c r="U23" s="51">
        <f t="shared" si="2"/>
        <v>0</v>
      </c>
      <c r="V23" s="17" t="str">
        <f t="shared" si="3"/>
        <v>OK</v>
      </c>
    </row>
    <row r="24" spans="1:22" hidden="1" x14ac:dyDescent="0.3">
      <c r="A24" s="63" t="s">
        <v>37</v>
      </c>
      <c r="B24" s="63">
        <v>5687</v>
      </c>
      <c r="C24" s="18" t="s">
        <v>51</v>
      </c>
      <c r="D24" s="19"/>
      <c r="E24" s="19"/>
      <c r="F24" s="19"/>
      <c r="G24" s="20"/>
      <c r="H24" s="21"/>
      <c r="I24" s="22">
        <f t="shared" si="4"/>
        <v>0</v>
      </c>
      <c r="J24" s="22"/>
      <c r="K24" s="11"/>
      <c r="L24" s="22"/>
      <c r="M24" s="22"/>
      <c r="N24" s="22"/>
      <c r="O24" s="22"/>
      <c r="P24" s="22"/>
      <c r="Q24" s="22"/>
      <c r="R24" s="36"/>
      <c r="S24" s="44"/>
      <c r="T24" s="47"/>
      <c r="U24" s="52">
        <f t="shared" si="2"/>
        <v>0</v>
      </c>
      <c r="V24" s="23" t="str">
        <f t="shared" si="3"/>
        <v>OK</v>
      </c>
    </row>
    <row r="25" spans="1:22" hidden="1" x14ac:dyDescent="0.3">
      <c r="A25" s="62" t="s">
        <v>38</v>
      </c>
      <c r="B25" s="62">
        <v>5683</v>
      </c>
      <c r="C25" s="12" t="s">
        <v>51</v>
      </c>
      <c r="D25" s="53"/>
      <c r="E25" s="13"/>
      <c r="F25" s="13"/>
      <c r="G25" s="14"/>
      <c r="H25" s="15"/>
      <c r="I25" s="16">
        <f t="shared" si="4"/>
        <v>0</v>
      </c>
      <c r="J25" s="16"/>
      <c r="K25" s="11"/>
      <c r="L25" s="16"/>
      <c r="M25" s="16"/>
      <c r="N25" s="16"/>
      <c r="O25" s="16"/>
      <c r="P25" s="16"/>
      <c r="Q25" s="16"/>
      <c r="R25" s="35"/>
      <c r="S25" s="43"/>
      <c r="T25" s="46"/>
      <c r="U25" s="51">
        <f t="shared" si="2"/>
        <v>0</v>
      </c>
      <c r="V25" s="17" t="str">
        <f t="shared" si="3"/>
        <v>OK</v>
      </c>
    </row>
    <row r="26" spans="1:22" hidden="1" x14ac:dyDescent="0.3">
      <c r="A26" s="63" t="s">
        <v>25</v>
      </c>
      <c r="B26" s="63">
        <v>5679</v>
      </c>
      <c r="C26" s="18" t="s">
        <v>52</v>
      </c>
      <c r="D26" s="19"/>
      <c r="E26" s="19"/>
      <c r="F26" s="19"/>
      <c r="G26" s="20"/>
      <c r="H26" s="21"/>
      <c r="I26" s="22">
        <f t="shared" si="4"/>
        <v>0</v>
      </c>
      <c r="J26" s="22"/>
      <c r="K26" s="11"/>
      <c r="L26" s="22"/>
      <c r="M26" s="22"/>
      <c r="N26" s="22"/>
      <c r="O26" s="22"/>
      <c r="P26" s="22"/>
      <c r="Q26" s="22"/>
      <c r="R26" s="36"/>
      <c r="S26" s="44"/>
      <c r="T26" s="47"/>
      <c r="U26" s="52">
        <f t="shared" si="2"/>
        <v>0</v>
      </c>
      <c r="V26" s="23" t="str">
        <f t="shared" si="3"/>
        <v>OK</v>
      </c>
    </row>
    <row r="27" spans="1:22" hidden="1" x14ac:dyDescent="0.3">
      <c r="A27" s="62" t="s">
        <v>39</v>
      </c>
      <c r="B27" s="62">
        <v>5675</v>
      </c>
      <c r="C27" s="12" t="s">
        <v>53</v>
      </c>
      <c r="D27" s="53"/>
      <c r="E27" s="13"/>
      <c r="F27" s="13"/>
      <c r="G27" s="14"/>
      <c r="H27" s="15"/>
      <c r="I27" s="16">
        <f t="shared" si="4"/>
        <v>0</v>
      </c>
      <c r="J27" s="16"/>
      <c r="K27" s="11"/>
      <c r="L27" s="16"/>
      <c r="M27" s="16"/>
      <c r="N27" s="16"/>
      <c r="O27" s="16"/>
      <c r="P27" s="16"/>
      <c r="Q27" s="16"/>
      <c r="R27" s="35"/>
      <c r="S27" s="43"/>
      <c r="T27" s="46"/>
      <c r="U27" s="51">
        <f t="shared" si="2"/>
        <v>0</v>
      </c>
      <c r="V27" s="17" t="str">
        <f t="shared" si="3"/>
        <v>OK</v>
      </c>
    </row>
    <row r="28" spans="1:22" hidden="1" x14ac:dyDescent="0.3">
      <c r="A28" s="63" t="s">
        <v>26</v>
      </c>
      <c r="B28" s="63">
        <v>5671</v>
      </c>
      <c r="C28" s="18" t="s">
        <v>49</v>
      </c>
      <c r="D28" s="19"/>
      <c r="E28" s="19"/>
      <c r="F28" s="19"/>
      <c r="G28" s="20"/>
      <c r="H28" s="21"/>
      <c r="I28" s="22">
        <f t="shared" si="4"/>
        <v>0</v>
      </c>
      <c r="J28" s="22"/>
      <c r="K28" s="11"/>
      <c r="L28" s="22"/>
      <c r="M28" s="22"/>
      <c r="N28" s="22"/>
      <c r="O28" s="22"/>
      <c r="P28" s="22"/>
      <c r="Q28" s="22"/>
      <c r="R28" s="36"/>
      <c r="S28" s="44"/>
      <c r="T28" s="47"/>
      <c r="U28" s="52">
        <f t="shared" si="2"/>
        <v>0</v>
      </c>
      <c r="V28" s="23" t="str">
        <f t="shared" si="3"/>
        <v>OK</v>
      </c>
    </row>
    <row r="29" spans="1:22" hidden="1" x14ac:dyDescent="0.3">
      <c r="A29" s="62" t="s">
        <v>40</v>
      </c>
      <c r="B29" s="62">
        <v>5667</v>
      </c>
      <c r="C29" s="12" t="s">
        <v>50</v>
      </c>
      <c r="D29" s="53"/>
      <c r="E29" s="13"/>
      <c r="F29" s="13"/>
      <c r="G29" s="14"/>
      <c r="H29" s="15"/>
      <c r="I29" s="16">
        <f t="shared" si="4"/>
        <v>0</v>
      </c>
      <c r="J29" s="16"/>
      <c r="K29" s="11"/>
      <c r="L29" s="16"/>
      <c r="M29" s="16"/>
      <c r="N29" s="16"/>
      <c r="O29" s="16"/>
      <c r="P29" s="16"/>
      <c r="Q29" s="16"/>
      <c r="R29" s="35"/>
      <c r="S29" s="43"/>
      <c r="T29" s="46"/>
      <c r="U29" s="51">
        <f t="shared" si="2"/>
        <v>0</v>
      </c>
      <c r="V29" s="17" t="str">
        <f t="shared" si="3"/>
        <v>OK</v>
      </c>
    </row>
    <row r="30" spans="1:22" hidden="1" x14ac:dyDescent="0.3">
      <c r="A30" s="63" t="s">
        <v>41</v>
      </c>
      <c r="B30" s="63">
        <v>5663</v>
      </c>
      <c r="C30" s="18" t="s">
        <v>51</v>
      </c>
      <c r="D30" s="19"/>
      <c r="E30" s="19"/>
      <c r="F30" s="19"/>
      <c r="G30" s="20"/>
      <c r="H30" s="21"/>
      <c r="I30" s="22">
        <f t="shared" si="4"/>
        <v>0</v>
      </c>
      <c r="J30" s="22"/>
      <c r="K30" s="11"/>
      <c r="L30" s="22"/>
      <c r="M30" s="22"/>
      <c r="N30" s="22"/>
      <c r="O30" s="22"/>
      <c r="P30" s="22"/>
      <c r="Q30" s="22"/>
      <c r="R30" s="36"/>
      <c r="S30" s="44"/>
      <c r="T30" s="47"/>
      <c r="U30" s="52">
        <f t="shared" si="2"/>
        <v>0</v>
      </c>
      <c r="V30" s="23" t="str">
        <f t="shared" si="3"/>
        <v>OK</v>
      </c>
    </row>
    <row r="31" spans="1:22" hidden="1" x14ac:dyDescent="0.3">
      <c r="A31" s="62" t="s">
        <v>42</v>
      </c>
      <c r="B31" s="62">
        <v>5659</v>
      </c>
      <c r="C31" s="12" t="s">
        <v>52</v>
      </c>
      <c r="D31" s="53"/>
      <c r="E31" s="13"/>
      <c r="F31" s="13"/>
      <c r="G31" s="14"/>
      <c r="H31" s="15"/>
      <c r="I31" s="16">
        <f t="shared" si="4"/>
        <v>0</v>
      </c>
      <c r="J31" s="16"/>
      <c r="K31" s="11"/>
      <c r="L31" s="16"/>
      <c r="M31" s="16"/>
      <c r="N31" s="16"/>
      <c r="O31" s="16"/>
      <c r="P31" s="16"/>
      <c r="Q31" s="16"/>
      <c r="R31" s="35"/>
      <c r="S31" s="43"/>
      <c r="T31" s="46"/>
      <c r="U31" s="51">
        <f t="shared" si="2"/>
        <v>0</v>
      </c>
      <c r="V31" s="17" t="str">
        <f t="shared" si="3"/>
        <v>OK</v>
      </c>
    </row>
    <row r="32" spans="1:22" hidden="1" x14ac:dyDescent="0.3">
      <c r="A32" s="63" t="s">
        <v>27</v>
      </c>
      <c r="B32" s="63">
        <v>5655</v>
      </c>
      <c r="C32" s="18" t="s">
        <v>54</v>
      </c>
      <c r="D32" s="19"/>
      <c r="E32" s="19"/>
      <c r="F32" s="19"/>
      <c r="G32" s="20"/>
      <c r="H32" s="21"/>
      <c r="I32" s="22">
        <f t="shared" si="4"/>
        <v>0</v>
      </c>
      <c r="J32" s="22"/>
      <c r="K32" s="11"/>
      <c r="L32" s="22"/>
      <c r="M32" s="22"/>
      <c r="N32" s="22"/>
      <c r="O32" s="22"/>
      <c r="P32" s="22"/>
      <c r="Q32" s="22"/>
      <c r="R32" s="36"/>
      <c r="S32" s="44"/>
      <c r="T32" s="47"/>
      <c r="U32" s="52">
        <f t="shared" si="2"/>
        <v>0</v>
      </c>
      <c r="V32" s="23" t="str">
        <f t="shared" si="3"/>
        <v>OK</v>
      </c>
    </row>
    <row r="33" spans="1:22" hidden="1" x14ac:dyDescent="0.3">
      <c r="A33" s="62" t="s">
        <v>70</v>
      </c>
      <c r="B33" s="62">
        <v>5651</v>
      </c>
      <c r="C33" s="12" t="s">
        <v>55</v>
      </c>
      <c r="D33" s="53"/>
      <c r="E33" s="13"/>
      <c r="F33" s="13"/>
      <c r="G33" s="14"/>
      <c r="H33" s="15"/>
      <c r="I33" s="16">
        <f t="shared" si="4"/>
        <v>0</v>
      </c>
      <c r="J33" s="16"/>
      <c r="K33" s="11"/>
      <c r="L33" s="16"/>
      <c r="M33" s="16"/>
      <c r="N33" s="16"/>
      <c r="O33" s="16"/>
      <c r="P33" s="16"/>
      <c r="Q33" s="16"/>
      <c r="R33" s="35"/>
      <c r="S33" s="43"/>
      <c r="T33" s="46"/>
      <c r="U33" s="51">
        <f t="shared" si="2"/>
        <v>0</v>
      </c>
      <c r="V33" s="17" t="str">
        <f t="shared" si="3"/>
        <v>OK</v>
      </c>
    </row>
    <row r="34" spans="1:22" hidden="1" x14ac:dyDescent="0.3">
      <c r="A34" s="63" t="s">
        <v>71</v>
      </c>
      <c r="B34" s="63">
        <v>5643</v>
      </c>
      <c r="C34" s="18" t="s">
        <v>56</v>
      </c>
      <c r="D34" s="19"/>
      <c r="E34" s="19"/>
      <c r="F34" s="19"/>
      <c r="G34" s="20"/>
      <c r="H34" s="21"/>
      <c r="I34" s="22">
        <f t="shared" si="4"/>
        <v>0</v>
      </c>
      <c r="J34" s="22"/>
      <c r="K34" s="11"/>
      <c r="L34" s="22"/>
      <c r="M34" s="22"/>
      <c r="N34" s="22"/>
      <c r="O34" s="22"/>
      <c r="P34" s="22"/>
      <c r="Q34" s="22"/>
      <c r="R34" s="36"/>
      <c r="S34" s="44"/>
      <c r="T34" s="47"/>
      <c r="U34" s="52">
        <f t="shared" si="2"/>
        <v>0</v>
      </c>
      <c r="V34" s="23" t="str">
        <f t="shared" si="3"/>
        <v>OK</v>
      </c>
    </row>
    <row r="35" spans="1:22" hidden="1" x14ac:dyDescent="0.3">
      <c r="A35" s="62" t="s">
        <v>57</v>
      </c>
      <c r="B35" s="62">
        <v>11350</v>
      </c>
      <c r="C35" s="12" t="s">
        <v>56</v>
      </c>
      <c r="D35" s="53"/>
      <c r="E35" s="13"/>
      <c r="F35" s="13"/>
      <c r="G35" s="14"/>
      <c r="H35" s="15"/>
      <c r="I35" s="16">
        <f t="shared" si="4"/>
        <v>0</v>
      </c>
      <c r="J35" s="16"/>
      <c r="K35" s="11"/>
      <c r="L35" s="16"/>
      <c r="M35" s="16"/>
      <c r="N35" s="16"/>
      <c r="O35" s="16"/>
      <c r="P35" s="16"/>
      <c r="Q35" s="16"/>
      <c r="R35" s="35"/>
      <c r="S35" s="43"/>
      <c r="T35" s="46"/>
      <c r="U35" s="51">
        <f t="shared" si="2"/>
        <v>0</v>
      </c>
      <c r="V35" s="17" t="str">
        <f t="shared" si="3"/>
        <v>OK</v>
      </c>
    </row>
    <row r="36" spans="1:22" x14ac:dyDescent="0.3">
      <c r="A36" s="63" t="s">
        <v>72</v>
      </c>
      <c r="B36" s="63">
        <v>5635</v>
      </c>
      <c r="C36" s="18" t="s">
        <v>55</v>
      </c>
      <c r="D36" s="19"/>
      <c r="E36" s="19"/>
      <c r="F36" s="19"/>
      <c r="G36" s="20"/>
      <c r="H36" s="21"/>
      <c r="I36" s="22">
        <f t="shared" si="4"/>
        <v>5</v>
      </c>
      <c r="J36" s="22"/>
      <c r="K36" s="11"/>
      <c r="L36" s="22"/>
      <c r="M36" s="22">
        <v>5</v>
      </c>
      <c r="N36" s="22"/>
      <c r="O36" s="22"/>
      <c r="P36" s="22"/>
      <c r="Q36" s="22"/>
      <c r="R36" s="36"/>
      <c r="S36" s="44"/>
      <c r="T36" s="47"/>
      <c r="U36" s="52">
        <f t="shared" si="2"/>
        <v>5</v>
      </c>
      <c r="V36" s="23" t="str">
        <f t="shared" si="3"/>
        <v>OK</v>
      </c>
    </row>
    <row r="37" spans="1:22" x14ac:dyDescent="0.3">
      <c r="A37" s="62" t="s">
        <v>58</v>
      </c>
      <c r="B37" s="62">
        <v>11349</v>
      </c>
      <c r="C37" s="12" t="s">
        <v>55</v>
      </c>
      <c r="D37" s="53"/>
      <c r="E37" s="13"/>
      <c r="F37" s="13"/>
      <c r="G37" s="14"/>
      <c r="H37" s="15"/>
      <c r="I37" s="16">
        <f t="shared" si="4"/>
        <v>7</v>
      </c>
      <c r="J37" s="16"/>
      <c r="K37" s="11"/>
      <c r="L37" s="16"/>
      <c r="M37" s="16">
        <v>7</v>
      </c>
      <c r="N37" s="16"/>
      <c r="O37" s="16"/>
      <c r="P37" s="16"/>
      <c r="Q37" s="16"/>
      <c r="R37" s="35"/>
      <c r="S37" s="43"/>
      <c r="T37" s="46"/>
      <c r="U37" s="51">
        <f t="shared" ref="U37:U55" si="5">SUM(L37:T37)</f>
        <v>7</v>
      </c>
      <c r="V37" s="17" t="str">
        <f t="shared" si="3"/>
        <v>OK</v>
      </c>
    </row>
    <row r="38" spans="1:22" hidden="1" x14ac:dyDescent="0.3">
      <c r="A38" s="63" t="s">
        <v>73</v>
      </c>
      <c r="B38" s="63">
        <v>5627</v>
      </c>
      <c r="C38" s="18" t="s">
        <v>56</v>
      </c>
      <c r="D38" s="19"/>
      <c r="E38" s="19"/>
      <c r="F38" s="19"/>
      <c r="G38" s="20"/>
      <c r="H38" s="21"/>
      <c r="I38" s="22">
        <f t="shared" si="4"/>
        <v>0</v>
      </c>
      <c r="J38" s="22"/>
      <c r="K38" s="11"/>
      <c r="L38" s="22"/>
      <c r="M38" s="22"/>
      <c r="N38" s="22"/>
      <c r="O38" s="22"/>
      <c r="P38" s="22"/>
      <c r="Q38" s="22"/>
      <c r="R38" s="36"/>
      <c r="S38" s="44"/>
      <c r="T38" s="47"/>
      <c r="U38" s="52">
        <f t="shared" si="5"/>
        <v>0</v>
      </c>
      <c r="V38" s="23" t="str">
        <f t="shared" si="3"/>
        <v>OK</v>
      </c>
    </row>
    <row r="39" spans="1:22" hidden="1" x14ac:dyDescent="0.3">
      <c r="A39" s="62" t="s">
        <v>59</v>
      </c>
      <c r="B39" s="62">
        <v>11348</v>
      </c>
      <c r="C39" s="12" t="s">
        <v>56</v>
      </c>
      <c r="D39" s="53"/>
      <c r="E39" s="13"/>
      <c r="F39" s="13"/>
      <c r="G39" s="14"/>
      <c r="H39" s="15"/>
      <c r="I39" s="16">
        <f t="shared" si="4"/>
        <v>0</v>
      </c>
      <c r="J39" s="16"/>
      <c r="K39" s="11"/>
      <c r="L39" s="16"/>
      <c r="M39" s="16"/>
      <c r="N39" s="16"/>
      <c r="O39" s="16"/>
      <c r="P39" s="16"/>
      <c r="Q39" s="16"/>
      <c r="R39" s="35"/>
      <c r="S39" s="43"/>
      <c r="T39" s="46"/>
      <c r="U39" s="51">
        <f t="shared" si="5"/>
        <v>0</v>
      </c>
      <c r="V39" s="17" t="str">
        <f t="shared" si="3"/>
        <v>OK</v>
      </c>
    </row>
    <row r="40" spans="1:22" hidden="1" x14ac:dyDescent="0.3">
      <c r="A40" s="63" t="s">
        <v>74</v>
      </c>
      <c r="B40" s="63">
        <v>5619</v>
      </c>
      <c r="C40" s="18" t="s">
        <v>60</v>
      </c>
      <c r="D40" s="19"/>
      <c r="E40" s="19"/>
      <c r="F40" s="19"/>
      <c r="G40" s="20"/>
      <c r="H40" s="21"/>
      <c r="I40" s="22">
        <f t="shared" si="4"/>
        <v>0</v>
      </c>
      <c r="J40" s="22"/>
      <c r="K40" s="11"/>
      <c r="L40" s="22"/>
      <c r="M40" s="22"/>
      <c r="N40" s="22"/>
      <c r="O40" s="22"/>
      <c r="P40" s="22"/>
      <c r="Q40" s="22"/>
      <c r="R40" s="36"/>
      <c r="S40" s="44"/>
      <c r="T40" s="47"/>
      <c r="U40" s="52">
        <f t="shared" si="5"/>
        <v>0</v>
      </c>
      <c r="V40" s="23" t="str">
        <f t="shared" si="3"/>
        <v>OK</v>
      </c>
    </row>
    <row r="41" spans="1:22" hidden="1" x14ac:dyDescent="0.3">
      <c r="A41" s="64" t="s">
        <v>61</v>
      </c>
      <c r="B41" s="62">
        <v>11347</v>
      </c>
      <c r="C41" s="12" t="s">
        <v>60</v>
      </c>
      <c r="D41" s="53"/>
      <c r="E41" s="13"/>
      <c r="F41" s="13"/>
      <c r="G41" s="14"/>
      <c r="H41" s="15"/>
      <c r="I41" s="16">
        <f t="shared" si="4"/>
        <v>0</v>
      </c>
      <c r="J41" s="16"/>
      <c r="K41" s="11"/>
      <c r="L41" s="16"/>
      <c r="M41" s="16"/>
      <c r="N41" s="16"/>
      <c r="O41" s="16"/>
      <c r="P41" s="16"/>
      <c r="Q41" s="16"/>
      <c r="R41" s="35"/>
      <c r="S41" s="43"/>
      <c r="T41" s="46"/>
      <c r="U41" s="51">
        <f t="shared" si="5"/>
        <v>0</v>
      </c>
      <c r="V41" s="17" t="str">
        <f t="shared" si="3"/>
        <v>OK</v>
      </c>
    </row>
    <row r="42" spans="1:22" hidden="1" x14ac:dyDescent="0.3">
      <c r="A42" s="54" t="s">
        <v>75</v>
      </c>
      <c r="B42" s="63">
        <v>5611</v>
      </c>
      <c r="C42" s="18" t="s">
        <v>62</v>
      </c>
      <c r="D42" s="19"/>
      <c r="E42" s="19"/>
      <c r="F42" s="19"/>
      <c r="G42" s="20"/>
      <c r="H42" s="21"/>
      <c r="I42" s="22">
        <f t="shared" si="4"/>
        <v>0</v>
      </c>
      <c r="J42" s="22"/>
      <c r="K42" s="11"/>
      <c r="L42" s="22"/>
      <c r="M42" s="22"/>
      <c r="N42" s="22"/>
      <c r="O42" s="22"/>
      <c r="P42" s="22"/>
      <c r="Q42" s="22"/>
      <c r="R42" s="36"/>
      <c r="S42" s="44"/>
      <c r="T42" s="47"/>
      <c r="U42" s="52">
        <f t="shared" si="5"/>
        <v>0</v>
      </c>
      <c r="V42" s="23" t="str">
        <f t="shared" si="3"/>
        <v>OK</v>
      </c>
    </row>
    <row r="43" spans="1:22" hidden="1" x14ac:dyDescent="0.3">
      <c r="A43" s="12" t="s">
        <v>63</v>
      </c>
      <c r="B43" s="62">
        <v>11336</v>
      </c>
      <c r="C43" s="12" t="s">
        <v>62</v>
      </c>
      <c r="D43" s="53"/>
      <c r="E43" s="13"/>
      <c r="F43" s="13"/>
      <c r="G43" s="14"/>
      <c r="H43" s="15"/>
      <c r="I43" s="16">
        <f t="shared" si="4"/>
        <v>0</v>
      </c>
      <c r="J43" s="16"/>
      <c r="K43" s="11"/>
      <c r="L43" s="16"/>
      <c r="M43" s="16"/>
      <c r="N43" s="16"/>
      <c r="O43" s="16"/>
      <c r="P43" s="16"/>
      <c r="Q43" s="16"/>
      <c r="R43" s="35"/>
      <c r="S43" s="43"/>
      <c r="T43" s="46"/>
      <c r="U43" s="51">
        <f t="shared" si="5"/>
        <v>0</v>
      </c>
      <c r="V43" s="17" t="str">
        <f t="shared" si="3"/>
        <v>OK</v>
      </c>
    </row>
    <row r="44" spans="1:22" hidden="1" x14ac:dyDescent="0.3">
      <c r="A44" s="54" t="s">
        <v>100</v>
      </c>
      <c r="B44" s="63">
        <v>14860</v>
      </c>
      <c r="C44" s="18" t="s">
        <v>56</v>
      </c>
      <c r="D44" s="19"/>
      <c r="E44" s="19"/>
      <c r="F44" s="19"/>
      <c r="G44" s="20"/>
      <c r="H44" s="21"/>
      <c r="I44" s="22">
        <f t="shared" si="4"/>
        <v>0</v>
      </c>
      <c r="J44" s="22"/>
      <c r="K44" s="11"/>
      <c r="L44" s="22"/>
      <c r="M44" s="22"/>
      <c r="N44" s="22"/>
      <c r="O44" s="22"/>
      <c r="P44" s="22"/>
      <c r="Q44" s="22"/>
      <c r="R44" s="36"/>
      <c r="S44" s="44"/>
      <c r="T44" s="47"/>
      <c r="U44" s="52">
        <f t="shared" si="5"/>
        <v>0</v>
      </c>
      <c r="V44" s="23" t="str">
        <f t="shared" si="3"/>
        <v>OK</v>
      </c>
    </row>
    <row r="45" spans="1:22" hidden="1" x14ac:dyDescent="0.3">
      <c r="A45" s="64" t="s">
        <v>83</v>
      </c>
      <c r="B45" s="62">
        <v>14861</v>
      </c>
      <c r="C45" s="12" t="s">
        <v>56</v>
      </c>
      <c r="D45" s="53"/>
      <c r="E45" s="13"/>
      <c r="F45" s="13"/>
      <c r="G45" s="14"/>
      <c r="H45" s="15"/>
      <c r="I45" s="16">
        <f t="shared" si="4"/>
        <v>0</v>
      </c>
      <c r="J45" s="16"/>
      <c r="K45" s="11"/>
      <c r="L45" s="16"/>
      <c r="M45" s="16"/>
      <c r="N45" s="16"/>
      <c r="O45" s="16"/>
      <c r="P45" s="16"/>
      <c r="Q45" s="16"/>
      <c r="R45" s="35"/>
      <c r="S45" s="43"/>
      <c r="T45" s="46"/>
      <c r="U45" s="51">
        <f t="shared" si="5"/>
        <v>0</v>
      </c>
      <c r="V45" s="17" t="str">
        <f t="shared" si="3"/>
        <v>OK</v>
      </c>
    </row>
    <row r="46" spans="1:22" hidden="1" x14ac:dyDescent="0.3">
      <c r="A46" s="54" t="s">
        <v>101</v>
      </c>
      <c r="B46" s="63">
        <v>15096</v>
      </c>
      <c r="C46" s="18" t="s">
        <v>56</v>
      </c>
      <c r="D46" s="19"/>
      <c r="E46" s="19"/>
      <c r="F46" s="19"/>
      <c r="G46" s="20"/>
      <c r="H46" s="21"/>
      <c r="I46" s="22">
        <f t="shared" si="4"/>
        <v>0</v>
      </c>
      <c r="J46" s="22"/>
      <c r="K46" s="11"/>
      <c r="L46" s="22"/>
      <c r="M46" s="22"/>
      <c r="N46" s="22"/>
      <c r="O46" s="22"/>
      <c r="P46" s="22"/>
      <c r="Q46" s="22"/>
      <c r="R46" s="36"/>
      <c r="S46" s="44"/>
      <c r="T46" s="47"/>
      <c r="U46" s="52">
        <f t="shared" si="5"/>
        <v>0</v>
      </c>
      <c r="V46" s="23" t="str">
        <f t="shared" si="3"/>
        <v>OK</v>
      </c>
    </row>
    <row r="47" spans="1:22" hidden="1" x14ac:dyDescent="0.3">
      <c r="A47" s="12" t="s">
        <v>81</v>
      </c>
      <c r="B47" s="62">
        <v>15097</v>
      </c>
      <c r="C47" s="12" t="s">
        <v>56</v>
      </c>
      <c r="D47" s="53"/>
      <c r="E47" s="13"/>
      <c r="F47" s="13"/>
      <c r="G47" s="14"/>
      <c r="H47" s="15"/>
      <c r="I47" s="16">
        <f t="shared" si="4"/>
        <v>0</v>
      </c>
      <c r="J47" s="16"/>
      <c r="K47" s="11"/>
      <c r="L47" s="16"/>
      <c r="M47" s="16"/>
      <c r="N47" s="16"/>
      <c r="O47" s="16"/>
      <c r="P47" s="16"/>
      <c r="Q47" s="16"/>
      <c r="R47" s="35"/>
      <c r="S47" s="43"/>
      <c r="T47" s="46"/>
      <c r="U47" s="51">
        <f t="shared" si="5"/>
        <v>0</v>
      </c>
      <c r="V47" s="17" t="str">
        <f t="shared" si="3"/>
        <v>OK</v>
      </c>
    </row>
    <row r="48" spans="1:22" hidden="1" x14ac:dyDescent="0.3">
      <c r="A48" s="54" t="s">
        <v>76</v>
      </c>
      <c r="B48" s="63">
        <v>5585</v>
      </c>
      <c r="C48" s="18" t="s">
        <v>64</v>
      </c>
      <c r="D48" s="19"/>
      <c r="E48" s="19"/>
      <c r="F48" s="19"/>
      <c r="G48" s="20"/>
      <c r="H48" s="21"/>
      <c r="I48" s="22">
        <f t="shared" si="4"/>
        <v>0</v>
      </c>
      <c r="J48" s="22"/>
      <c r="K48" s="11"/>
      <c r="L48" s="22"/>
      <c r="M48" s="22"/>
      <c r="N48" s="22"/>
      <c r="O48" s="22"/>
      <c r="P48" s="22"/>
      <c r="Q48" s="22"/>
      <c r="R48" s="36"/>
      <c r="S48" s="44"/>
      <c r="T48" s="47"/>
      <c r="U48" s="52">
        <f t="shared" si="5"/>
        <v>0</v>
      </c>
      <c r="V48" s="23" t="str">
        <f t="shared" si="3"/>
        <v>OK</v>
      </c>
    </row>
    <row r="49" spans="1:22" hidden="1" x14ac:dyDescent="0.3">
      <c r="A49" s="12" t="s">
        <v>65</v>
      </c>
      <c r="B49" s="62">
        <v>11351</v>
      </c>
      <c r="C49" s="12" t="s">
        <v>64</v>
      </c>
      <c r="D49" s="53"/>
      <c r="E49" s="13"/>
      <c r="F49" s="13"/>
      <c r="G49" s="14"/>
      <c r="H49" s="15"/>
      <c r="I49" s="16">
        <f t="shared" si="4"/>
        <v>0</v>
      </c>
      <c r="J49" s="16"/>
      <c r="K49" s="11"/>
      <c r="L49" s="16"/>
      <c r="M49" s="16"/>
      <c r="N49" s="16"/>
      <c r="O49" s="16"/>
      <c r="P49" s="16"/>
      <c r="Q49" s="16"/>
      <c r="R49" s="35"/>
      <c r="S49" s="43"/>
      <c r="T49" s="46"/>
      <c r="U49" s="51">
        <f t="shared" si="5"/>
        <v>0</v>
      </c>
      <c r="V49" s="17" t="str">
        <f t="shared" si="3"/>
        <v>OK</v>
      </c>
    </row>
    <row r="50" spans="1:22" hidden="1" x14ac:dyDescent="0.3">
      <c r="A50" s="54" t="s">
        <v>66</v>
      </c>
      <c r="B50" s="63">
        <v>11352</v>
      </c>
      <c r="C50" s="18" t="s">
        <v>64</v>
      </c>
      <c r="D50" s="19"/>
      <c r="E50" s="19"/>
      <c r="F50" s="19"/>
      <c r="G50" s="20"/>
      <c r="H50" s="21"/>
      <c r="I50" s="22">
        <f t="shared" si="4"/>
        <v>0</v>
      </c>
      <c r="J50" s="22"/>
      <c r="K50" s="11"/>
      <c r="L50" s="22"/>
      <c r="M50" s="22"/>
      <c r="N50" s="22"/>
      <c r="O50" s="22"/>
      <c r="P50" s="22"/>
      <c r="Q50" s="22"/>
      <c r="R50" s="36"/>
      <c r="S50" s="44"/>
      <c r="T50" s="47"/>
      <c r="U50" s="52">
        <f t="shared" si="5"/>
        <v>0</v>
      </c>
      <c r="V50" s="23" t="str">
        <f t="shared" si="3"/>
        <v>OK</v>
      </c>
    </row>
    <row r="51" spans="1:22" hidden="1" x14ac:dyDescent="0.3">
      <c r="A51" s="90" t="s">
        <v>102</v>
      </c>
      <c r="B51" s="76">
        <v>13515</v>
      </c>
      <c r="C51" s="70" t="s">
        <v>78</v>
      </c>
      <c r="D51" s="70"/>
      <c r="E51" s="70"/>
      <c r="F51" s="70"/>
      <c r="G51" s="91"/>
      <c r="H51" s="82"/>
      <c r="I51" s="82">
        <f t="shared" si="4"/>
        <v>0</v>
      </c>
      <c r="J51" s="74"/>
      <c r="K51" s="11"/>
      <c r="L51" s="16"/>
      <c r="M51" s="16"/>
      <c r="N51" s="16"/>
      <c r="O51" s="16"/>
      <c r="P51" s="16"/>
      <c r="Q51" s="16"/>
      <c r="R51" s="35"/>
      <c r="S51" s="43"/>
      <c r="T51" s="46"/>
      <c r="U51" s="75">
        <f t="shared" si="5"/>
        <v>0</v>
      </c>
      <c r="V51" s="93" t="str">
        <f t="shared" si="3"/>
        <v>OK</v>
      </c>
    </row>
    <row r="52" spans="1:22" hidden="1" x14ac:dyDescent="0.3">
      <c r="A52" s="54" t="s">
        <v>103</v>
      </c>
      <c r="B52" s="63">
        <v>13516</v>
      </c>
      <c r="C52" s="18" t="s">
        <v>78</v>
      </c>
      <c r="D52" s="18"/>
      <c r="E52" s="18"/>
      <c r="F52" s="18"/>
      <c r="G52" s="92"/>
      <c r="H52" s="22"/>
      <c r="I52" s="22">
        <f t="shared" si="4"/>
        <v>0</v>
      </c>
      <c r="J52" s="69"/>
      <c r="K52" s="11"/>
      <c r="L52" s="22"/>
      <c r="M52" s="22"/>
      <c r="N52" s="22"/>
      <c r="O52" s="22"/>
      <c r="P52" s="22"/>
      <c r="Q52" s="22"/>
      <c r="R52" s="36"/>
      <c r="S52" s="44"/>
      <c r="T52" s="47"/>
      <c r="U52" s="52">
        <f t="shared" si="5"/>
        <v>0</v>
      </c>
      <c r="V52" s="23" t="str">
        <f t="shared" si="3"/>
        <v>OK</v>
      </c>
    </row>
    <row r="53" spans="1:22" hidden="1" x14ac:dyDescent="0.3">
      <c r="A53" s="90" t="s">
        <v>104</v>
      </c>
      <c r="B53" s="76">
        <v>13468</v>
      </c>
      <c r="C53" s="70" t="s">
        <v>78</v>
      </c>
      <c r="D53" s="70"/>
      <c r="E53" s="70"/>
      <c r="F53" s="70"/>
      <c r="G53" s="91"/>
      <c r="H53" s="82"/>
      <c r="I53" s="82">
        <f t="shared" si="4"/>
        <v>0</v>
      </c>
      <c r="J53" s="74"/>
      <c r="K53" s="11"/>
      <c r="L53" s="16"/>
      <c r="M53" s="16"/>
      <c r="N53" s="16"/>
      <c r="O53" s="16"/>
      <c r="P53" s="16"/>
      <c r="Q53" s="16"/>
      <c r="R53" s="35"/>
      <c r="S53" s="43"/>
      <c r="T53" s="46"/>
      <c r="U53" s="75">
        <f t="shared" si="5"/>
        <v>0</v>
      </c>
      <c r="V53" s="93" t="str">
        <f t="shared" si="3"/>
        <v>OK</v>
      </c>
    </row>
    <row r="54" spans="1:22" hidden="1" x14ac:dyDescent="0.3">
      <c r="A54" s="54" t="s">
        <v>79</v>
      </c>
      <c r="B54" s="63">
        <v>13469</v>
      </c>
      <c r="C54" s="18" t="s">
        <v>78</v>
      </c>
      <c r="D54" s="18"/>
      <c r="E54" s="18"/>
      <c r="F54" s="18"/>
      <c r="G54" s="92"/>
      <c r="H54" s="22"/>
      <c r="I54" s="22">
        <f t="shared" si="4"/>
        <v>0</v>
      </c>
      <c r="J54" s="69"/>
      <c r="K54" s="11"/>
      <c r="L54" s="22"/>
      <c r="M54" s="22"/>
      <c r="N54" s="22"/>
      <c r="O54" s="22"/>
      <c r="P54" s="22"/>
      <c r="Q54" s="22"/>
      <c r="R54" s="36"/>
      <c r="S54" s="44"/>
      <c r="T54" s="47"/>
      <c r="U54" s="52">
        <f t="shared" si="5"/>
        <v>0</v>
      </c>
      <c r="V54" s="23" t="str">
        <f t="shared" si="3"/>
        <v>OK</v>
      </c>
    </row>
    <row r="55" spans="1:22" hidden="1" x14ac:dyDescent="0.3">
      <c r="A55" s="90" t="s">
        <v>43</v>
      </c>
      <c r="B55" s="76">
        <v>11820</v>
      </c>
      <c r="C55" s="70" t="s">
        <v>67</v>
      </c>
      <c r="D55" s="70"/>
      <c r="E55" s="70"/>
      <c r="F55" s="70"/>
      <c r="G55" s="91"/>
      <c r="H55" s="82"/>
      <c r="I55" s="82">
        <f t="shared" si="4"/>
        <v>0</v>
      </c>
      <c r="J55" s="74"/>
      <c r="K55" s="11"/>
      <c r="L55" s="16"/>
      <c r="M55" s="16"/>
      <c r="N55" s="16"/>
      <c r="O55" s="16"/>
      <c r="P55" s="16"/>
      <c r="Q55" s="16"/>
      <c r="R55" s="35"/>
      <c r="S55" s="43"/>
      <c r="T55" s="46"/>
      <c r="U55" s="75">
        <f t="shared" si="5"/>
        <v>0</v>
      </c>
      <c r="V55" s="93" t="str">
        <f t="shared" si="3"/>
        <v>OK</v>
      </c>
    </row>
    <row r="56" spans="1:22" hidden="1" x14ac:dyDescent="0.3">
      <c r="A56" s="54" t="s">
        <v>44</v>
      </c>
      <c r="B56" s="63">
        <v>11816</v>
      </c>
      <c r="C56" s="18" t="s">
        <v>67</v>
      </c>
      <c r="D56" s="18"/>
      <c r="E56" s="18"/>
      <c r="F56" s="18"/>
      <c r="G56" s="92"/>
      <c r="H56" s="22"/>
      <c r="I56" s="22">
        <f t="shared" si="4"/>
        <v>0</v>
      </c>
      <c r="J56" s="69"/>
      <c r="K56" s="11"/>
      <c r="L56" s="22"/>
      <c r="M56" s="22"/>
      <c r="N56" s="22"/>
      <c r="O56" s="22"/>
      <c r="P56" s="22"/>
      <c r="Q56" s="22"/>
      <c r="R56" s="36"/>
      <c r="S56" s="44"/>
      <c r="T56" s="47"/>
      <c r="U56" s="52">
        <f>SUM(L56:T56)</f>
        <v>0</v>
      </c>
      <c r="V56" s="23" t="str">
        <f t="shared" si="3"/>
        <v>OK</v>
      </c>
    </row>
    <row r="57" spans="1:22" hidden="1" x14ac:dyDescent="0.3">
      <c r="A57" s="76" t="s">
        <v>77</v>
      </c>
      <c r="B57" s="76">
        <v>11381</v>
      </c>
      <c r="C57" s="77" t="s">
        <v>68</v>
      </c>
      <c r="D57" s="70"/>
      <c r="E57" s="70"/>
      <c r="F57" s="70"/>
      <c r="G57" s="91"/>
      <c r="H57" s="82"/>
      <c r="I57" s="82">
        <f t="shared" si="4"/>
        <v>0</v>
      </c>
      <c r="J57" s="74"/>
      <c r="K57" s="11"/>
      <c r="L57" s="16"/>
      <c r="M57" s="16"/>
      <c r="N57" s="16"/>
      <c r="O57" s="16"/>
      <c r="P57" s="16"/>
      <c r="Q57" s="16"/>
      <c r="R57" s="35"/>
      <c r="S57" s="43"/>
      <c r="T57" s="46"/>
      <c r="U57" s="75">
        <f>SUM(L57:T57)</f>
        <v>0</v>
      </c>
      <c r="V57" s="93" t="str">
        <f t="shared" si="3"/>
        <v>OK</v>
      </c>
    </row>
    <row r="58" spans="1:22" hidden="1" x14ac:dyDescent="0.3">
      <c r="A58" s="54" t="s">
        <v>69</v>
      </c>
      <c r="B58" s="63">
        <v>11382</v>
      </c>
      <c r="C58" s="18" t="s">
        <v>68</v>
      </c>
      <c r="D58" s="18"/>
      <c r="E58" s="18"/>
      <c r="F58" s="18"/>
      <c r="G58" s="92"/>
      <c r="H58" s="22"/>
      <c r="I58" s="22">
        <f t="shared" si="4"/>
        <v>0</v>
      </c>
      <c r="J58" s="69"/>
      <c r="K58" s="11"/>
      <c r="L58" s="22"/>
      <c r="M58" s="22"/>
      <c r="N58" s="22"/>
      <c r="O58" s="22"/>
      <c r="P58" s="22"/>
      <c r="Q58" s="22"/>
      <c r="R58" s="36"/>
      <c r="S58" s="44"/>
      <c r="T58" s="47"/>
      <c r="U58" s="52">
        <f>SUM(L58:T58)</f>
        <v>0</v>
      </c>
      <c r="V58" s="23" t="str">
        <f t="shared" si="3"/>
        <v>OK</v>
      </c>
    </row>
    <row r="59" spans="1:22" hidden="1" x14ac:dyDescent="0.3">
      <c r="A59" s="96" t="s">
        <v>105</v>
      </c>
      <c r="B59" s="76">
        <v>16586</v>
      </c>
      <c r="C59" s="70" t="s">
        <v>78</v>
      </c>
      <c r="D59" s="70"/>
      <c r="E59" s="70"/>
      <c r="F59" s="70"/>
      <c r="G59" s="91"/>
      <c r="H59" s="82"/>
      <c r="I59" s="82">
        <f t="shared" si="4"/>
        <v>0</v>
      </c>
      <c r="J59" s="74"/>
      <c r="K59" s="11"/>
      <c r="L59" s="16"/>
      <c r="M59" s="16"/>
      <c r="N59" s="16"/>
      <c r="O59" s="16"/>
      <c r="P59" s="16"/>
      <c r="Q59" s="16"/>
      <c r="R59" s="35"/>
      <c r="S59" s="43"/>
      <c r="T59" s="46"/>
      <c r="U59" s="75">
        <f t="shared" ref="U59:U69" si="6">SUM(L59:T59)</f>
        <v>0</v>
      </c>
      <c r="V59" s="93" t="str">
        <f t="shared" si="3"/>
        <v>OK</v>
      </c>
    </row>
    <row r="60" spans="1:22" hidden="1" x14ac:dyDescent="0.3">
      <c r="A60" s="54" t="s">
        <v>90</v>
      </c>
      <c r="B60" s="63">
        <v>16587</v>
      </c>
      <c r="C60" s="18" t="s">
        <v>78</v>
      </c>
      <c r="D60" s="18"/>
      <c r="E60" s="18"/>
      <c r="F60" s="18"/>
      <c r="G60" s="92"/>
      <c r="H60" s="22"/>
      <c r="I60" s="22">
        <f t="shared" si="4"/>
        <v>0</v>
      </c>
      <c r="J60" s="69"/>
      <c r="K60" s="11"/>
      <c r="L60" s="22"/>
      <c r="M60" s="22"/>
      <c r="N60" s="22"/>
      <c r="O60" s="22"/>
      <c r="P60" s="22"/>
      <c r="Q60" s="22"/>
      <c r="R60" s="36"/>
      <c r="S60" s="44"/>
      <c r="T60" s="47"/>
      <c r="U60" s="52">
        <f t="shared" si="6"/>
        <v>0</v>
      </c>
      <c r="V60" s="23" t="str">
        <f t="shared" si="3"/>
        <v>OK</v>
      </c>
    </row>
    <row r="61" spans="1:22" hidden="1" x14ac:dyDescent="0.3">
      <c r="A61" s="90" t="s">
        <v>91</v>
      </c>
      <c r="B61" s="76">
        <v>17121</v>
      </c>
      <c r="C61" s="70" t="s">
        <v>92</v>
      </c>
      <c r="D61" s="70"/>
      <c r="E61" s="70"/>
      <c r="F61" s="70"/>
      <c r="G61" s="91"/>
      <c r="H61" s="82"/>
      <c r="I61" s="82">
        <f t="shared" si="4"/>
        <v>0</v>
      </c>
      <c r="J61" s="74"/>
      <c r="K61" s="11"/>
      <c r="L61" s="16"/>
      <c r="M61" s="16"/>
      <c r="N61" s="16"/>
      <c r="O61" s="16"/>
      <c r="P61" s="16"/>
      <c r="Q61" s="16"/>
      <c r="R61" s="35"/>
      <c r="S61" s="43"/>
      <c r="T61" s="46"/>
      <c r="U61" s="75">
        <f t="shared" si="6"/>
        <v>0</v>
      </c>
      <c r="V61" s="93" t="str">
        <f t="shared" si="3"/>
        <v>OK</v>
      </c>
    </row>
    <row r="62" spans="1:22" hidden="1" x14ac:dyDescent="0.3">
      <c r="A62" s="54" t="s">
        <v>106</v>
      </c>
      <c r="B62" s="63">
        <v>19270</v>
      </c>
      <c r="C62" s="18" t="s">
        <v>68</v>
      </c>
      <c r="D62" s="18"/>
      <c r="E62" s="18"/>
      <c r="F62" s="18"/>
      <c r="G62" s="92"/>
      <c r="H62" s="22"/>
      <c r="I62" s="22">
        <f t="shared" si="4"/>
        <v>0</v>
      </c>
      <c r="J62" s="69"/>
      <c r="K62" s="11"/>
      <c r="L62" s="22"/>
      <c r="M62" s="22"/>
      <c r="N62" s="22"/>
      <c r="O62" s="22"/>
      <c r="P62" s="22"/>
      <c r="Q62" s="22"/>
      <c r="R62" s="36"/>
      <c r="S62" s="44"/>
      <c r="T62" s="47"/>
      <c r="U62" s="71">
        <f t="shared" si="6"/>
        <v>0</v>
      </c>
      <c r="V62" s="23" t="str">
        <f t="shared" si="3"/>
        <v>OK</v>
      </c>
    </row>
    <row r="63" spans="1:22" hidden="1" x14ac:dyDescent="0.3">
      <c r="A63" s="90" t="s">
        <v>107</v>
      </c>
      <c r="B63" s="76">
        <v>19276</v>
      </c>
      <c r="C63" s="70" t="s">
        <v>68</v>
      </c>
      <c r="D63" s="70"/>
      <c r="E63" s="70"/>
      <c r="F63" s="70"/>
      <c r="G63" s="91"/>
      <c r="H63" s="82"/>
      <c r="I63" s="82">
        <f t="shared" si="4"/>
        <v>0</v>
      </c>
      <c r="J63" s="74"/>
      <c r="K63" s="11"/>
      <c r="L63" s="16"/>
      <c r="M63" s="16"/>
      <c r="N63" s="16"/>
      <c r="O63" s="16"/>
      <c r="P63" s="16"/>
      <c r="Q63" s="16"/>
      <c r="R63" s="35"/>
      <c r="S63" s="43"/>
      <c r="T63" s="46"/>
      <c r="U63" s="75">
        <f t="shared" si="6"/>
        <v>0</v>
      </c>
      <c r="V63" s="93" t="str">
        <f t="shared" si="3"/>
        <v>OK</v>
      </c>
    </row>
    <row r="64" spans="1:22" hidden="1" x14ac:dyDescent="0.3">
      <c r="A64" s="54" t="s">
        <v>108</v>
      </c>
      <c r="B64" s="63">
        <v>19836</v>
      </c>
      <c r="C64" s="18" t="s">
        <v>45</v>
      </c>
      <c r="D64" s="18"/>
      <c r="E64" s="18"/>
      <c r="F64" s="18"/>
      <c r="G64" s="92"/>
      <c r="H64" s="22"/>
      <c r="I64" s="22">
        <f t="shared" si="4"/>
        <v>0</v>
      </c>
      <c r="J64" s="69"/>
      <c r="K64" s="11"/>
      <c r="L64" s="22"/>
      <c r="M64" s="22"/>
      <c r="N64" s="22"/>
      <c r="O64" s="22"/>
      <c r="P64" s="22"/>
      <c r="Q64" s="22"/>
      <c r="R64" s="36"/>
      <c r="S64" s="44"/>
      <c r="T64" s="47"/>
      <c r="U64" s="52">
        <f t="shared" si="6"/>
        <v>0</v>
      </c>
      <c r="V64" s="23" t="str">
        <f t="shared" si="3"/>
        <v>OK</v>
      </c>
    </row>
    <row r="65" spans="1:22" hidden="1" x14ac:dyDescent="0.3">
      <c r="A65" s="90" t="s">
        <v>109</v>
      </c>
      <c r="B65" s="76">
        <v>20278</v>
      </c>
      <c r="C65" s="70" t="s">
        <v>110</v>
      </c>
      <c r="D65" s="70"/>
      <c r="E65" s="70"/>
      <c r="F65" s="70"/>
      <c r="G65" s="91"/>
      <c r="H65" s="82"/>
      <c r="I65" s="82">
        <f t="shared" si="4"/>
        <v>0</v>
      </c>
      <c r="J65" s="74"/>
      <c r="K65" s="11"/>
      <c r="L65" s="16"/>
      <c r="M65" s="16"/>
      <c r="N65" s="16"/>
      <c r="O65" s="16"/>
      <c r="P65" s="16"/>
      <c r="Q65" s="16"/>
      <c r="R65" s="35"/>
      <c r="S65" s="43"/>
      <c r="T65" s="46"/>
      <c r="U65" s="75">
        <f t="shared" si="6"/>
        <v>0</v>
      </c>
      <c r="V65" s="93" t="str">
        <f t="shared" si="3"/>
        <v>OK</v>
      </c>
    </row>
    <row r="66" spans="1:22" hidden="1" x14ac:dyDescent="0.3">
      <c r="A66" s="54" t="s">
        <v>111</v>
      </c>
      <c r="B66" s="63">
        <v>20272</v>
      </c>
      <c r="C66" s="18" t="s">
        <v>110</v>
      </c>
      <c r="D66" s="18"/>
      <c r="E66" s="18"/>
      <c r="F66" s="18"/>
      <c r="G66" s="92"/>
      <c r="H66" s="22"/>
      <c r="I66" s="22">
        <f t="shared" si="4"/>
        <v>0</v>
      </c>
      <c r="J66" s="69"/>
      <c r="K66" s="11"/>
      <c r="L66" s="22"/>
      <c r="M66" s="22"/>
      <c r="N66" s="22"/>
      <c r="O66" s="22"/>
      <c r="P66" s="22"/>
      <c r="Q66" s="22"/>
      <c r="R66" s="36"/>
      <c r="S66" s="44"/>
      <c r="T66" s="47"/>
      <c r="U66" s="52">
        <f t="shared" si="6"/>
        <v>0</v>
      </c>
      <c r="V66" s="23" t="str">
        <f t="shared" si="3"/>
        <v>OK</v>
      </c>
    </row>
    <row r="67" spans="1:22" hidden="1" x14ac:dyDescent="0.3">
      <c r="A67" s="90" t="s">
        <v>112</v>
      </c>
      <c r="B67" s="76">
        <v>20956</v>
      </c>
      <c r="C67" s="70" t="s">
        <v>110</v>
      </c>
      <c r="D67" s="70"/>
      <c r="E67" s="70"/>
      <c r="F67" s="70"/>
      <c r="G67" s="91"/>
      <c r="H67" s="82"/>
      <c r="I67" s="82">
        <f t="shared" si="4"/>
        <v>0</v>
      </c>
      <c r="J67" s="74"/>
      <c r="K67" s="11"/>
      <c r="L67" s="16"/>
      <c r="M67" s="16"/>
      <c r="N67" s="16"/>
      <c r="O67" s="16"/>
      <c r="P67" s="16"/>
      <c r="Q67" s="16"/>
      <c r="R67" s="35"/>
      <c r="S67" s="43"/>
      <c r="T67" s="46"/>
      <c r="U67" s="75">
        <f t="shared" si="6"/>
        <v>0</v>
      </c>
      <c r="V67" s="93" t="str">
        <f t="shared" si="3"/>
        <v>OK</v>
      </c>
    </row>
    <row r="68" spans="1:22" hidden="1" x14ac:dyDescent="0.3">
      <c r="A68" s="54" t="s">
        <v>116</v>
      </c>
      <c r="B68" s="63">
        <v>21299</v>
      </c>
      <c r="C68" s="18" t="s">
        <v>78</v>
      </c>
      <c r="D68" s="18"/>
      <c r="E68" s="18"/>
      <c r="F68" s="18"/>
      <c r="G68" s="92"/>
      <c r="H68" s="22"/>
      <c r="I68" s="22">
        <f t="shared" si="4"/>
        <v>0</v>
      </c>
      <c r="J68" s="69"/>
      <c r="K68" s="11"/>
      <c r="L68" s="22"/>
      <c r="M68" s="22"/>
      <c r="N68" s="22"/>
      <c r="O68" s="22"/>
      <c r="P68" s="22"/>
      <c r="Q68" s="22"/>
      <c r="R68" s="36"/>
      <c r="S68" s="44"/>
      <c r="T68" s="47"/>
      <c r="U68" s="71">
        <f t="shared" si="6"/>
        <v>0</v>
      </c>
      <c r="V68" s="23" t="str">
        <f>IF(U68=I68,"OK","NG")</f>
        <v>OK</v>
      </c>
    </row>
    <row r="69" spans="1:22" hidden="1" x14ac:dyDescent="0.3">
      <c r="A69" s="99" t="s">
        <v>117</v>
      </c>
      <c r="B69" s="76">
        <v>22115</v>
      </c>
      <c r="C69" s="82" t="s">
        <v>118</v>
      </c>
      <c r="D69" s="82"/>
      <c r="E69" s="82"/>
      <c r="F69" s="82"/>
      <c r="G69" s="82"/>
      <c r="H69" s="82"/>
      <c r="I69" s="82">
        <f t="shared" si="4"/>
        <v>0</v>
      </c>
      <c r="J69" s="97"/>
      <c r="K69" s="112"/>
      <c r="L69" s="82"/>
      <c r="M69" s="82"/>
      <c r="N69" s="82"/>
      <c r="O69" s="82"/>
      <c r="P69" s="82"/>
      <c r="Q69" s="82"/>
      <c r="R69" s="83"/>
      <c r="S69" s="84"/>
      <c r="T69" s="100"/>
      <c r="U69" s="75">
        <f t="shared" si="6"/>
        <v>0</v>
      </c>
      <c r="V69" s="93" t="str">
        <f>IF(U69=I69,"OK","NG")</f>
        <v>OK</v>
      </c>
    </row>
    <row r="70" spans="1:22" hidden="1" x14ac:dyDescent="0.3">
      <c r="A70" s="54" t="s">
        <v>120</v>
      </c>
      <c r="B70" s="63">
        <v>22706</v>
      </c>
      <c r="C70" s="18" t="s">
        <v>119</v>
      </c>
      <c r="D70" s="18"/>
      <c r="E70" s="18"/>
      <c r="F70" s="18"/>
      <c r="G70" s="92"/>
      <c r="H70" s="22"/>
      <c r="I70" s="22">
        <f t="shared" si="4"/>
        <v>0</v>
      </c>
      <c r="J70" s="69"/>
      <c r="K70" s="11"/>
      <c r="L70" s="22"/>
      <c r="M70" s="22"/>
      <c r="N70" s="22"/>
      <c r="O70" s="22"/>
      <c r="P70" s="22"/>
      <c r="Q70" s="22"/>
      <c r="R70" s="36"/>
      <c r="S70" s="44"/>
      <c r="T70" s="47"/>
      <c r="U70" s="71">
        <f t="shared" ref="U70" si="7">SUM(L70:T70)</f>
        <v>0</v>
      </c>
      <c r="V70" s="23" t="str">
        <f>IF(U70=I70,"OK","NG")</f>
        <v>OK</v>
      </c>
    </row>
    <row r="71" spans="1:22" hidden="1" x14ac:dyDescent="0.3">
      <c r="A71" s="99" t="s">
        <v>121</v>
      </c>
      <c r="B71" s="76">
        <v>22886</v>
      </c>
      <c r="C71" s="82" t="s">
        <v>46</v>
      </c>
      <c r="D71" s="82"/>
      <c r="E71" s="82"/>
      <c r="F71" s="82"/>
      <c r="G71" s="82"/>
      <c r="H71" s="82"/>
      <c r="I71" s="82">
        <f t="shared" ref="I71:I80" si="8">SUM(L71:T71)</f>
        <v>0</v>
      </c>
      <c r="J71" s="97"/>
      <c r="K71" s="112"/>
      <c r="L71" s="82"/>
      <c r="M71" s="82"/>
      <c r="N71" s="82"/>
      <c r="O71" s="82"/>
      <c r="P71" s="82"/>
      <c r="Q71" s="82"/>
      <c r="R71" s="83"/>
      <c r="S71" s="84"/>
      <c r="T71" s="100"/>
      <c r="U71" s="75">
        <f>SUM(L71:T71)</f>
        <v>0</v>
      </c>
      <c r="V71" s="93" t="str">
        <f>IF(U71=I71,"OK","NG")</f>
        <v>OK</v>
      </c>
    </row>
    <row r="72" spans="1:22" hidden="1" x14ac:dyDescent="0.3">
      <c r="A72" s="54" t="s">
        <v>122</v>
      </c>
      <c r="B72" s="63">
        <v>17528</v>
      </c>
      <c r="C72" s="18" t="s">
        <v>123</v>
      </c>
      <c r="D72" s="18"/>
      <c r="E72" s="18"/>
      <c r="F72" s="18"/>
      <c r="G72" s="92"/>
      <c r="H72" s="22"/>
      <c r="I72" s="22">
        <f t="shared" si="8"/>
        <v>0</v>
      </c>
      <c r="J72" s="69"/>
      <c r="K72" s="11"/>
      <c r="L72" s="22"/>
      <c r="M72" s="22"/>
      <c r="N72" s="22"/>
      <c r="O72" s="22"/>
      <c r="P72" s="22"/>
      <c r="Q72" s="22"/>
      <c r="R72" s="36"/>
      <c r="S72" s="44"/>
      <c r="T72" s="47"/>
      <c r="U72" s="71">
        <f t="shared" ref="U72:U80" si="9">SUM(L72:T72)</f>
        <v>0</v>
      </c>
      <c r="V72" s="95" t="str">
        <f t="shared" ref="V72:V80" si="10">IF(U72=I72,"OK","NG")</f>
        <v>OK</v>
      </c>
    </row>
    <row r="73" spans="1:22" hidden="1" x14ac:dyDescent="0.3">
      <c r="A73" s="99" t="s">
        <v>124</v>
      </c>
      <c r="B73" s="76">
        <v>22380</v>
      </c>
      <c r="C73" s="82" t="s">
        <v>47</v>
      </c>
      <c r="D73" s="82"/>
      <c r="E73" s="82"/>
      <c r="F73" s="82"/>
      <c r="G73" s="82"/>
      <c r="H73" s="82"/>
      <c r="I73" s="82">
        <f t="shared" si="8"/>
        <v>0</v>
      </c>
      <c r="J73" s="97"/>
      <c r="K73" s="112"/>
      <c r="L73" s="82"/>
      <c r="M73" s="82"/>
      <c r="N73" s="82"/>
      <c r="O73" s="82"/>
      <c r="P73" s="82"/>
      <c r="Q73" s="82"/>
      <c r="R73" s="83"/>
      <c r="S73" s="84"/>
      <c r="T73" s="100"/>
      <c r="U73" s="75">
        <f t="shared" si="9"/>
        <v>0</v>
      </c>
      <c r="V73" s="93" t="str">
        <f t="shared" si="10"/>
        <v>OK</v>
      </c>
    </row>
    <row r="74" spans="1:22" hidden="1" x14ac:dyDescent="0.3">
      <c r="A74" s="54" t="s">
        <v>125</v>
      </c>
      <c r="B74" s="63">
        <v>19279</v>
      </c>
      <c r="C74" s="18" t="s">
        <v>126</v>
      </c>
      <c r="D74" s="18"/>
      <c r="E74" s="18"/>
      <c r="F74" s="18"/>
      <c r="G74" s="92"/>
      <c r="H74" s="22"/>
      <c r="I74" s="22">
        <f t="shared" si="8"/>
        <v>0</v>
      </c>
      <c r="J74" s="69"/>
      <c r="K74" s="11"/>
      <c r="L74" s="22"/>
      <c r="M74" s="22"/>
      <c r="N74" s="22"/>
      <c r="O74" s="22"/>
      <c r="P74" s="22"/>
      <c r="Q74" s="22"/>
      <c r="R74" s="36"/>
      <c r="S74" s="44"/>
      <c r="T74" s="47"/>
      <c r="U74" s="71">
        <f t="shared" si="9"/>
        <v>0</v>
      </c>
      <c r="V74" s="95" t="str">
        <f t="shared" si="10"/>
        <v>OK</v>
      </c>
    </row>
    <row r="75" spans="1:22" hidden="1" x14ac:dyDescent="0.3">
      <c r="A75" s="90" t="s">
        <v>131</v>
      </c>
      <c r="B75" s="76">
        <v>22724</v>
      </c>
      <c r="C75" s="70" t="s">
        <v>119</v>
      </c>
      <c r="D75" s="70"/>
      <c r="E75" s="70"/>
      <c r="F75" s="70"/>
      <c r="G75" s="91"/>
      <c r="H75" s="82"/>
      <c r="I75" s="82">
        <v>0</v>
      </c>
      <c r="J75" s="74"/>
      <c r="K75" s="11"/>
      <c r="L75" s="82"/>
      <c r="M75" s="82"/>
      <c r="N75" s="82"/>
      <c r="O75" s="82"/>
      <c r="P75" s="82"/>
      <c r="Q75" s="82"/>
      <c r="R75" s="83"/>
      <c r="S75" s="84"/>
      <c r="T75" s="85"/>
      <c r="U75" s="75">
        <v>0</v>
      </c>
      <c r="V75" s="93" t="s">
        <v>129</v>
      </c>
    </row>
    <row r="76" spans="1:22" hidden="1" x14ac:dyDescent="0.3">
      <c r="A76" s="54" t="s">
        <v>132</v>
      </c>
      <c r="B76" s="63">
        <v>22705</v>
      </c>
      <c r="C76" s="18" t="s">
        <v>119</v>
      </c>
      <c r="D76" s="18"/>
      <c r="E76" s="18"/>
      <c r="F76" s="18"/>
      <c r="G76" s="92"/>
      <c r="H76" s="22"/>
      <c r="I76" s="22">
        <f t="shared" si="8"/>
        <v>0</v>
      </c>
      <c r="J76" s="69"/>
      <c r="K76" s="11"/>
      <c r="L76" s="22"/>
      <c r="M76" s="22"/>
      <c r="N76" s="22"/>
      <c r="O76" s="22"/>
      <c r="P76" s="22"/>
      <c r="Q76" s="22"/>
      <c r="R76" s="36"/>
      <c r="S76" s="44"/>
      <c r="T76" s="47"/>
      <c r="U76" s="71">
        <f t="shared" si="9"/>
        <v>0</v>
      </c>
      <c r="V76" s="95" t="str">
        <f t="shared" si="10"/>
        <v>OK</v>
      </c>
    </row>
    <row r="77" spans="1:22" ht="17.25" thickBot="1" x14ac:dyDescent="0.35">
      <c r="A77" s="99" t="s">
        <v>128</v>
      </c>
      <c r="B77" s="76">
        <v>5655</v>
      </c>
      <c r="C77" s="82" t="s">
        <v>54</v>
      </c>
      <c r="D77" s="82"/>
      <c r="E77" s="82"/>
      <c r="F77" s="82"/>
      <c r="G77" s="82"/>
      <c r="H77" s="82"/>
      <c r="I77" s="82">
        <f t="shared" si="8"/>
        <v>17</v>
      </c>
      <c r="J77" s="97"/>
      <c r="K77" s="112"/>
      <c r="L77" s="82"/>
      <c r="M77" s="82">
        <v>6</v>
      </c>
      <c r="N77" s="82"/>
      <c r="O77" s="82">
        <v>11</v>
      </c>
      <c r="P77" s="82"/>
      <c r="Q77" s="82"/>
      <c r="R77" s="83"/>
      <c r="S77" s="84"/>
      <c r="T77" s="100"/>
      <c r="U77" s="75">
        <f t="shared" si="9"/>
        <v>17</v>
      </c>
      <c r="V77" s="93" t="str">
        <f t="shared" si="10"/>
        <v>OK</v>
      </c>
    </row>
    <row r="78" spans="1:22" ht="17.25" hidden="1" thickBot="1" x14ac:dyDescent="0.35">
      <c r="A78" s="120" t="s">
        <v>136</v>
      </c>
      <c r="B78" s="121">
        <v>22704</v>
      </c>
      <c r="C78" s="122" t="s">
        <v>137</v>
      </c>
      <c r="D78" s="122"/>
      <c r="E78" s="122"/>
      <c r="F78" s="122"/>
      <c r="G78" s="122"/>
      <c r="H78" s="122"/>
      <c r="I78" s="22">
        <f t="shared" si="8"/>
        <v>0</v>
      </c>
      <c r="J78" s="45"/>
      <c r="K78" s="112"/>
      <c r="L78" s="22"/>
      <c r="M78" s="22"/>
      <c r="N78" s="22"/>
      <c r="O78" s="22"/>
      <c r="P78" s="22"/>
      <c r="Q78" s="22"/>
      <c r="R78" s="36"/>
      <c r="S78" s="44"/>
      <c r="T78" s="116"/>
      <c r="U78" s="71">
        <f t="shared" si="9"/>
        <v>0</v>
      </c>
      <c r="V78" s="95" t="str">
        <f t="shared" si="10"/>
        <v>OK</v>
      </c>
    </row>
    <row r="79" spans="1:22" ht="17.25" hidden="1" thickBot="1" x14ac:dyDescent="0.35">
      <c r="A79" s="136" t="s">
        <v>139</v>
      </c>
      <c r="B79" s="133">
        <v>22722</v>
      </c>
      <c r="C79" s="137" t="s">
        <v>119</v>
      </c>
      <c r="D79" s="137"/>
      <c r="E79" s="137"/>
      <c r="F79" s="137"/>
      <c r="G79" s="137"/>
      <c r="H79" s="137"/>
      <c r="I79" s="82">
        <f t="shared" si="8"/>
        <v>0</v>
      </c>
      <c r="J79" s="97"/>
      <c r="K79" s="119"/>
      <c r="L79" s="82"/>
      <c r="M79" s="82"/>
      <c r="N79" s="82"/>
      <c r="O79" s="82"/>
      <c r="P79" s="82"/>
      <c r="Q79" s="82"/>
      <c r="R79" s="83"/>
      <c r="S79" s="84"/>
      <c r="T79" s="100"/>
      <c r="U79" s="75">
        <f t="shared" si="9"/>
        <v>0</v>
      </c>
      <c r="V79" s="93" t="str">
        <f t="shared" si="10"/>
        <v>OK</v>
      </c>
    </row>
    <row r="80" spans="1:22" ht="17.25" hidden="1" thickBot="1" x14ac:dyDescent="0.35">
      <c r="A80" s="126" t="s">
        <v>134</v>
      </c>
      <c r="B80" s="127">
        <v>22723</v>
      </c>
      <c r="C80" s="128" t="s">
        <v>119</v>
      </c>
      <c r="D80" s="128"/>
      <c r="E80" s="128"/>
      <c r="F80" s="128"/>
      <c r="G80" s="128"/>
      <c r="H80" s="128"/>
      <c r="I80" s="128">
        <f t="shared" si="8"/>
        <v>0</v>
      </c>
      <c r="J80" s="45"/>
      <c r="K80" s="112"/>
      <c r="L80" s="22"/>
      <c r="M80" s="22"/>
      <c r="N80" s="22"/>
      <c r="O80" s="22"/>
      <c r="P80" s="22"/>
      <c r="Q80" s="22"/>
      <c r="R80" s="36"/>
      <c r="S80" s="44"/>
      <c r="T80" s="116"/>
      <c r="U80" s="52">
        <f t="shared" si="9"/>
        <v>0</v>
      </c>
      <c r="V80" s="23" t="str">
        <f t="shared" si="10"/>
        <v>OK</v>
      </c>
    </row>
    <row r="81" spans="1:22" x14ac:dyDescent="0.3">
      <c r="A81" s="86"/>
      <c r="B81" s="86"/>
      <c r="C81" s="87" t="s">
        <v>9</v>
      </c>
      <c r="D81" s="87"/>
      <c r="E81" s="87"/>
      <c r="F81" s="87"/>
      <c r="G81" s="88">
        <f>SUM(G6:G49)</f>
        <v>0</v>
      </c>
      <c r="H81" s="89">
        <f>SUM(H6:H49)</f>
        <v>0</v>
      </c>
      <c r="I81" s="88">
        <f>SUM(I6:I80)</f>
        <v>29</v>
      </c>
      <c r="J81" s="40">
        <f>SUM(J6:J49)</f>
        <v>0</v>
      </c>
      <c r="K81" s="115">
        <f>SUM(K6:K51)</f>
        <v>0</v>
      </c>
      <c r="L81" s="38">
        <f>SUM(L6:L80)</f>
        <v>0</v>
      </c>
      <c r="M81" s="38">
        <f t="shared" ref="M81:U81" si="11">SUM(M6:M80)</f>
        <v>18</v>
      </c>
      <c r="N81" s="38">
        <f t="shared" si="11"/>
        <v>0</v>
      </c>
      <c r="O81" s="38">
        <f t="shared" si="11"/>
        <v>11</v>
      </c>
      <c r="P81" s="38">
        <f t="shared" si="11"/>
        <v>0</v>
      </c>
      <c r="Q81" s="38">
        <f t="shared" si="11"/>
        <v>0</v>
      </c>
      <c r="R81" s="38">
        <f t="shared" si="11"/>
        <v>0</v>
      </c>
      <c r="S81" s="38">
        <f t="shared" si="11"/>
        <v>0</v>
      </c>
      <c r="T81" s="38">
        <f t="shared" si="11"/>
        <v>0</v>
      </c>
      <c r="U81" s="38">
        <f t="shared" si="11"/>
        <v>29</v>
      </c>
      <c r="V81" s="41" t="str">
        <f>IF(U81=SUM(I81),"OK","NG")</f>
        <v>OK</v>
      </c>
    </row>
  </sheetData>
  <autoFilter ref="A5:V81" xr:uid="{00000000-0001-0000-0A00-000000000000}">
    <filterColumn colId="8">
      <filters>
        <filter val="17"/>
        <filter val="29"/>
        <filter val="5"/>
        <filter val="7"/>
      </filters>
    </filterColumn>
  </autoFilter>
  <mergeCells count="20">
    <mergeCell ref="O4:O5"/>
    <mergeCell ref="P4:P5"/>
    <mergeCell ref="B3:C3"/>
    <mergeCell ref="N4:N5"/>
    <mergeCell ref="B1:C1"/>
    <mergeCell ref="F1:G1"/>
    <mergeCell ref="H1:J3"/>
    <mergeCell ref="B2:C2"/>
    <mergeCell ref="A4:D4"/>
    <mergeCell ref="E4:G4"/>
    <mergeCell ref="H4:J4"/>
    <mergeCell ref="L4:L5"/>
    <mergeCell ref="M4:M5"/>
    <mergeCell ref="Q4:Q5"/>
    <mergeCell ref="R4:R5"/>
    <mergeCell ref="S4:S5"/>
    <mergeCell ref="T4:T5"/>
    <mergeCell ref="V2:V3"/>
    <mergeCell ref="U4:U5"/>
    <mergeCell ref="V4:V5"/>
  </mergeCells>
  <phoneticPr fontId="3" type="noConversion"/>
  <conditionalFormatting sqref="A4 V6:V81">
    <cfRule type="containsText" dxfId="41" priority="5" operator="containsText" text="NG">
      <formula>NOT(ISERROR(SEARCH("NG",A4)))</formula>
    </cfRule>
    <cfRule type="containsText" dxfId="40" priority="6" operator="containsText" text="OK">
      <formula>NOT(ISERROR(SEARCH("OK",A4)))</formula>
    </cfRule>
  </conditionalFormatting>
  <pageMargins left="0.70866141732283472" right="0.70866141732283472" top="0.74803149606299213" bottom="0.74803149606299213" header="0.31496062992125984" footer="0.31496062992125984"/>
  <pageSetup paperSize="8" scale="10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 filterMode="1">
    <pageSetUpPr fitToPage="1"/>
  </sheetPr>
  <dimension ref="A1:V81"/>
  <sheetViews>
    <sheetView showGridLines="0" zoomScale="85" zoomScaleNormal="85" workbookViewId="0">
      <pane ySplit="5" topLeftCell="A20" activePane="bottomLeft" state="frozen"/>
      <selection activeCell="W73" sqref="W73"/>
      <selection pane="bottomLeft" activeCell="L20" sqref="L20:N36"/>
    </sheetView>
  </sheetViews>
  <sheetFormatPr defaultColWidth="9" defaultRowHeight="16.5" x14ac:dyDescent="0.3"/>
  <cols>
    <col min="1" max="1" width="12.625" bestFit="1" customWidth="1"/>
    <col min="2" max="2" width="14.125" bestFit="1" customWidth="1"/>
    <col min="3" max="3" width="35.125" customWidth="1"/>
    <col min="4" max="4" width="11.75" hidden="1" customWidth="1"/>
    <col min="5" max="6" width="9" hidden="1" customWidth="1"/>
    <col min="7" max="7" width="15.375" hidden="1" customWidth="1"/>
    <col min="8" max="8" width="13.25" hidden="1" customWidth="1"/>
    <col min="9" max="9" width="13.25" customWidth="1"/>
    <col min="10" max="10" width="13.25" hidden="1" customWidth="1"/>
    <col min="11" max="11" width="0.875" customWidth="1"/>
    <col min="20" max="20" width="11" bestFit="1" customWidth="1"/>
  </cols>
  <sheetData>
    <row r="1" spans="1:22" ht="22.5" customHeight="1" thickBot="1" x14ac:dyDescent="0.35">
      <c r="A1" s="32" t="s">
        <v>28</v>
      </c>
      <c r="B1" s="153">
        <f>H69</f>
        <v>0</v>
      </c>
      <c r="C1" s="154"/>
      <c r="D1" s="55"/>
      <c r="E1" s="58" t="s">
        <v>1</v>
      </c>
      <c r="F1" s="155">
        <f>G69</f>
        <v>0</v>
      </c>
      <c r="G1" s="155"/>
      <c r="H1" s="156"/>
      <c r="I1" s="156"/>
      <c r="J1" s="156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22.5" customHeight="1" thickBot="1" x14ac:dyDescent="0.35">
      <c r="A2" s="32" t="s">
        <v>29</v>
      </c>
      <c r="B2" s="158">
        <f>I81</f>
        <v>17</v>
      </c>
      <c r="C2" s="159"/>
      <c r="D2" s="56"/>
      <c r="E2" s="59"/>
      <c r="F2" s="2"/>
      <c r="G2" s="2"/>
      <c r="H2" s="156"/>
      <c r="I2" s="156"/>
      <c r="J2" s="156"/>
      <c r="K2" s="113"/>
      <c r="L2" s="3">
        <f>SUBTOTAL(9,L6:L80)</f>
        <v>0</v>
      </c>
      <c r="M2" s="3">
        <f t="shared" ref="M2:T2" si="0">SUBTOTAL(9,M6:M80)</f>
        <v>17</v>
      </c>
      <c r="N2" s="3">
        <f t="shared" si="0"/>
        <v>0</v>
      </c>
      <c r="O2" s="3">
        <f t="shared" si="0"/>
        <v>0</v>
      </c>
      <c r="P2" s="3">
        <f t="shared" si="0"/>
        <v>0</v>
      </c>
      <c r="Q2" s="3">
        <f t="shared" si="0"/>
        <v>0</v>
      </c>
      <c r="R2" s="3">
        <f t="shared" si="0"/>
        <v>0</v>
      </c>
      <c r="S2" s="3">
        <f t="shared" si="0"/>
        <v>0</v>
      </c>
      <c r="T2" s="3">
        <f t="shared" si="0"/>
        <v>0</v>
      </c>
      <c r="U2" s="48">
        <f>SUBTOTAL(9,U6:U80)</f>
        <v>17</v>
      </c>
      <c r="V2" s="145"/>
    </row>
    <row r="3" spans="1:22" ht="22.5" customHeight="1" thickBot="1" x14ac:dyDescent="0.35">
      <c r="A3" s="33" t="s">
        <v>30</v>
      </c>
      <c r="B3" s="151">
        <f>IF(ISERROR(B2/(B2+B1)*1000000),"",(B2/(B2+B1)*1000000))</f>
        <v>1000000</v>
      </c>
      <c r="C3" s="152"/>
      <c r="D3" s="57"/>
      <c r="E3" s="60"/>
      <c r="F3" s="27"/>
      <c r="G3" s="27"/>
      <c r="H3" s="157"/>
      <c r="I3" s="157"/>
      <c r="J3" s="157"/>
      <c r="K3" s="114"/>
      <c r="L3" s="4">
        <f t="shared" ref="L3:U3" si="1">SUM(L6:L80)</f>
        <v>0</v>
      </c>
      <c r="M3" s="4">
        <f t="shared" si="1"/>
        <v>17</v>
      </c>
      <c r="N3" s="4">
        <f t="shared" si="1"/>
        <v>0</v>
      </c>
      <c r="O3" s="4">
        <f t="shared" si="1"/>
        <v>0</v>
      </c>
      <c r="P3" s="4">
        <f t="shared" si="1"/>
        <v>0</v>
      </c>
      <c r="Q3" s="4">
        <f t="shared" si="1"/>
        <v>0</v>
      </c>
      <c r="R3" s="4">
        <f t="shared" si="1"/>
        <v>0</v>
      </c>
      <c r="S3" s="4">
        <f t="shared" si="1"/>
        <v>0</v>
      </c>
      <c r="T3" s="4">
        <f t="shared" si="1"/>
        <v>0</v>
      </c>
      <c r="U3" s="49">
        <f t="shared" si="1"/>
        <v>17</v>
      </c>
      <c r="V3" s="146"/>
    </row>
    <row r="4" spans="1:22" ht="43.5" customHeight="1" x14ac:dyDescent="0.3">
      <c r="A4" s="160" t="str">
        <f>V81</f>
        <v>OK</v>
      </c>
      <c r="B4" s="160"/>
      <c r="C4" s="160"/>
      <c r="D4" s="161"/>
      <c r="E4" s="162" t="s">
        <v>15</v>
      </c>
      <c r="F4" s="162"/>
      <c r="G4" s="162"/>
      <c r="H4" s="163" t="s">
        <v>16</v>
      </c>
      <c r="I4" s="163"/>
      <c r="J4" s="163"/>
      <c r="K4" s="113"/>
      <c r="L4" s="164" t="s">
        <v>10</v>
      </c>
      <c r="M4" s="142" t="s">
        <v>17</v>
      </c>
      <c r="N4" s="142" t="s">
        <v>11</v>
      </c>
      <c r="O4" s="138" t="s">
        <v>12</v>
      </c>
      <c r="P4" s="142" t="s">
        <v>13</v>
      </c>
      <c r="Q4" s="138" t="s">
        <v>14</v>
      </c>
      <c r="R4" s="140" t="s">
        <v>20</v>
      </c>
      <c r="S4" s="142" t="s">
        <v>21</v>
      </c>
      <c r="T4" s="143" t="s">
        <v>22</v>
      </c>
      <c r="U4" s="147" t="s">
        <v>18</v>
      </c>
      <c r="V4" s="149" t="s">
        <v>19</v>
      </c>
    </row>
    <row r="5" spans="1:22" ht="33.75" thickBot="1" x14ac:dyDescent="0.35">
      <c r="A5" s="29" t="s">
        <v>3</v>
      </c>
      <c r="B5" s="30" t="s">
        <v>32</v>
      </c>
      <c r="C5" s="29" t="s">
        <v>4</v>
      </c>
      <c r="D5" s="29" t="s">
        <v>31</v>
      </c>
      <c r="E5" s="29" t="s">
        <v>5</v>
      </c>
      <c r="F5" s="29" t="s">
        <v>6</v>
      </c>
      <c r="G5" s="30" t="s">
        <v>7</v>
      </c>
      <c r="H5" s="31" t="s">
        <v>0</v>
      </c>
      <c r="I5" s="31" t="s">
        <v>2</v>
      </c>
      <c r="J5" s="31" t="s">
        <v>8</v>
      </c>
      <c r="K5" s="28"/>
      <c r="L5" s="165"/>
      <c r="M5" s="139"/>
      <c r="N5" s="139"/>
      <c r="O5" s="139"/>
      <c r="P5" s="139"/>
      <c r="Q5" s="139"/>
      <c r="R5" s="141"/>
      <c r="S5" s="139"/>
      <c r="T5" s="144"/>
      <c r="U5" s="148"/>
      <c r="V5" s="150"/>
    </row>
    <row r="6" spans="1:22" hidden="1" x14ac:dyDescent="0.3">
      <c r="A6" s="61" t="s">
        <v>33</v>
      </c>
      <c r="B6" s="61">
        <v>8092</v>
      </c>
      <c r="C6" s="6" t="s">
        <v>45</v>
      </c>
      <c r="D6" s="7"/>
      <c r="E6" s="7"/>
      <c r="F6" s="7"/>
      <c r="G6" s="8"/>
      <c r="H6" s="9"/>
      <c r="I6" s="10">
        <f>SUM(L6:T6)</f>
        <v>0</v>
      </c>
      <c r="J6" s="10"/>
      <c r="K6" s="11"/>
      <c r="L6" s="10"/>
      <c r="M6" s="10"/>
      <c r="N6" s="10"/>
      <c r="O6" s="10"/>
      <c r="P6" s="10"/>
      <c r="Q6" s="10"/>
      <c r="R6" s="34"/>
      <c r="S6" s="42"/>
      <c r="T6" s="45"/>
      <c r="U6" s="50">
        <f t="shared" ref="U6:U36" si="2">SUM(L6:T6)</f>
        <v>0</v>
      </c>
      <c r="V6" s="26" t="str">
        <f t="shared" ref="V6:V67" si="3">IF(U6=I6,"OK","NG")</f>
        <v>OK</v>
      </c>
    </row>
    <row r="7" spans="1:22" hidden="1" x14ac:dyDescent="0.3">
      <c r="A7" s="62" t="s">
        <v>95</v>
      </c>
      <c r="B7" s="62">
        <v>8088</v>
      </c>
      <c r="C7" s="12" t="s">
        <v>46</v>
      </c>
      <c r="D7" s="53"/>
      <c r="E7" s="13"/>
      <c r="F7" s="13"/>
      <c r="G7" s="14"/>
      <c r="H7" s="15"/>
      <c r="I7" s="16">
        <f t="shared" ref="I7:I70" si="4">SUM(L7:T7)</f>
        <v>0</v>
      </c>
      <c r="J7" s="16"/>
      <c r="K7" s="11"/>
      <c r="L7" s="16"/>
      <c r="M7" s="16"/>
      <c r="N7" s="16"/>
      <c r="O7" s="16"/>
      <c r="P7" s="16"/>
      <c r="Q7" s="16"/>
      <c r="R7" s="35"/>
      <c r="S7" s="43"/>
      <c r="T7" s="46"/>
      <c r="U7" s="51">
        <f t="shared" si="2"/>
        <v>0</v>
      </c>
      <c r="V7" s="17" t="str">
        <f t="shared" si="3"/>
        <v>OK</v>
      </c>
    </row>
    <row r="8" spans="1:22" hidden="1" x14ac:dyDescent="0.3">
      <c r="A8" s="63" t="s">
        <v>96</v>
      </c>
      <c r="B8" s="63">
        <v>8081</v>
      </c>
      <c r="C8" s="18" t="s">
        <v>46</v>
      </c>
      <c r="D8" s="19"/>
      <c r="E8" s="19"/>
      <c r="F8" s="19"/>
      <c r="G8" s="20"/>
      <c r="H8" s="21"/>
      <c r="I8" s="22">
        <f t="shared" si="4"/>
        <v>0</v>
      </c>
      <c r="J8" s="22"/>
      <c r="K8" s="11"/>
      <c r="L8" s="22"/>
      <c r="M8" s="22"/>
      <c r="N8" s="22"/>
      <c r="O8" s="22"/>
      <c r="P8" s="22"/>
      <c r="Q8" s="22"/>
      <c r="R8" s="36"/>
      <c r="S8" s="44"/>
      <c r="T8" s="47"/>
      <c r="U8" s="52">
        <f t="shared" si="2"/>
        <v>0</v>
      </c>
      <c r="V8" s="23" t="str">
        <f t="shared" si="3"/>
        <v>OK</v>
      </c>
    </row>
    <row r="9" spans="1:22" hidden="1" x14ac:dyDescent="0.3">
      <c r="A9" s="62" t="s">
        <v>97</v>
      </c>
      <c r="B9" s="62">
        <v>18524</v>
      </c>
      <c r="C9" s="12" t="s">
        <v>46</v>
      </c>
      <c r="D9" s="53"/>
      <c r="E9" s="13"/>
      <c r="F9" s="13"/>
      <c r="G9" s="14"/>
      <c r="H9" s="15"/>
      <c r="I9" s="16">
        <f t="shared" si="4"/>
        <v>0</v>
      </c>
      <c r="J9" s="16"/>
      <c r="K9" s="11"/>
      <c r="L9" s="16"/>
      <c r="M9" s="16"/>
      <c r="N9" s="16"/>
      <c r="O9" s="16"/>
      <c r="P9" s="16"/>
      <c r="Q9" s="16"/>
      <c r="R9" s="35"/>
      <c r="S9" s="43"/>
      <c r="T9" s="46"/>
      <c r="U9" s="51">
        <f t="shared" si="2"/>
        <v>0</v>
      </c>
      <c r="V9" s="17" t="str">
        <f t="shared" si="3"/>
        <v>OK</v>
      </c>
    </row>
    <row r="10" spans="1:22" hidden="1" x14ac:dyDescent="0.3">
      <c r="A10" s="63" t="s">
        <v>34</v>
      </c>
      <c r="B10" s="63">
        <v>6234</v>
      </c>
      <c r="C10" s="18" t="s">
        <v>47</v>
      </c>
      <c r="D10" s="19"/>
      <c r="E10" s="19"/>
      <c r="F10" s="19"/>
      <c r="G10" s="20"/>
      <c r="H10" s="21"/>
      <c r="I10" s="22">
        <f t="shared" si="4"/>
        <v>0</v>
      </c>
      <c r="J10" s="22"/>
      <c r="K10" s="11"/>
      <c r="L10" s="22"/>
      <c r="M10" s="22"/>
      <c r="N10" s="22"/>
      <c r="O10" s="22"/>
      <c r="P10" s="22"/>
      <c r="Q10" s="22"/>
      <c r="R10" s="36"/>
      <c r="S10" s="44"/>
      <c r="T10" s="47"/>
      <c r="U10" s="52">
        <f t="shared" si="2"/>
        <v>0</v>
      </c>
      <c r="V10" s="23" t="str">
        <f t="shared" si="3"/>
        <v>OK</v>
      </c>
    </row>
    <row r="11" spans="1:22" hidden="1" x14ac:dyDescent="0.3">
      <c r="A11" s="62" t="s">
        <v>80</v>
      </c>
      <c r="B11" s="62">
        <v>14830</v>
      </c>
      <c r="C11" s="12" t="s">
        <v>47</v>
      </c>
      <c r="D11" s="53"/>
      <c r="E11" s="13"/>
      <c r="F11" s="13"/>
      <c r="G11" s="14"/>
      <c r="H11" s="15"/>
      <c r="I11" s="16">
        <f t="shared" si="4"/>
        <v>0</v>
      </c>
      <c r="J11" s="16"/>
      <c r="K11" s="11"/>
      <c r="L11" s="16"/>
      <c r="M11" s="16"/>
      <c r="N11" s="16"/>
      <c r="O11" s="16"/>
      <c r="P11" s="16"/>
      <c r="Q11" s="16"/>
      <c r="R11" s="35"/>
      <c r="S11" s="43"/>
      <c r="T11" s="46"/>
      <c r="U11" s="51">
        <f t="shared" si="2"/>
        <v>0</v>
      </c>
      <c r="V11" s="17" t="str">
        <f t="shared" si="3"/>
        <v>OK</v>
      </c>
    </row>
    <row r="12" spans="1:22" hidden="1" x14ac:dyDescent="0.3">
      <c r="A12" s="63" t="s">
        <v>35</v>
      </c>
      <c r="B12" s="63">
        <v>6004</v>
      </c>
      <c r="C12" s="18" t="s">
        <v>48</v>
      </c>
      <c r="D12" s="19"/>
      <c r="E12" s="19"/>
      <c r="F12" s="19"/>
      <c r="G12" s="20"/>
      <c r="H12" s="21"/>
      <c r="I12" s="22">
        <f t="shared" si="4"/>
        <v>0</v>
      </c>
      <c r="J12" s="22"/>
      <c r="K12" s="11"/>
      <c r="L12" s="22"/>
      <c r="M12" s="22"/>
      <c r="N12" s="22"/>
      <c r="O12" s="22"/>
      <c r="P12" s="22"/>
      <c r="Q12" s="22"/>
      <c r="R12" s="36"/>
      <c r="S12" s="44"/>
      <c r="T12" s="47"/>
      <c r="U12" s="52">
        <f t="shared" si="2"/>
        <v>0</v>
      </c>
      <c r="V12" s="23" t="str">
        <f t="shared" si="3"/>
        <v>OK</v>
      </c>
    </row>
    <row r="13" spans="1:22" hidden="1" x14ac:dyDescent="0.3">
      <c r="A13" s="62" t="s">
        <v>36</v>
      </c>
      <c r="B13" s="62">
        <v>11857</v>
      </c>
      <c r="C13" s="12" t="s">
        <v>48</v>
      </c>
      <c r="D13" s="53"/>
      <c r="E13" s="13"/>
      <c r="F13" s="13"/>
      <c r="G13" s="14"/>
      <c r="H13" s="15"/>
      <c r="I13" s="16">
        <f t="shared" si="4"/>
        <v>0</v>
      </c>
      <c r="J13" s="16"/>
      <c r="K13" s="11"/>
      <c r="L13" s="16"/>
      <c r="M13" s="16"/>
      <c r="N13" s="16"/>
      <c r="O13" s="16"/>
      <c r="P13" s="16"/>
      <c r="Q13" s="16"/>
      <c r="R13" s="35"/>
      <c r="S13" s="43"/>
      <c r="T13" s="46"/>
      <c r="U13" s="51">
        <f t="shared" si="2"/>
        <v>0</v>
      </c>
      <c r="V13" s="17" t="str">
        <f t="shared" si="3"/>
        <v>OK</v>
      </c>
    </row>
    <row r="14" spans="1:22" hidden="1" x14ac:dyDescent="0.3">
      <c r="A14" s="63" t="s">
        <v>82</v>
      </c>
      <c r="B14" s="63">
        <v>15004</v>
      </c>
      <c r="C14" s="18" t="s">
        <v>48</v>
      </c>
      <c r="D14" s="19"/>
      <c r="E14" s="19"/>
      <c r="F14" s="19"/>
      <c r="G14" s="20"/>
      <c r="H14" s="21"/>
      <c r="I14" s="22">
        <f t="shared" si="4"/>
        <v>0</v>
      </c>
      <c r="J14" s="22"/>
      <c r="K14" s="11"/>
      <c r="L14" s="22"/>
      <c r="M14" s="22"/>
      <c r="N14" s="22"/>
      <c r="O14" s="22"/>
      <c r="P14" s="22"/>
      <c r="Q14" s="22"/>
      <c r="R14" s="36"/>
      <c r="S14" s="44"/>
      <c r="T14" s="47"/>
      <c r="U14" s="52">
        <f t="shared" si="2"/>
        <v>0</v>
      </c>
      <c r="V14" s="23" t="str">
        <f t="shared" si="3"/>
        <v>OK</v>
      </c>
    </row>
    <row r="15" spans="1:22" hidden="1" x14ac:dyDescent="0.3">
      <c r="A15" s="62" t="s">
        <v>86</v>
      </c>
      <c r="B15" s="62">
        <v>15174</v>
      </c>
      <c r="C15" s="12" t="s">
        <v>45</v>
      </c>
      <c r="D15" s="53"/>
      <c r="E15" s="13"/>
      <c r="F15" s="13"/>
      <c r="G15" s="14"/>
      <c r="H15" s="15"/>
      <c r="I15" s="16">
        <f t="shared" si="4"/>
        <v>0</v>
      </c>
      <c r="J15" s="16"/>
      <c r="K15" s="11"/>
      <c r="L15" s="16"/>
      <c r="M15" s="16"/>
      <c r="N15" s="16"/>
      <c r="O15" s="16"/>
      <c r="P15" s="16"/>
      <c r="Q15" s="16"/>
      <c r="R15" s="35"/>
      <c r="S15" s="43"/>
      <c r="T15" s="46"/>
      <c r="U15" s="51">
        <f t="shared" si="2"/>
        <v>0</v>
      </c>
      <c r="V15" s="17" t="str">
        <f t="shared" si="3"/>
        <v>OK</v>
      </c>
    </row>
    <row r="16" spans="1:22" hidden="1" x14ac:dyDescent="0.3">
      <c r="A16" s="63" t="s">
        <v>87</v>
      </c>
      <c r="B16" s="63">
        <v>15520</v>
      </c>
      <c r="C16" s="18" t="s">
        <v>47</v>
      </c>
      <c r="D16" s="19"/>
      <c r="E16" s="19"/>
      <c r="F16" s="19"/>
      <c r="G16" s="20"/>
      <c r="H16" s="21"/>
      <c r="I16" s="22">
        <f t="shared" si="4"/>
        <v>0</v>
      </c>
      <c r="J16" s="22"/>
      <c r="K16" s="11"/>
      <c r="L16" s="22"/>
      <c r="M16" s="22"/>
      <c r="N16" s="22"/>
      <c r="O16" s="22"/>
      <c r="P16" s="22"/>
      <c r="Q16" s="22"/>
      <c r="R16" s="36"/>
      <c r="S16" s="44"/>
      <c r="T16" s="47"/>
      <c r="U16" s="52">
        <f t="shared" si="2"/>
        <v>0</v>
      </c>
      <c r="V16" s="23" t="str">
        <f t="shared" si="3"/>
        <v>OK</v>
      </c>
    </row>
    <row r="17" spans="1:22" hidden="1" x14ac:dyDescent="0.3">
      <c r="A17" s="62" t="s">
        <v>85</v>
      </c>
      <c r="B17" s="62">
        <v>14989</v>
      </c>
      <c r="C17" s="12" t="s">
        <v>45</v>
      </c>
      <c r="D17" s="53"/>
      <c r="E17" s="13"/>
      <c r="F17" s="13"/>
      <c r="G17" s="14"/>
      <c r="H17" s="15"/>
      <c r="I17" s="16">
        <f t="shared" si="4"/>
        <v>0</v>
      </c>
      <c r="J17" s="16"/>
      <c r="K17" s="11"/>
      <c r="L17" s="16"/>
      <c r="M17" s="16"/>
      <c r="N17" s="16"/>
      <c r="O17" s="16"/>
      <c r="P17" s="16"/>
      <c r="Q17" s="16"/>
      <c r="R17" s="35"/>
      <c r="S17" s="43"/>
      <c r="T17" s="46"/>
      <c r="U17" s="51">
        <f t="shared" si="2"/>
        <v>0</v>
      </c>
      <c r="V17" s="17" t="str">
        <f t="shared" si="3"/>
        <v>OK</v>
      </c>
    </row>
    <row r="18" spans="1:22" hidden="1" x14ac:dyDescent="0.3">
      <c r="A18" s="63" t="s">
        <v>84</v>
      </c>
      <c r="B18" s="63">
        <v>14984</v>
      </c>
      <c r="C18" s="18" t="s">
        <v>46</v>
      </c>
      <c r="D18" s="19"/>
      <c r="E18" s="19"/>
      <c r="F18" s="19"/>
      <c r="G18" s="20"/>
      <c r="H18" s="21"/>
      <c r="I18" s="22">
        <f t="shared" si="4"/>
        <v>0</v>
      </c>
      <c r="J18" s="22"/>
      <c r="K18" s="11"/>
      <c r="L18" s="22"/>
      <c r="M18" s="22"/>
      <c r="N18" s="22"/>
      <c r="O18" s="22"/>
      <c r="P18" s="22"/>
      <c r="Q18" s="22"/>
      <c r="R18" s="36"/>
      <c r="S18" s="44"/>
      <c r="T18" s="47"/>
      <c r="U18" s="52">
        <f t="shared" si="2"/>
        <v>0</v>
      </c>
      <c r="V18" s="23" t="str">
        <f t="shared" si="3"/>
        <v>OK</v>
      </c>
    </row>
    <row r="19" spans="1:22" hidden="1" x14ac:dyDescent="0.3">
      <c r="A19" s="62" t="s">
        <v>88</v>
      </c>
      <c r="B19" s="62">
        <v>16270</v>
      </c>
      <c r="C19" s="12" t="s">
        <v>135</v>
      </c>
      <c r="D19" s="53"/>
      <c r="E19" s="13"/>
      <c r="F19" s="13"/>
      <c r="G19" s="14"/>
      <c r="H19" s="15"/>
      <c r="I19" s="16">
        <f t="shared" si="4"/>
        <v>0</v>
      </c>
      <c r="J19" s="16"/>
      <c r="K19" s="11"/>
      <c r="L19" s="16"/>
      <c r="M19" s="16"/>
      <c r="N19" s="16"/>
      <c r="O19" s="16"/>
      <c r="P19" s="16"/>
      <c r="Q19" s="16"/>
      <c r="R19" s="35"/>
      <c r="S19" s="43"/>
      <c r="T19" s="46"/>
      <c r="U19" s="51">
        <f t="shared" si="2"/>
        <v>0</v>
      </c>
      <c r="V19" s="17" t="str">
        <f t="shared" si="3"/>
        <v>OK</v>
      </c>
    </row>
    <row r="20" spans="1:22" x14ac:dyDescent="0.3">
      <c r="A20" s="63" t="s">
        <v>98</v>
      </c>
      <c r="B20" s="63">
        <v>19060</v>
      </c>
      <c r="C20" s="18" t="s">
        <v>47</v>
      </c>
      <c r="D20" s="19"/>
      <c r="E20" s="19"/>
      <c r="F20" s="19"/>
      <c r="G20" s="20"/>
      <c r="H20" s="21"/>
      <c r="I20" s="22">
        <f t="shared" si="4"/>
        <v>7</v>
      </c>
      <c r="J20" s="22"/>
      <c r="K20" s="11"/>
      <c r="L20" s="22"/>
      <c r="M20" s="22">
        <v>7</v>
      </c>
      <c r="N20" s="22"/>
      <c r="O20" s="22"/>
      <c r="P20" s="22"/>
      <c r="Q20" s="22"/>
      <c r="R20" s="36"/>
      <c r="S20" s="44"/>
      <c r="T20" s="47"/>
      <c r="U20" s="52">
        <f t="shared" si="2"/>
        <v>7</v>
      </c>
      <c r="V20" s="23" t="str">
        <f t="shared" si="3"/>
        <v>OK</v>
      </c>
    </row>
    <row r="21" spans="1:22" hidden="1" x14ac:dyDescent="0.3">
      <c r="A21" s="62" t="s">
        <v>99</v>
      </c>
      <c r="B21" s="62">
        <v>18828</v>
      </c>
      <c r="C21" s="12" t="s">
        <v>94</v>
      </c>
      <c r="D21" s="53"/>
      <c r="E21" s="13"/>
      <c r="F21" s="13"/>
      <c r="G21" s="14"/>
      <c r="H21" s="15"/>
      <c r="I21" s="16">
        <f t="shared" si="4"/>
        <v>0</v>
      </c>
      <c r="J21" s="16"/>
      <c r="K21" s="11"/>
      <c r="L21" s="16"/>
      <c r="M21" s="16"/>
      <c r="N21" s="16"/>
      <c r="O21" s="16"/>
      <c r="P21" s="16"/>
      <c r="Q21" s="16"/>
      <c r="R21" s="35"/>
      <c r="S21" s="43"/>
      <c r="T21" s="46"/>
      <c r="U21" s="51">
        <f t="shared" si="2"/>
        <v>0</v>
      </c>
      <c r="V21" s="17" t="str">
        <f t="shared" si="3"/>
        <v>OK</v>
      </c>
    </row>
    <row r="22" spans="1:22" hidden="1" x14ac:dyDescent="0.3">
      <c r="A22" s="63" t="s">
        <v>23</v>
      </c>
      <c r="B22" s="63">
        <v>5695</v>
      </c>
      <c r="C22" s="18" t="s">
        <v>49</v>
      </c>
      <c r="D22" s="19"/>
      <c r="E22" s="19"/>
      <c r="F22" s="19"/>
      <c r="G22" s="20"/>
      <c r="H22" s="21"/>
      <c r="I22" s="22">
        <f t="shared" si="4"/>
        <v>0</v>
      </c>
      <c r="J22" s="22"/>
      <c r="K22" s="11"/>
      <c r="L22" s="22"/>
      <c r="M22" s="22"/>
      <c r="N22" s="22"/>
      <c r="O22" s="22"/>
      <c r="P22" s="22"/>
      <c r="Q22" s="22"/>
      <c r="R22" s="36"/>
      <c r="S22" s="44"/>
      <c r="T22" s="47"/>
      <c r="U22" s="52">
        <f t="shared" si="2"/>
        <v>0</v>
      </c>
      <c r="V22" s="23" t="str">
        <f t="shared" si="3"/>
        <v>OK</v>
      </c>
    </row>
    <row r="23" spans="1:22" hidden="1" x14ac:dyDescent="0.3">
      <c r="A23" s="62" t="s">
        <v>24</v>
      </c>
      <c r="B23" s="62">
        <v>5691</v>
      </c>
      <c r="C23" s="12" t="s">
        <v>50</v>
      </c>
      <c r="D23" s="53"/>
      <c r="E23" s="13"/>
      <c r="F23" s="13"/>
      <c r="G23" s="14"/>
      <c r="H23" s="15"/>
      <c r="I23" s="16">
        <f t="shared" si="4"/>
        <v>0</v>
      </c>
      <c r="J23" s="16"/>
      <c r="K23" s="11"/>
      <c r="L23" s="16"/>
      <c r="M23" s="16"/>
      <c r="N23" s="16"/>
      <c r="O23" s="16"/>
      <c r="P23" s="16"/>
      <c r="Q23" s="16"/>
      <c r="R23" s="35"/>
      <c r="S23" s="43"/>
      <c r="T23" s="46"/>
      <c r="U23" s="51">
        <f t="shared" si="2"/>
        <v>0</v>
      </c>
      <c r="V23" s="17" t="str">
        <f t="shared" si="3"/>
        <v>OK</v>
      </c>
    </row>
    <row r="24" spans="1:22" hidden="1" x14ac:dyDescent="0.3">
      <c r="A24" s="63" t="s">
        <v>37</v>
      </c>
      <c r="B24" s="63">
        <v>5687</v>
      </c>
      <c r="C24" s="18" t="s">
        <v>51</v>
      </c>
      <c r="D24" s="19"/>
      <c r="E24" s="19"/>
      <c r="F24" s="19"/>
      <c r="G24" s="20"/>
      <c r="H24" s="21"/>
      <c r="I24" s="22">
        <f t="shared" si="4"/>
        <v>0</v>
      </c>
      <c r="J24" s="22"/>
      <c r="K24" s="11"/>
      <c r="L24" s="22"/>
      <c r="M24" s="22"/>
      <c r="N24" s="22"/>
      <c r="O24" s="22"/>
      <c r="P24" s="22"/>
      <c r="Q24" s="22"/>
      <c r="R24" s="36"/>
      <c r="S24" s="44"/>
      <c r="T24" s="47"/>
      <c r="U24" s="52">
        <f t="shared" si="2"/>
        <v>0</v>
      </c>
      <c r="V24" s="23" t="str">
        <f t="shared" si="3"/>
        <v>OK</v>
      </c>
    </row>
    <row r="25" spans="1:22" hidden="1" x14ac:dyDescent="0.3">
      <c r="A25" s="62" t="s">
        <v>38</v>
      </c>
      <c r="B25" s="62">
        <v>5683</v>
      </c>
      <c r="C25" s="12" t="s">
        <v>51</v>
      </c>
      <c r="D25" s="53"/>
      <c r="E25" s="13"/>
      <c r="F25" s="13"/>
      <c r="G25" s="14"/>
      <c r="H25" s="15"/>
      <c r="I25" s="16">
        <f t="shared" si="4"/>
        <v>0</v>
      </c>
      <c r="J25" s="16"/>
      <c r="K25" s="11"/>
      <c r="L25" s="16"/>
      <c r="M25" s="16"/>
      <c r="N25" s="16"/>
      <c r="O25" s="16"/>
      <c r="P25" s="16"/>
      <c r="Q25" s="16"/>
      <c r="R25" s="35"/>
      <c r="S25" s="43"/>
      <c r="T25" s="46"/>
      <c r="U25" s="51">
        <f t="shared" si="2"/>
        <v>0</v>
      </c>
      <c r="V25" s="17" t="str">
        <f t="shared" si="3"/>
        <v>OK</v>
      </c>
    </row>
    <row r="26" spans="1:22" hidden="1" x14ac:dyDescent="0.3">
      <c r="A26" s="63" t="s">
        <v>25</v>
      </c>
      <c r="B26" s="63">
        <v>5679</v>
      </c>
      <c r="C26" s="18" t="s">
        <v>52</v>
      </c>
      <c r="D26" s="19"/>
      <c r="E26" s="19"/>
      <c r="F26" s="19"/>
      <c r="G26" s="20"/>
      <c r="H26" s="21"/>
      <c r="I26" s="22">
        <f t="shared" si="4"/>
        <v>0</v>
      </c>
      <c r="J26" s="22"/>
      <c r="K26" s="11"/>
      <c r="L26" s="22"/>
      <c r="M26" s="22"/>
      <c r="N26" s="22"/>
      <c r="O26" s="22"/>
      <c r="P26" s="22"/>
      <c r="Q26" s="22"/>
      <c r="R26" s="36"/>
      <c r="S26" s="44"/>
      <c r="T26" s="47"/>
      <c r="U26" s="52">
        <f t="shared" si="2"/>
        <v>0</v>
      </c>
      <c r="V26" s="23" t="str">
        <f t="shared" si="3"/>
        <v>OK</v>
      </c>
    </row>
    <row r="27" spans="1:22" hidden="1" x14ac:dyDescent="0.3">
      <c r="A27" s="62" t="s">
        <v>39</v>
      </c>
      <c r="B27" s="62">
        <v>5675</v>
      </c>
      <c r="C27" s="12" t="s">
        <v>53</v>
      </c>
      <c r="D27" s="53"/>
      <c r="E27" s="13"/>
      <c r="F27" s="13"/>
      <c r="G27" s="14"/>
      <c r="H27" s="15"/>
      <c r="I27" s="16">
        <f t="shared" si="4"/>
        <v>0</v>
      </c>
      <c r="J27" s="16"/>
      <c r="K27" s="11"/>
      <c r="L27" s="16"/>
      <c r="M27" s="16"/>
      <c r="N27" s="16"/>
      <c r="O27" s="16"/>
      <c r="P27" s="16"/>
      <c r="Q27" s="16"/>
      <c r="R27" s="35"/>
      <c r="S27" s="43"/>
      <c r="T27" s="46"/>
      <c r="U27" s="51">
        <f t="shared" si="2"/>
        <v>0</v>
      </c>
      <c r="V27" s="17" t="str">
        <f t="shared" si="3"/>
        <v>OK</v>
      </c>
    </row>
    <row r="28" spans="1:22" hidden="1" x14ac:dyDescent="0.3">
      <c r="A28" s="63" t="s">
        <v>26</v>
      </c>
      <c r="B28" s="63">
        <v>5671</v>
      </c>
      <c r="C28" s="18" t="s">
        <v>49</v>
      </c>
      <c r="D28" s="19"/>
      <c r="E28" s="19"/>
      <c r="F28" s="19"/>
      <c r="G28" s="20"/>
      <c r="H28" s="21"/>
      <c r="I28" s="22">
        <f t="shared" si="4"/>
        <v>0</v>
      </c>
      <c r="J28" s="22"/>
      <c r="K28" s="11"/>
      <c r="L28" s="22"/>
      <c r="M28" s="22"/>
      <c r="N28" s="22"/>
      <c r="O28" s="22"/>
      <c r="P28" s="22"/>
      <c r="Q28" s="22"/>
      <c r="R28" s="36"/>
      <c r="S28" s="44"/>
      <c r="T28" s="47"/>
      <c r="U28" s="52">
        <f t="shared" si="2"/>
        <v>0</v>
      </c>
      <c r="V28" s="23" t="str">
        <f t="shared" si="3"/>
        <v>OK</v>
      </c>
    </row>
    <row r="29" spans="1:22" hidden="1" x14ac:dyDescent="0.3">
      <c r="A29" s="62" t="s">
        <v>40</v>
      </c>
      <c r="B29" s="62">
        <v>5667</v>
      </c>
      <c r="C29" s="12" t="s">
        <v>50</v>
      </c>
      <c r="D29" s="53"/>
      <c r="E29" s="13"/>
      <c r="F29" s="13"/>
      <c r="G29" s="14"/>
      <c r="H29" s="15"/>
      <c r="I29" s="16">
        <f t="shared" si="4"/>
        <v>0</v>
      </c>
      <c r="J29" s="16"/>
      <c r="K29" s="11"/>
      <c r="L29" s="16"/>
      <c r="M29" s="16"/>
      <c r="N29" s="16"/>
      <c r="O29" s="16"/>
      <c r="P29" s="16"/>
      <c r="Q29" s="16"/>
      <c r="R29" s="35"/>
      <c r="S29" s="43"/>
      <c r="T29" s="46"/>
      <c r="U29" s="51">
        <f t="shared" si="2"/>
        <v>0</v>
      </c>
      <c r="V29" s="17" t="str">
        <f t="shared" si="3"/>
        <v>OK</v>
      </c>
    </row>
    <row r="30" spans="1:22" hidden="1" x14ac:dyDescent="0.3">
      <c r="A30" s="63" t="s">
        <v>41</v>
      </c>
      <c r="B30" s="63">
        <v>5663</v>
      </c>
      <c r="C30" s="18" t="s">
        <v>51</v>
      </c>
      <c r="D30" s="19"/>
      <c r="E30" s="19"/>
      <c r="F30" s="19"/>
      <c r="G30" s="20"/>
      <c r="H30" s="21"/>
      <c r="I30" s="22">
        <f t="shared" si="4"/>
        <v>0</v>
      </c>
      <c r="J30" s="22"/>
      <c r="K30" s="11"/>
      <c r="L30" s="22"/>
      <c r="M30" s="22"/>
      <c r="N30" s="22"/>
      <c r="O30" s="22"/>
      <c r="P30" s="22"/>
      <c r="Q30" s="22"/>
      <c r="R30" s="36"/>
      <c r="S30" s="44"/>
      <c r="T30" s="47"/>
      <c r="U30" s="52">
        <f t="shared" si="2"/>
        <v>0</v>
      </c>
      <c r="V30" s="23" t="str">
        <f t="shared" si="3"/>
        <v>OK</v>
      </c>
    </row>
    <row r="31" spans="1:22" hidden="1" x14ac:dyDescent="0.3">
      <c r="A31" s="62" t="s">
        <v>42</v>
      </c>
      <c r="B31" s="62">
        <v>5659</v>
      </c>
      <c r="C31" s="12" t="s">
        <v>52</v>
      </c>
      <c r="D31" s="53"/>
      <c r="E31" s="13"/>
      <c r="F31" s="13"/>
      <c r="G31" s="14"/>
      <c r="H31" s="15"/>
      <c r="I31" s="16">
        <f t="shared" si="4"/>
        <v>0</v>
      </c>
      <c r="J31" s="16"/>
      <c r="K31" s="11"/>
      <c r="L31" s="16"/>
      <c r="M31" s="16"/>
      <c r="N31" s="16"/>
      <c r="O31" s="16"/>
      <c r="P31" s="16"/>
      <c r="Q31" s="16"/>
      <c r="R31" s="35"/>
      <c r="S31" s="43"/>
      <c r="T31" s="46"/>
      <c r="U31" s="51">
        <f t="shared" si="2"/>
        <v>0</v>
      </c>
      <c r="V31" s="17" t="str">
        <f t="shared" si="3"/>
        <v>OK</v>
      </c>
    </row>
    <row r="32" spans="1:22" hidden="1" x14ac:dyDescent="0.3">
      <c r="A32" s="63" t="s">
        <v>27</v>
      </c>
      <c r="B32" s="63">
        <v>5655</v>
      </c>
      <c r="C32" s="18" t="s">
        <v>54</v>
      </c>
      <c r="D32" s="19"/>
      <c r="E32" s="19"/>
      <c r="F32" s="19"/>
      <c r="G32" s="20"/>
      <c r="H32" s="21"/>
      <c r="I32" s="22">
        <f t="shared" si="4"/>
        <v>0</v>
      </c>
      <c r="J32" s="22"/>
      <c r="K32" s="11"/>
      <c r="L32" s="22"/>
      <c r="M32" s="22"/>
      <c r="N32" s="22"/>
      <c r="O32" s="22"/>
      <c r="P32" s="22"/>
      <c r="Q32" s="22"/>
      <c r="R32" s="36"/>
      <c r="S32" s="44"/>
      <c r="T32" s="47"/>
      <c r="U32" s="52">
        <f t="shared" si="2"/>
        <v>0</v>
      </c>
      <c r="V32" s="23" t="str">
        <f t="shared" si="3"/>
        <v>OK</v>
      </c>
    </row>
    <row r="33" spans="1:22" hidden="1" x14ac:dyDescent="0.3">
      <c r="A33" s="62" t="s">
        <v>70</v>
      </c>
      <c r="B33" s="62">
        <v>5651</v>
      </c>
      <c r="C33" s="12" t="s">
        <v>55</v>
      </c>
      <c r="D33" s="53"/>
      <c r="E33" s="13"/>
      <c r="F33" s="13"/>
      <c r="G33" s="14"/>
      <c r="H33" s="15"/>
      <c r="I33" s="16">
        <f t="shared" si="4"/>
        <v>0</v>
      </c>
      <c r="J33" s="16"/>
      <c r="K33" s="11"/>
      <c r="L33" s="16"/>
      <c r="M33" s="16"/>
      <c r="N33" s="16"/>
      <c r="O33" s="16"/>
      <c r="P33" s="16"/>
      <c r="Q33" s="16"/>
      <c r="R33" s="35"/>
      <c r="S33" s="43"/>
      <c r="T33" s="46"/>
      <c r="U33" s="51">
        <f t="shared" si="2"/>
        <v>0</v>
      </c>
      <c r="V33" s="17" t="str">
        <f t="shared" si="3"/>
        <v>OK</v>
      </c>
    </row>
    <row r="34" spans="1:22" hidden="1" x14ac:dyDescent="0.3">
      <c r="A34" s="63" t="s">
        <v>71</v>
      </c>
      <c r="B34" s="63">
        <v>5643</v>
      </c>
      <c r="C34" s="18" t="s">
        <v>56</v>
      </c>
      <c r="D34" s="19"/>
      <c r="E34" s="19"/>
      <c r="F34" s="19"/>
      <c r="G34" s="20"/>
      <c r="H34" s="21"/>
      <c r="I34" s="22">
        <f t="shared" si="4"/>
        <v>0</v>
      </c>
      <c r="J34" s="22"/>
      <c r="K34" s="11"/>
      <c r="L34" s="22"/>
      <c r="M34" s="22"/>
      <c r="N34" s="22"/>
      <c r="O34" s="22"/>
      <c r="P34" s="22"/>
      <c r="Q34" s="22"/>
      <c r="R34" s="36"/>
      <c r="S34" s="44"/>
      <c r="T34" s="47"/>
      <c r="U34" s="52">
        <f t="shared" si="2"/>
        <v>0</v>
      </c>
      <c r="V34" s="23" t="str">
        <f t="shared" si="3"/>
        <v>OK</v>
      </c>
    </row>
    <row r="35" spans="1:22" hidden="1" x14ac:dyDescent="0.3">
      <c r="A35" s="62" t="s">
        <v>57</v>
      </c>
      <c r="B35" s="62">
        <v>11350</v>
      </c>
      <c r="C35" s="12" t="s">
        <v>56</v>
      </c>
      <c r="D35" s="53"/>
      <c r="E35" s="13"/>
      <c r="F35" s="13"/>
      <c r="G35" s="14"/>
      <c r="H35" s="15"/>
      <c r="I35" s="16">
        <f t="shared" si="4"/>
        <v>0</v>
      </c>
      <c r="J35" s="16"/>
      <c r="K35" s="11"/>
      <c r="L35" s="16"/>
      <c r="M35" s="16"/>
      <c r="N35" s="16"/>
      <c r="O35" s="16"/>
      <c r="P35" s="16"/>
      <c r="Q35" s="16"/>
      <c r="R35" s="35"/>
      <c r="S35" s="43"/>
      <c r="T35" s="46"/>
      <c r="U35" s="51">
        <f t="shared" si="2"/>
        <v>0</v>
      </c>
      <c r="V35" s="17" t="str">
        <f t="shared" si="3"/>
        <v>OK</v>
      </c>
    </row>
    <row r="36" spans="1:22" ht="17.25" thickBot="1" x14ac:dyDescent="0.35">
      <c r="A36" s="63" t="s">
        <v>72</v>
      </c>
      <c r="B36" s="63">
        <v>5635</v>
      </c>
      <c r="C36" s="18" t="s">
        <v>55</v>
      </c>
      <c r="D36" s="19"/>
      <c r="E36" s="19"/>
      <c r="F36" s="19"/>
      <c r="G36" s="20"/>
      <c r="H36" s="21"/>
      <c r="I36" s="22">
        <f t="shared" si="4"/>
        <v>10</v>
      </c>
      <c r="J36" s="22"/>
      <c r="K36" s="11"/>
      <c r="L36" s="22"/>
      <c r="M36" s="22">
        <v>10</v>
      </c>
      <c r="N36" s="22"/>
      <c r="O36" s="22"/>
      <c r="P36" s="22"/>
      <c r="Q36" s="22"/>
      <c r="R36" s="36"/>
      <c r="S36" s="44"/>
      <c r="T36" s="47"/>
      <c r="U36" s="52">
        <f t="shared" si="2"/>
        <v>10</v>
      </c>
      <c r="V36" s="23" t="str">
        <f t="shared" si="3"/>
        <v>OK</v>
      </c>
    </row>
    <row r="37" spans="1:22" ht="17.25" hidden="1" thickBot="1" x14ac:dyDescent="0.35">
      <c r="A37" s="62" t="s">
        <v>58</v>
      </c>
      <c r="B37" s="62">
        <v>11349</v>
      </c>
      <c r="C37" s="12" t="s">
        <v>55</v>
      </c>
      <c r="D37" s="53"/>
      <c r="E37" s="13"/>
      <c r="F37" s="13"/>
      <c r="G37" s="14"/>
      <c r="H37" s="15"/>
      <c r="I37" s="16">
        <f t="shared" si="4"/>
        <v>0</v>
      </c>
      <c r="J37" s="16"/>
      <c r="K37" s="11"/>
      <c r="L37" s="16"/>
      <c r="M37" s="16"/>
      <c r="N37" s="16"/>
      <c r="O37" s="16"/>
      <c r="P37" s="16"/>
      <c r="Q37" s="16"/>
      <c r="R37" s="35"/>
      <c r="S37" s="43"/>
      <c r="T37" s="46"/>
      <c r="U37" s="51">
        <f t="shared" ref="U37:U55" si="5">SUM(L37:T37)</f>
        <v>0</v>
      </c>
      <c r="V37" s="17" t="str">
        <f t="shared" si="3"/>
        <v>OK</v>
      </c>
    </row>
    <row r="38" spans="1:22" ht="17.25" hidden="1" thickBot="1" x14ac:dyDescent="0.35">
      <c r="A38" s="63" t="s">
        <v>73</v>
      </c>
      <c r="B38" s="63">
        <v>5627</v>
      </c>
      <c r="C38" s="18" t="s">
        <v>56</v>
      </c>
      <c r="D38" s="19"/>
      <c r="E38" s="19"/>
      <c r="F38" s="19"/>
      <c r="G38" s="20"/>
      <c r="H38" s="21"/>
      <c r="I38" s="22">
        <f t="shared" si="4"/>
        <v>0</v>
      </c>
      <c r="J38" s="22"/>
      <c r="K38" s="11"/>
      <c r="L38" s="22"/>
      <c r="M38" s="22"/>
      <c r="N38" s="22"/>
      <c r="O38" s="22"/>
      <c r="P38" s="22"/>
      <c r="Q38" s="22"/>
      <c r="R38" s="36"/>
      <c r="S38" s="44"/>
      <c r="T38" s="47"/>
      <c r="U38" s="52">
        <f t="shared" si="5"/>
        <v>0</v>
      </c>
      <c r="V38" s="23" t="str">
        <f t="shared" si="3"/>
        <v>OK</v>
      </c>
    </row>
    <row r="39" spans="1:22" ht="17.25" hidden="1" thickBot="1" x14ac:dyDescent="0.35">
      <c r="A39" s="62" t="s">
        <v>59</v>
      </c>
      <c r="B39" s="62">
        <v>11348</v>
      </c>
      <c r="C39" s="12" t="s">
        <v>56</v>
      </c>
      <c r="D39" s="53"/>
      <c r="E39" s="13"/>
      <c r="F39" s="13"/>
      <c r="G39" s="14"/>
      <c r="H39" s="15"/>
      <c r="I39" s="16">
        <f t="shared" si="4"/>
        <v>0</v>
      </c>
      <c r="J39" s="16"/>
      <c r="K39" s="11"/>
      <c r="L39" s="16"/>
      <c r="M39" s="16"/>
      <c r="N39" s="16"/>
      <c r="O39" s="16"/>
      <c r="P39" s="16"/>
      <c r="Q39" s="16"/>
      <c r="R39" s="35"/>
      <c r="S39" s="43"/>
      <c r="T39" s="46"/>
      <c r="U39" s="51">
        <f t="shared" si="5"/>
        <v>0</v>
      </c>
      <c r="V39" s="17" t="str">
        <f t="shared" si="3"/>
        <v>OK</v>
      </c>
    </row>
    <row r="40" spans="1:22" ht="17.25" hidden="1" thickBot="1" x14ac:dyDescent="0.35">
      <c r="A40" s="63" t="s">
        <v>74</v>
      </c>
      <c r="B40" s="63">
        <v>5619</v>
      </c>
      <c r="C40" s="18" t="s">
        <v>60</v>
      </c>
      <c r="D40" s="19"/>
      <c r="E40" s="19"/>
      <c r="F40" s="19"/>
      <c r="G40" s="20"/>
      <c r="H40" s="21"/>
      <c r="I40" s="22">
        <f t="shared" si="4"/>
        <v>0</v>
      </c>
      <c r="J40" s="22"/>
      <c r="K40" s="11"/>
      <c r="L40" s="22"/>
      <c r="M40" s="22"/>
      <c r="N40" s="22"/>
      <c r="O40" s="22"/>
      <c r="P40" s="22"/>
      <c r="Q40" s="22"/>
      <c r="R40" s="36"/>
      <c r="S40" s="44"/>
      <c r="T40" s="47"/>
      <c r="U40" s="52">
        <f t="shared" si="5"/>
        <v>0</v>
      </c>
      <c r="V40" s="23" t="str">
        <f t="shared" si="3"/>
        <v>OK</v>
      </c>
    </row>
    <row r="41" spans="1:22" ht="17.25" hidden="1" thickBot="1" x14ac:dyDescent="0.35">
      <c r="A41" s="64" t="s">
        <v>61</v>
      </c>
      <c r="B41" s="62">
        <v>11347</v>
      </c>
      <c r="C41" s="12" t="s">
        <v>60</v>
      </c>
      <c r="D41" s="53"/>
      <c r="E41" s="13"/>
      <c r="F41" s="13"/>
      <c r="G41" s="14"/>
      <c r="H41" s="15"/>
      <c r="I41" s="16">
        <f t="shared" si="4"/>
        <v>0</v>
      </c>
      <c r="J41" s="16"/>
      <c r="K41" s="11"/>
      <c r="L41" s="16"/>
      <c r="M41" s="16"/>
      <c r="N41" s="16"/>
      <c r="O41" s="16"/>
      <c r="P41" s="16"/>
      <c r="Q41" s="16"/>
      <c r="R41" s="35"/>
      <c r="S41" s="43"/>
      <c r="T41" s="46"/>
      <c r="U41" s="51">
        <f t="shared" si="5"/>
        <v>0</v>
      </c>
      <c r="V41" s="17" t="str">
        <f t="shared" si="3"/>
        <v>OK</v>
      </c>
    </row>
    <row r="42" spans="1:22" ht="17.25" hidden="1" thickBot="1" x14ac:dyDescent="0.35">
      <c r="A42" s="54" t="s">
        <v>75</v>
      </c>
      <c r="B42" s="63">
        <v>5611</v>
      </c>
      <c r="C42" s="18" t="s">
        <v>62</v>
      </c>
      <c r="D42" s="19"/>
      <c r="E42" s="19"/>
      <c r="F42" s="19"/>
      <c r="G42" s="20"/>
      <c r="H42" s="21"/>
      <c r="I42" s="22">
        <f t="shared" si="4"/>
        <v>0</v>
      </c>
      <c r="J42" s="22"/>
      <c r="K42" s="11"/>
      <c r="L42" s="22"/>
      <c r="M42" s="22"/>
      <c r="N42" s="22"/>
      <c r="O42" s="22"/>
      <c r="P42" s="22"/>
      <c r="Q42" s="22"/>
      <c r="R42" s="36"/>
      <c r="S42" s="44"/>
      <c r="T42" s="47"/>
      <c r="U42" s="52">
        <f t="shared" si="5"/>
        <v>0</v>
      </c>
      <c r="V42" s="23" t="str">
        <f t="shared" si="3"/>
        <v>OK</v>
      </c>
    </row>
    <row r="43" spans="1:22" ht="17.25" hidden="1" thickBot="1" x14ac:dyDescent="0.35">
      <c r="A43" s="12" t="s">
        <v>63</v>
      </c>
      <c r="B43" s="62">
        <v>11336</v>
      </c>
      <c r="C43" s="12" t="s">
        <v>62</v>
      </c>
      <c r="D43" s="53"/>
      <c r="E43" s="13"/>
      <c r="F43" s="13"/>
      <c r="G43" s="14"/>
      <c r="H43" s="15"/>
      <c r="I43" s="16">
        <f t="shared" si="4"/>
        <v>0</v>
      </c>
      <c r="J43" s="16"/>
      <c r="K43" s="11"/>
      <c r="L43" s="16"/>
      <c r="M43" s="16"/>
      <c r="N43" s="16"/>
      <c r="O43" s="16"/>
      <c r="P43" s="16"/>
      <c r="Q43" s="16"/>
      <c r="R43" s="35"/>
      <c r="S43" s="43"/>
      <c r="T43" s="46"/>
      <c r="U43" s="51">
        <f t="shared" si="5"/>
        <v>0</v>
      </c>
      <c r="V43" s="17" t="str">
        <f t="shared" si="3"/>
        <v>OK</v>
      </c>
    </row>
    <row r="44" spans="1:22" ht="17.25" hidden="1" thickBot="1" x14ac:dyDescent="0.35">
      <c r="A44" s="54" t="s">
        <v>100</v>
      </c>
      <c r="B44" s="63">
        <v>14860</v>
      </c>
      <c r="C44" s="18" t="s">
        <v>56</v>
      </c>
      <c r="D44" s="19"/>
      <c r="E44" s="19"/>
      <c r="F44" s="19"/>
      <c r="G44" s="20"/>
      <c r="H44" s="21"/>
      <c r="I44" s="22">
        <f t="shared" si="4"/>
        <v>0</v>
      </c>
      <c r="J44" s="22"/>
      <c r="K44" s="11"/>
      <c r="L44" s="22"/>
      <c r="M44" s="22"/>
      <c r="N44" s="22"/>
      <c r="O44" s="22"/>
      <c r="P44" s="22"/>
      <c r="Q44" s="22"/>
      <c r="R44" s="36"/>
      <c r="S44" s="44"/>
      <c r="T44" s="47"/>
      <c r="U44" s="52">
        <f t="shared" si="5"/>
        <v>0</v>
      </c>
      <c r="V44" s="23" t="str">
        <f t="shared" si="3"/>
        <v>OK</v>
      </c>
    </row>
    <row r="45" spans="1:22" ht="17.25" hidden="1" thickBot="1" x14ac:dyDescent="0.35">
      <c r="A45" s="64" t="s">
        <v>83</v>
      </c>
      <c r="B45" s="62">
        <v>14861</v>
      </c>
      <c r="C45" s="12" t="s">
        <v>56</v>
      </c>
      <c r="D45" s="53"/>
      <c r="E45" s="13"/>
      <c r="F45" s="13"/>
      <c r="G45" s="14"/>
      <c r="H45" s="15"/>
      <c r="I45" s="16">
        <f t="shared" si="4"/>
        <v>0</v>
      </c>
      <c r="J45" s="16"/>
      <c r="K45" s="11"/>
      <c r="L45" s="16"/>
      <c r="M45" s="16"/>
      <c r="N45" s="16"/>
      <c r="O45" s="16"/>
      <c r="P45" s="16"/>
      <c r="Q45" s="16"/>
      <c r="R45" s="35"/>
      <c r="S45" s="43"/>
      <c r="T45" s="46"/>
      <c r="U45" s="51">
        <f t="shared" si="5"/>
        <v>0</v>
      </c>
      <c r="V45" s="17" t="str">
        <f t="shared" si="3"/>
        <v>OK</v>
      </c>
    </row>
    <row r="46" spans="1:22" ht="17.25" hidden="1" thickBot="1" x14ac:dyDescent="0.35">
      <c r="A46" s="54" t="s">
        <v>101</v>
      </c>
      <c r="B46" s="63">
        <v>15096</v>
      </c>
      <c r="C46" s="18" t="s">
        <v>56</v>
      </c>
      <c r="D46" s="19"/>
      <c r="E46" s="19"/>
      <c r="F46" s="19"/>
      <c r="G46" s="20"/>
      <c r="H46" s="21"/>
      <c r="I46" s="22">
        <f t="shared" si="4"/>
        <v>0</v>
      </c>
      <c r="J46" s="22"/>
      <c r="K46" s="11"/>
      <c r="L46" s="22"/>
      <c r="M46" s="22"/>
      <c r="N46" s="22"/>
      <c r="O46" s="22"/>
      <c r="P46" s="22"/>
      <c r="Q46" s="22"/>
      <c r="R46" s="36"/>
      <c r="S46" s="44"/>
      <c r="T46" s="47"/>
      <c r="U46" s="52">
        <f t="shared" si="5"/>
        <v>0</v>
      </c>
      <c r="V46" s="23" t="str">
        <f t="shared" si="3"/>
        <v>OK</v>
      </c>
    </row>
    <row r="47" spans="1:22" ht="17.25" hidden="1" thickBot="1" x14ac:dyDescent="0.35">
      <c r="A47" s="12" t="s">
        <v>81</v>
      </c>
      <c r="B47" s="62">
        <v>15097</v>
      </c>
      <c r="C47" s="12" t="s">
        <v>56</v>
      </c>
      <c r="D47" s="53"/>
      <c r="E47" s="13"/>
      <c r="F47" s="13"/>
      <c r="G47" s="14"/>
      <c r="H47" s="15"/>
      <c r="I47" s="16">
        <f t="shared" si="4"/>
        <v>0</v>
      </c>
      <c r="J47" s="16"/>
      <c r="K47" s="11"/>
      <c r="L47" s="16"/>
      <c r="M47" s="16"/>
      <c r="N47" s="16"/>
      <c r="O47" s="16"/>
      <c r="P47" s="16"/>
      <c r="Q47" s="16"/>
      <c r="R47" s="35"/>
      <c r="S47" s="43"/>
      <c r="T47" s="46"/>
      <c r="U47" s="51">
        <f t="shared" si="5"/>
        <v>0</v>
      </c>
      <c r="V47" s="17" t="str">
        <f t="shared" si="3"/>
        <v>OK</v>
      </c>
    </row>
    <row r="48" spans="1:22" ht="17.25" hidden="1" thickBot="1" x14ac:dyDescent="0.35">
      <c r="A48" s="54" t="s">
        <v>76</v>
      </c>
      <c r="B48" s="63">
        <v>5585</v>
      </c>
      <c r="C48" s="18" t="s">
        <v>64</v>
      </c>
      <c r="D48" s="19"/>
      <c r="E48" s="19"/>
      <c r="F48" s="19"/>
      <c r="G48" s="20"/>
      <c r="H48" s="21"/>
      <c r="I48" s="22">
        <f t="shared" si="4"/>
        <v>0</v>
      </c>
      <c r="J48" s="22"/>
      <c r="K48" s="11"/>
      <c r="L48" s="22"/>
      <c r="M48" s="22"/>
      <c r="N48" s="22"/>
      <c r="O48" s="22"/>
      <c r="P48" s="22"/>
      <c r="Q48" s="22"/>
      <c r="R48" s="36"/>
      <c r="S48" s="44"/>
      <c r="T48" s="47"/>
      <c r="U48" s="52">
        <f t="shared" si="5"/>
        <v>0</v>
      </c>
      <c r="V48" s="23" t="str">
        <f t="shared" si="3"/>
        <v>OK</v>
      </c>
    </row>
    <row r="49" spans="1:22" ht="17.25" hidden="1" thickBot="1" x14ac:dyDescent="0.35">
      <c r="A49" s="12" t="s">
        <v>65</v>
      </c>
      <c r="B49" s="62">
        <v>11351</v>
      </c>
      <c r="C49" s="12" t="s">
        <v>64</v>
      </c>
      <c r="D49" s="53"/>
      <c r="E49" s="13"/>
      <c r="F49" s="13"/>
      <c r="G49" s="14"/>
      <c r="H49" s="15"/>
      <c r="I49" s="16">
        <f t="shared" si="4"/>
        <v>0</v>
      </c>
      <c r="J49" s="16"/>
      <c r="K49" s="11"/>
      <c r="L49" s="16"/>
      <c r="M49" s="16"/>
      <c r="N49" s="16"/>
      <c r="O49" s="16"/>
      <c r="P49" s="16"/>
      <c r="Q49" s="16"/>
      <c r="R49" s="35"/>
      <c r="S49" s="43"/>
      <c r="T49" s="46"/>
      <c r="U49" s="51">
        <f t="shared" si="5"/>
        <v>0</v>
      </c>
      <c r="V49" s="17" t="str">
        <f t="shared" si="3"/>
        <v>OK</v>
      </c>
    </row>
    <row r="50" spans="1:22" ht="17.25" hidden="1" thickBot="1" x14ac:dyDescent="0.35">
      <c r="A50" s="54" t="s">
        <v>66</v>
      </c>
      <c r="B50" s="63">
        <v>11352</v>
      </c>
      <c r="C50" s="18" t="s">
        <v>64</v>
      </c>
      <c r="D50" s="19"/>
      <c r="E50" s="19"/>
      <c r="F50" s="19"/>
      <c r="G50" s="20"/>
      <c r="H50" s="21"/>
      <c r="I50" s="22">
        <f t="shared" si="4"/>
        <v>0</v>
      </c>
      <c r="J50" s="22"/>
      <c r="K50" s="11"/>
      <c r="L50" s="22"/>
      <c r="M50" s="22"/>
      <c r="N50" s="22"/>
      <c r="O50" s="22"/>
      <c r="P50" s="22"/>
      <c r="Q50" s="22"/>
      <c r="R50" s="36"/>
      <c r="S50" s="44"/>
      <c r="T50" s="47"/>
      <c r="U50" s="52">
        <f t="shared" si="5"/>
        <v>0</v>
      </c>
      <c r="V50" s="23" t="str">
        <f t="shared" si="3"/>
        <v>OK</v>
      </c>
    </row>
    <row r="51" spans="1:22" ht="17.25" hidden="1" thickBot="1" x14ac:dyDescent="0.35">
      <c r="A51" s="90" t="s">
        <v>102</v>
      </c>
      <c r="B51" s="76">
        <v>13515</v>
      </c>
      <c r="C51" s="70" t="s">
        <v>78</v>
      </c>
      <c r="D51" s="70"/>
      <c r="E51" s="70"/>
      <c r="F51" s="70"/>
      <c r="G51" s="91"/>
      <c r="H51" s="82"/>
      <c r="I51" s="82">
        <f t="shared" si="4"/>
        <v>0</v>
      </c>
      <c r="J51" s="74"/>
      <c r="K51" s="11"/>
      <c r="L51" s="16"/>
      <c r="M51" s="16"/>
      <c r="N51" s="16"/>
      <c r="O51" s="16"/>
      <c r="P51" s="16"/>
      <c r="Q51" s="16"/>
      <c r="R51" s="35"/>
      <c r="S51" s="43"/>
      <c r="T51" s="46"/>
      <c r="U51" s="75">
        <f t="shared" si="5"/>
        <v>0</v>
      </c>
      <c r="V51" s="93" t="str">
        <f t="shared" si="3"/>
        <v>OK</v>
      </c>
    </row>
    <row r="52" spans="1:22" ht="17.25" hidden="1" thickBot="1" x14ac:dyDescent="0.35">
      <c r="A52" s="54" t="s">
        <v>103</v>
      </c>
      <c r="B52" s="63">
        <v>13516</v>
      </c>
      <c r="C52" s="18" t="s">
        <v>78</v>
      </c>
      <c r="D52" s="18"/>
      <c r="E52" s="18"/>
      <c r="F52" s="18"/>
      <c r="G52" s="92"/>
      <c r="H52" s="22"/>
      <c r="I52" s="22">
        <f t="shared" si="4"/>
        <v>0</v>
      </c>
      <c r="J52" s="69"/>
      <c r="K52" s="11"/>
      <c r="L52" s="22"/>
      <c r="M52" s="22"/>
      <c r="N52" s="22"/>
      <c r="O52" s="22"/>
      <c r="P52" s="22"/>
      <c r="Q52" s="22"/>
      <c r="R52" s="36"/>
      <c r="S52" s="44"/>
      <c r="T52" s="47"/>
      <c r="U52" s="52">
        <f t="shared" si="5"/>
        <v>0</v>
      </c>
      <c r="V52" s="23" t="str">
        <f t="shared" si="3"/>
        <v>OK</v>
      </c>
    </row>
    <row r="53" spans="1:22" ht="17.25" hidden="1" thickBot="1" x14ac:dyDescent="0.35">
      <c r="A53" s="90" t="s">
        <v>104</v>
      </c>
      <c r="B53" s="76">
        <v>13468</v>
      </c>
      <c r="C53" s="70" t="s">
        <v>78</v>
      </c>
      <c r="D53" s="70"/>
      <c r="E53" s="70"/>
      <c r="F53" s="70"/>
      <c r="G53" s="91"/>
      <c r="H53" s="82"/>
      <c r="I53" s="82">
        <f t="shared" si="4"/>
        <v>0</v>
      </c>
      <c r="J53" s="74"/>
      <c r="K53" s="11"/>
      <c r="L53" s="16"/>
      <c r="M53" s="16"/>
      <c r="N53" s="16"/>
      <c r="O53" s="16"/>
      <c r="P53" s="16"/>
      <c r="Q53" s="16"/>
      <c r="R53" s="35"/>
      <c r="S53" s="43"/>
      <c r="T53" s="46"/>
      <c r="U53" s="75">
        <f t="shared" si="5"/>
        <v>0</v>
      </c>
      <c r="V53" s="93" t="str">
        <f t="shared" si="3"/>
        <v>OK</v>
      </c>
    </row>
    <row r="54" spans="1:22" ht="17.25" hidden="1" thickBot="1" x14ac:dyDescent="0.35">
      <c r="A54" s="54" t="s">
        <v>79</v>
      </c>
      <c r="B54" s="63">
        <v>13469</v>
      </c>
      <c r="C54" s="18" t="s">
        <v>78</v>
      </c>
      <c r="D54" s="18"/>
      <c r="E54" s="18"/>
      <c r="F54" s="18"/>
      <c r="G54" s="92"/>
      <c r="H54" s="22"/>
      <c r="I54" s="22">
        <f t="shared" si="4"/>
        <v>0</v>
      </c>
      <c r="J54" s="69"/>
      <c r="K54" s="11"/>
      <c r="L54" s="22"/>
      <c r="M54" s="22"/>
      <c r="N54" s="22"/>
      <c r="O54" s="22"/>
      <c r="P54" s="22"/>
      <c r="Q54" s="22"/>
      <c r="R54" s="36"/>
      <c r="S54" s="44"/>
      <c r="T54" s="47"/>
      <c r="U54" s="52">
        <f t="shared" si="5"/>
        <v>0</v>
      </c>
      <c r="V54" s="23" t="str">
        <f t="shared" si="3"/>
        <v>OK</v>
      </c>
    </row>
    <row r="55" spans="1:22" ht="17.25" hidden="1" thickBot="1" x14ac:dyDescent="0.35">
      <c r="A55" s="90" t="s">
        <v>43</v>
      </c>
      <c r="B55" s="76">
        <v>11820</v>
      </c>
      <c r="C55" s="70" t="s">
        <v>67</v>
      </c>
      <c r="D55" s="70"/>
      <c r="E55" s="70"/>
      <c r="F55" s="70"/>
      <c r="G55" s="91"/>
      <c r="H55" s="82"/>
      <c r="I55" s="82">
        <f t="shared" si="4"/>
        <v>0</v>
      </c>
      <c r="J55" s="74"/>
      <c r="K55" s="11"/>
      <c r="L55" s="16"/>
      <c r="M55" s="16"/>
      <c r="N55" s="16"/>
      <c r="O55" s="16"/>
      <c r="P55" s="16"/>
      <c r="Q55" s="16"/>
      <c r="R55" s="35"/>
      <c r="S55" s="43"/>
      <c r="T55" s="46"/>
      <c r="U55" s="75">
        <f t="shared" si="5"/>
        <v>0</v>
      </c>
      <c r="V55" s="93" t="str">
        <f t="shared" si="3"/>
        <v>OK</v>
      </c>
    </row>
    <row r="56" spans="1:22" ht="17.25" hidden="1" thickBot="1" x14ac:dyDescent="0.35">
      <c r="A56" s="54" t="s">
        <v>44</v>
      </c>
      <c r="B56" s="63">
        <v>11816</v>
      </c>
      <c r="C56" s="18" t="s">
        <v>67</v>
      </c>
      <c r="D56" s="18"/>
      <c r="E56" s="18"/>
      <c r="F56" s="18"/>
      <c r="G56" s="92"/>
      <c r="H56" s="22"/>
      <c r="I56" s="22">
        <f t="shared" si="4"/>
        <v>0</v>
      </c>
      <c r="J56" s="69"/>
      <c r="K56" s="11"/>
      <c r="L56" s="22"/>
      <c r="M56" s="22"/>
      <c r="N56" s="22"/>
      <c r="O56" s="22"/>
      <c r="P56" s="22"/>
      <c r="Q56" s="22"/>
      <c r="R56" s="36"/>
      <c r="S56" s="44"/>
      <c r="T56" s="47"/>
      <c r="U56" s="52">
        <f>SUM(L56:T56)</f>
        <v>0</v>
      </c>
      <c r="V56" s="23" t="str">
        <f t="shared" si="3"/>
        <v>OK</v>
      </c>
    </row>
    <row r="57" spans="1:22" ht="17.25" hidden="1" thickBot="1" x14ac:dyDescent="0.35">
      <c r="A57" s="76" t="s">
        <v>77</v>
      </c>
      <c r="B57" s="76">
        <v>11381</v>
      </c>
      <c r="C57" s="77" t="s">
        <v>68</v>
      </c>
      <c r="D57" s="70"/>
      <c r="E57" s="70"/>
      <c r="F57" s="70"/>
      <c r="G57" s="91"/>
      <c r="H57" s="82"/>
      <c r="I57" s="82">
        <f t="shared" si="4"/>
        <v>0</v>
      </c>
      <c r="J57" s="74"/>
      <c r="K57" s="11"/>
      <c r="L57" s="16"/>
      <c r="M57" s="16"/>
      <c r="N57" s="16"/>
      <c r="O57" s="16"/>
      <c r="P57" s="16"/>
      <c r="Q57" s="16"/>
      <c r="R57" s="35"/>
      <c r="S57" s="43"/>
      <c r="T57" s="46"/>
      <c r="U57" s="75">
        <f>SUM(L57:T57)</f>
        <v>0</v>
      </c>
      <c r="V57" s="93" t="str">
        <f t="shared" si="3"/>
        <v>OK</v>
      </c>
    </row>
    <row r="58" spans="1:22" ht="17.25" hidden="1" thickBot="1" x14ac:dyDescent="0.35">
      <c r="A58" s="54" t="s">
        <v>69</v>
      </c>
      <c r="B58" s="63">
        <v>11382</v>
      </c>
      <c r="C58" s="18" t="s">
        <v>68</v>
      </c>
      <c r="D58" s="18"/>
      <c r="E58" s="18"/>
      <c r="F58" s="18"/>
      <c r="G58" s="92"/>
      <c r="H58" s="22"/>
      <c r="I58" s="22">
        <f t="shared" si="4"/>
        <v>0</v>
      </c>
      <c r="J58" s="69"/>
      <c r="K58" s="11"/>
      <c r="L58" s="22"/>
      <c r="M58" s="22"/>
      <c r="N58" s="22"/>
      <c r="O58" s="22"/>
      <c r="P58" s="22"/>
      <c r="Q58" s="22"/>
      <c r="R58" s="36"/>
      <c r="S58" s="44"/>
      <c r="T58" s="47"/>
      <c r="U58" s="52">
        <f>SUM(L58:T58)</f>
        <v>0</v>
      </c>
      <c r="V58" s="23" t="str">
        <f t="shared" si="3"/>
        <v>OK</v>
      </c>
    </row>
    <row r="59" spans="1:22" ht="17.25" hidden="1" thickBot="1" x14ac:dyDescent="0.35">
      <c r="A59" s="96" t="s">
        <v>105</v>
      </c>
      <c r="B59" s="76">
        <v>16586</v>
      </c>
      <c r="C59" s="70" t="s">
        <v>78</v>
      </c>
      <c r="D59" s="70"/>
      <c r="E59" s="70"/>
      <c r="F59" s="70"/>
      <c r="G59" s="91"/>
      <c r="H59" s="82"/>
      <c r="I59" s="82">
        <f t="shared" si="4"/>
        <v>0</v>
      </c>
      <c r="J59" s="74"/>
      <c r="K59" s="11"/>
      <c r="L59" s="16"/>
      <c r="M59" s="16"/>
      <c r="N59" s="16"/>
      <c r="O59" s="16"/>
      <c r="P59" s="16"/>
      <c r="Q59" s="16"/>
      <c r="R59" s="35"/>
      <c r="S59" s="43"/>
      <c r="T59" s="46"/>
      <c r="U59" s="75">
        <f t="shared" ref="U59:U69" si="6">SUM(L59:T59)</f>
        <v>0</v>
      </c>
      <c r="V59" s="93" t="str">
        <f t="shared" si="3"/>
        <v>OK</v>
      </c>
    </row>
    <row r="60" spans="1:22" ht="17.25" hidden="1" thickBot="1" x14ac:dyDescent="0.35">
      <c r="A60" s="54" t="s">
        <v>90</v>
      </c>
      <c r="B60" s="63">
        <v>16587</v>
      </c>
      <c r="C60" s="18" t="s">
        <v>78</v>
      </c>
      <c r="D60" s="18"/>
      <c r="E60" s="18"/>
      <c r="F60" s="18"/>
      <c r="G60" s="92"/>
      <c r="H60" s="22"/>
      <c r="I60" s="22">
        <f t="shared" si="4"/>
        <v>0</v>
      </c>
      <c r="J60" s="69"/>
      <c r="K60" s="11"/>
      <c r="L60" s="22"/>
      <c r="M60" s="22"/>
      <c r="N60" s="22"/>
      <c r="O60" s="22"/>
      <c r="P60" s="22"/>
      <c r="Q60" s="22"/>
      <c r="R60" s="36"/>
      <c r="S60" s="44"/>
      <c r="T60" s="47"/>
      <c r="U60" s="52">
        <f t="shared" si="6"/>
        <v>0</v>
      </c>
      <c r="V60" s="23" t="str">
        <f t="shared" si="3"/>
        <v>OK</v>
      </c>
    </row>
    <row r="61" spans="1:22" ht="17.25" hidden="1" thickBot="1" x14ac:dyDescent="0.35">
      <c r="A61" s="90" t="s">
        <v>91</v>
      </c>
      <c r="B61" s="76">
        <v>17121</v>
      </c>
      <c r="C61" s="70" t="s">
        <v>92</v>
      </c>
      <c r="D61" s="70"/>
      <c r="E61" s="70"/>
      <c r="F61" s="70"/>
      <c r="G61" s="91"/>
      <c r="H61" s="82"/>
      <c r="I61" s="82">
        <f t="shared" si="4"/>
        <v>0</v>
      </c>
      <c r="J61" s="74"/>
      <c r="K61" s="11"/>
      <c r="L61" s="16"/>
      <c r="M61" s="16"/>
      <c r="N61" s="16"/>
      <c r="O61" s="16"/>
      <c r="P61" s="16"/>
      <c r="Q61" s="16"/>
      <c r="R61" s="35"/>
      <c r="S61" s="43"/>
      <c r="T61" s="46"/>
      <c r="U61" s="75">
        <f t="shared" si="6"/>
        <v>0</v>
      </c>
      <c r="V61" s="93" t="str">
        <f t="shared" si="3"/>
        <v>OK</v>
      </c>
    </row>
    <row r="62" spans="1:22" ht="17.25" hidden="1" thickBot="1" x14ac:dyDescent="0.35">
      <c r="A62" s="54" t="s">
        <v>106</v>
      </c>
      <c r="B62" s="63">
        <v>19270</v>
      </c>
      <c r="C62" s="18" t="s">
        <v>68</v>
      </c>
      <c r="D62" s="18"/>
      <c r="E62" s="18"/>
      <c r="F62" s="18"/>
      <c r="G62" s="92"/>
      <c r="H62" s="22"/>
      <c r="I62" s="22">
        <f t="shared" si="4"/>
        <v>0</v>
      </c>
      <c r="J62" s="69"/>
      <c r="K62" s="11"/>
      <c r="L62" s="22"/>
      <c r="M62" s="22"/>
      <c r="N62" s="22"/>
      <c r="O62" s="22"/>
      <c r="P62" s="22"/>
      <c r="Q62" s="22"/>
      <c r="R62" s="36"/>
      <c r="S62" s="44"/>
      <c r="T62" s="47"/>
      <c r="U62" s="71">
        <f t="shared" si="6"/>
        <v>0</v>
      </c>
      <c r="V62" s="23" t="str">
        <f t="shared" si="3"/>
        <v>OK</v>
      </c>
    </row>
    <row r="63" spans="1:22" ht="17.25" hidden="1" thickBot="1" x14ac:dyDescent="0.35">
      <c r="A63" s="90" t="s">
        <v>107</v>
      </c>
      <c r="B63" s="76">
        <v>19276</v>
      </c>
      <c r="C63" s="70" t="s">
        <v>68</v>
      </c>
      <c r="D63" s="70"/>
      <c r="E63" s="70"/>
      <c r="F63" s="70"/>
      <c r="G63" s="91"/>
      <c r="H63" s="82"/>
      <c r="I63" s="82">
        <f t="shared" si="4"/>
        <v>0</v>
      </c>
      <c r="J63" s="74"/>
      <c r="K63" s="11"/>
      <c r="L63" s="16"/>
      <c r="M63" s="16"/>
      <c r="N63" s="16"/>
      <c r="O63" s="16"/>
      <c r="P63" s="16"/>
      <c r="Q63" s="16"/>
      <c r="R63" s="35"/>
      <c r="S63" s="43"/>
      <c r="T63" s="46"/>
      <c r="U63" s="75">
        <f t="shared" si="6"/>
        <v>0</v>
      </c>
      <c r="V63" s="93" t="str">
        <f t="shared" si="3"/>
        <v>OK</v>
      </c>
    </row>
    <row r="64" spans="1:22" ht="17.25" hidden="1" thickBot="1" x14ac:dyDescent="0.35">
      <c r="A64" s="54" t="s">
        <v>108</v>
      </c>
      <c r="B64" s="63">
        <v>19836</v>
      </c>
      <c r="C64" s="18" t="s">
        <v>45</v>
      </c>
      <c r="D64" s="18"/>
      <c r="E64" s="18"/>
      <c r="F64" s="18"/>
      <c r="G64" s="92"/>
      <c r="H64" s="22"/>
      <c r="I64" s="22">
        <f t="shared" si="4"/>
        <v>0</v>
      </c>
      <c r="J64" s="69"/>
      <c r="K64" s="11"/>
      <c r="L64" s="22"/>
      <c r="M64" s="22"/>
      <c r="N64" s="22"/>
      <c r="O64" s="22"/>
      <c r="P64" s="22"/>
      <c r="Q64" s="22"/>
      <c r="R64" s="36"/>
      <c r="S64" s="44"/>
      <c r="T64" s="47"/>
      <c r="U64" s="52">
        <f t="shared" si="6"/>
        <v>0</v>
      </c>
      <c r="V64" s="23" t="str">
        <f t="shared" si="3"/>
        <v>OK</v>
      </c>
    </row>
    <row r="65" spans="1:22" ht="17.25" hidden="1" thickBot="1" x14ac:dyDescent="0.35">
      <c r="A65" s="90" t="s">
        <v>109</v>
      </c>
      <c r="B65" s="76">
        <v>20278</v>
      </c>
      <c r="C65" s="70" t="s">
        <v>110</v>
      </c>
      <c r="D65" s="70"/>
      <c r="E65" s="70"/>
      <c r="F65" s="70"/>
      <c r="G65" s="91"/>
      <c r="H65" s="82"/>
      <c r="I65" s="82">
        <f t="shared" si="4"/>
        <v>0</v>
      </c>
      <c r="J65" s="74"/>
      <c r="K65" s="11"/>
      <c r="L65" s="16"/>
      <c r="M65" s="16"/>
      <c r="N65" s="16"/>
      <c r="O65" s="16"/>
      <c r="P65" s="16"/>
      <c r="Q65" s="16"/>
      <c r="R65" s="35"/>
      <c r="S65" s="43"/>
      <c r="T65" s="46"/>
      <c r="U65" s="75">
        <f t="shared" si="6"/>
        <v>0</v>
      </c>
      <c r="V65" s="93" t="str">
        <f t="shared" si="3"/>
        <v>OK</v>
      </c>
    </row>
    <row r="66" spans="1:22" ht="17.25" hidden="1" thickBot="1" x14ac:dyDescent="0.35">
      <c r="A66" s="54" t="s">
        <v>111</v>
      </c>
      <c r="B66" s="63">
        <v>20272</v>
      </c>
      <c r="C66" s="18" t="s">
        <v>110</v>
      </c>
      <c r="D66" s="18"/>
      <c r="E66" s="18"/>
      <c r="F66" s="18"/>
      <c r="G66" s="92"/>
      <c r="H66" s="22"/>
      <c r="I66" s="22">
        <f t="shared" si="4"/>
        <v>0</v>
      </c>
      <c r="J66" s="69"/>
      <c r="K66" s="11"/>
      <c r="L66" s="22"/>
      <c r="M66" s="22"/>
      <c r="N66" s="22"/>
      <c r="O66" s="22"/>
      <c r="P66" s="22"/>
      <c r="Q66" s="22"/>
      <c r="R66" s="36"/>
      <c r="S66" s="44"/>
      <c r="T66" s="47"/>
      <c r="U66" s="52">
        <f t="shared" si="6"/>
        <v>0</v>
      </c>
      <c r="V66" s="23" t="str">
        <f t="shared" si="3"/>
        <v>OK</v>
      </c>
    </row>
    <row r="67" spans="1:22" ht="17.25" hidden="1" thickBot="1" x14ac:dyDescent="0.35">
      <c r="A67" s="90" t="s">
        <v>112</v>
      </c>
      <c r="B67" s="76">
        <v>20956</v>
      </c>
      <c r="C67" s="70" t="s">
        <v>110</v>
      </c>
      <c r="D67" s="70"/>
      <c r="E67" s="70"/>
      <c r="F67" s="70"/>
      <c r="G67" s="91"/>
      <c r="H67" s="82"/>
      <c r="I67" s="82">
        <f t="shared" si="4"/>
        <v>0</v>
      </c>
      <c r="J67" s="74"/>
      <c r="K67" s="11"/>
      <c r="L67" s="16"/>
      <c r="M67" s="16"/>
      <c r="N67" s="16"/>
      <c r="O67" s="16"/>
      <c r="P67" s="16"/>
      <c r="Q67" s="16"/>
      <c r="R67" s="35"/>
      <c r="S67" s="43"/>
      <c r="T67" s="46"/>
      <c r="U67" s="75">
        <f t="shared" si="6"/>
        <v>0</v>
      </c>
      <c r="V67" s="93" t="str">
        <f t="shared" si="3"/>
        <v>OK</v>
      </c>
    </row>
    <row r="68" spans="1:22" ht="17.25" hidden="1" thickBot="1" x14ac:dyDescent="0.35">
      <c r="A68" s="54" t="s">
        <v>116</v>
      </c>
      <c r="B68" s="63">
        <v>21299</v>
      </c>
      <c r="C68" s="18" t="s">
        <v>78</v>
      </c>
      <c r="D68" s="18"/>
      <c r="E68" s="18"/>
      <c r="F68" s="18"/>
      <c r="G68" s="92"/>
      <c r="H68" s="22"/>
      <c r="I68" s="22">
        <f t="shared" si="4"/>
        <v>0</v>
      </c>
      <c r="J68" s="69"/>
      <c r="K68" s="11"/>
      <c r="L68" s="22"/>
      <c r="M68" s="22"/>
      <c r="N68" s="22"/>
      <c r="O68" s="22"/>
      <c r="P68" s="22"/>
      <c r="Q68" s="22"/>
      <c r="R68" s="36"/>
      <c r="S68" s="44"/>
      <c r="T68" s="47"/>
      <c r="U68" s="71">
        <f t="shared" si="6"/>
        <v>0</v>
      </c>
      <c r="V68" s="23" t="str">
        <f>IF(U68=I68,"OK","NG")</f>
        <v>OK</v>
      </c>
    </row>
    <row r="69" spans="1:22" ht="17.25" hidden="1" thickBot="1" x14ac:dyDescent="0.35">
      <c r="A69" s="99" t="s">
        <v>117</v>
      </c>
      <c r="B69" s="76">
        <v>22115</v>
      </c>
      <c r="C69" s="82" t="s">
        <v>118</v>
      </c>
      <c r="D69" s="82"/>
      <c r="E69" s="82"/>
      <c r="F69" s="82"/>
      <c r="G69" s="82"/>
      <c r="H69" s="82"/>
      <c r="I69" s="82">
        <f t="shared" si="4"/>
        <v>0</v>
      </c>
      <c r="J69" s="97"/>
      <c r="K69" s="112"/>
      <c r="L69" s="82"/>
      <c r="M69" s="82"/>
      <c r="N69" s="82"/>
      <c r="O69" s="82"/>
      <c r="P69" s="82"/>
      <c r="Q69" s="82"/>
      <c r="R69" s="83"/>
      <c r="S69" s="84"/>
      <c r="T69" s="100"/>
      <c r="U69" s="75">
        <f t="shared" si="6"/>
        <v>0</v>
      </c>
      <c r="V69" s="93" t="str">
        <f>IF(U69=I69,"OK","NG")</f>
        <v>OK</v>
      </c>
    </row>
    <row r="70" spans="1:22" ht="17.25" hidden="1" thickBot="1" x14ac:dyDescent="0.35">
      <c r="A70" s="54" t="s">
        <v>120</v>
      </c>
      <c r="B70" s="63">
        <v>22706</v>
      </c>
      <c r="C70" s="18" t="s">
        <v>119</v>
      </c>
      <c r="D70" s="18"/>
      <c r="E70" s="18"/>
      <c r="F70" s="18"/>
      <c r="G70" s="92"/>
      <c r="H70" s="22"/>
      <c r="I70" s="22">
        <f t="shared" si="4"/>
        <v>0</v>
      </c>
      <c r="J70" s="69"/>
      <c r="K70" s="11"/>
      <c r="L70" s="22"/>
      <c r="M70" s="22"/>
      <c r="N70" s="22"/>
      <c r="O70" s="22"/>
      <c r="P70" s="22"/>
      <c r="Q70" s="22"/>
      <c r="R70" s="36"/>
      <c r="S70" s="44"/>
      <c r="T70" s="47"/>
      <c r="U70" s="71">
        <f t="shared" ref="U70" si="7">SUM(L70:T70)</f>
        <v>0</v>
      </c>
      <c r="V70" s="23" t="str">
        <f>IF(U70=I70,"OK","NG")</f>
        <v>OK</v>
      </c>
    </row>
    <row r="71" spans="1:22" ht="17.25" hidden="1" thickBot="1" x14ac:dyDescent="0.35">
      <c r="A71" s="99" t="s">
        <v>121</v>
      </c>
      <c r="B71" s="76">
        <v>22886</v>
      </c>
      <c r="C71" s="82" t="s">
        <v>46</v>
      </c>
      <c r="D71" s="82"/>
      <c r="E71" s="82"/>
      <c r="F71" s="82"/>
      <c r="G71" s="82"/>
      <c r="H71" s="82"/>
      <c r="I71" s="82">
        <f t="shared" ref="I71:I80" si="8">SUM(L71:T71)</f>
        <v>0</v>
      </c>
      <c r="J71" s="97"/>
      <c r="K71" s="112"/>
      <c r="L71" s="82"/>
      <c r="M71" s="82"/>
      <c r="N71" s="82"/>
      <c r="O71" s="82"/>
      <c r="P71" s="82"/>
      <c r="Q71" s="82"/>
      <c r="R71" s="83"/>
      <c r="S71" s="84"/>
      <c r="T71" s="100"/>
      <c r="U71" s="75">
        <f>SUM(L71:T71)</f>
        <v>0</v>
      </c>
      <c r="V71" s="93" t="str">
        <f>IF(U71=I71,"OK","NG")</f>
        <v>OK</v>
      </c>
    </row>
    <row r="72" spans="1:22" ht="17.25" hidden="1" thickBot="1" x14ac:dyDescent="0.35">
      <c r="A72" s="54" t="s">
        <v>122</v>
      </c>
      <c r="B72" s="63">
        <v>17528</v>
      </c>
      <c r="C72" s="18" t="s">
        <v>123</v>
      </c>
      <c r="D72" s="18"/>
      <c r="E72" s="18"/>
      <c r="F72" s="18"/>
      <c r="G72" s="92"/>
      <c r="H72" s="22"/>
      <c r="I72" s="22">
        <f t="shared" si="8"/>
        <v>0</v>
      </c>
      <c r="J72" s="69"/>
      <c r="K72" s="11"/>
      <c r="L72" s="22"/>
      <c r="M72" s="22"/>
      <c r="N72" s="22"/>
      <c r="O72" s="22"/>
      <c r="P72" s="22"/>
      <c r="Q72" s="22"/>
      <c r="R72" s="36"/>
      <c r="S72" s="44"/>
      <c r="T72" s="47"/>
      <c r="U72" s="71">
        <f t="shared" ref="U72:U80" si="9">SUM(L72:T72)</f>
        <v>0</v>
      </c>
      <c r="V72" s="95" t="str">
        <f t="shared" ref="V72:V80" si="10">IF(U72=I72,"OK","NG")</f>
        <v>OK</v>
      </c>
    </row>
    <row r="73" spans="1:22" ht="17.25" hidden="1" thickBot="1" x14ac:dyDescent="0.35">
      <c r="A73" s="99" t="s">
        <v>124</v>
      </c>
      <c r="B73" s="76">
        <v>22380</v>
      </c>
      <c r="C73" s="82" t="s">
        <v>47</v>
      </c>
      <c r="D73" s="82"/>
      <c r="E73" s="82"/>
      <c r="F73" s="82"/>
      <c r="G73" s="82"/>
      <c r="H73" s="82"/>
      <c r="I73" s="82">
        <f t="shared" si="8"/>
        <v>0</v>
      </c>
      <c r="J73" s="97"/>
      <c r="K73" s="112"/>
      <c r="L73" s="82"/>
      <c r="M73" s="82"/>
      <c r="N73" s="82"/>
      <c r="O73" s="82"/>
      <c r="P73" s="82"/>
      <c r="Q73" s="82"/>
      <c r="R73" s="83"/>
      <c r="S73" s="84"/>
      <c r="T73" s="100"/>
      <c r="U73" s="75">
        <f t="shared" si="9"/>
        <v>0</v>
      </c>
      <c r="V73" s="93" t="str">
        <f t="shared" si="10"/>
        <v>OK</v>
      </c>
    </row>
    <row r="74" spans="1:22" ht="17.25" hidden="1" thickBot="1" x14ac:dyDescent="0.35">
      <c r="A74" s="54" t="s">
        <v>125</v>
      </c>
      <c r="B74" s="63">
        <v>19279</v>
      </c>
      <c r="C74" s="18" t="s">
        <v>126</v>
      </c>
      <c r="D74" s="18"/>
      <c r="E74" s="18"/>
      <c r="F74" s="18"/>
      <c r="G74" s="92"/>
      <c r="H74" s="22"/>
      <c r="I74" s="22">
        <f t="shared" si="8"/>
        <v>0</v>
      </c>
      <c r="J74" s="69"/>
      <c r="K74" s="11"/>
      <c r="L74" s="22"/>
      <c r="M74" s="22"/>
      <c r="N74" s="22"/>
      <c r="O74" s="22"/>
      <c r="P74" s="22"/>
      <c r="Q74" s="22"/>
      <c r="R74" s="36"/>
      <c r="S74" s="44"/>
      <c r="T74" s="47"/>
      <c r="U74" s="71">
        <f t="shared" si="9"/>
        <v>0</v>
      </c>
      <c r="V74" s="95" t="str">
        <f t="shared" si="10"/>
        <v>OK</v>
      </c>
    </row>
    <row r="75" spans="1:22" ht="17.25" hidden="1" thickBot="1" x14ac:dyDescent="0.35">
      <c r="A75" s="90" t="s">
        <v>131</v>
      </c>
      <c r="B75" s="76">
        <v>22724</v>
      </c>
      <c r="C75" s="70" t="s">
        <v>119</v>
      </c>
      <c r="D75" s="70"/>
      <c r="E75" s="70"/>
      <c r="F75" s="70"/>
      <c r="G75" s="91"/>
      <c r="H75" s="82"/>
      <c r="I75" s="82">
        <v>0</v>
      </c>
      <c r="J75" s="74"/>
      <c r="K75" s="11"/>
      <c r="L75" s="82"/>
      <c r="M75" s="82"/>
      <c r="N75" s="82"/>
      <c r="O75" s="82"/>
      <c r="P75" s="82"/>
      <c r="Q75" s="82"/>
      <c r="R75" s="83"/>
      <c r="S75" s="84"/>
      <c r="T75" s="85"/>
      <c r="U75" s="75">
        <v>0</v>
      </c>
      <c r="V75" s="93" t="s">
        <v>129</v>
      </c>
    </row>
    <row r="76" spans="1:22" ht="17.25" hidden="1" thickBot="1" x14ac:dyDescent="0.35">
      <c r="A76" s="54" t="s">
        <v>132</v>
      </c>
      <c r="B76" s="63">
        <v>22705</v>
      </c>
      <c r="C76" s="18" t="s">
        <v>119</v>
      </c>
      <c r="D76" s="18"/>
      <c r="E76" s="18"/>
      <c r="F76" s="18"/>
      <c r="G76" s="92"/>
      <c r="H76" s="22"/>
      <c r="I76" s="22">
        <f t="shared" si="8"/>
        <v>0</v>
      </c>
      <c r="J76" s="69"/>
      <c r="K76" s="11"/>
      <c r="L76" s="22"/>
      <c r="M76" s="22"/>
      <c r="N76" s="22"/>
      <c r="O76" s="22"/>
      <c r="P76" s="22"/>
      <c r="Q76" s="22"/>
      <c r="R76" s="36"/>
      <c r="S76" s="44"/>
      <c r="T76" s="47"/>
      <c r="U76" s="71">
        <f t="shared" si="9"/>
        <v>0</v>
      </c>
      <c r="V76" s="95" t="str">
        <f t="shared" si="10"/>
        <v>OK</v>
      </c>
    </row>
    <row r="77" spans="1:22" ht="17.25" hidden="1" thickBot="1" x14ac:dyDescent="0.35">
      <c r="A77" s="99" t="s">
        <v>128</v>
      </c>
      <c r="B77" s="76">
        <v>5655</v>
      </c>
      <c r="C77" s="82" t="s">
        <v>54</v>
      </c>
      <c r="D77" s="82"/>
      <c r="E77" s="82"/>
      <c r="F77" s="82"/>
      <c r="G77" s="82"/>
      <c r="H77" s="82"/>
      <c r="I77" s="82">
        <f t="shared" si="8"/>
        <v>0</v>
      </c>
      <c r="J77" s="97"/>
      <c r="K77" s="112"/>
      <c r="L77" s="82"/>
      <c r="M77" s="82"/>
      <c r="N77" s="82"/>
      <c r="O77" s="82"/>
      <c r="P77" s="82"/>
      <c r="Q77" s="82"/>
      <c r="R77" s="83"/>
      <c r="S77" s="84"/>
      <c r="T77" s="100"/>
      <c r="U77" s="75">
        <f t="shared" si="9"/>
        <v>0</v>
      </c>
      <c r="V77" s="93" t="str">
        <f t="shared" si="10"/>
        <v>OK</v>
      </c>
    </row>
    <row r="78" spans="1:22" ht="17.25" hidden="1" thickBot="1" x14ac:dyDescent="0.35">
      <c r="A78" s="120" t="s">
        <v>136</v>
      </c>
      <c r="B78" s="121">
        <v>22704</v>
      </c>
      <c r="C78" s="122" t="s">
        <v>137</v>
      </c>
      <c r="D78" s="122"/>
      <c r="E78" s="122"/>
      <c r="F78" s="122"/>
      <c r="G78" s="122"/>
      <c r="H78" s="122"/>
      <c r="I78" s="22">
        <f t="shared" si="8"/>
        <v>0</v>
      </c>
      <c r="J78" s="45"/>
      <c r="K78" s="112"/>
      <c r="L78" s="22"/>
      <c r="M78" s="22"/>
      <c r="N78" s="22"/>
      <c r="O78" s="22"/>
      <c r="P78" s="22"/>
      <c r="Q78" s="22"/>
      <c r="R78" s="36"/>
      <c r="S78" s="44"/>
      <c r="T78" s="116"/>
      <c r="U78" s="71">
        <f t="shared" si="9"/>
        <v>0</v>
      </c>
      <c r="V78" s="95" t="str">
        <f t="shared" si="10"/>
        <v>OK</v>
      </c>
    </row>
    <row r="79" spans="1:22" ht="17.25" hidden="1" thickBot="1" x14ac:dyDescent="0.35">
      <c r="A79" s="136" t="s">
        <v>139</v>
      </c>
      <c r="B79" s="133">
        <v>22722</v>
      </c>
      <c r="C79" s="137" t="s">
        <v>119</v>
      </c>
      <c r="D79" s="137"/>
      <c r="E79" s="137"/>
      <c r="F79" s="137"/>
      <c r="G79" s="137"/>
      <c r="H79" s="137"/>
      <c r="I79" s="82">
        <f t="shared" si="8"/>
        <v>0</v>
      </c>
      <c r="J79" s="97"/>
      <c r="K79" s="119"/>
      <c r="L79" s="82"/>
      <c r="M79" s="82"/>
      <c r="N79" s="82"/>
      <c r="O79" s="82"/>
      <c r="P79" s="82"/>
      <c r="Q79" s="82"/>
      <c r="R79" s="83"/>
      <c r="S79" s="84"/>
      <c r="T79" s="100"/>
      <c r="U79" s="75">
        <f t="shared" si="9"/>
        <v>0</v>
      </c>
      <c r="V79" s="93" t="str">
        <f t="shared" si="10"/>
        <v>OK</v>
      </c>
    </row>
    <row r="80" spans="1:22" ht="17.25" hidden="1" thickBot="1" x14ac:dyDescent="0.35">
      <c r="A80" s="126" t="s">
        <v>134</v>
      </c>
      <c r="B80" s="127">
        <v>22723</v>
      </c>
      <c r="C80" s="128" t="s">
        <v>119</v>
      </c>
      <c r="D80" s="128"/>
      <c r="E80" s="128"/>
      <c r="F80" s="128"/>
      <c r="G80" s="128"/>
      <c r="H80" s="128"/>
      <c r="I80" s="128">
        <f t="shared" si="8"/>
        <v>0</v>
      </c>
      <c r="J80" s="45"/>
      <c r="K80" s="112"/>
      <c r="L80" s="22"/>
      <c r="M80" s="22"/>
      <c r="N80" s="22"/>
      <c r="O80" s="22"/>
      <c r="P80" s="22"/>
      <c r="Q80" s="22"/>
      <c r="R80" s="36"/>
      <c r="S80" s="44"/>
      <c r="T80" s="116"/>
      <c r="U80" s="52">
        <f t="shared" si="9"/>
        <v>0</v>
      </c>
      <c r="V80" s="23" t="str">
        <f t="shared" si="10"/>
        <v>OK</v>
      </c>
    </row>
    <row r="81" spans="1:22" x14ac:dyDescent="0.3">
      <c r="A81" s="86"/>
      <c r="B81" s="86"/>
      <c r="C81" s="87" t="s">
        <v>9</v>
      </c>
      <c r="D81" s="87"/>
      <c r="E81" s="87"/>
      <c r="F81" s="87"/>
      <c r="G81" s="88">
        <f>SUM(G6:G49)</f>
        <v>0</v>
      </c>
      <c r="H81" s="89">
        <f>SUM(H6:H49)</f>
        <v>0</v>
      </c>
      <c r="I81" s="88">
        <f>SUM(I6:I80)</f>
        <v>17</v>
      </c>
      <c r="J81" s="40">
        <f>SUM(J6:J49)</f>
        <v>0</v>
      </c>
      <c r="K81" s="115">
        <f>SUM(K6:K51)</f>
        <v>0</v>
      </c>
      <c r="L81" s="38">
        <f>SUM(L6:L80)</f>
        <v>0</v>
      </c>
      <c r="M81" s="38">
        <f t="shared" ref="M81:U81" si="11">SUM(M6:M80)</f>
        <v>17</v>
      </c>
      <c r="N81" s="38">
        <f t="shared" si="11"/>
        <v>0</v>
      </c>
      <c r="O81" s="38">
        <f t="shared" si="11"/>
        <v>0</v>
      </c>
      <c r="P81" s="38">
        <f t="shared" si="11"/>
        <v>0</v>
      </c>
      <c r="Q81" s="38">
        <f t="shared" si="11"/>
        <v>0</v>
      </c>
      <c r="R81" s="38">
        <f t="shared" si="11"/>
        <v>0</v>
      </c>
      <c r="S81" s="38">
        <f t="shared" si="11"/>
        <v>0</v>
      </c>
      <c r="T81" s="38">
        <f t="shared" si="11"/>
        <v>0</v>
      </c>
      <c r="U81" s="38">
        <f t="shared" si="11"/>
        <v>17</v>
      </c>
      <c r="V81" s="41" t="str">
        <f>IF(U81=SUM(I81),"OK","NG")</f>
        <v>OK</v>
      </c>
    </row>
  </sheetData>
  <autoFilter ref="A5:V81" xr:uid="{00000000-0001-0000-0D00-000000000000}">
    <filterColumn colId="8">
      <filters>
        <filter val="10"/>
        <filter val="17"/>
        <filter val="7"/>
      </filters>
    </filterColumn>
  </autoFilter>
  <mergeCells count="20">
    <mergeCell ref="O4:O5"/>
    <mergeCell ref="P4:P5"/>
    <mergeCell ref="B3:C3"/>
    <mergeCell ref="N4:N5"/>
    <mergeCell ref="B1:C1"/>
    <mergeCell ref="F1:G1"/>
    <mergeCell ref="H1:J3"/>
    <mergeCell ref="B2:C2"/>
    <mergeCell ref="A4:D4"/>
    <mergeCell ref="E4:G4"/>
    <mergeCell ref="H4:J4"/>
    <mergeCell ref="L4:L5"/>
    <mergeCell ref="M4:M5"/>
    <mergeCell ref="Q4:Q5"/>
    <mergeCell ref="R4:R5"/>
    <mergeCell ref="S4:S5"/>
    <mergeCell ref="T4:T5"/>
    <mergeCell ref="V2:V3"/>
    <mergeCell ref="U4:U5"/>
    <mergeCell ref="V4:V5"/>
  </mergeCells>
  <phoneticPr fontId="3" type="noConversion"/>
  <conditionalFormatting sqref="A4 V6:V81">
    <cfRule type="containsText" dxfId="39" priority="5" operator="containsText" text="NG">
      <formula>NOT(ISERROR(SEARCH("NG",A4)))</formula>
    </cfRule>
    <cfRule type="containsText" dxfId="38" priority="6" operator="containsText" text="OK">
      <formula>NOT(ISERROR(SEARCH("OK",A4)))</formula>
    </cfRule>
  </conditionalFormatting>
  <pageMargins left="0.70866141732283472" right="0.70866141732283472" top="0.74803149606299213" bottom="0.74803149606299213" header="0.31496062992125984" footer="0.31496062992125984"/>
  <pageSetup paperSize="8" scale="10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 filterMode="1">
    <pageSetUpPr fitToPage="1"/>
  </sheetPr>
  <dimension ref="A1:V81"/>
  <sheetViews>
    <sheetView showGridLines="0" zoomScale="85" zoomScaleNormal="85" workbookViewId="0">
      <pane ySplit="5" topLeftCell="A13" activePane="bottomLeft" state="frozen"/>
      <selection activeCell="W73" sqref="W73"/>
      <selection pane="bottomLeft" activeCell="L13" sqref="L13:O54"/>
    </sheetView>
  </sheetViews>
  <sheetFormatPr defaultColWidth="9" defaultRowHeight="16.5" x14ac:dyDescent="0.3"/>
  <cols>
    <col min="1" max="1" width="12.625" bestFit="1" customWidth="1"/>
    <col min="2" max="2" width="14.125" bestFit="1" customWidth="1"/>
    <col min="3" max="3" width="35.125" customWidth="1"/>
    <col min="4" max="4" width="11.75" hidden="1" customWidth="1"/>
    <col min="5" max="6" width="9" hidden="1" customWidth="1"/>
    <col min="7" max="7" width="15.375" hidden="1" customWidth="1"/>
    <col min="8" max="8" width="13.25" hidden="1" customWidth="1"/>
    <col min="9" max="9" width="13.25" customWidth="1"/>
    <col min="10" max="10" width="13.25" hidden="1" customWidth="1"/>
    <col min="11" max="11" width="0.875" customWidth="1"/>
    <col min="20" max="20" width="11" bestFit="1" customWidth="1"/>
  </cols>
  <sheetData>
    <row r="1" spans="1:22" ht="22.5" customHeight="1" thickBot="1" x14ac:dyDescent="0.35">
      <c r="A1" s="32" t="s">
        <v>28</v>
      </c>
      <c r="B1" s="153">
        <f>H69</f>
        <v>0</v>
      </c>
      <c r="C1" s="154"/>
      <c r="D1" s="55"/>
      <c r="E1" s="58" t="s">
        <v>1</v>
      </c>
      <c r="F1" s="155">
        <f>G69</f>
        <v>0</v>
      </c>
      <c r="G1" s="155"/>
      <c r="H1" s="156"/>
      <c r="I1" s="156"/>
      <c r="J1" s="156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22.5" customHeight="1" thickBot="1" x14ac:dyDescent="0.35">
      <c r="A2" s="32" t="s">
        <v>29</v>
      </c>
      <c r="B2" s="158">
        <f>I81</f>
        <v>34</v>
      </c>
      <c r="C2" s="159"/>
      <c r="D2" s="56"/>
      <c r="E2" s="59"/>
      <c r="F2" s="2"/>
      <c r="G2" s="2"/>
      <c r="H2" s="156"/>
      <c r="I2" s="156"/>
      <c r="J2" s="156"/>
      <c r="K2" s="113"/>
      <c r="L2" s="3">
        <f>SUBTOTAL(9,L6:L80)</f>
        <v>0</v>
      </c>
      <c r="M2" s="3">
        <f t="shared" ref="M2:T2" si="0">SUBTOTAL(9,M6:M80)</f>
        <v>34</v>
      </c>
      <c r="N2" s="3">
        <f t="shared" si="0"/>
        <v>0</v>
      </c>
      <c r="O2" s="3">
        <f t="shared" si="0"/>
        <v>0</v>
      </c>
      <c r="P2" s="3">
        <f t="shared" si="0"/>
        <v>0</v>
      </c>
      <c r="Q2" s="3">
        <f t="shared" si="0"/>
        <v>0</v>
      </c>
      <c r="R2" s="3">
        <f t="shared" si="0"/>
        <v>0</v>
      </c>
      <c r="S2" s="3">
        <f t="shared" si="0"/>
        <v>0</v>
      </c>
      <c r="T2" s="3">
        <f t="shared" si="0"/>
        <v>0</v>
      </c>
      <c r="U2" s="48">
        <f>SUBTOTAL(9,U6:U80)</f>
        <v>34</v>
      </c>
      <c r="V2" s="145"/>
    </row>
    <row r="3" spans="1:22" ht="22.5" customHeight="1" thickBot="1" x14ac:dyDescent="0.35">
      <c r="A3" s="33" t="s">
        <v>30</v>
      </c>
      <c r="B3" s="151">
        <f>IF(ISERROR(B2/(B2+B1)*1000000),"",(B2/(B2+B1)*1000000))</f>
        <v>1000000</v>
      </c>
      <c r="C3" s="152"/>
      <c r="D3" s="57"/>
      <c r="E3" s="60"/>
      <c r="F3" s="27"/>
      <c r="G3" s="27"/>
      <c r="H3" s="157"/>
      <c r="I3" s="157"/>
      <c r="J3" s="157"/>
      <c r="K3" s="114"/>
      <c r="L3" s="4">
        <f t="shared" ref="L3:U3" si="1">SUM(L6:L80)</f>
        <v>0</v>
      </c>
      <c r="M3" s="4">
        <f t="shared" si="1"/>
        <v>34</v>
      </c>
      <c r="N3" s="4">
        <f t="shared" si="1"/>
        <v>0</v>
      </c>
      <c r="O3" s="4">
        <f t="shared" si="1"/>
        <v>0</v>
      </c>
      <c r="P3" s="4">
        <f t="shared" si="1"/>
        <v>0</v>
      </c>
      <c r="Q3" s="4">
        <f t="shared" si="1"/>
        <v>0</v>
      </c>
      <c r="R3" s="4">
        <f t="shared" si="1"/>
        <v>0</v>
      </c>
      <c r="S3" s="4">
        <f t="shared" si="1"/>
        <v>0</v>
      </c>
      <c r="T3" s="4">
        <f t="shared" si="1"/>
        <v>0</v>
      </c>
      <c r="U3" s="49">
        <f t="shared" si="1"/>
        <v>34</v>
      </c>
      <c r="V3" s="146"/>
    </row>
    <row r="4" spans="1:22" ht="43.5" customHeight="1" x14ac:dyDescent="0.3">
      <c r="A4" s="160" t="str">
        <f>V81</f>
        <v>OK</v>
      </c>
      <c r="B4" s="160"/>
      <c r="C4" s="160"/>
      <c r="D4" s="161"/>
      <c r="E4" s="162" t="s">
        <v>15</v>
      </c>
      <c r="F4" s="162"/>
      <c r="G4" s="162"/>
      <c r="H4" s="163" t="s">
        <v>16</v>
      </c>
      <c r="I4" s="163"/>
      <c r="J4" s="163"/>
      <c r="K4" s="113"/>
      <c r="L4" s="164" t="s">
        <v>10</v>
      </c>
      <c r="M4" s="142" t="s">
        <v>17</v>
      </c>
      <c r="N4" s="142" t="s">
        <v>11</v>
      </c>
      <c r="O4" s="138" t="s">
        <v>12</v>
      </c>
      <c r="P4" s="142" t="s">
        <v>13</v>
      </c>
      <c r="Q4" s="138" t="s">
        <v>14</v>
      </c>
      <c r="R4" s="140" t="s">
        <v>20</v>
      </c>
      <c r="S4" s="142" t="s">
        <v>21</v>
      </c>
      <c r="T4" s="143" t="s">
        <v>22</v>
      </c>
      <c r="U4" s="147" t="s">
        <v>18</v>
      </c>
      <c r="V4" s="149" t="s">
        <v>19</v>
      </c>
    </row>
    <row r="5" spans="1:22" ht="33.75" thickBot="1" x14ac:dyDescent="0.35">
      <c r="A5" s="29" t="s">
        <v>3</v>
      </c>
      <c r="B5" s="30" t="s">
        <v>32</v>
      </c>
      <c r="C5" s="29" t="s">
        <v>4</v>
      </c>
      <c r="D5" s="29" t="s">
        <v>31</v>
      </c>
      <c r="E5" s="29" t="s">
        <v>5</v>
      </c>
      <c r="F5" s="29" t="s">
        <v>6</v>
      </c>
      <c r="G5" s="30" t="s">
        <v>7</v>
      </c>
      <c r="H5" s="31" t="s">
        <v>0</v>
      </c>
      <c r="I5" s="31" t="s">
        <v>2</v>
      </c>
      <c r="J5" s="31" t="s">
        <v>8</v>
      </c>
      <c r="K5" s="28"/>
      <c r="L5" s="165"/>
      <c r="M5" s="139"/>
      <c r="N5" s="139"/>
      <c r="O5" s="139"/>
      <c r="P5" s="139"/>
      <c r="Q5" s="139"/>
      <c r="R5" s="141"/>
      <c r="S5" s="139"/>
      <c r="T5" s="144"/>
      <c r="U5" s="148"/>
      <c r="V5" s="150"/>
    </row>
    <row r="6" spans="1:22" hidden="1" x14ac:dyDescent="0.3">
      <c r="A6" s="61" t="s">
        <v>33</v>
      </c>
      <c r="B6" s="61">
        <v>8092</v>
      </c>
      <c r="C6" s="6" t="s">
        <v>45</v>
      </c>
      <c r="D6" s="7"/>
      <c r="E6" s="7"/>
      <c r="F6" s="7"/>
      <c r="G6" s="8"/>
      <c r="H6" s="9"/>
      <c r="I6" s="10">
        <f>SUM(L6:T6)</f>
        <v>0</v>
      </c>
      <c r="J6" s="10"/>
      <c r="K6" s="11"/>
      <c r="L6" s="10"/>
      <c r="M6" s="10"/>
      <c r="N6" s="10"/>
      <c r="O6" s="10"/>
      <c r="P6" s="10"/>
      <c r="Q6" s="10"/>
      <c r="R6" s="34"/>
      <c r="S6" s="42"/>
      <c r="T6" s="45"/>
      <c r="U6" s="50">
        <f t="shared" ref="U6:U36" si="2">SUM(L6:T6)</f>
        <v>0</v>
      </c>
      <c r="V6" s="26" t="str">
        <f t="shared" ref="V6:V67" si="3">IF(U6=I6,"OK","NG")</f>
        <v>OK</v>
      </c>
    </row>
    <row r="7" spans="1:22" hidden="1" x14ac:dyDescent="0.3">
      <c r="A7" s="62" t="s">
        <v>95</v>
      </c>
      <c r="B7" s="62">
        <v>8088</v>
      </c>
      <c r="C7" s="12" t="s">
        <v>46</v>
      </c>
      <c r="D7" s="53"/>
      <c r="E7" s="13"/>
      <c r="F7" s="13"/>
      <c r="G7" s="14"/>
      <c r="H7" s="15"/>
      <c r="I7" s="16">
        <f t="shared" ref="I7:I70" si="4">SUM(L7:T7)</f>
        <v>0</v>
      </c>
      <c r="J7" s="16"/>
      <c r="K7" s="11"/>
      <c r="L7" s="16"/>
      <c r="M7" s="16"/>
      <c r="N7" s="16"/>
      <c r="O7" s="16"/>
      <c r="P7" s="16"/>
      <c r="Q7" s="16"/>
      <c r="R7" s="35"/>
      <c r="S7" s="43"/>
      <c r="T7" s="46"/>
      <c r="U7" s="51">
        <f t="shared" si="2"/>
        <v>0</v>
      </c>
      <c r="V7" s="17" t="str">
        <f t="shared" si="3"/>
        <v>OK</v>
      </c>
    </row>
    <row r="8" spans="1:22" hidden="1" x14ac:dyDescent="0.3">
      <c r="A8" s="63" t="s">
        <v>96</v>
      </c>
      <c r="B8" s="63">
        <v>8081</v>
      </c>
      <c r="C8" s="18" t="s">
        <v>46</v>
      </c>
      <c r="D8" s="19"/>
      <c r="E8" s="19"/>
      <c r="F8" s="19"/>
      <c r="G8" s="20"/>
      <c r="H8" s="21"/>
      <c r="I8" s="22">
        <f t="shared" si="4"/>
        <v>0</v>
      </c>
      <c r="J8" s="22"/>
      <c r="K8" s="11"/>
      <c r="L8" s="22"/>
      <c r="M8" s="22"/>
      <c r="N8" s="22"/>
      <c r="O8" s="22"/>
      <c r="P8" s="22"/>
      <c r="Q8" s="22"/>
      <c r="R8" s="36"/>
      <c r="S8" s="44"/>
      <c r="T8" s="47"/>
      <c r="U8" s="52">
        <f t="shared" si="2"/>
        <v>0</v>
      </c>
      <c r="V8" s="23" t="str">
        <f t="shared" si="3"/>
        <v>OK</v>
      </c>
    </row>
    <row r="9" spans="1:22" hidden="1" x14ac:dyDescent="0.3">
      <c r="A9" s="62" t="s">
        <v>97</v>
      </c>
      <c r="B9" s="62">
        <v>18524</v>
      </c>
      <c r="C9" s="12" t="s">
        <v>46</v>
      </c>
      <c r="D9" s="53"/>
      <c r="E9" s="13"/>
      <c r="F9" s="13"/>
      <c r="G9" s="14"/>
      <c r="H9" s="15"/>
      <c r="I9" s="16">
        <f t="shared" si="4"/>
        <v>0</v>
      </c>
      <c r="J9" s="16"/>
      <c r="K9" s="11"/>
      <c r="L9" s="16"/>
      <c r="M9" s="16"/>
      <c r="N9" s="16"/>
      <c r="O9" s="16"/>
      <c r="P9" s="16"/>
      <c r="Q9" s="16"/>
      <c r="R9" s="35"/>
      <c r="S9" s="43"/>
      <c r="T9" s="46"/>
      <c r="U9" s="51">
        <f t="shared" si="2"/>
        <v>0</v>
      </c>
      <c r="V9" s="17" t="str">
        <f t="shared" si="3"/>
        <v>OK</v>
      </c>
    </row>
    <row r="10" spans="1:22" hidden="1" x14ac:dyDescent="0.3">
      <c r="A10" s="63" t="s">
        <v>34</v>
      </c>
      <c r="B10" s="63">
        <v>6234</v>
      </c>
      <c r="C10" s="18" t="s">
        <v>47</v>
      </c>
      <c r="D10" s="19"/>
      <c r="E10" s="19"/>
      <c r="F10" s="19"/>
      <c r="G10" s="20"/>
      <c r="H10" s="21"/>
      <c r="I10" s="22">
        <f t="shared" si="4"/>
        <v>0</v>
      </c>
      <c r="J10" s="22"/>
      <c r="K10" s="11"/>
      <c r="L10" s="22"/>
      <c r="M10" s="22"/>
      <c r="N10" s="22"/>
      <c r="O10" s="22"/>
      <c r="P10" s="22"/>
      <c r="Q10" s="22"/>
      <c r="R10" s="36"/>
      <c r="S10" s="44"/>
      <c r="T10" s="47"/>
      <c r="U10" s="52">
        <f t="shared" si="2"/>
        <v>0</v>
      </c>
      <c r="V10" s="23" t="str">
        <f t="shared" si="3"/>
        <v>OK</v>
      </c>
    </row>
    <row r="11" spans="1:22" hidden="1" x14ac:dyDescent="0.3">
      <c r="A11" s="62" t="s">
        <v>80</v>
      </c>
      <c r="B11" s="62">
        <v>14830</v>
      </c>
      <c r="C11" s="12" t="s">
        <v>47</v>
      </c>
      <c r="D11" s="53"/>
      <c r="E11" s="13"/>
      <c r="F11" s="13"/>
      <c r="G11" s="14"/>
      <c r="H11" s="15"/>
      <c r="I11" s="16">
        <f t="shared" si="4"/>
        <v>0</v>
      </c>
      <c r="J11" s="16"/>
      <c r="K11" s="11"/>
      <c r="L11" s="16"/>
      <c r="M11" s="16"/>
      <c r="N11" s="16"/>
      <c r="O11" s="16"/>
      <c r="P11" s="16"/>
      <c r="Q11" s="16"/>
      <c r="R11" s="35"/>
      <c r="S11" s="43"/>
      <c r="T11" s="46"/>
      <c r="U11" s="51">
        <f t="shared" si="2"/>
        <v>0</v>
      </c>
      <c r="V11" s="17" t="str">
        <f t="shared" si="3"/>
        <v>OK</v>
      </c>
    </row>
    <row r="12" spans="1:22" hidden="1" x14ac:dyDescent="0.3">
      <c r="A12" s="63" t="s">
        <v>35</v>
      </c>
      <c r="B12" s="63">
        <v>6004</v>
      </c>
      <c r="C12" s="18" t="s">
        <v>48</v>
      </c>
      <c r="D12" s="19"/>
      <c r="E12" s="19"/>
      <c r="F12" s="19"/>
      <c r="G12" s="20"/>
      <c r="H12" s="21"/>
      <c r="I12" s="22">
        <f t="shared" si="4"/>
        <v>0</v>
      </c>
      <c r="J12" s="22"/>
      <c r="K12" s="11"/>
      <c r="L12" s="22"/>
      <c r="M12" s="22"/>
      <c r="N12" s="22"/>
      <c r="O12" s="22"/>
      <c r="P12" s="22"/>
      <c r="Q12" s="22"/>
      <c r="R12" s="36"/>
      <c r="S12" s="44"/>
      <c r="T12" s="47"/>
      <c r="U12" s="52">
        <f t="shared" si="2"/>
        <v>0</v>
      </c>
      <c r="V12" s="23" t="str">
        <f t="shared" si="3"/>
        <v>OK</v>
      </c>
    </row>
    <row r="13" spans="1:22" x14ac:dyDescent="0.3">
      <c r="A13" s="62" t="s">
        <v>36</v>
      </c>
      <c r="B13" s="62">
        <v>11857</v>
      </c>
      <c r="C13" s="12" t="s">
        <v>48</v>
      </c>
      <c r="D13" s="53"/>
      <c r="E13" s="13"/>
      <c r="F13" s="13"/>
      <c r="G13" s="14"/>
      <c r="H13" s="15"/>
      <c r="I13" s="16">
        <f t="shared" si="4"/>
        <v>6</v>
      </c>
      <c r="J13" s="16"/>
      <c r="K13" s="11"/>
      <c r="L13" s="16"/>
      <c r="M13" s="16">
        <v>6</v>
      </c>
      <c r="N13" s="16"/>
      <c r="O13" s="16"/>
      <c r="P13" s="16"/>
      <c r="Q13" s="16"/>
      <c r="R13" s="35"/>
      <c r="S13" s="43"/>
      <c r="T13" s="46"/>
      <c r="U13" s="51">
        <f t="shared" si="2"/>
        <v>6</v>
      </c>
      <c r="V13" s="17" t="str">
        <f t="shared" si="3"/>
        <v>OK</v>
      </c>
    </row>
    <row r="14" spans="1:22" hidden="1" x14ac:dyDescent="0.3">
      <c r="A14" s="63" t="s">
        <v>82</v>
      </c>
      <c r="B14" s="63">
        <v>15004</v>
      </c>
      <c r="C14" s="18" t="s">
        <v>48</v>
      </c>
      <c r="D14" s="19"/>
      <c r="E14" s="19"/>
      <c r="F14" s="19"/>
      <c r="G14" s="20"/>
      <c r="H14" s="21"/>
      <c r="I14" s="22">
        <f t="shared" si="4"/>
        <v>0</v>
      </c>
      <c r="J14" s="22"/>
      <c r="K14" s="11"/>
      <c r="L14" s="22"/>
      <c r="M14" s="22"/>
      <c r="N14" s="22"/>
      <c r="O14" s="22"/>
      <c r="P14" s="22"/>
      <c r="Q14" s="22"/>
      <c r="R14" s="36"/>
      <c r="S14" s="44"/>
      <c r="T14" s="47"/>
      <c r="U14" s="52">
        <f t="shared" si="2"/>
        <v>0</v>
      </c>
      <c r="V14" s="23" t="str">
        <f t="shared" si="3"/>
        <v>OK</v>
      </c>
    </row>
    <row r="15" spans="1:22" hidden="1" x14ac:dyDescent="0.3">
      <c r="A15" s="62" t="s">
        <v>86</v>
      </c>
      <c r="B15" s="62">
        <v>15174</v>
      </c>
      <c r="C15" s="12" t="s">
        <v>45</v>
      </c>
      <c r="D15" s="53"/>
      <c r="E15" s="13"/>
      <c r="F15" s="13"/>
      <c r="G15" s="14"/>
      <c r="H15" s="15"/>
      <c r="I15" s="16">
        <f t="shared" si="4"/>
        <v>0</v>
      </c>
      <c r="J15" s="16"/>
      <c r="K15" s="11"/>
      <c r="L15" s="16"/>
      <c r="M15" s="16"/>
      <c r="N15" s="16"/>
      <c r="O15" s="16"/>
      <c r="P15" s="16"/>
      <c r="Q15" s="16"/>
      <c r="R15" s="35"/>
      <c r="S15" s="43"/>
      <c r="T15" s="46"/>
      <c r="U15" s="51">
        <f t="shared" si="2"/>
        <v>0</v>
      </c>
      <c r="V15" s="17" t="str">
        <f t="shared" si="3"/>
        <v>OK</v>
      </c>
    </row>
    <row r="16" spans="1:22" hidden="1" x14ac:dyDescent="0.3">
      <c r="A16" s="63" t="s">
        <v>87</v>
      </c>
      <c r="B16" s="63">
        <v>15520</v>
      </c>
      <c r="C16" s="18" t="s">
        <v>47</v>
      </c>
      <c r="D16" s="19"/>
      <c r="E16" s="19"/>
      <c r="F16" s="19"/>
      <c r="G16" s="20"/>
      <c r="H16" s="21"/>
      <c r="I16" s="22">
        <f t="shared" si="4"/>
        <v>0</v>
      </c>
      <c r="J16" s="22"/>
      <c r="K16" s="11"/>
      <c r="L16" s="22"/>
      <c r="M16" s="22"/>
      <c r="N16" s="22"/>
      <c r="O16" s="22"/>
      <c r="P16" s="22"/>
      <c r="Q16" s="22"/>
      <c r="R16" s="36"/>
      <c r="S16" s="44"/>
      <c r="T16" s="47"/>
      <c r="U16" s="52">
        <f t="shared" si="2"/>
        <v>0</v>
      </c>
      <c r="V16" s="23" t="str">
        <f t="shared" si="3"/>
        <v>OK</v>
      </c>
    </row>
    <row r="17" spans="1:22" hidden="1" x14ac:dyDescent="0.3">
      <c r="A17" s="62" t="s">
        <v>85</v>
      </c>
      <c r="B17" s="62">
        <v>14989</v>
      </c>
      <c r="C17" s="12" t="s">
        <v>45</v>
      </c>
      <c r="D17" s="53"/>
      <c r="E17" s="13"/>
      <c r="F17" s="13"/>
      <c r="G17" s="14"/>
      <c r="H17" s="15"/>
      <c r="I17" s="16">
        <f t="shared" si="4"/>
        <v>0</v>
      </c>
      <c r="J17" s="16"/>
      <c r="K17" s="11"/>
      <c r="L17" s="16"/>
      <c r="M17" s="16"/>
      <c r="N17" s="16"/>
      <c r="O17" s="16"/>
      <c r="P17" s="16"/>
      <c r="Q17" s="16"/>
      <c r="R17" s="35"/>
      <c r="S17" s="43"/>
      <c r="T17" s="46"/>
      <c r="U17" s="51">
        <f t="shared" si="2"/>
        <v>0</v>
      </c>
      <c r="V17" s="17" t="str">
        <f t="shared" si="3"/>
        <v>OK</v>
      </c>
    </row>
    <row r="18" spans="1:22" hidden="1" x14ac:dyDescent="0.3">
      <c r="A18" s="63" t="s">
        <v>84</v>
      </c>
      <c r="B18" s="63">
        <v>14984</v>
      </c>
      <c r="C18" s="18" t="s">
        <v>46</v>
      </c>
      <c r="D18" s="19"/>
      <c r="E18" s="19"/>
      <c r="F18" s="19"/>
      <c r="G18" s="20"/>
      <c r="H18" s="21"/>
      <c r="I18" s="22">
        <f t="shared" si="4"/>
        <v>0</v>
      </c>
      <c r="J18" s="22"/>
      <c r="K18" s="11"/>
      <c r="L18" s="22"/>
      <c r="M18" s="22"/>
      <c r="N18" s="22"/>
      <c r="O18" s="22"/>
      <c r="P18" s="22"/>
      <c r="Q18" s="22"/>
      <c r="R18" s="36"/>
      <c r="S18" s="44"/>
      <c r="T18" s="47"/>
      <c r="U18" s="52">
        <f t="shared" si="2"/>
        <v>0</v>
      </c>
      <c r="V18" s="23" t="str">
        <f t="shared" si="3"/>
        <v>OK</v>
      </c>
    </row>
    <row r="19" spans="1:22" hidden="1" x14ac:dyDescent="0.3">
      <c r="A19" s="62" t="s">
        <v>88</v>
      </c>
      <c r="B19" s="62">
        <v>16270</v>
      </c>
      <c r="C19" s="12" t="s">
        <v>89</v>
      </c>
      <c r="D19" s="53"/>
      <c r="E19" s="13"/>
      <c r="F19" s="13"/>
      <c r="G19" s="14"/>
      <c r="H19" s="15"/>
      <c r="I19" s="16">
        <f t="shared" si="4"/>
        <v>0</v>
      </c>
      <c r="J19" s="16"/>
      <c r="K19" s="11"/>
      <c r="L19" s="16"/>
      <c r="M19" s="16"/>
      <c r="N19" s="16"/>
      <c r="O19" s="16"/>
      <c r="P19" s="16"/>
      <c r="Q19" s="16"/>
      <c r="R19" s="35"/>
      <c r="S19" s="43"/>
      <c r="T19" s="46"/>
      <c r="U19" s="51">
        <f t="shared" si="2"/>
        <v>0</v>
      </c>
      <c r="V19" s="17" t="str">
        <f t="shared" si="3"/>
        <v>OK</v>
      </c>
    </row>
    <row r="20" spans="1:22" hidden="1" x14ac:dyDescent="0.3">
      <c r="A20" s="63" t="s">
        <v>98</v>
      </c>
      <c r="B20" s="63">
        <v>19060</v>
      </c>
      <c r="C20" s="18" t="s">
        <v>47</v>
      </c>
      <c r="D20" s="19"/>
      <c r="E20" s="19"/>
      <c r="F20" s="19"/>
      <c r="G20" s="20"/>
      <c r="H20" s="21"/>
      <c r="I20" s="22">
        <f t="shared" si="4"/>
        <v>0</v>
      </c>
      <c r="J20" s="22"/>
      <c r="K20" s="11"/>
      <c r="L20" s="22"/>
      <c r="M20" s="22"/>
      <c r="N20" s="22"/>
      <c r="O20" s="22"/>
      <c r="P20" s="22"/>
      <c r="Q20" s="22"/>
      <c r="R20" s="36"/>
      <c r="S20" s="44"/>
      <c r="T20" s="47"/>
      <c r="U20" s="52">
        <f t="shared" si="2"/>
        <v>0</v>
      </c>
      <c r="V20" s="23" t="str">
        <f t="shared" si="3"/>
        <v>OK</v>
      </c>
    </row>
    <row r="21" spans="1:22" hidden="1" x14ac:dyDescent="0.3">
      <c r="A21" s="62" t="s">
        <v>99</v>
      </c>
      <c r="B21" s="62">
        <v>18828</v>
      </c>
      <c r="C21" s="12" t="s">
        <v>94</v>
      </c>
      <c r="D21" s="53"/>
      <c r="E21" s="13"/>
      <c r="F21" s="13"/>
      <c r="G21" s="14"/>
      <c r="H21" s="15"/>
      <c r="I21" s="16">
        <f t="shared" si="4"/>
        <v>0</v>
      </c>
      <c r="J21" s="16"/>
      <c r="K21" s="11"/>
      <c r="L21" s="16"/>
      <c r="M21" s="16"/>
      <c r="N21" s="16"/>
      <c r="O21" s="16"/>
      <c r="P21" s="16"/>
      <c r="Q21" s="16"/>
      <c r="R21" s="35"/>
      <c r="S21" s="43"/>
      <c r="T21" s="46"/>
      <c r="U21" s="51">
        <f t="shared" si="2"/>
        <v>0</v>
      </c>
      <c r="V21" s="17" t="str">
        <f t="shared" si="3"/>
        <v>OK</v>
      </c>
    </row>
    <row r="22" spans="1:22" hidden="1" x14ac:dyDescent="0.3">
      <c r="A22" s="63" t="s">
        <v>23</v>
      </c>
      <c r="B22" s="63">
        <v>5695</v>
      </c>
      <c r="C22" s="18" t="s">
        <v>49</v>
      </c>
      <c r="D22" s="19"/>
      <c r="E22" s="19"/>
      <c r="F22" s="19"/>
      <c r="G22" s="20"/>
      <c r="H22" s="21"/>
      <c r="I22" s="22">
        <f t="shared" si="4"/>
        <v>0</v>
      </c>
      <c r="J22" s="22"/>
      <c r="K22" s="11"/>
      <c r="L22" s="22"/>
      <c r="M22" s="22"/>
      <c r="N22" s="22"/>
      <c r="O22" s="22"/>
      <c r="P22" s="22"/>
      <c r="Q22" s="22"/>
      <c r="R22" s="36"/>
      <c r="S22" s="44"/>
      <c r="T22" s="47"/>
      <c r="U22" s="52">
        <f t="shared" si="2"/>
        <v>0</v>
      </c>
      <c r="V22" s="23" t="str">
        <f t="shared" si="3"/>
        <v>OK</v>
      </c>
    </row>
    <row r="23" spans="1:22" hidden="1" x14ac:dyDescent="0.3">
      <c r="A23" s="62" t="s">
        <v>24</v>
      </c>
      <c r="B23" s="62">
        <v>5691</v>
      </c>
      <c r="C23" s="12" t="s">
        <v>50</v>
      </c>
      <c r="D23" s="53"/>
      <c r="E23" s="13"/>
      <c r="F23" s="13"/>
      <c r="G23" s="14"/>
      <c r="H23" s="15"/>
      <c r="I23" s="16">
        <f t="shared" si="4"/>
        <v>0</v>
      </c>
      <c r="J23" s="16"/>
      <c r="K23" s="11"/>
      <c r="L23" s="16"/>
      <c r="M23" s="16"/>
      <c r="N23" s="16"/>
      <c r="O23" s="16"/>
      <c r="P23" s="16"/>
      <c r="Q23" s="16"/>
      <c r="R23" s="35"/>
      <c r="S23" s="43"/>
      <c r="T23" s="46"/>
      <c r="U23" s="51">
        <f t="shared" si="2"/>
        <v>0</v>
      </c>
      <c r="V23" s="17" t="str">
        <f t="shared" si="3"/>
        <v>OK</v>
      </c>
    </row>
    <row r="24" spans="1:22" hidden="1" x14ac:dyDescent="0.3">
      <c r="A24" s="63" t="s">
        <v>37</v>
      </c>
      <c r="B24" s="63">
        <v>5687</v>
      </c>
      <c r="C24" s="18" t="s">
        <v>51</v>
      </c>
      <c r="D24" s="19"/>
      <c r="E24" s="19"/>
      <c r="F24" s="19"/>
      <c r="G24" s="20"/>
      <c r="H24" s="21"/>
      <c r="I24" s="22">
        <f t="shared" si="4"/>
        <v>0</v>
      </c>
      <c r="J24" s="22"/>
      <c r="K24" s="11"/>
      <c r="L24" s="22"/>
      <c r="M24" s="22"/>
      <c r="N24" s="22"/>
      <c r="O24" s="22"/>
      <c r="P24" s="22"/>
      <c r="Q24" s="22"/>
      <c r="R24" s="36"/>
      <c r="S24" s="44"/>
      <c r="T24" s="47"/>
      <c r="U24" s="52">
        <f t="shared" si="2"/>
        <v>0</v>
      </c>
      <c r="V24" s="23" t="str">
        <f t="shared" si="3"/>
        <v>OK</v>
      </c>
    </row>
    <row r="25" spans="1:22" hidden="1" x14ac:dyDescent="0.3">
      <c r="A25" s="62" t="s">
        <v>38</v>
      </c>
      <c r="B25" s="62">
        <v>5683</v>
      </c>
      <c r="C25" s="12" t="s">
        <v>51</v>
      </c>
      <c r="D25" s="53"/>
      <c r="E25" s="13"/>
      <c r="F25" s="13"/>
      <c r="G25" s="14"/>
      <c r="H25" s="15"/>
      <c r="I25" s="16">
        <f t="shared" si="4"/>
        <v>0</v>
      </c>
      <c r="J25" s="16"/>
      <c r="K25" s="11"/>
      <c r="L25" s="16"/>
      <c r="M25" s="16"/>
      <c r="N25" s="16"/>
      <c r="O25" s="16"/>
      <c r="P25" s="16"/>
      <c r="Q25" s="16"/>
      <c r="R25" s="35"/>
      <c r="S25" s="43"/>
      <c r="T25" s="46"/>
      <c r="U25" s="51">
        <f t="shared" si="2"/>
        <v>0</v>
      </c>
      <c r="V25" s="17" t="str">
        <f t="shared" si="3"/>
        <v>OK</v>
      </c>
    </row>
    <row r="26" spans="1:22" hidden="1" x14ac:dyDescent="0.3">
      <c r="A26" s="63" t="s">
        <v>25</v>
      </c>
      <c r="B26" s="63">
        <v>5679</v>
      </c>
      <c r="C26" s="18" t="s">
        <v>52</v>
      </c>
      <c r="D26" s="19"/>
      <c r="E26" s="19"/>
      <c r="F26" s="19"/>
      <c r="G26" s="20"/>
      <c r="H26" s="21"/>
      <c r="I26" s="22">
        <f t="shared" si="4"/>
        <v>0</v>
      </c>
      <c r="J26" s="22"/>
      <c r="K26" s="11"/>
      <c r="L26" s="22"/>
      <c r="M26" s="22"/>
      <c r="N26" s="22"/>
      <c r="O26" s="22"/>
      <c r="P26" s="22"/>
      <c r="Q26" s="22"/>
      <c r="R26" s="36"/>
      <c r="S26" s="44"/>
      <c r="T26" s="47"/>
      <c r="U26" s="52">
        <f t="shared" si="2"/>
        <v>0</v>
      </c>
      <c r="V26" s="23" t="str">
        <f t="shared" si="3"/>
        <v>OK</v>
      </c>
    </row>
    <row r="27" spans="1:22" hidden="1" x14ac:dyDescent="0.3">
      <c r="A27" s="62" t="s">
        <v>39</v>
      </c>
      <c r="B27" s="62">
        <v>5675</v>
      </c>
      <c r="C27" s="12" t="s">
        <v>53</v>
      </c>
      <c r="D27" s="53"/>
      <c r="E27" s="13"/>
      <c r="F27" s="13"/>
      <c r="G27" s="14"/>
      <c r="H27" s="15"/>
      <c r="I27" s="16">
        <f t="shared" si="4"/>
        <v>0</v>
      </c>
      <c r="J27" s="16"/>
      <c r="K27" s="11"/>
      <c r="L27" s="16"/>
      <c r="M27" s="16"/>
      <c r="N27" s="16"/>
      <c r="O27" s="16"/>
      <c r="P27" s="16"/>
      <c r="Q27" s="16"/>
      <c r="R27" s="35"/>
      <c r="S27" s="43"/>
      <c r="T27" s="46"/>
      <c r="U27" s="51">
        <f t="shared" si="2"/>
        <v>0</v>
      </c>
      <c r="V27" s="17" t="str">
        <f t="shared" si="3"/>
        <v>OK</v>
      </c>
    </row>
    <row r="28" spans="1:22" hidden="1" x14ac:dyDescent="0.3">
      <c r="A28" s="63" t="s">
        <v>26</v>
      </c>
      <c r="B28" s="63">
        <v>5671</v>
      </c>
      <c r="C28" s="18" t="s">
        <v>49</v>
      </c>
      <c r="D28" s="19"/>
      <c r="E28" s="19"/>
      <c r="F28" s="19"/>
      <c r="G28" s="20"/>
      <c r="H28" s="21"/>
      <c r="I28" s="22">
        <f t="shared" si="4"/>
        <v>0</v>
      </c>
      <c r="J28" s="22"/>
      <c r="K28" s="11"/>
      <c r="L28" s="22"/>
      <c r="M28" s="22"/>
      <c r="N28" s="22"/>
      <c r="O28" s="22"/>
      <c r="P28" s="22"/>
      <c r="Q28" s="22"/>
      <c r="R28" s="36"/>
      <c r="S28" s="44"/>
      <c r="T28" s="47"/>
      <c r="U28" s="52">
        <f t="shared" si="2"/>
        <v>0</v>
      </c>
      <c r="V28" s="23" t="str">
        <f t="shared" si="3"/>
        <v>OK</v>
      </c>
    </row>
    <row r="29" spans="1:22" hidden="1" x14ac:dyDescent="0.3">
      <c r="A29" s="62" t="s">
        <v>40</v>
      </c>
      <c r="B29" s="62">
        <v>5667</v>
      </c>
      <c r="C29" s="12" t="s">
        <v>50</v>
      </c>
      <c r="D29" s="53"/>
      <c r="E29" s="13"/>
      <c r="F29" s="13"/>
      <c r="G29" s="14"/>
      <c r="H29" s="15"/>
      <c r="I29" s="16">
        <f t="shared" si="4"/>
        <v>0</v>
      </c>
      <c r="J29" s="16"/>
      <c r="K29" s="11"/>
      <c r="L29" s="16"/>
      <c r="M29" s="16"/>
      <c r="N29" s="16"/>
      <c r="O29" s="16"/>
      <c r="P29" s="16"/>
      <c r="Q29" s="16"/>
      <c r="R29" s="35"/>
      <c r="S29" s="43"/>
      <c r="T29" s="46"/>
      <c r="U29" s="51">
        <f t="shared" si="2"/>
        <v>0</v>
      </c>
      <c r="V29" s="17" t="str">
        <f t="shared" si="3"/>
        <v>OK</v>
      </c>
    </row>
    <row r="30" spans="1:22" hidden="1" x14ac:dyDescent="0.3">
      <c r="A30" s="63" t="s">
        <v>41</v>
      </c>
      <c r="B30" s="63">
        <v>5663</v>
      </c>
      <c r="C30" s="18" t="s">
        <v>51</v>
      </c>
      <c r="D30" s="19"/>
      <c r="E30" s="19"/>
      <c r="F30" s="19"/>
      <c r="G30" s="20"/>
      <c r="H30" s="21"/>
      <c r="I30" s="22">
        <f t="shared" si="4"/>
        <v>0</v>
      </c>
      <c r="J30" s="22"/>
      <c r="K30" s="11"/>
      <c r="L30" s="22"/>
      <c r="M30" s="22"/>
      <c r="N30" s="22"/>
      <c r="O30" s="22"/>
      <c r="P30" s="22"/>
      <c r="Q30" s="22"/>
      <c r="R30" s="36"/>
      <c r="S30" s="44"/>
      <c r="T30" s="47"/>
      <c r="U30" s="52">
        <f t="shared" si="2"/>
        <v>0</v>
      </c>
      <c r="V30" s="23" t="str">
        <f t="shared" si="3"/>
        <v>OK</v>
      </c>
    </row>
    <row r="31" spans="1:22" x14ac:dyDescent="0.3">
      <c r="A31" s="62" t="s">
        <v>42</v>
      </c>
      <c r="B31" s="62">
        <v>5659</v>
      </c>
      <c r="C31" s="12" t="s">
        <v>52</v>
      </c>
      <c r="D31" s="53"/>
      <c r="E31" s="13"/>
      <c r="F31" s="13"/>
      <c r="G31" s="14"/>
      <c r="H31" s="15"/>
      <c r="I31" s="16">
        <f t="shared" si="4"/>
        <v>7</v>
      </c>
      <c r="J31" s="16"/>
      <c r="K31" s="11"/>
      <c r="L31" s="16"/>
      <c r="M31" s="16">
        <v>7</v>
      </c>
      <c r="N31" s="16"/>
      <c r="O31" s="16"/>
      <c r="P31" s="16"/>
      <c r="Q31" s="16"/>
      <c r="R31" s="35"/>
      <c r="S31" s="43"/>
      <c r="T31" s="46"/>
      <c r="U31" s="51">
        <f t="shared" si="2"/>
        <v>7</v>
      </c>
      <c r="V31" s="17" t="str">
        <f t="shared" si="3"/>
        <v>OK</v>
      </c>
    </row>
    <row r="32" spans="1:22" hidden="1" x14ac:dyDescent="0.3">
      <c r="A32" s="63" t="s">
        <v>27</v>
      </c>
      <c r="B32" s="63">
        <v>5655</v>
      </c>
      <c r="C32" s="18" t="s">
        <v>54</v>
      </c>
      <c r="D32" s="19"/>
      <c r="E32" s="19"/>
      <c r="F32" s="19"/>
      <c r="G32" s="20"/>
      <c r="H32" s="21"/>
      <c r="I32" s="22">
        <f t="shared" si="4"/>
        <v>0</v>
      </c>
      <c r="J32" s="22"/>
      <c r="K32" s="11"/>
      <c r="L32" s="22"/>
      <c r="M32" s="22"/>
      <c r="N32" s="22"/>
      <c r="O32" s="22"/>
      <c r="P32" s="22"/>
      <c r="Q32" s="22"/>
      <c r="R32" s="36"/>
      <c r="S32" s="44"/>
      <c r="T32" s="47"/>
      <c r="U32" s="52">
        <f t="shared" si="2"/>
        <v>0</v>
      </c>
      <c r="V32" s="23" t="str">
        <f t="shared" si="3"/>
        <v>OK</v>
      </c>
    </row>
    <row r="33" spans="1:22" hidden="1" x14ac:dyDescent="0.3">
      <c r="A33" s="62" t="s">
        <v>70</v>
      </c>
      <c r="B33" s="62">
        <v>5651</v>
      </c>
      <c r="C33" s="12" t="s">
        <v>55</v>
      </c>
      <c r="D33" s="53"/>
      <c r="E33" s="13"/>
      <c r="F33" s="13"/>
      <c r="G33" s="14"/>
      <c r="H33" s="15"/>
      <c r="I33" s="16">
        <f t="shared" si="4"/>
        <v>0</v>
      </c>
      <c r="J33" s="16"/>
      <c r="K33" s="11"/>
      <c r="L33" s="16"/>
      <c r="M33" s="16"/>
      <c r="N33" s="16"/>
      <c r="O33" s="16"/>
      <c r="P33" s="16"/>
      <c r="Q33" s="16"/>
      <c r="R33" s="35"/>
      <c r="S33" s="43"/>
      <c r="T33" s="46"/>
      <c r="U33" s="51">
        <f t="shared" si="2"/>
        <v>0</v>
      </c>
      <c r="V33" s="17" t="str">
        <f t="shared" si="3"/>
        <v>OK</v>
      </c>
    </row>
    <row r="34" spans="1:22" hidden="1" x14ac:dyDescent="0.3">
      <c r="A34" s="63" t="s">
        <v>71</v>
      </c>
      <c r="B34" s="63">
        <v>5643</v>
      </c>
      <c r="C34" s="18" t="s">
        <v>56</v>
      </c>
      <c r="D34" s="19"/>
      <c r="E34" s="19"/>
      <c r="F34" s="19"/>
      <c r="G34" s="20"/>
      <c r="H34" s="21"/>
      <c r="I34" s="22">
        <f t="shared" si="4"/>
        <v>0</v>
      </c>
      <c r="J34" s="22"/>
      <c r="K34" s="11"/>
      <c r="L34" s="22"/>
      <c r="M34" s="22"/>
      <c r="N34" s="22"/>
      <c r="O34" s="22"/>
      <c r="P34" s="22"/>
      <c r="Q34" s="22"/>
      <c r="R34" s="36"/>
      <c r="S34" s="44"/>
      <c r="T34" s="47"/>
      <c r="U34" s="52">
        <f t="shared" si="2"/>
        <v>0</v>
      </c>
      <c r="V34" s="23" t="str">
        <f t="shared" si="3"/>
        <v>OK</v>
      </c>
    </row>
    <row r="35" spans="1:22" hidden="1" x14ac:dyDescent="0.3">
      <c r="A35" s="62" t="s">
        <v>57</v>
      </c>
      <c r="B35" s="62">
        <v>11350</v>
      </c>
      <c r="C35" s="12" t="s">
        <v>56</v>
      </c>
      <c r="D35" s="53"/>
      <c r="E35" s="13"/>
      <c r="F35" s="13"/>
      <c r="G35" s="14"/>
      <c r="H35" s="15"/>
      <c r="I35" s="16">
        <f t="shared" si="4"/>
        <v>0</v>
      </c>
      <c r="J35" s="16"/>
      <c r="K35" s="11"/>
      <c r="L35" s="16"/>
      <c r="M35" s="16"/>
      <c r="N35" s="16"/>
      <c r="O35" s="16"/>
      <c r="P35" s="16"/>
      <c r="Q35" s="16"/>
      <c r="R35" s="35"/>
      <c r="S35" s="43"/>
      <c r="T35" s="46"/>
      <c r="U35" s="51">
        <f t="shared" si="2"/>
        <v>0</v>
      </c>
      <c r="V35" s="17" t="str">
        <f t="shared" si="3"/>
        <v>OK</v>
      </c>
    </row>
    <row r="36" spans="1:22" hidden="1" x14ac:dyDescent="0.3">
      <c r="A36" s="63" t="s">
        <v>72</v>
      </c>
      <c r="B36" s="63">
        <v>5635</v>
      </c>
      <c r="C36" s="18" t="s">
        <v>55</v>
      </c>
      <c r="D36" s="19"/>
      <c r="E36" s="19"/>
      <c r="F36" s="19"/>
      <c r="G36" s="20"/>
      <c r="H36" s="21"/>
      <c r="I36" s="22">
        <f t="shared" si="4"/>
        <v>0</v>
      </c>
      <c r="J36" s="22"/>
      <c r="K36" s="11"/>
      <c r="L36" s="22"/>
      <c r="M36" s="22"/>
      <c r="N36" s="22"/>
      <c r="O36" s="22"/>
      <c r="P36" s="22"/>
      <c r="Q36" s="22"/>
      <c r="R36" s="36"/>
      <c r="S36" s="44"/>
      <c r="T36" s="47"/>
      <c r="U36" s="52">
        <f t="shared" si="2"/>
        <v>0</v>
      </c>
      <c r="V36" s="23" t="str">
        <f t="shared" si="3"/>
        <v>OK</v>
      </c>
    </row>
    <row r="37" spans="1:22" hidden="1" x14ac:dyDescent="0.3">
      <c r="A37" s="62" t="s">
        <v>58</v>
      </c>
      <c r="B37" s="62">
        <v>11349</v>
      </c>
      <c r="C37" s="12" t="s">
        <v>55</v>
      </c>
      <c r="D37" s="53"/>
      <c r="E37" s="13"/>
      <c r="F37" s="13"/>
      <c r="G37" s="14"/>
      <c r="H37" s="15"/>
      <c r="I37" s="16">
        <f t="shared" si="4"/>
        <v>0</v>
      </c>
      <c r="J37" s="16"/>
      <c r="K37" s="11"/>
      <c r="L37" s="16"/>
      <c r="M37" s="16"/>
      <c r="N37" s="16"/>
      <c r="O37" s="16"/>
      <c r="P37" s="16"/>
      <c r="Q37" s="16"/>
      <c r="R37" s="35"/>
      <c r="S37" s="43"/>
      <c r="T37" s="46"/>
      <c r="U37" s="51">
        <f t="shared" ref="U37:U55" si="5">SUM(L37:T37)</f>
        <v>0</v>
      </c>
      <c r="V37" s="17" t="str">
        <f t="shared" si="3"/>
        <v>OK</v>
      </c>
    </row>
    <row r="38" spans="1:22" hidden="1" x14ac:dyDescent="0.3">
      <c r="A38" s="63" t="s">
        <v>73</v>
      </c>
      <c r="B38" s="63">
        <v>5627</v>
      </c>
      <c r="C38" s="18" t="s">
        <v>56</v>
      </c>
      <c r="D38" s="19"/>
      <c r="E38" s="19"/>
      <c r="F38" s="19"/>
      <c r="G38" s="20"/>
      <c r="H38" s="21"/>
      <c r="I38" s="22">
        <f t="shared" si="4"/>
        <v>0</v>
      </c>
      <c r="J38" s="22"/>
      <c r="K38" s="11"/>
      <c r="L38" s="22"/>
      <c r="M38" s="22"/>
      <c r="N38" s="22"/>
      <c r="O38" s="22"/>
      <c r="P38" s="22"/>
      <c r="Q38" s="22"/>
      <c r="R38" s="36"/>
      <c r="S38" s="44"/>
      <c r="T38" s="47"/>
      <c r="U38" s="52">
        <f t="shared" si="5"/>
        <v>0</v>
      </c>
      <c r="V38" s="23" t="str">
        <f t="shared" si="3"/>
        <v>OK</v>
      </c>
    </row>
    <row r="39" spans="1:22" hidden="1" x14ac:dyDescent="0.3">
      <c r="A39" s="62" t="s">
        <v>59</v>
      </c>
      <c r="B39" s="62">
        <v>11348</v>
      </c>
      <c r="C39" s="12" t="s">
        <v>56</v>
      </c>
      <c r="D39" s="53"/>
      <c r="E39" s="13"/>
      <c r="F39" s="13"/>
      <c r="G39" s="14"/>
      <c r="H39" s="15"/>
      <c r="I39" s="16">
        <f t="shared" si="4"/>
        <v>0</v>
      </c>
      <c r="J39" s="16"/>
      <c r="K39" s="11"/>
      <c r="L39" s="16"/>
      <c r="M39" s="16"/>
      <c r="N39" s="16"/>
      <c r="O39" s="16"/>
      <c r="P39" s="16"/>
      <c r="Q39" s="16"/>
      <c r="R39" s="35"/>
      <c r="S39" s="43"/>
      <c r="T39" s="46"/>
      <c r="U39" s="51">
        <f t="shared" si="5"/>
        <v>0</v>
      </c>
      <c r="V39" s="17" t="str">
        <f t="shared" si="3"/>
        <v>OK</v>
      </c>
    </row>
    <row r="40" spans="1:22" x14ac:dyDescent="0.3">
      <c r="A40" s="63" t="s">
        <v>74</v>
      </c>
      <c r="B40" s="63">
        <v>5619</v>
      </c>
      <c r="C40" s="18" t="s">
        <v>60</v>
      </c>
      <c r="D40" s="19"/>
      <c r="E40" s="19"/>
      <c r="F40" s="19"/>
      <c r="G40" s="20"/>
      <c r="H40" s="21"/>
      <c r="I40" s="22">
        <f t="shared" si="4"/>
        <v>10</v>
      </c>
      <c r="J40" s="22"/>
      <c r="K40" s="11"/>
      <c r="L40" s="22"/>
      <c r="M40" s="22">
        <v>10</v>
      </c>
      <c r="N40" s="22"/>
      <c r="O40" s="22"/>
      <c r="P40" s="22"/>
      <c r="Q40" s="22"/>
      <c r="R40" s="36"/>
      <c r="S40" s="44"/>
      <c r="T40" s="47"/>
      <c r="U40" s="52">
        <f t="shared" si="5"/>
        <v>10</v>
      </c>
      <c r="V40" s="23" t="str">
        <f t="shared" si="3"/>
        <v>OK</v>
      </c>
    </row>
    <row r="41" spans="1:22" x14ac:dyDescent="0.3">
      <c r="A41" s="64" t="s">
        <v>61</v>
      </c>
      <c r="B41" s="62">
        <v>11347</v>
      </c>
      <c r="C41" s="12" t="s">
        <v>60</v>
      </c>
      <c r="D41" s="53"/>
      <c r="E41" s="13"/>
      <c r="F41" s="13"/>
      <c r="G41" s="14"/>
      <c r="H41" s="15"/>
      <c r="I41" s="16">
        <f t="shared" si="4"/>
        <v>6</v>
      </c>
      <c r="J41" s="16"/>
      <c r="K41" s="11"/>
      <c r="L41" s="16"/>
      <c r="M41" s="16">
        <v>6</v>
      </c>
      <c r="N41" s="16"/>
      <c r="O41" s="16"/>
      <c r="P41" s="16"/>
      <c r="Q41" s="16"/>
      <c r="R41" s="35"/>
      <c r="S41" s="43"/>
      <c r="T41" s="46"/>
      <c r="U41" s="51">
        <f t="shared" si="5"/>
        <v>6</v>
      </c>
      <c r="V41" s="17" t="str">
        <f t="shared" si="3"/>
        <v>OK</v>
      </c>
    </row>
    <row r="42" spans="1:22" hidden="1" x14ac:dyDescent="0.3">
      <c r="A42" s="54" t="s">
        <v>75</v>
      </c>
      <c r="B42" s="63">
        <v>5611</v>
      </c>
      <c r="C42" s="18" t="s">
        <v>62</v>
      </c>
      <c r="D42" s="19"/>
      <c r="E42" s="19"/>
      <c r="F42" s="19"/>
      <c r="G42" s="20"/>
      <c r="H42" s="21"/>
      <c r="I42" s="22">
        <f t="shared" si="4"/>
        <v>0</v>
      </c>
      <c r="J42" s="22"/>
      <c r="K42" s="11"/>
      <c r="L42" s="22"/>
      <c r="M42" s="22"/>
      <c r="N42" s="22"/>
      <c r="O42" s="22"/>
      <c r="P42" s="22"/>
      <c r="Q42" s="22"/>
      <c r="R42" s="36"/>
      <c r="S42" s="44"/>
      <c r="T42" s="47"/>
      <c r="U42" s="52">
        <f t="shared" si="5"/>
        <v>0</v>
      </c>
      <c r="V42" s="23" t="str">
        <f t="shared" si="3"/>
        <v>OK</v>
      </c>
    </row>
    <row r="43" spans="1:22" hidden="1" x14ac:dyDescent="0.3">
      <c r="A43" s="12" t="s">
        <v>63</v>
      </c>
      <c r="B43" s="62">
        <v>11336</v>
      </c>
      <c r="C43" s="12" t="s">
        <v>62</v>
      </c>
      <c r="D43" s="53"/>
      <c r="E43" s="13"/>
      <c r="F43" s="13"/>
      <c r="G43" s="14"/>
      <c r="H43" s="15"/>
      <c r="I43" s="16">
        <f t="shared" si="4"/>
        <v>0</v>
      </c>
      <c r="J43" s="16"/>
      <c r="K43" s="11"/>
      <c r="L43" s="16"/>
      <c r="M43" s="16"/>
      <c r="N43" s="16"/>
      <c r="O43" s="16"/>
      <c r="P43" s="16"/>
      <c r="Q43" s="16"/>
      <c r="R43" s="35"/>
      <c r="S43" s="43"/>
      <c r="T43" s="46"/>
      <c r="U43" s="51">
        <f t="shared" si="5"/>
        <v>0</v>
      </c>
      <c r="V43" s="17" t="str">
        <f t="shared" si="3"/>
        <v>OK</v>
      </c>
    </row>
    <row r="44" spans="1:22" hidden="1" x14ac:dyDescent="0.3">
      <c r="A44" s="54" t="s">
        <v>100</v>
      </c>
      <c r="B44" s="63">
        <v>14860</v>
      </c>
      <c r="C44" s="18" t="s">
        <v>56</v>
      </c>
      <c r="D44" s="19"/>
      <c r="E44" s="19"/>
      <c r="F44" s="19"/>
      <c r="G44" s="20"/>
      <c r="H44" s="21"/>
      <c r="I44" s="22">
        <f t="shared" si="4"/>
        <v>0</v>
      </c>
      <c r="J44" s="22"/>
      <c r="K44" s="11"/>
      <c r="L44" s="22"/>
      <c r="M44" s="22"/>
      <c r="N44" s="22"/>
      <c r="O44" s="22"/>
      <c r="P44" s="22"/>
      <c r="Q44" s="22"/>
      <c r="R44" s="36"/>
      <c r="S44" s="44"/>
      <c r="T44" s="47"/>
      <c r="U44" s="52">
        <f t="shared" si="5"/>
        <v>0</v>
      </c>
      <c r="V44" s="23" t="str">
        <f t="shared" si="3"/>
        <v>OK</v>
      </c>
    </row>
    <row r="45" spans="1:22" hidden="1" x14ac:dyDescent="0.3">
      <c r="A45" s="64" t="s">
        <v>83</v>
      </c>
      <c r="B45" s="62">
        <v>14861</v>
      </c>
      <c r="C45" s="12" t="s">
        <v>56</v>
      </c>
      <c r="D45" s="53"/>
      <c r="E45" s="13"/>
      <c r="F45" s="13"/>
      <c r="G45" s="14"/>
      <c r="H45" s="15"/>
      <c r="I45" s="16">
        <f t="shared" si="4"/>
        <v>0</v>
      </c>
      <c r="J45" s="16"/>
      <c r="K45" s="11"/>
      <c r="L45" s="16"/>
      <c r="M45" s="16"/>
      <c r="N45" s="16"/>
      <c r="O45" s="16"/>
      <c r="P45" s="16"/>
      <c r="Q45" s="16"/>
      <c r="R45" s="35"/>
      <c r="S45" s="43"/>
      <c r="T45" s="46"/>
      <c r="U45" s="51">
        <f t="shared" si="5"/>
        <v>0</v>
      </c>
      <c r="V45" s="17" t="str">
        <f t="shared" si="3"/>
        <v>OK</v>
      </c>
    </row>
    <row r="46" spans="1:22" hidden="1" x14ac:dyDescent="0.3">
      <c r="A46" s="54" t="s">
        <v>101</v>
      </c>
      <c r="B46" s="63">
        <v>15096</v>
      </c>
      <c r="C46" s="18" t="s">
        <v>56</v>
      </c>
      <c r="D46" s="19"/>
      <c r="E46" s="19"/>
      <c r="F46" s="19"/>
      <c r="G46" s="20"/>
      <c r="H46" s="21"/>
      <c r="I46" s="22">
        <f t="shared" si="4"/>
        <v>0</v>
      </c>
      <c r="J46" s="22"/>
      <c r="K46" s="11"/>
      <c r="L46" s="22"/>
      <c r="M46" s="22"/>
      <c r="N46" s="22"/>
      <c r="O46" s="22"/>
      <c r="P46" s="22"/>
      <c r="Q46" s="22"/>
      <c r="R46" s="36"/>
      <c r="S46" s="44"/>
      <c r="T46" s="47"/>
      <c r="U46" s="52">
        <f t="shared" si="5"/>
        <v>0</v>
      </c>
      <c r="V46" s="23" t="str">
        <f t="shared" si="3"/>
        <v>OK</v>
      </c>
    </row>
    <row r="47" spans="1:22" hidden="1" x14ac:dyDescent="0.3">
      <c r="A47" s="12" t="s">
        <v>81</v>
      </c>
      <c r="B47" s="62">
        <v>15097</v>
      </c>
      <c r="C47" s="12" t="s">
        <v>56</v>
      </c>
      <c r="D47" s="53"/>
      <c r="E47" s="13"/>
      <c r="F47" s="13"/>
      <c r="G47" s="14"/>
      <c r="H47" s="15"/>
      <c r="I47" s="16">
        <f t="shared" si="4"/>
        <v>0</v>
      </c>
      <c r="J47" s="16"/>
      <c r="K47" s="11"/>
      <c r="L47" s="16"/>
      <c r="M47" s="16"/>
      <c r="N47" s="16"/>
      <c r="O47" s="16"/>
      <c r="P47" s="16"/>
      <c r="Q47" s="16"/>
      <c r="R47" s="35"/>
      <c r="S47" s="43"/>
      <c r="T47" s="46"/>
      <c r="U47" s="51">
        <f t="shared" si="5"/>
        <v>0</v>
      </c>
      <c r="V47" s="17" t="str">
        <f t="shared" si="3"/>
        <v>OK</v>
      </c>
    </row>
    <row r="48" spans="1:22" hidden="1" x14ac:dyDescent="0.3">
      <c r="A48" s="54" t="s">
        <v>76</v>
      </c>
      <c r="B48" s="63">
        <v>5585</v>
      </c>
      <c r="C48" s="18" t="s">
        <v>64</v>
      </c>
      <c r="D48" s="19"/>
      <c r="E48" s="19"/>
      <c r="F48" s="19"/>
      <c r="G48" s="20"/>
      <c r="H48" s="21"/>
      <c r="I48" s="22">
        <f t="shared" si="4"/>
        <v>0</v>
      </c>
      <c r="J48" s="22"/>
      <c r="K48" s="11"/>
      <c r="L48" s="22"/>
      <c r="M48" s="22"/>
      <c r="N48" s="22"/>
      <c r="O48" s="22"/>
      <c r="P48" s="22"/>
      <c r="Q48" s="22"/>
      <c r="R48" s="36"/>
      <c r="S48" s="44"/>
      <c r="T48" s="47"/>
      <c r="U48" s="52">
        <f t="shared" si="5"/>
        <v>0</v>
      </c>
      <c r="V48" s="23" t="str">
        <f t="shared" si="3"/>
        <v>OK</v>
      </c>
    </row>
    <row r="49" spans="1:22" hidden="1" x14ac:dyDescent="0.3">
      <c r="A49" s="12" t="s">
        <v>65</v>
      </c>
      <c r="B49" s="62">
        <v>11351</v>
      </c>
      <c r="C49" s="12" t="s">
        <v>64</v>
      </c>
      <c r="D49" s="53"/>
      <c r="E49" s="13"/>
      <c r="F49" s="13"/>
      <c r="G49" s="14"/>
      <c r="H49" s="15"/>
      <c r="I49" s="16">
        <f t="shared" si="4"/>
        <v>0</v>
      </c>
      <c r="J49" s="16"/>
      <c r="K49" s="11"/>
      <c r="L49" s="16"/>
      <c r="M49" s="16"/>
      <c r="N49" s="16"/>
      <c r="O49" s="16"/>
      <c r="P49" s="16"/>
      <c r="Q49" s="16"/>
      <c r="R49" s="35"/>
      <c r="S49" s="43"/>
      <c r="T49" s="46"/>
      <c r="U49" s="51">
        <f t="shared" si="5"/>
        <v>0</v>
      </c>
      <c r="V49" s="17" t="str">
        <f t="shared" si="3"/>
        <v>OK</v>
      </c>
    </row>
    <row r="50" spans="1:22" hidden="1" x14ac:dyDescent="0.3">
      <c r="A50" s="54" t="s">
        <v>66</v>
      </c>
      <c r="B50" s="63">
        <v>11352</v>
      </c>
      <c r="C50" s="18" t="s">
        <v>64</v>
      </c>
      <c r="D50" s="19"/>
      <c r="E50" s="19"/>
      <c r="F50" s="19"/>
      <c r="G50" s="20"/>
      <c r="H50" s="21"/>
      <c r="I50" s="22">
        <f t="shared" si="4"/>
        <v>0</v>
      </c>
      <c r="J50" s="22"/>
      <c r="K50" s="11"/>
      <c r="L50" s="22"/>
      <c r="M50" s="22"/>
      <c r="N50" s="22"/>
      <c r="O50" s="22"/>
      <c r="P50" s="22"/>
      <c r="Q50" s="22"/>
      <c r="R50" s="36"/>
      <c r="S50" s="44"/>
      <c r="T50" s="47"/>
      <c r="U50" s="52">
        <f t="shared" si="5"/>
        <v>0</v>
      </c>
      <c r="V50" s="23" t="str">
        <f t="shared" si="3"/>
        <v>OK</v>
      </c>
    </row>
    <row r="51" spans="1:22" hidden="1" x14ac:dyDescent="0.3">
      <c r="A51" s="90" t="s">
        <v>102</v>
      </c>
      <c r="B51" s="76">
        <v>13515</v>
      </c>
      <c r="C51" s="70" t="s">
        <v>78</v>
      </c>
      <c r="D51" s="70"/>
      <c r="E51" s="70"/>
      <c r="F51" s="70"/>
      <c r="G51" s="91"/>
      <c r="H51" s="82"/>
      <c r="I51" s="82">
        <f t="shared" si="4"/>
        <v>0</v>
      </c>
      <c r="J51" s="74"/>
      <c r="K51" s="11"/>
      <c r="L51" s="16"/>
      <c r="M51" s="16"/>
      <c r="N51" s="16"/>
      <c r="O51" s="16"/>
      <c r="P51" s="16"/>
      <c r="Q51" s="16"/>
      <c r="R51" s="35"/>
      <c r="S51" s="43"/>
      <c r="T51" s="46"/>
      <c r="U51" s="75">
        <f t="shared" si="5"/>
        <v>0</v>
      </c>
      <c r="V51" s="93" t="str">
        <f t="shared" si="3"/>
        <v>OK</v>
      </c>
    </row>
    <row r="52" spans="1:22" hidden="1" x14ac:dyDescent="0.3">
      <c r="A52" s="54" t="s">
        <v>103</v>
      </c>
      <c r="B52" s="63">
        <v>13516</v>
      </c>
      <c r="C52" s="18" t="s">
        <v>78</v>
      </c>
      <c r="D52" s="18"/>
      <c r="E52" s="18"/>
      <c r="F52" s="18"/>
      <c r="G52" s="92"/>
      <c r="H52" s="22"/>
      <c r="I52" s="22">
        <f t="shared" si="4"/>
        <v>0</v>
      </c>
      <c r="J52" s="69"/>
      <c r="K52" s="11"/>
      <c r="L52" s="22"/>
      <c r="M52" s="22"/>
      <c r="N52" s="22"/>
      <c r="O52" s="22"/>
      <c r="P52" s="22"/>
      <c r="Q52" s="22"/>
      <c r="R52" s="36"/>
      <c r="S52" s="44"/>
      <c r="T52" s="47"/>
      <c r="U52" s="52">
        <f t="shared" si="5"/>
        <v>0</v>
      </c>
      <c r="V52" s="23" t="str">
        <f t="shared" si="3"/>
        <v>OK</v>
      </c>
    </row>
    <row r="53" spans="1:22" hidden="1" x14ac:dyDescent="0.3">
      <c r="A53" s="90" t="s">
        <v>104</v>
      </c>
      <c r="B53" s="76">
        <v>13468</v>
      </c>
      <c r="C53" s="70" t="s">
        <v>78</v>
      </c>
      <c r="D53" s="70"/>
      <c r="E53" s="70"/>
      <c r="F53" s="70"/>
      <c r="G53" s="91"/>
      <c r="H53" s="82"/>
      <c r="I53" s="82">
        <f t="shared" si="4"/>
        <v>0</v>
      </c>
      <c r="J53" s="74"/>
      <c r="K53" s="11"/>
      <c r="L53" s="16"/>
      <c r="M53" s="16"/>
      <c r="N53" s="16"/>
      <c r="O53" s="16"/>
      <c r="P53" s="16"/>
      <c r="Q53" s="16"/>
      <c r="R53" s="35"/>
      <c r="S53" s="43"/>
      <c r="T53" s="46"/>
      <c r="U53" s="75">
        <f t="shared" si="5"/>
        <v>0</v>
      </c>
      <c r="V53" s="93" t="str">
        <f t="shared" si="3"/>
        <v>OK</v>
      </c>
    </row>
    <row r="54" spans="1:22" ht="17.25" thickBot="1" x14ac:dyDescent="0.35">
      <c r="A54" s="54" t="s">
        <v>79</v>
      </c>
      <c r="B54" s="63">
        <v>13469</v>
      </c>
      <c r="C54" s="18" t="s">
        <v>78</v>
      </c>
      <c r="D54" s="18"/>
      <c r="E54" s="18"/>
      <c r="F54" s="18"/>
      <c r="G54" s="92"/>
      <c r="H54" s="22"/>
      <c r="I54" s="22">
        <f t="shared" si="4"/>
        <v>5</v>
      </c>
      <c r="J54" s="69"/>
      <c r="K54" s="11"/>
      <c r="L54" s="22"/>
      <c r="M54" s="22">
        <v>5</v>
      </c>
      <c r="N54" s="22"/>
      <c r="O54" s="22"/>
      <c r="P54" s="22"/>
      <c r="Q54" s="22"/>
      <c r="R54" s="36"/>
      <c r="S54" s="44"/>
      <c r="T54" s="47"/>
      <c r="U54" s="52">
        <f t="shared" si="5"/>
        <v>5</v>
      </c>
      <c r="V54" s="23" t="str">
        <f t="shared" si="3"/>
        <v>OK</v>
      </c>
    </row>
    <row r="55" spans="1:22" ht="17.25" hidden="1" thickBot="1" x14ac:dyDescent="0.35">
      <c r="A55" s="90" t="s">
        <v>43</v>
      </c>
      <c r="B55" s="76">
        <v>11820</v>
      </c>
      <c r="C55" s="70" t="s">
        <v>67</v>
      </c>
      <c r="D55" s="70"/>
      <c r="E55" s="70"/>
      <c r="F55" s="70"/>
      <c r="G55" s="91"/>
      <c r="H55" s="82"/>
      <c r="I55" s="82">
        <f t="shared" si="4"/>
        <v>0</v>
      </c>
      <c r="J55" s="74"/>
      <c r="K55" s="11"/>
      <c r="L55" s="16"/>
      <c r="M55" s="16"/>
      <c r="N55" s="16"/>
      <c r="O55" s="16"/>
      <c r="P55" s="16"/>
      <c r="Q55" s="16"/>
      <c r="R55" s="35"/>
      <c r="S55" s="43"/>
      <c r="T55" s="46"/>
      <c r="U55" s="75">
        <f t="shared" si="5"/>
        <v>0</v>
      </c>
      <c r="V55" s="93" t="str">
        <f t="shared" si="3"/>
        <v>OK</v>
      </c>
    </row>
    <row r="56" spans="1:22" ht="17.25" hidden="1" thickBot="1" x14ac:dyDescent="0.35">
      <c r="A56" s="54" t="s">
        <v>44</v>
      </c>
      <c r="B56" s="63">
        <v>11816</v>
      </c>
      <c r="C56" s="18" t="s">
        <v>67</v>
      </c>
      <c r="D56" s="18"/>
      <c r="E56" s="18"/>
      <c r="F56" s="18"/>
      <c r="G56" s="92"/>
      <c r="H56" s="22"/>
      <c r="I56" s="22">
        <f t="shared" si="4"/>
        <v>0</v>
      </c>
      <c r="J56" s="69"/>
      <c r="K56" s="11"/>
      <c r="L56" s="22"/>
      <c r="M56" s="22"/>
      <c r="N56" s="22"/>
      <c r="O56" s="22"/>
      <c r="P56" s="22"/>
      <c r="Q56" s="22"/>
      <c r="R56" s="36"/>
      <c r="S56" s="44"/>
      <c r="T56" s="47"/>
      <c r="U56" s="52">
        <f>SUM(L56:T56)</f>
        <v>0</v>
      </c>
      <c r="V56" s="23" t="str">
        <f t="shared" si="3"/>
        <v>OK</v>
      </c>
    </row>
    <row r="57" spans="1:22" ht="17.25" hidden="1" thickBot="1" x14ac:dyDescent="0.35">
      <c r="A57" s="76" t="s">
        <v>77</v>
      </c>
      <c r="B57" s="76">
        <v>11381</v>
      </c>
      <c r="C57" s="77" t="s">
        <v>68</v>
      </c>
      <c r="D57" s="70"/>
      <c r="E57" s="70"/>
      <c r="F57" s="70"/>
      <c r="G57" s="91"/>
      <c r="H57" s="82"/>
      <c r="I57" s="82">
        <f t="shared" si="4"/>
        <v>0</v>
      </c>
      <c r="J57" s="74"/>
      <c r="K57" s="11"/>
      <c r="L57" s="16"/>
      <c r="M57" s="16"/>
      <c r="N57" s="16"/>
      <c r="O57" s="16"/>
      <c r="P57" s="16"/>
      <c r="Q57" s="16"/>
      <c r="R57" s="35"/>
      <c r="S57" s="43"/>
      <c r="T57" s="46"/>
      <c r="U57" s="75">
        <f>SUM(L57:T57)</f>
        <v>0</v>
      </c>
      <c r="V57" s="93" t="str">
        <f t="shared" si="3"/>
        <v>OK</v>
      </c>
    </row>
    <row r="58" spans="1:22" ht="17.25" hidden="1" thickBot="1" x14ac:dyDescent="0.35">
      <c r="A58" s="54" t="s">
        <v>69</v>
      </c>
      <c r="B58" s="63">
        <v>11382</v>
      </c>
      <c r="C58" s="18" t="s">
        <v>68</v>
      </c>
      <c r="D58" s="18"/>
      <c r="E58" s="18"/>
      <c r="F58" s="18"/>
      <c r="G58" s="92"/>
      <c r="H58" s="22"/>
      <c r="I58" s="22">
        <f t="shared" si="4"/>
        <v>0</v>
      </c>
      <c r="J58" s="69"/>
      <c r="K58" s="11"/>
      <c r="L58" s="22"/>
      <c r="M58" s="22"/>
      <c r="N58" s="22"/>
      <c r="O58" s="22"/>
      <c r="P58" s="22"/>
      <c r="Q58" s="22"/>
      <c r="R58" s="36"/>
      <c r="S58" s="44"/>
      <c r="T58" s="47"/>
      <c r="U58" s="52">
        <f>SUM(L58:T58)</f>
        <v>0</v>
      </c>
      <c r="V58" s="23" t="str">
        <f t="shared" si="3"/>
        <v>OK</v>
      </c>
    </row>
    <row r="59" spans="1:22" ht="17.25" hidden="1" thickBot="1" x14ac:dyDescent="0.35">
      <c r="A59" s="96" t="s">
        <v>105</v>
      </c>
      <c r="B59" s="76">
        <v>16586</v>
      </c>
      <c r="C59" s="70" t="s">
        <v>78</v>
      </c>
      <c r="D59" s="70"/>
      <c r="E59" s="70"/>
      <c r="F59" s="70"/>
      <c r="G59" s="91"/>
      <c r="H59" s="82"/>
      <c r="I59" s="82">
        <f t="shared" si="4"/>
        <v>0</v>
      </c>
      <c r="J59" s="74"/>
      <c r="K59" s="11"/>
      <c r="L59" s="16"/>
      <c r="M59" s="16"/>
      <c r="N59" s="16"/>
      <c r="O59" s="16"/>
      <c r="P59" s="16"/>
      <c r="Q59" s="16"/>
      <c r="R59" s="35"/>
      <c r="S59" s="43"/>
      <c r="T59" s="46"/>
      <c r="U59" s="75">
        <f t="shared" ref="U59:U69" si="6">SUM(L59:T59)</f>
        <v>0</v>
      </c>
      <c r="V59" s="93" t="str">
        <f t="shared" si="3"/>
        <v>OK</v>
      </c>
    </row>
    <row r="60" spans="1:22" ht="17.25" hidden="1" thickBot="1" x14ac:dyDescent="0.35">
      <c r="A60" s="54" t="s">
        <v>90</v>
      </c>
      <c r="B60" s="63">
        <v>16587</v>
      </c>
      <c r="C60" s="18" t="s">
        <v>78</v>
      </c>
      <c r="D60" s="18"/>
      <c r="E60" s="18"/>
      <c r="F60" s="18"/>
      <c r="G60" s="92"/>
      <c r="H60" s="22"/>
      <c r="I60" s="22">
        <f t="shared" si="4"/>
        <v>0</v>
      </c>
      <c r="J60" s="69"/>
      <c r="K60" s="11"/>
      <c r="L60" s="22"/>
      <c r="M60" s="22"/>
      <c r="N60" s="22"/>
      <c r="O60" s="22"/>
      <c r="P60" s="22"/>
      <c r="Q60" s="22"/>
      <c r="R60" s="36"/>
      <c r="S60" s="44"/>
      <c r="T60" s="47"/>
      <c r="U60" s="52">
        <f t="shared" si="6"/>
        <v>0</v>
      </c>
      <c r="V60" s="23" t="str">
        <f t="shared" si="3"/>
        <v>OK</v>
      </c>
    </row>
    <row r="61" spans="1:22" ht="17.25" hidden="1" thickBot="1" x14ac:dyDescent="0.35">
      <c r="A61" s="90" t="s">
        <v>91</v>
      </c>
      <c r="B61" s="76">
        <v>17121</v>
      </c>
      <c r="C61" s="70" t="s">
        <v>92</v>
      </c>
      <c r="D61" s="70"/>
      <c r="E61" s="70"/>
      <c r="F61" s="70"/>
      <c r="G61" s="91"/>
      <c r="H61" s="82"/>
      <c r="I61" s="82">
        <f t="shared" si="4"/>
        <v>0</v>
      </c>
      <c r="J61" s="74"/>
      <c r="K61" s="11"/>
      <c r="L61" s="16"/>
      <c r="M61" s="16"/>
      <c r="N61" s="16"/>
      <c r="O61" s="16"/>
      <c r="P61" s="16"/>
      <c r="Q61" s="16"/>
      <c r="R61" s="35"/>
      <c r="S61" s="43"/>
      <c r="T61" s="46"/>
      <c r="U61" s="75">
        <f t="shared" si="6"/>
        <v>0</v>
      </c>
      <c r="V61" s="93" t="str">
        <f t="shared" si="3"/>
        <v>OK</v>
      </c>
    </row>
    <row r="62" spans="1:22" ht="17.25" hidden="1" thickBot="1" x14ac:dyDescent="0.35">
      <c r="A62" s="54" t="s">
        <v>106</v>
      </c>
      <c r="B62" s="63">
        <v>19270</v>
      </c>
      <c r="C62" s="18" t="s">
        <v>68</v>
      </c>
      <c r="D62" s="18"/>
      <c r="E62" s="18"/>
      <c r="F62" s="18"/>
      <c r="G62" s="92"/>
      <c r="H62" s="22"/>
      <c r="I62" s="22">
        <f t="shared" si="4"/>
        <v>0</v>
      </c>
      <c r="J62" s="69"/>
      <c r="K62" s="11"/>
      <c r="L62" s="22"/>
      <c r="M62" s="22"/>
      <c r="N62" s="22"/>
      <c r="O62" s="22"/>
      <c r="P62" s="22"/>
      <c r="Q62" s="22"/>
      <c r="R62" s="36"/>
      <c r="S62" s="44"/>
      <c r="T62" s="47"/>
      <c r="U62" s="71">
        <f t="shared" si="6"/>
        <v>0</v>
      </c>
      <c r="V62" s="23" t="str">
        <f t="shared" si="3"/>
        <v>OK</v>
      </c>
    </row>
    <row r="63" spans="1:22" ht="17.25" hidden="1" thickBot="1" x14ac:dyDescent="0.35">
      <c r="A63" s="90" t="s">
        <v>107</v>
      </c>
      <c r="B63" s="76">
        <v>19276</v>
      </c>
      <c r="C63" s="70" t="s">
        <v>68</v>
      </c>
      <c r="D63" s="70"/>
      <c r="E63" s="70"/>
      <c r="F63" s="70"/>
      <c r="G63" s="91"/>
      <c r="H63" s="82"/>
      <c r="I63" s="82">
        <f t="shared" si="4"/>
        <v>0</v>
      </c>
      <c r="J63" s="74"/>
      <c r="K63" s="11"/>
      <c r="L63" s="16"/>
      <c r="M63" s="16"/>
      <c r="N63" s="16"/>
      <c r="O63" s="16"/>
      <c r="P63" s="16"/>
      <c r="Q63" s="16"/>
      <c r="R63" s="35"/>
      <c r="S63" s="43"/>
      <c r="T63" s="46"/>
      <c r="U63" s="75">
        <f t="shared" si="6"/>
        <v>0</v>
      </c>
      <c r="V63" s="93" t="str">
        <f t="shared" si="3"/>
        <v>OK</v>
      </c>
    </row>
    <row r="64" spans="1:22" ht="17.25" hidden="1" thickBot="1" x14ac:dyDescent="0.35">
      <c r="A64" s="54" t="s">
        <v>108</v>
      </c>
      <c r="B64" s="63">
        <v>19836</v>
      </c>
      <c r="C64" s="18" t="s">
        <v>45</v>
      </c>
      <c r="D64" s="18"/>
      <c r="E64" s="18"/>
      <c r="F64" s="18"/>
      <c r="G64" s="92"/>
      <c r="H64" s="22"/>
      <c r="I64" s="22">
        <f t="shared" si="4"/>
        <v>0</v>
      </c>
      <c r="J64" s="69"/>
      <c r="K64" s="11"/>
      <c r="L64" s="22"/>
      <c r="M64" s="22"/>
      <c r="N64" s="22"/>
      <c r="O64" s="22"/>
      <c r="P64" s="22"/>
      <c r="Q64" s="22"/>
      <c r="R64" s="36"/>
      <c r="S64" s="44"/>
      <c r="T64" s="47"/>
      <c r="U64" s="52">
        <f t="shared" si="6"/>
        <v>0</v>
      </c>
      <c r="V64" s="23" t="str">
        <f t="shared" si="3"/>
        <v>OK</v>
      </c>
    </row>
    <row r="65" spans="1:22" ht="17.25" hidden="1" thickBot="1" x14ac:dyDescent="0.35">
      <c r="A65" s="90" t="s">
        <v>109</v>
      </c>
      <c r="B65" s="76">
        <v>20278</v>
      </c>
      <c r="C65" s="70" t="s">
        <v>110</v>
      </c>
      <c r="D65" s="70"/>
      <c r="E65" s="70"/>
      <c r="F65" s="70"/>
      <c r="G65" s="91"/>
      <c r="H65" s="82"/>
      <c r="I65" s="82">
        <f t="shared" si="4"/>
        <v>0</v>
      </c>
      <c r="J65" s="74"/>
      <c r="K65" s="11"/>
      <c r="L65" s="16"/>
      <c r="M65" s="16"/>
      <c r="N65" s="16"/>
      <c r="O65" s="16"/>
      <c r="P65" s="16"/>
      <c r="Q65" s="16"/>
      <c r="R65" s="35"/>
      <c r="S65" s="43"/>
      <c r="T65" s="46"/>
      <c r="U65" s="75">
        <f t="shared" si="6"/>
        <v>0</v>
      </c>
      <c r="V65" s="93" t="str">
        <f t="shared" si="3"/>
        <v>OK</v>
      </c>
    </row>
    <row r="66" spans="1:22" ht="17.25" hidden="1" thickBot="1" x14ac:dyDescent="0.35">
      <c r="A66" s="54" t="s">
        <v>111</v>
      </c>
      <c r="B66" s="63">
        <v>20272</v>
      </c>
      <c r="C66" s="18" t="s">
        <v>110</v>
      </c>
      <c r="D66" s="18"/>
      <c r="E66" s="18"/>
      <c r="F66" s="18"/>
      <c r="G66" s="92"/>
      <c r="H66" s="22"/>
      <c r="I66" s="22">
        <f t="shared" si="4"/>
        <v>0</v>
      </c>
      <c r="J66" s="69"/>
      <c r="K66" s="11"/>
      <c r="L66" s="22"/>
      <c r="M66" s="22"/>
      <c r="N66" s="22"/>
      <c r="O66" s="22"/>
      <c r="P66" s="22"/>
      <c r="Q66" s="22"/>
      <c r="R66" s="36"/>
      <c r="S66" s="44"/>
      <c r="T66" s="47"/>
      <c r="U66" s="52">
        <f t="shared" si="6"/>
        <v>0</v>
      </c>
      <c r="V66" s="23" t="str">
        <f t="shared" si="3"/>
        <v>OK</v>
      </c>
    </row>
    <row r="67" spans="1:22" ht="17.25" hidden="1" thickBot="1" x14ac:dyDescent="0.35">
      <c r="A67" s="90" t="s">
        <v>112</v>
      </c>
      <c r="B67" s="76">
        <v>20956</v>
      </c>
      <c r="C67" s="70" t="s">
        <v>110</v>
      </c>
      <c r="D67" s="70"/>
      <c r="E67" s="70"/>
      <c r="F67" s="70"/>
      <c r="G67" s="91"/>
      <c r="H67" s="82"/>
      <c r="I67" s="82">
        <f t="shared" si="4"/>
        <v>0</v>
      </c>
      <c r="J67" s="74"/>
      <c r="K67" s="11"/>
      <c r="L67" s="16"/>
      <c r="M67" s="16"/>
      <c r="N67" s="16"/>
      <c r="O67" s="16"/>
      <c r="P67" s="16"/>
      <c r="Q67" s="16"/>
      <c r="R67" s="35"/>
      <c r="S67" s="43"/>
      <c r="T67" s="46"/>
      <c r="U67" s="75">
        <f t="shared" si="6"/>
        <v>0</v>
      </c>
      <c r="V67" s="93" t="str">
        <f t="shared" si="3"/>
        <v>OK</v>
      </c>
    </row>
    <row r="68" spans="1:22" ht="17.25" hidden="1" thickBot="1" x14ac:dyDescent="0.35">
      <c r="A68" s="54" t="s">
        <v>116</v>
      </c>
      <c r="B68" s="63">
        <v>21299</v>
      </c>
      <c r="C68" s="18" t="s">
        <v>78</v>
      </c>
      <c r="D68" s="18"/>
      <c r="E68" s="18"/>
      <c r="F68" s="18"/>
      <c r="G68" s="92"/>
      <c r="H68" s="22"/>
      <c r="I68" s="22">
        <f t="shared" si="4"/>
        <v>0</v>
      </c>
      <c r="J68" s="69"/>
      <c r="K68" s="11"/>
      <c r="L68" s="22"/>
      <c r="M68" s="22"/>
      <c r="N68" s="22"/>
      <c r="O68" s="22"/>
      <c r="P68" s="22"/>
      <c r="Q68" s="22"/>
      <c r="R68" s="36"/>
      <c r="S68" s="44"/>
      <c r="T68" s="47"/>
      <c r="U68" s="71">
        <f t="shared" si="6"/>
        <v>0</v>
      </c>
      <c r="V68" s="23" t="str">
        <f>IF(U68=I68,"OK","NG")</f>
        <v>OK</v>
      </c>
    </row>
    <row r="69" spans="1:22" ht="17.25" hidden="1" thickBot="1" x14ac:dyDescent="0.35">
      <c r="A69" s="99" t="s">
        <v>117</v>
      </c>
      <c r="B69" s="76">
        <v>22115</v>
      </c>
      <c r="C69" s="82" t="s">
        <v>118</v>
      </c>
      <c r="D69" s="82"/>
      <c r="E69" s="82"/>
      <c r="F69" s="82"/>
      <c r="G69" s="82"/>
      <c r="H69" s="82"/>
      <c r="I69" s="82">
        <f t="shared" si="4"/>
        <v>0</v>
      </c>
      <c r="J69" s="97"/>
      <c r="K69" s="112"/>
      <c r="L69" s="82"/>
      <c r="M69" s="82"/>
      <c r="N69" s="82"/>
      <c r="O69" s="82"/>
      <c r="P69" s="82"/>
      <c r="Q69" s="82"/>
      <c r="R69" s="83"/>
      <c r="S69" s="84"/>
      <c r="T69" s="100"/>
      <c r="U69" s="75">
        <f t="shared" si="6"/>
        <v>0</v>
      </c>
      <c r="V69" s="93" t="str">
        <f>IF(U69=I69,"OK","NG")</f>
        <v>OK</v>
      </c>
    </row>
    <row r="70" spans="1:22" ht="17.25" hidden="1" thickBot="1" x14ac:dyDescent="0.35">
      <c r="A70" s="54" t="s">
        <v>120</v>
      </c>
      <c r="B70" s="63">
        <v>22706</v>
      </c>
      <c r="C70" s="18" t="s">
        <v>119</v>
      </c>
      <c r="D70" s="18"/>
      <c r="E70" s="18"/>
      <c r="F70" s="18"/>
      <c r="G70" s="92"/>
      <c r="H70" s="22"/>
      <c r="I70" s="22">
        <f t="shared" si="4"/>
        <v>0</v>
      </c>
      <c r="J70" s="69"/>
      <c r="K70" s="11"/>
      <c r="L70" s="22"/>
      <c r="M70" s="22"/>
      <c r="N70" s="22"/>
      <c r="O70" s="22"/>
      <c r="P70" s="22"/>
      <c r="Q70" s="22"/>
      <c r="R70" s="36"/>
      <c r="S70" s="44"/>
      <c r="T70" s="47"/>
      <c r="U70" s="71">
        <f t="shared" ref="U70" si="7">SUM(L70:T70)</f>
        <v>0</v>
      </c>
      <c r="V70" s="23" t="str">
        <f>IF(U70=I70,"OK","NG")</f>
        <v>OK</v>
      </c>
    </row>
    <row r="71" spans="1:22" ht="17.25" hidden="1" thickBot="1" x14ac:dyDescent="0.35">
      <c r="A71" s="99" t="s">
        <v>121</v>
      </c>
      <c r="B71" s="76">
        <v>22886</v>
      </c>
      <c r="C71" s="82" t="s">
        <v>46</v>
      </c>
      <c r="D71" s="82"/>
      <c r="E71" s="82"/>
      <c r="F71" s="82"/>
      <c r="G71" s="82"/>
      <c r="H71" s="82"/>
      <c r="I71" s="82">
        <f t="shared" ref="I71:I80" si="8">SUM(L71:T71)</f>
        <v>0</v>
      </c>
      <c r="J71" s="97"/>
      <c r="K71" s="112"/>
      <c r="L71" s="82"/>
      <c r="M71" s="82"/>
      <c r="N71" s="82"/>
      <c r="O71" s="82"/>
      <c r="P71" s="82"/>
      <c r="Q71" s="82"/>
      <c r="R71" s="83"/>
      <c r="S71" s="84"/>
      <c r="T71" s="100"/>
      <c r="U71" s="75">
        <f>SUM(L71:T71)</f>
        <v>0</v>
      </c>
      <c r="V71" s="93" t="str">
        <f>IF(U71=I71,"OK","NG")</f>
        <v>OK</v>
      </c>
    </row>
    <row r="72" spans="1:22" ht="17.25" hidden="1" thickBot="1" x14ac:dyDescent="0.35">
      <c r="A72" s="54" t="s">
        <v>122</v>
      </c>
      <c r="B72" s="63">
        <v>17528</v>
      </c>
      <c r="C72" s="18" t="s">
        <v>123</v>
      </c>
      <c r="D72" s="18"/>
      <c r="E72" s="18"/>
      <c r="F72" s="18"/>
      <c r="G72" s="92"/>
      <c r="H72" s="22"/>
      <c r="I72" s="22">
        <f t="shared" si="8"/>
        <v>0</v>
      </c>
      <c r="J72" s="69"/>
      <c r="K72" s="11"/>
      <c r="L72" s="22"/>
      <c r="M72" s="22"/>
      <c r="N72" s="22"/>
      <c r="O72" s="22"/>
      <c r="P72" s="22"/>
      <c r="Q72" s="22"/>
      <c r="R72" s="36"/>
      <c r="S72" s="44"/>
      <c r="T72" s="47"/>
      <c r="U72" s="71">
        <f t="shared" ref="U72:U80" si="9">SUM(L72:T72)</f>
        <v>0</v>
      </c>
      <c r="V72" s="95" t="str">
        <f t="shared" ref="V72:V80" si="10">IF(U72=I72,"OK","NG")</f>
        <v>OK</v>
      </c>
    </row>
    <row r="73" spans="1:22" ht="17.25" hidden="1" thickBot="1" x14ac:dyDescent="0.35">
      <c r="A73" s="99" t="s">
        <v>124</v>
      </c>
      <c r="B73" s="76">
        <v>22380</v>
      </c>
      <c r="C73" s="82" t="s">
        <v>47</v>
      </c>
      <c r="D73" s="82"/>
      <c r="E73" s="82"/>
      <c r="F73" s="82"/>
      <c r="G73" s="82"/>
      <c r="H73" s="82"/>
      <c r="I73" s="82">
        <f t="shared" si="8"/>
        <v>0</v>
      </c>
      <c r="J73" s="97"/>
      <c r="K73" s="112"/>
      <c r="L73" s="82"/>
      <c r="M73" s="82"/>
      <c r="N73" s="82"/>
      <c r="O73" s="82"/>
      <c r="P73" s="82"/>
      <c r="Q73" s="82"/>
      <c r="R73" s="83"/>
      <c r="S73" s="84"/>
      <c r="T73" s="100"/>
      <c r="U73" s="75">
        <f t="shared" si="9"/>
        <v>0</v>
      </c>
      <c r="V73" s="93" t="str">
        <f t="shared" si="10"/>
        <v>OK</v>
      </c>
    </row>
    <row r="74" spans="1:22" ht="17.25" hidden="1" thickBot="1" x14ac:dyDescent="0.35">
      <c r="A74" s="54" t="s">
        <v>125</v>
      </c>
      <c r="B74" s="63">
        <v>19279</v>
      </c>
      <c r="C74" s="18" t="s">
        <v>126</v>
      </c>
      <c r="D74" s="18"/>
      <c r="E74" s="18"/>
      <c r="F74" s="18"/>
      <c r="G74" s="92"/>
      <c r="H74" s="22"/>
      <c r="I74" s="22">
        <f t="shared" si="8"/>
        <v>0</v>
      </c>
      <c r="J74" s="69"/>
      <c r="K74" s="11"/>
      <c r="L74" s="22"/>
      <c r="M74" s="22"/>
      <c r="N74" s="22"/>
      <c r="O74" s="22"/>
      <c r="P74" s="22"/>
      <c r="Q74" s="22"/>
      <c r="R74" s="36"/>
      <c r="S74" s="44"/>
      <c r="T74" s="47"/>
      <c r="U74" s="71">
        <f t="shared" si="9"/>
        <v>0</v>
      </c>
      <c r="V74" s="95" t="str">
        <f t="shared" si="10"/>
        <v>OK</v>
      </c>
    </row>
    <row r="75" spans="1:22" ht="17.25" hidden="1" thickBot="1" x14ac:dyDescent="0.35">
      <c r="A75" s="90" t="s">
        <v>131</v>
      </c>
      <c r="B75" s="76">
        <v>22724</v>
      </c>
      <c r="C75" s="70" t="s">
        <v>119</v>
      </c>
      <c r="D75" s="70"/>
      <c r="E75" s="70"/>
      <c r="F75" s="70"/>
      <c r="G75" s="91"/>
      <c r="H75" s="82"/>
      <c r="I75" s="82">
        <v>0</v>
      </c>
      <c r="J75" s="74"/>
      <c r="K75" s="11"/>
      <c r="L75" s="82"/>
      <c r="M75" s="82"/>
      <c r="N75" s="82"/>
      <c r="O75" s="82"/>
      <c r="P75" s="82"/>
      <c r="Q75" s="82"/>
      <c r="R75" s="83"/>
      <c r="S75" s="84"/>
      <c r="T75" s="85"/>
      <c r="U75" s="75">
        <v>0</v>
      </c>
      <c r="V75" s="93" t="s">
        <v>129</v>
      </c>
    </row>
    <row r="76" spans="1:22" ht="17.25" hidden="1" thickBot="1" x14ac:dyDescent="0.35">
      <c r="A76" s="54" t="s">
        <v>132</v>
      </c>
      <c r="B76" s="63">
        <v>22705</v>
      </c>
      <c r="C76" s="18" t="s">
        <v>119</v>
      </c>
      <c r="D76" s="18"/>
      <c r="E76" s="18"/>
      <c r="F76" s="18"/>
      <c r="G76" s="92"/>
      <c r="H76" s="22"/>
      <c r="I76" s="22">
        <f t="shared" si="8"/>
        <v>0</v>
      </c>
      <c r="J76" s="69"/>
      <c r="K76" s="11"/>
      <c r="L76" s="22"/>
      <c r="M76" s="22"/>
      <c r="N76" s="22"/>
      <c r="O76" s="22"/>
      <c r="P76" s="22"/>
      <c r="Q76" s="22"/>
      <c r="R76" s="36"/>
      <c r="S76" s="44"/>
      <c r="T76" s="47"/>
      <c r="U76" s="71">
        <f t="shared" si="9"/>
        <v>0</v>
      </c>
      <c r="V76" s="95" t="str">
        <f t="shared" si="10"/>
        <v>OK</v>
      </c>
    </row>
    <row r="77" spans="1:22" ht="17.25" hidden="1" thickBot="1" x14ac:dyDescent="0.35">
      <c r="A77" s="99" t="s">
        <v>128</v>
      </c>
      <c r="B77" s="76">
        <v>5655</v>
      </c>
      <c r="C77" s="82" t="s">
        <v>54</v>
      </c>
      <c r="D77" s="82"/>
      <c r="E77" s="82"/>
      <c r="F77" s="82"/>
      <c r="G77" s="82"/>
      <c r="H77" s="82"/>
      <c r="I77" s="82">
        <f t="shared" si="8"/>
        <v>0</v>
      </c>
      <c r="J77" s="97"/>
      <c r="K77" s="112"/>
      <c r="L77" s="82"/>
      <c r="M77" s="82"/>
      <c r="N77" s="82"/>
      <c r="O77" s="82"/>
      <c r="P77" s="82"/>
      <c r="Q77" s="82"/>
      <c r="R77" s="83"/>
      <c r="S77" s="84"/>
      <c r="T77" s="100"/>
      <c r="U77" s="75">
        <f t="shared" si="9"/>
        <v>0</v>
      </c>
      <c r="V77" s="93" t="str">
        <f t="shared" si="10"/>
        <v>OK</v>
      </c>
    </row>
    <row r="78" spans="1:22" ht="17.25" hidden="1" thickBot="1" x14ac:dyDescent="0.35">
      <c r="A78" s="120" t="s">
        <v>136</v>
      </c>
      <c r="B78" s="121">
        <v>22704</v>
      </c>
      <c r="C78" s="122" t="s">
        <v>137</v>
      </c>
      <c r="D78" s="122"/>
      <c r="E78" s="122"/>
      <c r="F78" s="122"/>
      <c r="G78" s="122"/>
      <c r="H78" s="122"/>
      <c r="I78" s="22">
        <f t="shared" si="8"/>
        <v>0</v>
      </c>
      <c r="J78" s="45"/>
      <c r="K78" s="112"/>
      <c r="L78" s="22"/>
      <c r="M78" s="22"/>
      <c r="N78" s="22"/>
      <c r="O78" s="22"/>
      <c r="P78" s="22"/>
      <c r="Q78" s="22"/>
      <c r="R78" s="36"/>
      <c r="S78" s="44"/>
      <c r="T78" s="116"/>
      <c r="U78" s="71">
        <f t="shared" si="9"/>
        <v>0</v>
      </c>
      <c r="V78" s="95" t="str">
        <f t="shared" si="10"/>
        <v>OK</v>
      </c>
    </row>
    <row r="79" spans="1:22" ht="17.25" hidden="1" thickBot="1" x14ac:dyDescent="0.35">
      <c r="A79" s="136" t="s">
        <v>139</v>
      </c>
      <c r="B79" s="133">
        <v>22722</v>
      </c>
      <c r="C79" s="137" t="s">
        <v>119</v>
      </c>
      <c r="D79" s="137"/>
      <c r="E79" s="137"/>
      <c r="F79" s="137"/>
      <c r="G79" s="137"/>
      <c r="H79" s="137"/>
      <c r="I79" s="82">
        <f t="shared" si="8"/>
        <v>0</v>
      </c>
      <c r="J79" s="97"/>
      <c r="K79" s="119"/>
      <c r="L79" s="82"/>
      <c r="M79" s="82"/>
      <c r="N79" s="82"/>
      <c r="O79" s="82"/>
      <c r="P79" s="82"/>
      <c r="Q79" s="82"/>
      <c r="R79" s="83"/>
      <c r="S79" s="84"/>
      <c r="T79" s="100"/>
      <c r="U79" s="75">
        <f t="shared" si="9"/>
        <v>0</v>
      </c>
      <c r="V79" s="93" t="str">
        <f t="shared" si="10"/>
        <v>OK</v>
      </c>
    </row>
    <row r="80" spans="1:22" ht="17.25" hidden="1" thickBot="1" x14ac:dyDescent="0.35">
      <c r="A80" s="126" t="s">
        <v>134</v>
      </c>
      <c r="B80" s="127">
        <v>22723</v>
      </c>
      <c r="C80" s="128" t="s">
        <v>119</v>
      </c>
      <c r="D80" s="128"/>
      <c r="E80" s="128"/>
      <c r="F80" s="128"/>
      <c r="G80" s="128"/>
      <c r="H80" s="128"/>
      <c r="I80" s="128">
        <f t="shared" si="8"/>
        <v>0</v>
      </c>
      <c r="J80" s="45"/>
      <c r="K80" s="112"/>
      <c r="L80" s="22"/>
      <c r="M80" s="22"/>
      <c r="N80" s="22"/>
      <c r="O80" s="22"/>
      <c r="P80" s="22"/>
      <c r="Q80" s="22"/>
      <c r="R80" s="36"/>
      <c r="S80" s="44"/>
      <c r="T80" s="116"/>
      <c r="U80" s="52">
        <f t="shared" si="9"/>
        <v>0</v>
      </c>
      <c r="V80" s="23" t="str">
        <f t="shared" si="10"/>
        <v>OK</v>
      </c>
    </row>
    <row r="81" spans="1:22" x14ac:dyDescent="0.3">
      <c r="A81" s="86"/>
      <c r="B81" s="86"/>
      <c r="C81" s="87" t="s">
        <v>9</v>
      </c>
      <c r="D81" s="87"/>
      <c r="E81" s="87"/>
      <c r="F81" s="87"/>
      <c r="G81" s="88">
        <f>SUM(G6:G49)</f>
        <v>0</v>
      </c>
      <c r="H81" s="89">
        <f>SUM(H6:H49)</f>
        <v>0</v>
      </c>
      <c r="I81" s="88">
        <f>SUM(I6:I80)</f>
        <v>34</v>
      </c>
      <c r="J81" s="40">
        <f>SUM(J6:J49)</f>
        <v>0</v>
      </c>
      <c r="K81" s="115">
        <f>SUM(K6:K51)</f>
        <v>0</v>
      </c>
      <c r="L81" s="38">
        <f>SUM(L6:L80)</f>
        <v>0</v>
      </c>
      <c r="M81" s="38">
        <f t="shared" ref="M81:U81" si="11">SUM(M6:M80)</f>
        <v>34</v>
      </c>
      <c r="N81" s="38">
        <f t="shared" si="11"/>
        <v>0</v>
      </c>
      <c r="O81" s="38">
        <f t="shared" si="11"/>
        <v>0</v>
      </c>
      <c r="P81" s="38">
        <f t="shared" si="11"/>
        <v>0</v>
      </c>
      <c r="Q81" s="38">
        <f t="shared" si="11"/>
        <v>0</v>
      </c>
      <c r="R81" s="38">
        <f t="shared" si="11"/>
        <v>0</v>
      </c>
      <c r="S81" s="38">
        <f t="shared" si="11"/>
        <v>0</v>
      </c>
      <c r="T81" s="38">
        <f t="shared" si="11"/>
        <v>0</v>
      </c>
      <c r="U81" s="38">
        <f t="shared" si="11"/>
        <v>34</v>
      </c>
      <c r="V81" s="41" t="str">
        <f>IF(U81=SUM(I81),"OK","NG")</f>
        <v>OK</v>
      </c>
    </row>
  </sheetData>
  <autoFilter ref="A5:V81" xr:uid="{00000000-0001-0000-0E00-000000000000}">
    <filterColumn colId="8">
      <filters>
        <filter val="10"/>
        <filter val="34"/>
        <filter val="5"/>
        <filter val="6"/>
        <filter val="7"/>
      </filters>
    </filterColumn>
  </autoFilter>
  <mergeCells count="20">
    <mergeCell ref="O4:O5"/>
    <mergeCell ref="P4:P5"/>
    <mergeCell ref="B3:C3"/>
    <mergeCell ref="N4:N5"/>
    <mergeCell ref="B1:C1"/>
    <mergeCell ref="F1:G1"/>
    <mergeCell ref="H1:J3"/>
    <mergeCell ref="B2:C2"/>
    <mergeCell ref="A4:D4"/>
    <mergeCell ref="E4:G4"/>
    <mergeCell ref="H4:J4"/>
    <mergeCell ref="L4:L5"/>
    <mergeCell ref="M4:M5"/>
    <mergeCell ref="Q4:Q5"/>
    <mergeCell ref="R4:R5"/>
    <mergeCell ref="S4:S5"/>
    <mergeCell ref="T4:T5"/>
    <mergeCell ref="V2:V3"/>
    <mergeCell ref="U4:U5"/>
    <mergeCell ref="V4:V5"/>
  </mergeCells>
  <phoneticPr fontId="3" type="noConversion"/>
  <conditionalFormatting sqref="A4 V6:V81">
    <cfRule type="containsText" dxfId="37" priority="5" operator="containsText" text="NG">
      <formula>NOT(ISERROR(SEARCH("NG",A4)))</formula>
    </cfRule>
    <cfRule type="containsText" dxfId="36" priority="6" operator="containsText" text="OK">
      <formula>NOT(ISERROR(SEARCH("OK",A4)))</formula>
    </cfRule>
  </conditionalFormatting>
  <pageMargins left="0.70866141732283472" right="0.70866141732283472" top="0.74803149606299213" bottom="0.74803149606299213" header="0.31496062992125984" footer="0.31496062992125984"/>
  <pageSetup paperSize="8" scale="10" orientation="landscape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 filterMode="1">
    <pageSetUpPr fitToPage="1"/>
  </sheetPr>
  <dimension ref="A1:V81"/>
  <sheetViews>
    <sheetView showGridLines="0" zoomScale="85" zoomScaleNormal="85" workbookViewId="0">
      <pane ySplit="5" topLeftCell="A17" activePane="bottomLeft" state="frozen"/>
      <selection activeCell="W73" sqref="W73"/>
      <selection pane="bottomLeft" activeCell="L17" sqref="L17:N76"/>
    </sheetView>
  </sheetViews>
  <sheetFormatPr defaultColWidth="9" defaultRowHeight="16.5" x14ac:dyDescent="0.3"/>
  <cols>
    <col min="1" max="1" width="12.625" bestFit="1" customWidth="1"/>
    <col min="2" max="2" width="14.125" bestFit="1" customWidth="1"/>
    <col min="3" max="3" width="35.125" customWidth="1"/>
    <col min="4" max="4" width="11.75" hidden="1" customWidth="1"/>
    <col min="5" max="6" width="9" hidden="1" customWidth="1"/>
    <col min="7" max="7" width="15.375" hidden="1" customWidth="1"/>
    <col min="8" max="8" width="13.25" hidden="1" customWidth="1"/>
    <col min="9" max="9" width="13.25" customWidth="1"/>
    <col min="10" max="10" width="13.25" hidden="1" customWidth="1"/>
    <col min="11" max="11" width="0.875" customWidth="1"/>
    <col min="20" max="20" width="11" bestFit="1" customWidth="1"/>
  </cols>
  <sheetData>
    <row r="1" spans="1:22" ht="22.5" customHeight="1" thickBot="1" x14ac:dyDescent="0.35">
      <c r="A1" s="32" t="s">
        <v>28</v>
      </c>
      <c r="B1" s="153">
        <f>H69</f>
        <v>0</v>
      </c>
      <c r="C1" s="154"/>
      <c r="D1" s="55"/>
      <c r="E1" s="58" t="s">
        <v>1</v>
      </c>
      <c r="F1" s="155">
        <f>G69</f>
        <v>0</v>
      </c>
      <c r="G1" s="155"/>
      <c r="H1" s="156"/>
      <c r="I1" s="156"/>
      <c r="J1" s="156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22.5" customHeight="1" thickBot="1" x14ac:dyDescent="0.35">
      <c r="A2" s="32" t="s">
        <v>29</v>
      </c>
      <c r="B2" s="158">
        <f>I81</f>
        <v>40</v>
      </c>
      <c r="C2" s="159"/>
      <c r="D2" s="56"/>
      <c r="E2" s="59"/>
      <c r="F2" s="2"/>
      <c r="G2" s="2"/>
      <c r="H2" s="156"/>
      <c r="I2" s="156"/>
      <c r="J2" s="156"/>
      <c r="K2" s="113"/>
      <c r="L2" s="3">
        <f>SUBTOTAL(9,L6:L80)</f>
        <v>0</v>
      </c>
      <c r="M2" s="3">
        <f t="shared" ref="M2:T2" si="0">SUBTOTAL(9,M6:M80)</f>
        <v>40</v>
      </c>
      <c r="N2" s="3">
        <f t="shared" si="0"/>
        <v>0</v>
      </c>
      <c r="O2" s="3">
        <f t="shared" si="0"/>
        <v>0</v>
      </c>
      <c r="P2" s="3">
        <f t="shared" si="0"/>
        <v>0</v>
      </c>
      <c r="Q2" s="3">
        <f t="shared" si="0"/>
        <v>0</v>
      </c>
      <c r="R2" s="3">
        <f t="shared" si="0"/>
        <v>0</v>
      </c>
      <c r="S2" s="3">
        <f t="shared" si="0"/>
        <v>0</v>
      </c>
      <c r="T2" s="3">
        <f t="shared" si="0"/>
        <v>0</v>
      </c>
      <c r="U2" s="48">
        <f>SUBTOTAL(9,U6:U80)</f>
        <v>40</v>
      </c>
      <c r="V2" s="145"/>
    </row>
    <row r="3" spans="1:22" ht="22.5" customHeight="1" thickBot="1" x14ac:dyDescent="0.35">
      <c r="A3" s="33" t="s">
        <v>30</v>
      </c>
      <c r="B3" s="151">
        <f>IF(ISERROR(B2/(B2+B1)*1000000),"",(B2/(B2+B1)*1000000))</f>
        <v>1000000</v>
      </c>
      <c r="C3" s="152"/>
      <c r="D3" s="57"/>
      <c r="E3" s="60"/>
      <c r="F3" s="27"/>
      <c r="G3" s="27"/>
      <c r="H3" s="157"/>
      <c r="I3" s="157"/>
      <c r="J3" s="157"/>
      <c r="K3" s="114"/>
      <c r="L3" s="4">
        <f t="shared" ref="L3:U3" si="1">SUM(L6:L80)</f>
        <v>0</v>
      </c>
      <c r="M3" s="4">
        <f t="shared" si="1"/>
        <v>40</v>
      </c>
      <c r="N3" s="4">
        <f t="shared" si="1"/>
        <v>0</v>
      </c>
      <c r="O3" s="4">
        <f t="shared" si="1"/>
        <v>0</v>
      </c>
      <c r="P3" s="4">
        <f t="shared" si="1"/>
        <v>0</v>
      </c>
      <c r="Q3" s="4">
        <f t="shared" si="1"/>
        <v>0</v>
      </c>
      <c r="R3" s="4">
        <f t="shared" si="1"/>
        <v>0</v>
      </c>
      <c r="S3" s="4">
        <f t="shared" si="1"/>
        <v>0</v>
      </c>
      <c r="T3" s="4">
        <f t="shared" si="1"/>
        <v>0</v>
      </c>
      <c r="U3" s="49">
        <f t="shared" si="1"/>
        <v>40</v>
      </c>
      <c r="V3" s="146"/>
    </row>
    <row r="4" spans="1:22" ht="43.5" customHeight="1" x14ac:dyDescent="0.3">
      <c r="A4" s="160" t="str">
        <f>V81</f>
        <v>OK</v>
      </c>
      <c r="B4" s="160"/>
      <c r="C4" s="160"/>
      <c r="D4" s="161"/>
      <c r="E4" s="162" t="s">
        <v>15</v>
      </c>
      <c r="F4" s="162"/>
      <c r="G4" s="162"/>
      <c r="H4" s="163" t="s">
        <v>16</v>
      </c>
      <c r="I4" s="163"/>
      <c r="J4" s="163"/>
      <c r="K4" s="113"/>
      <c r="L4" s="164" t="s">
        <v>10</v>
      </c>
      <c r="M4" s="142" t="s">
        <v>17</v>
      </c>
      <c r="N4" s="142" t="s">
        <v>11</v>
      </c>
      <c r="O4" s="138" t="s">
        <v>12</v>
      </c>
      <c r="P4" s="142" t="s">
        <v>13</v>
      </c>
      <c r="Q4" s="138" t="s">
        <v>14</v>
      </c>
      <c r="R4" s="140" t="s">
        <v>20</v>
      </c>
      <c r="S4" s="142" t="s">
        <v>21</v>
      </c>
      <c r="T4" s="143" t="s">
        <v>22</v>
      </c>
      <c r="U4" s="147" t="s">
        <v>18</v>
      </c>
      <c r="V4" s="149" t="s">
        <v>19</v>
      </c>
    </row>
    <row r="5" spans="1:22" ht="33.75" thickBot="1" x14ac:dyDescent="0.35">
      <c r="A5" s="29" t="s">
        <v>3</v>
      </c>
      <c r="B5" s="30" t="s">
        <v>32</v>
      </c>
      <c r="C5" s="29" t="s">
        <v>4</v>
      </c>
      <c r="D5" s="29" t="s">
        <v>31</v>
      </c>
      <c r="E5" s="29" t="s">
        <v>5</v>
      </c>
      <c r="F5" s="29" t="s">
        <v>6</v>
      </c>
      <c r="G5" s="30" t="s">
        <v>7</v>
      </c>
      <c r="H5" s="31" t="s">
        <v>0</v>
      </c>
      <c r="I5" s="31" t="s">
        <v>2</v>
      </c>
      <c r="J5" s="31" t="s">
        <v>8</v>
      </c>
      <c r="K5" s="28"/>
      <c r="L5" s="165"/>
      <c r="M5" s="139"/>
      <c r="N5" s="139"/>
      <c r="O5" s="139"/>
      <c r="P5" s="139"/>
      <c r="Q5" s="139"/>
      <c r="R5" s="141"/>
      <c r="S5" s="139"/>
      <c r="T5" s="144"/>
      <c r="U5" s="148"/>
      <c r="V5" s="150"/>
    </row>
    <row r="6" spans="1:22" hidden="1" x14ac:dyDescent="0.3">
      <c r="A6" s="61" t="s">
        <v>33</v>
      </c>
      <c r="B6" s="61">
        <v>8092</v>
      </c>
      <c r="C6" s="6" t="s">
        <v>45</v>
      </c>
      <c r="D6" s="7"/>
      <c r="E6" s="7"/>
      <c r="F6" s="7"/>
      <c r="G6" s="8"/>
      <c r="H6" s="9"/>
      <c r="I6" s="10">
        <f>SUM(L6:T6)</f>
        <v>0</v>
      </c>
      <c r="J6" s="10"/>
      <c r="K6" s="11"/>
      <c r="L6" s="10"/>
      <c r="M6" s="10"/>
      <c r="N6" s="10"/>
      <c r="O6" s="10"/>
      <c r="P6" s="10"/>
      <c r="Q6" s="10"/>
      <c r="R6" s="34"/>
      <c r="S6" s="42"/>
      <c r="T6" s="45"/>
      <c r="U6" s="50">
        <f t="shared" ref="U6:U36" si="2">SUM(L6:T6)</f>
        <v>0</v>
      </c>
      <c r="V6" s="26" t="str">
        <f t="shared" ref="V6:V67" si="3">IF(U6=I6,"OK","NG")</f>
        <v>OK</v>
      </c>
    </row>
    <row r="7" spans="1:22" hidden="1" x14ac:dyDescent="0.3">
      <c r="A7" s="62" t="s">
        <v>95</v>
      </c>
      <c r="B7" s="62">
        <v>8088</v>
      </c>
      <c r="C7" s="12" t="s">
        <v>46</v>
      </c>
      <c r="D7" s="53"/>
      <c r="E7" s="13"/>
      <c r="F7" s="13"/>
      <c r="G7" s="14"/>
      <c r="H7" s="15"/>
      <c r="I7" s="16">
        <f t="shared" ref="I7:I70" si="4">SUM(L7:T7)</f>
        <v>0</v>
      </c>
      <c r="J7" s="16"/>
      <c r="K7" s="11"/>
      <c r="L7" s="16"/>
      <c r="M7" s="16"/>
      <c r="N7" s="16"/>
      <c r="O7" s="16"/>
      <c r="P7" s="16"/>
      <c r="Q7" s="16"/>
      <c r="R7" s="35"/>
      <c r="S7" s="43"/>
      <c r="T7" s="46"/>
      <c r="U7" s="51">
        <f t="shared" si="2"/>
        <v>0</v>
      </c>
      <c r="V7" s="17" t="str">
        <f t="shared" si="3"/>
        <v>OK</v>
      </c>
    </row>
    <row r="8" spans="1:22" hidden="1" x14ac:dyDescent="0.3">
      <c r="A8" s="63" t="s">
        <v>96</v>
      </c>
      <c r="B8" s="63">
        <v>8081</v>
      </c>
      <c r="C8" s="18" t="s">
        <v>46</v>
      </c>
      <c r="D8" s="19"/>
      <c r="E8" s="19"/>
      <c r="F8" s="19"/>
      <c r="G8" s="20"/>
      <c r="H8" s="21"/>
      <c r="I8" s="22">
        <f t="shared" si="4"/>
        <v>0</v>
      </c>
      <c r="J8" s="22"/>
      <c r="K8" s="11"/>
      <c r="L8" s="22"/>
      <c r="M8" s="22"/>
      <c r="N8" s="22"/>
      <c r="O8" s="22"/>
      <c r="P8" s="22"/>
      <c r="Q8" s="22"/>
      <c r="R8" s="36"/>
      <c r="S8" s="44"/>
      <c r="T8" s="47"/>
      <c r="U8" s="52">
        <f t="shared" si="2"/>
        <v>0</v>
      </c>
      <c r="V8" s="23" t="str">
        <f t="shared" si="3"/>
        <v>OK</v>
      </c>
    </row>
    <row r="9" spans="1:22" hidden="1" x14ac:dyDescent="0.3">
      <c r="A9" s="62" t="s">
        <v>97</v>
      </c>
      <c r="B9" s="62">
        <v>18524</v>
      </c>
      <c r="C9" s="12" t="s">
        <v>46</v>
      </c>
      <c r="D9" s="53"/>
      <c r="E9" s="13"/>
      <c r="F9" s="13"/>
      <c r="G9" s="14"/>
      <c r="H9" s="15"/>
      <c r="I9" s="16">
        <f t="shared" si="4"/>
        <v>0</v>
      </c>
      <c r="J9" s="16"/>
      <c r="K9" s="11"/>
      <c r="L9" s="16"/>
      <c r="M9" s="16"/>
      <c r="N9" s="16"/>
      <c r="O9" s="16"/>
      <c r="P9" s="16"/>
      <c r="Q9" s="16"/>
      <c r="R9" s="35"/>
      <c r="S9" s="43"/>
      <c r="T9" s="46"/>
      <c r="U9" s="51">
        <f t="shared" si="2"/>
        <v>0</v>
      </c>
      <c r="V9" s="17" t="str">
        <f t="shared" si="3"/>
        <v>OK</v>
      </c>
    </row>
    <row r="10" spans="1:22" hidden="1" x14ac:dyDescent="0.3">
      <c r="A10" s="63" t="s">
        <v>34</v>
      </c>
      <c r="B10" s="63">
        <v>6234</v>
      </c>
      <c r="C10" s="18" t="s">
        <v>47</v>
      </c>
      <c r="D10" s="19"/>
      <c r="E10" s="19"/>
      <c r="F10" s="19"/>
      <c r="G10" s="20"/>
      <c r="H10" s="21"/>
      <c r="I10" s="22">
        <f t="shared" si="4"/>
        <v>0</v>
      </c>
      <c r="J10" s="22"/>
      <c r="K10" s="11"/>
      <c r="L10" s="22"/>
      <c r="M10" s="22"/>
      <c r="N10" s="22"/>
      <c r="O10" s="22"/>
      <c r="P10" s="22"/>
      <c r="Q10" s="22"/>
      <c r="R10" s="36"/>
      <c r="S10" s="44"/>
      <c r="T10" s="47"/>
      <c r="U10" s="52">
        <f t="shared" si="2"/>
        <v>0</v>
      </c>
      <c r="V10" s="23" t="str">
        <f t="shared" si="3"/>
        <v>OK</v>
      </c>
    </row>
    <row r="11" spans="1:22" hidden="1" x14ac:dyDescent="0.3">
      <c r="A11" s="62" t="s">
        <v>80</v>
      </c>
      <c r="B11" s="62">
        <v>14830</v>
      </c>
      <c r="C11" s="12" t="s">
        <v>47</v>
      </c>
      <c r="D11" s="53"/>
      <c r="E11" s="13"/>
      <c r="F11" s="13"/>
      <c r="G11" s="14"/>
      <c r="H11" s="15"/>
      <c r="I11" s="16">
        <f t="shared" si="4"/>
        <v>0</v>
      </c>
      <c r="J11" s="16"/>
      <c r="K11" s="11"/>
      <c r="L11" s="16"/>
      <c r="M11" s="16"/>
      <c r="N11" s="16"/>
      <c r="O11" s="16"/>
      <c r="P11" s="16"/>
      <c r="Q11" s="16"/>
      <c r="R11" s="35"/>
      <c r="S11" s="43"/>
      <c r="T11" s="46"/>
      <c r="U11" s="51">
        <f t="shared" si="2"/>
        <v>0</v>
      </c>
      <c r="V11" s="17" t="str">
        <f t="shared" si="3"/>
        <v>OK</v>
      </c>
    </row>
    <row r="12" spans="1:22" hidden="1" x14ac:dyDescent="0.3">
      <c r="A12" s="63" t="s">
        <v>35</v>
      </c>
      <c r="B12" s="63">
        <v>6004</v>
      </c>
      <c r="C12" s="18" t="s">
        <v>48</v>
      </c>
      <c r="D12" s="19"/>
      <c r="E12" s="19"/>
      <c r="F12" s="19"/>
      <c r="G12" s="20"/>
      <c r="H12" s="21"/>
      <c r="I12" s="22">
        <f t="shared" si="4"/>
        <v>0</v>
      </c>
      <c r="J12" s="22"/>
      <c r="K12" s="11"/>
      <c r="L12" s="22"/>
      <c r="M12" s="22"/>
      <c r="N12" s="22"/>
      <c r="O12" s="22"/>
      <c r="P12" s="22"/>
      <c r="Q12" s="22"/>
      <c r="R12" s="36"/>
      <c r="S12" s="44"/>
      <c r="T12" s="47"/>
      <c r="U12" s="52">
        <f t="shared" si="2"/>
        <v>0</v>
      </c>
      <c r="V12" s="23" t="str">
        <f t="shared" si="3"/>
        <v>OK</v>
      </c>
    </row>
    <row r="13" spans="1:22" hidden="1" x14ac:dyDescent="0.3">
      <c r="A13" s="62" t="s">
        <v>36</v>
      </c>
      <c r="B13" s="62">
        <v>11857</v>
      </c>
      <c r="C13" s="12" t="s">
        <v>48</v>
      </c>
      <c r="D13" s="53"/>
      <c r="E13" s="13"/>
      <c r="F13" s="13"/>
      <c r="G13" s="14"/>
      <c r="H13" s="15"/>
      <c r="I13" s="16">
        <f t="shared" si="4"/>
        <v>0</v>
      </c>
      <c r="J13" s="16"/>
      <c r="K13" s="11"/>
      <c r="L13" s="16"/>
      <c r="M13" s="16"/>
      <c r="N13" s="16"/>
      <c r="O13" s="16"/>
      <c r="P13" s="16"/>
      <c r="Q13" s="16"/>
      <c r="R13" s="35"/>
      <c r="S13" s="43"/>
      <c r="T13" s="46"/>
      <c r="U13" s="51">
        <f t="shared" si="2"/>
        <v>0</v>
      </c>
      <c r="V13" s="17" t="str">
        <f t="shared" si="3"/>
        <v>OK</v>
      </c>
    </row>
    <row r="14" spans="1:22" hidden="1" x14ac:dyDescent="0.3">
      <c r="A14" s="63" t="s">
        <v>82</v>
      </c>
      <c r="B14" s="63">
        <v>15004</v>
      </c>
      <c r="C14" s="18" t="s">
        <v>48</v>
      </c>
      <c r="D14" s="19"/>
      <c r="E14" s="19"/>
      <c r="F14" s="19"/>
      <c r="G14" s="20"/>
      <c r="H14" s="21"/>
      <c r="I14" s="22">
        <f t="shared" si="4"/>
        <v>0</v>
      </c>
      <c r="J14" s="22"/>
      <c r="K14" s="11"/>
      <c r="L14" s="22"/>
      <c r="M14" s="22"/>
      <c r="N14" s="22"/>
      <c r="O14" s="22"/>
      <c r="P14" s="22"/>
      <c r="Q14" s="22"/>
      <c r="R14" s="36"/>
      <c r="S14" s="44"/>
      <c r="T14" s="47"/>
      <c r="U14" s="52">
        <f t="shared" si="2"/>
        <v>0</v>
      </c>
      <c r="V14" s="23" t="str">
        <f t="shared" si="3"/>
        <v>OK</v>
      </c>
    </row>
    <row r="15" spans="1:22" hidden="1" x14ac:dyDescent="0.3">
      <c r="A15" s="62" t="s">
        <v>86</v>
      </c>
      <c r="B15" s="62">
        <v>15174</v>
      </c>
      <c r="C15" s="12" t="s">
        <v>45</v>
      </c>
      <c r="D15" s="53"/>
      <c r="E15" s="13"/>
      <c r="F15" s="13"/>
      <c r="G15" s="14"/>
      <c r="H15" s="15"/>
      <c r="I15" s="16">
        <f t="shared" si="4"/>
        <v>0</v>
      </c>
      <c r="J15" s="16"/>
      <c r="K15" s="11"/>
      <c r="L15" s="16"/>
      <c r="M15" s="16"/>
      <c r="N15" s="16"/>
      <c r="O15" s="16"/>
      <c r="P15" s="16"/>
      <c r="Q15" s="16"/>
      <c r="R15" s="35"/>
      <c r="S15" s="43"/>
      <c r="T15" s="46"/>
      <c r="U15" s="51">
        <f t="shared" si="2"/>
        <v>0</v>
      </c>
      <c r="V15" s="17" t="str">
        <f t="shared" si="3"/>
        <v>OK</v>
      </c>
    </row>
    <row r="16" spans="1:22" hidden="1" x14ac:dyDescent="0.3">
      <c r="A16" s="63" t="s">
        <v>87</v>
      </c>
      <c r="B16" s="63">
        <v>15520</v>
      </c>
      <c r="C16" s="18" t="s">
        <v>47</v>
      </c>
      <c r="D16" s="19"/>
      <c r="E16" s="19"/>
      <c r="F16" s="19"/>
      <c r="G16" s="20"/>
      <c r="H16" s="21"/>
      <c r="I16" s="22">
        <f t="shared" si="4"/>
        <v>0</v>
      </c>
      <c r="J16" s="22"/>
      <c r="K16" s="11"/>
      <c r="L16" s="22"/>
      <c r="M16" s="22"/>
      <c r="N16" s="22"/>
      <c r="O16" s="22"/>
      <c r="P16" s="22"/>
      <c r="Q16" s="22"/>
      <c r="R16" s="36"/>
      <c r="S16" s="44"/>
      <c r="T16" s="47"/>
      <c r="U16" s="52">
        <f t="shared" si="2"/>
        <v>0</v>
      </c>
      <c r="V16" s="23" t="str">
        <f t="shared" si="3"/>
        <v>OK</v>
      </c>
    </row>
    <row r="17" spans="1:22" x14ac:dyDescent="0.3">
      <c r="A17" s="62" t="s">
        <v>85</v>
      </c>
      <c r="B17" s="62">
        <v>14989</v>
      </c>
      <c r="C17" s="12" t="s">
        <v>45</v>
      </c>
      <c r="D17" s="53"/>
      <c r="E17" s="13"/>
      <c r="F17" s="13"/>
      <c r="G17" s="14"/>
      <c r="H17" s="15"/>
      <c r="I17" s="16">
        <f t="shared" si="4"/>
        <v>11</v>
      </c>
      <c r="J17" s="16"/>
      <c r="K17" s="11"/>
      <c r="L17" s="16"/>
      <c r="M17" s="16">
        <v>11</v>
      </c>
      <c r="N17" s="16"/>
      <c r="O17" s="16"/>
      <c r="P17" s="16"/>
      <c r="Q17" s="16"/>
      <c r="R17" s="35"/>
      <c r="S17" s="43"/>
      <c r="T17" s="46"/>
      <c r="U17" s="51">
        <f t="shared" si="2"/>
        <v>11</v>
      </c>
      <c r="V17" s="17" t="str">
        <f t="shared" si="3"/>
        <v>OK</v>
      </c>
    </row>
    <row r="18" spans="1:22" hidden="1" x14ac:dyDescent="0.3">
      <c r="A18" s="63" t="s">
        <v>84</v>
      </c>
      <c r="B18" s="63">
        <v>14984</v>
      </c>
      <c r="C18" s="18" t="s">
        <v>46</v>
      </c>
      <c r="D18" s="19"/>
      <c r="E18" s="19"/>
      <c r="F18" s="19"/>
      <c r="G18" s="20"/>
      <c r="H18" s="21"/>
      <c r="I18" s="22">
        <f t="shared" si="4"/>
        <v>0</v>
      </c>
      <c r="J18" s="22"/>
      <c r="K18" s="11"/>
      <c r="L18" s="22"/>
      <c r="M18" s="22"/>
      <c r="N18" s="22"/>
      <c r="O18" s="22"/>
      <c r="P18" s="22"/>
      <c r="Q18" s="22"/>
      <c r="R18" s="36"/>
      <c r="S18" s="44"/>
      <c r="T18" s="47"/>
      <c r="U18" s="52">
        <f t="shared" si="2"/>
        <v>0</v>
      </c>
      <c r="V18" s="23" t="str">
        <f t="shared" si="3"/>
        <v>OK</v>
      </c>
    </row>
    <row r="19" spans="1:22" hidden="1" x14ac:dyDescent="0.3">
      <c r="A19" s="62" t="s">
        <v>88</v>
      </c>
      <c r="B19" s="62">
        <v>16270</v>
      </c>
      <c r="C19" s="12" t="s">
        <v>89</v>
      </c>
      <c r="D19" s="53"/>
      <c r="E19" s="13"/>
      <c r="F19" s="13"/>
      <c r="G19" s="14"/>
      <c r="H19" s="15"/>
      <c r="I19" s="16">
        <f t="shared" si="4"/>
        <v>0</v>
      </c>
      <c r="J19" s="16"/>
      <c r="K19" s="11"/>
      <c r="L19" s="16"/>
      <c r="M19" s="16"/>
      <c r="N19" s="16"/>
      <c r="O19" s="16"/>
      <c r="P19" s="16"/>
      <c r="Q19" s="16"/>
      <c r="R19" s="35"/>
      <c r="S19" s="43"/>
      <c r="T19" s="46"/>
      <c r="U19" s="51">
        <f t="shared" si="2"/>
        <v>0</v>
      </c>
      <c r="V19" s="17" t="str">
        <f t="shared" si="3"/>
        <v>OK</v>
      </c>
    </row>
    <row r="20" spans="1:22" hidden="1" x14ac:dyDescent="0.3">
      <c r="A20" s="63" t="s">
        <v>98</v>
      </c>
      <c r="B20" s="63">
        <v>19060</v>
      </c>
      <c r="C20" s="18" t="s">
        <v>47</v>
      </c>
      <c r="D20" s="19"/>
      <c r="E20" s="19"/>
      <c r="F20" s="19"/>
      <c r="G20" s="20"/>
      <c r="H20" s="21"/>
      <c r="I20" s="22">
        <f t="shared" si="4"/>
        <v>0</v>
      </c>
      <c r="J20" s="22"/>
      <c r="K20" s="11"/>
      <c r="L20" s="22"/>
      <c r="M20" s="22"/>
      <c r="N20" s="22"/>
      <c r="O20" s="22"/>
      <c r="P20" s="22"/>
      <c r="Q20" s="22"/>
      <c r="R20" s="36"/>
      <c r="S20" s="44"/>
      <c r="T20" s="47"/>
      <c r="U20" s="52">
        <f t="shared" si="2"/>
        <v>0</v>
      </c>
      <c r="V20" s="23" t="str">
        <f t="shared" si="3"/>
        <v>OK</v>
      </c>
    </row>
    <row r="21" spans="1:22" hidden="1" x14ac:dyDescent="0.3">
      <c r="A21" s="62" t="s">
        <v>99</v>
      </c>
      <c r="B21" s="62">
        <v>18828</v>
      </c>
      <c r="C21" s="12" t="s">
        <v>94</v>
      </c>
      <c r="D21" s="53"/>
      <c r="E21" s="13"/>
      <c r="F21" s="13"/>
      <c r="G21" s="14"/>
      <c r="H21" s="15"/>
      <c r="I21" s="16">
        <f t="shared" si="4"/>
        <v>0</v>
      </c>
      <c r="J21" s="16"/>
      <c r="K21" s="11"/>
      <c r="L21" s="16"/>
      <c r="M21" s="16"/>
      <c r="N21" s="16"/>
      <c r="O21" s="16"/>
      <c r="P21" s="16"/>
      <c r="Q21" s="16"/>
      <c r="R21" s="35"/>
      <c r="S21" s="43"/>
      <c r="T21" s="46"/>
      <c r="U21" s="51">
        <f t="shared" si="2"/>
        <v>0</v>
      </c>
      <c r="V21" s="17" t="str">
        <f t="shared" si="3"/>
        <v>OK</v>
      </c>
    </row>
    <row r="22" spans="1:22" hidden="1" x14ac:dyDescent="0.3">
      <c r="A22" s="63" t="s">
        <v>23</v>
      </c>
      <c r="B22" s="63">
        <v>5695</v>
      </c>
      <c r="C22" s="18" t="s">
        <v>49</v>
      </c>
      <c r="D22" s="19"/>
      <c r="E22" s="19"/>
      <c r="F22" s="19"/>
      <c r="G22" s="20"/>
      <c r="H22" s="21"/>
      <c r="I22" s="22">
        <f t="shared" si="4"/>
        <v>0</v>
      </c>
      <c r="J22" s="22"/>
      <c r="K22" s="11"/>
      <c r="L22" s="22"/>
      <c r="M22" s="22"/>
      <c r="N22" s="22"/>
      <c r="O22" s="22"/>
      <c r="P22" s="22"/>
      <c r="Q22" s="22"/>
      <c r="R22" s="36"/>
      <c r="S22" s="44"/>
      <c r="T22" s="47"/>
      <c r="U22" s="52">
        <f t="shared" si="2"/>
        <v>0</v>
      </c>
      <c r="V22" s="23" t="str">
        <f t="shared" si="3"/>
        <v>OK</v>
      </c>
    </row>
    <row r="23" spans="1:22" hidden="1" x14ac:dyDescent="0.3">
      <c r="A23" s="62" t="s">
        <v>24</v>
      </c>
      <c r="B23" s="62">
        <v>5691</v>
      </c>
      <c r="C23" s="12" t="s">
        <v>50</v>
      </c>
      <c r="D23" s="53"/>
      <c r="E23" s="13"/>
      <c r="F23" s="13"/>
      <c r="G23" s="14"/>
      <c r="H23" s="15"/>
      <c r="I23" s="16">
        <f t="shared" si="4"/>
        <v>0</v>
      </c>
      <c r="J23" s="16"/>
      <c r="K23" s="11"/>
      <c r="L23" s="16"/>
      <c r="M23" s="16"/>
      <c r="N23" s="16"/>
      <c r="O23" s="16"/>
      <c r="P23" s="16"/>
      <c r="Q23" s="16"/>
      <c r="R23" s="35"/>
      <c r="S23" s="43"/>
      <c r="T23" s="46"/>
      <c r="U23" s="51">
        <f t="shared" si="2"/>
        <v>0</v>
      </c>
      <c r="V23" s="17" t="str">
        <f t="shared" si="3"/>
        <v>OK</v>
      </c>
    </row>
    <row r="24" spans="1:22" hidden="1" x14ac:dyDescent="0.3">
      <c r="A24" s="63" t="s">
        <v>37</v>
      </c>
      <c r="B24" s="63">
        <v>5687</v>
      </c>
      <c r="C24" s="18" t="s">
        <v>51</v>
      </c>
      <c r="D24" s="19"/>
      <c r="E24" s="19"/>
      <c r="F24" s="19"/>
      <c r="G24" s="20"/>
      <c r="H24" s="21"/>
      <c r="I24" s="22">
        <f t="shared" si="4"/>
        <v>0</v>
      </c>
      <c r="J24" s="22"/>
      <c r="K24" s="11"/>
      <c r="L24" s="22"/>
      <c r="M24" s="22"/>
      <c r="N24" s="22"/>
      <c r="O24" s="22"/>
      <c r="P24" s="22"/>
      <c r="Q24" s="22"/>
      <c r="R24" s="36"/>
      <c r="S24" s="44"/>
      <c r="T24" s="47"/>
      <c r="U24" s="52">
        <f t="shared" si="2"/>
        <v>0</v>
      </c>
      <c r="V24" s="23" t="str">
        <f t="shared" si="3"/>
        <v>OK</v>
      </c>
    </row>
    <row r="25" spans="1:22" hidden="1" x14ac:dyDescent="0.3">
      <c r="A25" s="62" t="s">
        <v>38</v>
      </c>
      <c r="B25" s="62">
        <v>5683</v>
      </c>
      <c r="C25" s="12" t="s">
        <v>51</v>
      </c>
      <c r="D25" s="53"/>
      <c r="E25" s="13"/>
      <c r="F25" s="13"/>
      <c r="G25" s="14"/>
      <c r="H25" s="15"/>
      <c r="I25" s="16">
        <f t="shared" si="4"/>
        <v>0</v>
      </c>
      <c r="J25" s="16"/>
      <c r="K25" s="11"/>
      <c r="L25" s="16"/>
      <c r="M25" s="16"/>
      <c r="N25" s="16"/>
      <c r="O25" s="16"/>
      <c r="P25" s="16"/>
      <c r="Q25" s="16"/>
      <c r="R25" s="35"/>
      <c r="S25" s="43"/>
      <c r="T25" s="46"/>
      <c r="U25" s="51">
        <f t="shared" si="2"/>
        <v>0</v>
      </c>
      <c r="V25" s="17" t="str">
        <f t="shared" si="3"/>
        <v>OK</v>
      </c>
    </row>
    <row r="26" spans="1:22" hidden="1" x14ac:dyDescent="0.3">
      <c r="A26" s="63" t="s">
        <v>25</v>
      </c>
      <c r="B26" s="63">
        <v>5679</v>
      </c>
      <c r="C26" s="18" t="s">
        <v>52</v>
      </c>
      <c r="D26" s="19"/>
      <c r="E26" s="19"/>
      <c r="F26" s="19"/>
      <c r="G26" s="20"/>
      <c r="H26" s="21"/>
      <c r="I26" s="22">
        <f t="shared" si="4"/>
        <v>0</v>
      </c>
      <c r="J26" s="22"/>
      <c r="K26" s="11"/>
      <c r="L26" s="22"/>
      <c r="M26" s="22"/>
      <c r="N26" s="22"/>
      <c r="O26" s="22"/>
      <c r="P26" s="22"/>
      <c r="Q26" s="22"/>
      <c r="R26" s="36"/>
      <c r="S26" s="44"/>
      <c r="T26" s="47"/>
      <c r="U26" s="52">
        <f t="shared" si="2"/>
        <v>0</v>
      </c>
      <c r="V26" s="23" t="str">
        <f t="shared" si="3"/>
        <v>OK</v>
      </c>
    </row>
    <row r="27" spans="1:22" hidden="1" x14ac:dyDescent="0.3">
      <c r="A27" s="62" t="s">
        <v>39</v>
      </c>
      <c r="B27" s="62">
        <v>5675</v>
      </c>
      <c r="C27" s="12" t="s">
        <v>53</v>
      </c>
      <c r="D27" s="53"/>
      <c r="E27" s="13"/>
      <c r="F27" s="13"/>
      <c r="G27" s="14"/>
      <c r="H27" s="15"/>
      <c r="I27" s="16">
        <f t="shared" si="4"/>
        <v>0</v>
      </c>
      <c r="J27" s="16"/>
      <c r="K27" s="11"/>
      <c r="L27" s="16"/>
      <c r="M27" s="16"/>
      <c r="N27" s="16"/>
      <c r="O27" s="16"/>
      <c r="P27" s="16"/>
      <c r="Q27" s="16"/>
      <c r="R27" s="35"/>
      <c r="S27" s="43"/>
      <c r="T27" s="46"/>
      <c r="U27" s="51">
        <f t="shared" si="2"/>
        <v>0</v>
      </c>
      <c r="V27" s="17" t="str">
        <f t="shared" si="3"/>
        <v>OK</v>
      </c>
    </row>
    <row r="28" spans="1:22" hidden="1" x14ac:dyDescent="0.3">
      <c r="A28" s="63" t="s">
        <v>26</v>
      </c>
      <c r="B28" s="63">
        <v>5671</v>
      </c>
      <c r="C28" s="18" t="s">
        <v>49</v>
      </c>
      <c r="D28" s="19"/>
      <c r="E28" s="19"/>
      <c r="F28" s="19"/>
      <c r="G28" s="20"/>
      <c r="H28" s="21"/>
      <c r="I28" s="22">
        <f t="shared" si="4"/>
        <v>0</v>
      </c>
      <c r="J28" s="22"/>
      <c r="K28" s="11"/>
      <c r="L28" s="22"/>
      <c r="M28" s="22"/>
      <c r="N28" s="22"/>
      <c r="O28" s="22"/>
      <c r="P28" s="22"/>
      <c r="Q28" s="22"/>
      <c r="R28" s="36"/>
      <c r="S28" s="44"/>
      <c r="T28" s="47"/>
      <c r="U28" s="52">
        <f t="shared" si="2"/>
        <v>0</v>
      </c>
      <c r="V28" s="23" t="str">
        <f t="shared" si="3"/>
        <v>OK</v>
      </c>
    </row>
    <row r="29" spans="1:22" hidden="1" x14ac:dyDescent="0.3">
      <c r="A29" s="62" t="s">
        <v>40</v>
      </c>
      <c r="B29" s="62">
        <v>5667</v>
      </c>
      <c r="C29" s="12" t="s">
        <v>50</v>
      </c>
      <c r="D29" s="53"/>
      <c r="E29" s="13"/>
      <c r="F29" s="13"/>
      <c r="G29" s="14"/>
      <c r="H29" s="15"/>
      <c r="I29" s="16">
        <f t="shared" si="4"/>
        <v>0</v>
      </c>
      <c r="J29" s="16"/>
      <c r="K29" s="11"/>
      <c r="L29" s="16"/>
      <c r="M29" s="16"/>
      <c r="N29" s="16"/>
      <c r="O29" s="16"/>
      <c r="P29" s="16"/>
      <c r="Q29" s="16"/>
      <c r="R29" s="35"/>
      <c r="S29" s="43"/>
      <c r="T29" s="46"/>
      <c r="U29" s="51">
        <f t="shared" si="2"/>
        <v>0</v>
      </c>
      <c r="V29" s="17" t="str">
        <f t="shared" si="3"/>
        <v>OK</v>
      </c>
    </row>
    <row r="30" spans="1:22" hidden="1" x14ac:dyDescent="0.3">
      <c r="A30" s="63" t="s">
        <v>41</v>
      </c>
      <c r="B30" s="63">
        <v>5663</v>
      </c>
      <c r="C30" s="18" t="s">
        <v>51</v>
      </c>
      <c r="D30" s="19"/>
      <c r="E30" s="19"/>
      <c r="F30" s="19"/>
      <c r="G30" s="20"/>
      <c r="H30" s="21"/>
      <c r="I30" s="22">
        <f t="shared" si="4"/>
        <v>0</v>
      </c>
      <c r="J30" s="22"/>
      <c r="K30" s="11"/>
      <c r="L30" s="22"/>
      <c r="M30" s="22"/>
      <c r="N30" s="22"/>
      <c r="O30" s="22"/>
      <c r="P30" s="22"/>
      <c r="Q30" s="22"/>
      <c r="R30" s="36"/>
      <c r="S30" s="44"/>
      <c r="T30" s="47"/>
      <c r="U30" s="52">
        <f t="shared" si="2"/>
        <v>0</v>
      </c>
      <c r="V30" s="23" t="str">
        <f t="shared" si="3"/>
        <v>OK</v>
      </c>
    </row>
    <row r="31" spans="1:22" hidden="1" x14ac:dyDescent="0.3">
      <c r="A31" s="62" t="s">
        <v>42</v>
      </c>
      <c r="B31" s="62">
        <v>5659</v>
      </c>
      <c r="C31" s="12" t="s">
        <v>52</v>
      </c>
      <c r="D31" s="53"/>
      <c r="E31" s="13"/>
      <c r="F31" s="13"/>
      <c r="G31" s="14"/>
      <c r="H31" s="15"/>
      <c r="I31" s="16">
        <f t="shared" si="4"/>
        <v>0</v>
      </c>
      <c r="J31" s="16"/>
      <c r="K31" s="11"/>
      <c r="L31" s="16"/>
      <c r="M31" s="16"/>
      <c r="N31" s="16"/>
      <c r="O31" s="16"/>
      <c r="P31" s="16"/>
      <c r="Q31" s="16"/>
      <c r="R31" s="35"/>
      <c r="S31" s="43"/>
      <c r="T31" s="46"/>
      <c r="U31" s="51">
        <f t="shared" si="2"/>
        <v>0</v>
      </c>
      <c r="V31" s="17" t="str">
        <f t="shared" si="3"/>
        <v>OK</v>
      </c>
    </row>
    <row r="32" spans="1:22" hidden="1" x14ac:dyDescent="0.3">
      <c r="A32" s="63" t="s">
        <v>27</v>
      </c>
      <c r="B32" s="63">
        <v>5655</v>
      </c>
      <c r="C32" s="18" t="s">
        <v>54</v>
      </c>
      <c r="D32" s="19"/>
      <c r="E32" s="19"/>
      <c r="F32" s="19"/>
      <c r="G32" s="20"/>
      <c r="H32" s="21"/>
      <c r="I32" s="22">
        <f t="shared" si="4"/>
        <v>0</v>
      </c>
      <c r="J32" s="22"/>
      <c r="K32" s="11"/>
      <c r="L32" s="22"/>
      <c r="M32" s="22"/>
      <c r="N32" s="22"/>
      <c r="O32" s="22"/>
      <c r="P32" s="22"/>
      <c r="Q32" s="22"/>
      <c r="R32" s="36"/>
      <c r="S32" s="44"/>
      <c r="T32" s="47"/>
      <c r="U32" s="52">
        <f t="shared" si="2"/>
        <v>0</v>
      </c>
      <c r="V32" s="23" t="str">
        <f t="shared" si="3"/>
        <v>OK</v>
      </c>
    </row>
    <row r="33" spans="1:22" hidden="1" x14ac:dyDescent="0.3">
      <c r="A33" s="62" t="s">
        <v>70</v>
      </c>
      <c r="B33" s="62">
        <v>5651</v>
      </c>
      <c r="C33" s="12" t="s">
        <v>55</v>
      </c>
      <c r="D33" s="53"/>
      <c r="E33" s="13"/>
      <c r="F33" s="13"/>
      <c r="G33" s="14"/>
      <c r="H33" s="15"/>
      <c r="I33" s="16">
        <f t="shared" si="4"/>
        <v>0</v>
      </c>
      <c r="J33" s="16"/>
      <c r="K33" s="11"/>
      <c r="L33" s="16"/>
      <c r="M33" s="16"/>
      <c r="N33" s="16"/>
      <c r="O33" s="16"/>
      <c r="P33" s="16"/>
      <c r="Q33" s="16"/>
      <c r="R33" s="35"/>
      <c r="S33" s="43"/>
      <c r="T33" s="46"/>
      <c r="U33" s="51">
        <f t="shared" si="2"/>
        <v>0</v>
      </c>
      <c r="V33" s="17" t="str">
        <f t="shared" si="3"/>
        <v>OK</v>
      </c>
    </row>
    <row r="34" spans="1:22" hidden="1" x14ac:dyDescent="0.3">
      <c r="A34" s="63" t="s">
        <v>71</v>
      </c>
      <c r="B34" s="63">
        <v>5643</v>
      </c>
      <c r="C34" s="18" t="s">
        <v>56</v>
      </c>
      <c r="D34" s="19"/>
      <c r="E34" s="19"/>
      <c r="F34" s="19"/>
      <c r="G34" s="20"/>
      <c r="H34" s="21"/>
      <c r="I34" s="22">
        <f t="shared" si="4"/>
        <v>0</v>
      </c>
      <c r="J34" s="22"/>
      <c r="K34" s="11"/>
      <c r="L34" s="22"/>
      <c r="M34" s="22"/>
      <c r="N34" s="22"/>
      <c r="O34" s="22"/>
      <c r="P34" s="22"/>
      <c r="Q34" s="22"/>
      <c r="R34" s="36"/>
      <c r="S34" s="44"/>
      <c r="T34" s="47"/>
      <c r="U34" s="52">
        <f t="shared" si="2"/>
        <v>0</v>
      </c>
      <c r="V34" s="23" t="str">
        <f t="shared" si="3"/>
        <v>OK</v>
      </c>
    </row>
    <row r="35" spans="1:22" hidden="1" x14ac:dyDescent="0.3">
      <c r="A35" s="62" t="s">
        <v>57</v>
      </c>
      <c r="B35" s="62">
        <v>11350</v>
      </c>
      <c r="C35" s="12" t="s">
        <v>56</v>
      </c>
      <c r="D35" s="53"/>
      <c r="E35" s="13"/>
      <c r="F35" s="13"/>
      <c r="G35" s="14"/>
      <c r="H35" s="15"/>
      <c r="I35" s="16">
        <f t="shared" si="4"/>
        <v>0</v>
      </c>
      <c r="J35" s="16"/>
      <c r="K35" s="11"/>
      <c r="L35" s="16"/>
      <c r="M35" s="16"/>
      <c r="N35" s="16"/>
      <c r="O35" s="16"/>
      <c r="P35" s="16"/>
      <c r="Q35" s="16"/>
      <c r="R35" s="35"/>
      <c r="S35" s="43"/>
      <c r="T35" s="46"/>
      <c r="U35" s="51">
        <f t="shared" si="2"/>
        <v>0</v>
      </c>
      <c r="V35" s="17" t="str">
        <f t="shared" si="3"/>
        <v>OK</v>
      </c>
    </row>
    <row r="36" spans="1:22" hidden="1" x14ac:dyDescent="0.3">
      <c r="A36" s="63" t="s">
        <v>72</v>
      </c>
      <c r="B36" s="63">
        <v>5635</v>
      </c>
      <c r="C36" s="18" t="s">
        <v>55</v>
      </c>
      <c r="D36" s="19"/>
      <c r="E36" s="19"/>
      <c r="F36" s="19"/>
      <c r="G36" s="20"/>
      <c r="H36" s="21"/>
      <c r="I36" s="22">
        <f t="shared" si="4"/>
        <v>0</v>
      </c>
      <c r="J36" s="22"/>
      <c r="K36" s="11"/>
      <c r="L36" s="22"/>
      <c r="M36" s="22"/>
      <c r="N36" s="22"/>
      <c r="O36" s="22"/>
      <c r="P36" s="22"/>
      <c r="Q36" s="22"/>
      <c r="R36" s="36"/>
      <c r="S36" s="44"/>
      <c r="T36" s="47"/>
      <c r="U36" s="52">
        <f t="shared" si="2"/>
        <v>0</v>
      </c>
      <c r="V36" s="23" t="str">
        <f t="shared" si="3"/>
        <v>OK</v>
      </c>
    </row>
    <row r="37" spans="1:22" hidden="1" x14ac:dyDescent="0.3">
      <c r="A37" s="62" t="s">
        <v>58</v>
      </c>
      <c r="B37" s="62">
        <v>11349</v>
      </c>
      <c r="C37" s="12" t="s">
        <v>55</v>
      </c>
      <c r="D37" s="53"/>
      <c r="E37" s="13"/>
      <c r="F37" s="13"/>
      <c r="G37" s="14"/>
      <c r="H37" s="15"/>
      <c r="I37" s="16">
        <f t="shared" si="4"/>
        <v>0</v>
      </c>
      <c r="J37" s="16"/>
      <c r="K37" s="11"/>
      <c r="L37" s="16"/>
      <c r="M37" s="16"/>
      <c r="N37" s="16"/>
      <c r="O37" s="16"/>
      <c r="P37" s="16"/>
      <c r="Q37" s="16"/>
      <c r="R37" s="35"/>
      <c r="S37" s="43"/>
      <c r="T37" s="46"/>
      <c r="U37" s="51">
        <f t="shared" ref="U37:U55" si="5">SUM(L37:T37)</f>
        <v>0</v>
      </c>
      <c r="V37" s="17" t="str">
        <f t="shared" si="3"/>
        <v>OK</v>
      </c>
    </row>
    <row r="38" spans="1:22" hidden="1" x14ac:dyDescent="0.3">
      <c r="A38" s="63" t="s">
        <v>73</v>
      </c>
      <c r="B38" s="63">
        <v>5627</v>
      </c>
      <c r="C38" s="18" t="s">
        <v>56</v>
      </c>
      <c r="D38" s="19"/>
      <c r="E38" s="19"/>
      <c r="F38" s="19"/>
      <c r="G38" s="20"/>
      <c r="H38" s="21"/>
      <c r="I38" s="22">
        <f t="shared" si="4"/>
        <v>0</v>
      </c>
      <c r="J38" s="22"/>
      <c r="K38" s="11"/>
      <c r="L38" s="22"/>
      <c r="M38" s="22"/>
      <c r="N38" s="22"/>
      <c r="O38" s="22"/>
      <c r="P38" s="22"/>
      <c r="Q38" s="22"/>
      <c r="R38" s="36"/>
      <c r="S38" s="44"/>
      <c r="T38" s="47"/>
      <c r="U38" s="52">
        <f t="shared" si="5"/>
        <v>0</v>
      </c>
      <c r="V38" s="23" t="str">
        <f t="shared" si="3"/>
        <v>OK</v>
      </c>
    </row>
    <row r="39" spans="1:22" hidden="1" x14ac:dyDescent="0.3">
      <c r="A39" s="62" t="s">
        <v>59</v>
      </c>
      <c r="B39" s="62">
        <v>11348</v>
      </c>
      <c r="C39" s="12" t="s">
        <v>56</v>
      </c>
      <c r="D39" s="53"/>
      <c r="E39" s="13"/>
      <c r="F39" s="13"/>
      <c r="G39" s="14"/>
      <c r="H39" s="15"/>
      <c r="I39" s="16">
        <f t="shared" si="4"/>
        <v>0</v>
      </c>
      <c r="J39" s="16"/>
      <c r="K39" s="11"/>
      <c r="L39" s="16"/>
      <c r="M39" s="16"/>
      <c r="N39" s="16"/>
      <c r="O39" s="16"/>
      <c r="P39" s="16"/>
      <c r="Q39" s="16"/>
      <c r="R39" s="35"/>
      <c r="S39" s="43"/>
      <c r="T39" s="46"/>
      <c r="U39" s="51">
        <f t="shared" si="5"/>
        <v>0</v>
      </c>
      <c r="V39" s="17" t="str">
        <f t="shared" si="3"/>
        <v>OK</v>
      </c>
    </row>
    <row r="40" spans="1:22" hidden="1" x14ac:dyDescent="0.3">
      <c r="A40" s="63" t="s">
        <v>74</v>
      </c>
      <c r="B40" s="63">
        <v>5619</v>
      </c>
      <c r="C40" s="18" t="s">
        <v>60</v>
      </c>
      <c r="D40" s="19"/>
      <c r="E40" s="19"/>
      <c r="F40" s="19"/>
      <c r="G40" s="20"/>
      <c r="H40" s="21"/>
      <c r="I40" s="22">
        <f t="shared" si="4"/>
        <v>0</v>
      </c>
      <c r="J40" s="22"/>
      <c r="K40" s="11"/>
      <c r="L40" s="22"/>
      <c r="M40" s="22"/>
      <c r="N40" s="22"/>
      <c r="O40" s="22"/>
      <c r="P40" s="22"/>
      <c r="Q40" s="22"/>
      <c r="R40" s="36"/>
      <c r="S40" s="44"/>
      <c r="T40" s="47"/>
      <c r="U40" s="52">
        <f t="shared" si="5"/>
        <v>0</v>
      </c>
      <c r="V40" s="23" t="str">
        <f t="shared" si="3"/>
        <v>OK</v>
      </c>
    </row>
    <row r="41" spans="1:22" hidden="1" x14ac:dyDescent="0.3">
      <c r="A41" s="64" t="s">
        <v>61</v>
      </c>
      <c r="B41" s="62">
        <v>11347</v>
      </c>
      <c r="C41" s="12" t="s">
        <v>60</v>
      </c>
      <c r="D41" s="53"/>
      <c r="E41" s="13"/>
      <c r="F41" s="13"/>
      <c r="G41" s="14"/>
      <c r="H41" s="15"/>
      <c r="I41" s="16">
        <f t="shared" si="4"/>
        <v>0</v>
      </c>
      <c r="J41" s="16"/>
      <c r="K41" s="11"/>
      <c r="L41" s="16"/>
      <c r="M41" s="16"/>
      <c r="N41" s="16"/>
      <c r="O41" s="16"/>
      <c r="P41" s="16"/>
      <c r="Q41" s="16"/>
      <c r="R41" s="35"/>
      <c r="S41" s="43"/>
      <c r="T41" s="46"/>
      <c r="U41" s="51">
        <f t="shared" si="5"/>
        <v>0</v>
      </c>
      <c r="V41" s="17" t="str">
        <f t="shared" si="3"/>
        <v>OK</v>
      </c>
    </row>
    <row r="42" spans="1:22" hidden="1" x14ac:dyDescent="0.3">
      <c r="A42" s="54" t="s">
        <v>75</v>
      </c>
      <c r="B42" s="63">
        <v>5611</v>
      </c>
      <c r="C42" s="18" t="s">
        <v>62</v>
      </c>
      <c r="D42" s="19"/>
      <c r="E42" s="19"/>
      <c r="F42" s="19"/>
      <c r="G42" s="20"/>
      <c r="H42" s="21"/>
      <c r="I42" s="22">
        <f t="shared" si="4"/>
        <v>0</v>
      </c>
      <c r="J42" s="22"/>
      <c r="K42" s="11"/>
      <c r="L42" s="22"/>
      <c r="M42" s="22"/>
      <c r="N42" s="22"/>
      <c r="O42" s="22"/>
      <c r="P42" s="22"/>
      <c r="Q42" s="22"/>
      <c r="R42" s="36"/>
      <c r="S42" s="44"/>
      <c r="T42" s="47"/>
      <c r="U42" s="52">
        <f t="shared" si="5"/>
        <v>0</v>
      </c>
      <c r="V42" s="23" t="str">
        <f t="shared" si="3"/>
        <v>OK</v>
      </c>
    </row>
    <row r="43" spans="1:22" hidden="1" x14ac:dyDescent="0.3">
      <c r="A43" s="12" t="s">
        <v>63</v>
      </c>
      <c r="B43" s="62">
        <v>11336</v>
      </c>
      <c r="C43" s="12" t="s">
        <v>62</v>
      </c>
      <c r="D43" s="53"/>
      <c r="E43" s="13"/>
      <c r="F43" s="13"/>
      <c r="G43" s="14"/>
      <c r="H43" s="15"/>
      <c r="I43" s="16">
        <f t="shared" si="4"/>
        <v>0</v>
      </c>
      <c r="J43" s="16"/>
      <c r="K43" s="11"/>
      <c r="L43" s="16"/>
      <c r="M43" s="16"/>
      <c r="N43" s="16"/>
      <c r="O43" s="16"/>
      <c r="P43" s="16"/>
      <c r="Q43" s="16"/>
      <c r="R43" s="35"/>
      <c r="S43" s="43"/>
      <c r="T43" s="46"/>
      <c r="U43" s="51">
        <f t="shared" si="5"/>
        <v>0</v>
      </c>
      <c r="V43" s="17" t="str">
        <f t="shared" si="3"/>
        <v>OK</v>
      </c>
    </row>
    <row r="44" spans="1:22" hidden="1" x14ac:dyDescent="0.3">
      <c r="A44" s="54" t="s">
        <v>100</v>
      </c>
      <c r="B44" s="63">
        <v>14860</v>
      </c>
      <c r="C44" s="18" t="s">
        <v>56</v>
      </c>
      <c r="D44" s="19"/>
      <c r="E44" s="19"/>
      <c r="F44" s="19"/>
      <c r="G44" s="20"/>
      <c r="H44" s="21"/>
      <c r="I44" s="22">
        <f t="shared" si="4"/>
        <v>0</v>
      </c>
      <c r="J44" s="22"/>
      <c r="K44" s="11"/>
      <c r="L44" s="22"/>
      <c r="M44" s="22"/>
      <c r="N44" s="22"/>
      <c r="O44" s="22"/>
      <c r="P44" s="22"/>
      <c r="Q44" s="22"/>
      <c r="R44" s="36"/>
      <c r="S44" s="44"/>
      <c r="T44" s="47"/>
      <c r="U44" s="52">
        <f t="shared" si="5"/>
        <v>0</v>
      </c>
      <c r="V44" s="23" t="str">
        <f t="shared" si="3"/>
        <v>OK</v>
      </c>
    </row>
    <row r="45" spans="1:22" hidden="1" x14ac:dyDescent="0.3">
      <c r="A45" s="64" t="s">
        <v>83</v>
      </c>
      <c r="B45" s="62">
        <v>14861</v>
      </c>
      <c r="C45" s="12" t="s">
        <v>56</v>
      </c>
      <c r="D45" s="53"/>
      <c r="E45" s="13"/>
      <c r="F45" s="13"/>
      <c r="G45" s="14"/>
      <c r="H45" s="15"/>
      <c r="I45" s="16">
        <f t="shared" si="4"/>
        <v>0</v>
      </c>
      <c r="J45" s="16"/>
      <c r="K45" s="11"/>
      <c r="L45" s="16"/>
      <c r="M45" s="16"/>
      <c r="N45" s="16"/>
      <c r="O45" s="16"/>
      <c r="P45" s="16"/>
      <c r="Q45" s="16"/>
      <c r="R45" s="35"/>
      <c r="S45" s="43"/>
      <c r="T45" s="46"/>
      <c r="U45" s="51">
        <f t="shared" si="5"/>
        <v>0</v>
      </c>
      <c r="V45" s="17" t="str">
        <f t="shared" si="3"/>
        <v>OK</v>
      </c>
    </row>
    <row r="46" spans="1:22" hidden="1" x14ac:dyDescent="0.3">
      <c r="A46" s="54" t="s">
        <v>101</v>
      </c>
      <c r="B46" s="63">
        <v>15096</v>
      </c>
      <c r="C46" s="18" t="s">
        <v>56</v>
      </c>
      <c r="D46" s="19"/>
      <c r="E46" s="19"/>
      <c r="F46" s="19"/>
      <c r="G46" s="20"/>
      <c r="H46" s="21"/>
      <c r="I46" s="22">
        <f t="shared" si="4"/>
        <v>0</v>
      </c>
      <c r="J46" s="22"/>
      <c r="K46" s="11"/>
      <c r="L46" s="22"/>
      <c r="M46" s="22"/>
      <c r="N46" s="22"/>
      <c r="O46" s="22"/>
      <c r="P46" s="22"/>
      <c r="Q46" s="22"/>
      <c r="R46" s="36"/>
      <c r="S46" s="44"/>
      <c r="T46" s="47"/>
      <c r="U46" s="52">
        <f t="shared" si="5"/>
        <v>0</v>
      </c>
      <c r="V46" s="23" t="str">
        <f t="shared" si="3"/>
        <v>OK</v>
      </c>
    </row>
    <row r="47" spans="1:22" hidden="1" x14ac:dyDescent="0.3">
      <c r="A47" s="12" t="s">
        <v>81</v>
      </c>
      <c r="B47" s="62">
        <v>15097</v>
      </c>
      <c r="C47" s="12" t="s">
        <v>56</v>
      </c>
      <c r="D47" s="53"/>
      <c r="E47" s="13"/>
      <c r="F47" s="13"/>
      <c r="G47" s="14"/>
      <c r="H47" s="15"/>
      <c r="I47" s="16">
        <f t="shared" si="4"/>
        <v>0</v>
      </c>
      <c r="J47" s="16"/>
      <c r="K47" s="11"/>
      <c r="L47" s="16"/>
      <c r="M47" s="16"/>
      <c r="N47" s="16"/>
      <c r="O47" s="16"/>
      <c r="P47" s="16"/>
      <c r="Q47" s="16"/>
      <c r="R47" s="35"/>
      <c r="S47" s="43"/>
      <c r="T47" s="46"/>
      <c r="U47" s="51">
        <f t="shared" si="5"/>
        <v>0</v>
      </c>
      <c r="V47" s="17" t="str">
        <f t="shared" si="3"/>
        <v>OK</v>
      </c>
    </row>
    <row r="48" spans="1:22" hidden="1" x14ac:dyDescent="0.3">
      <c r="A48" s="54" t="s">
        <v>76</v>
      </c>
      <c r="B48" s="63">
        <v>5585</v>
      </c>
      <c r="C48" s="18" t="s">
        <v>64</v>
      </c>
      <c r="D48" s="19"/>
      <c r="E48" s="19"/>
      <c r="F48" s="19"/>
      <c r="G48" s="20"/>
      <c r="H48" s="21"/>
      <c r="I48" s="22">
        <f t="shared" si="4"/>
        <v>0</v>
      </c>
      <c r="J48" s="22"/>
      <c r="K48" s="11"/>
      <c r="L48" s="22"/>
      <c r="M48" s="22"/>
      <c r="N48" s="22"/>
      <c r="O48" s="22"/>
      <c r="P48" s="22"/>
      <c r="Q48" s="22"/>
      <c r="R48" s="36"/>
      <c r="S48" s="44"/>
      <c r="T48" s="47"/>
      <c r="U48" s="52">
        <f t="shared" si="5"/>
        <v>0</v>
      </c>
      <c r="V48" s="23" t="str">
        <f t="shared" si="3"/>
        <v>OK</v>
      </c>
    </row>
    <row r="49" spans="1:22" hidden="1" x14ac:dyDescent="0.3">
      <c r="A49" s="12" t="s">
        <v>65</v>
      </c>
      <c r="B49" s="62">
        <v>11351</v>
      </c>
      <c r="C49" s="12" t="s">
        <v>64</v>
      </c>
      <c r="D49" s="53"/>
      <c r="E49" s="13"/>
      <c r="F49" s="13"/>
      <c r="G49" s="14"/>
      <c r="H49" s="15"/>
      <c r="I49" s="16">
        <f t="shared" si="4"/>
        <v>0</v>
      </c>
      <c r="J49" s="16"/>
      <c r="K49" s="11"/>
      <c r="L49" s="16"/>
      <c r="M49" s="16"/>
      <c r="N49" s="16"/>
      <c r="O49" s="16"/>
      <c r="P49" s="16"/>
      <c r="Q49" s="16"/>
      <c r="R49" s="35"/>
      <c r="S49" s="43"/>
      <c r="T49" s="46"/>
      <c r="U49" s="51">
        <f t="shared" si="5"/>
        <v>0</v>
      </c>
      <c r="V49" s="17" t="str">
        <f t="shared" si="3"/>
        <v>OK</v>
      </c>
    </row>
    <row r="50" spans="1:22" hidden="1" x14ac:dyDescent="0.3">
      <c r="A50" s="54" t="s">
        <v>66</v>
      </c>
      <c r="B50" s="63">
        <v>11352</v>
      </c>
      <c r="C50" s="18" t="s">
        <v>64</v>
      </c>
      <c r="D50" s="19"/>
      <c r="E50" s="19"/>
      <c r="F50" s="19"/>
      <c r="G50" s="20"/>
      <c r="H50" s="21"/>
      <c r="I50" s="22">
        <f t="shared" si="4"/>
        <v>0</v>
      </c>
      <c r="J50" s="22"/>
      <c r="K50" s="11"/>
      <c r="L50" s="22"/>
      <c r="M50" s="22"/>
      <c r="N50" s="22"/>
      <c r="O50" s="22"/>
      <c r="P50" s="22"/>
      <c r="Q50" s="22"/>
      <c r="R50" s="36"/>
      <c r="S50" s="44"/>
      <c r="T50" s="47"/>
      <c r="U50" s="52">
        <f t="shared" si="5"/>
        <v>0</v>
      </c>
      <c r="V50" s="23" t="str">
        <f t="shared" si="3"/>
        <v>OK</v>
      </c>
    </row>
    <row r="51" spans="1:22" hidden="1" x14ac:dyDescent="0.3">
      <c r="A51" s="90" t="s">
        <v>102</v>
      </c>
      <c r="B51" s="76">
        <v>13515</v>
      </c>
      <c r="C51" s="70" t="s">
        <v>78</v>
      </c>
      <c r="D51" s="70"/>
      <c r="E51" s="70"/>
      <c r="F51" s="70"/>
      <c r="G51" s="91"/>
      <c r="H51" s="82"/>
      <c r="I51" s="82">
        <f t="shared" si="4"/>
        <v>0</v>
      </c>
      <c r="J51" s="74"/>
      <c r="K51" s="11"/>
      <c r="L51" s="16"/>
      <c r="M51" s="16"/>
      <c r="N51" s="16"/>
      <c r="O51" s="16"/>
      <c r="P51" s="16"/>
      <c r="Q51" s="16"/>
      <c r="R51" s="35"/>
      <c r="S51" s="43"/>
      <c r="T51" s="46"/>
      <c r="U51" s="75">
        <f t="shared" si="5"/>
        <v>0</v>
      </c>
      <c r="V51" s="93" t="str">
        <f t="shared" si="3"/>
        <v>OK</v>
      </c>
    </row>
    <row r="52" spans="1:22" hidden="1" x14ac:dyDescent="0.3">
      <c r="A52" s="54" t="s">
        <v>103</v>
      </c>
      <c r="B52" s="63">
        <v>13516</v>
      </c>
      <c r="C52" s="18" t="s">
        <v>78</v>
      </c>
      <c r="D52" s="18"/>
      <c r="E52" s="18"/>
      <c r="F52" s="18"/>
      <c r="G52" s="92"/>
      <c r="H52" s="22"/>
      <c r="I52" s="22">
        <f t="shared" si="4"/>
        <v>0</v>
      </c>
      <c r="J52" s="69"/>
      <c r="K52" s="11"/>
      <c r="L52" s="22"/>
      <c r="M52" s="22"/>
      <c r="N52" s="22"/>
      <c r="O52" s="22"/>
      <c r="P52" s="22"/>
      <c r="Q52" s="22"/>
      <c r="R52" s="36"/>
      <c r="S52" s="44"/>
      <c r="T52" s="47"/>
      <c r="U52" s="52">
        <f t="shared" si="5"/>
        <v>0</v>
      </c>
      <c r="V52" s="23" t="str">
        <f t="shared" si="3"/>
        <v>OK</v>
      </c>
    </row>
    <row r="53" spans="1:22" hidden="1" x14ac:dyDescent="0.3">
      <c r="A53" s="90" t="s">
        <v>104</v>
      </c>
      <c r="B53" s="76">
        <v>13468</v>
      </c>
      <c r="C53" s="70" t="s">
        <v>78</v>
      </c>
      <c r="D53" s="70"/>
      <c r="E53" s="70"/>
      <c r="F53" s="70"/>
      <c r="G53" s="91"/>
      <c r="H53" s="82"/>
      <c r="I53" s="82">
        <f t="shared" si="4"/>
        <v>0</v>
      </c>
      <c r="J53" s="74"/>
      <c r="K53" s="11"/>
      <c r="L53" s="16"/>
      <c r="M53" s="16"/>
      <c r="N53" s="16"/>
      <c r="O53" s="16"/>
      <c r="P53" s="16"/>
      <c r="Q53" s="16"/>
      <c r="R53" s="35"/>
      <c r="S53" s="43"/>
      <c r="T53" s="46"/>
      <c r="U53" s="75">
        <f t="shared" si="5"/>
        <v>0</v>
      </c>
      <c r="V53" s="93" t="str">
        <f t="shared" si="3"/>
        <v>OK</v>
      </c>
    </row>
    <row r="54" spans="1:22" x14ac:dyDescent="0.3">
      <c r="A54" s="54" t="s">
        <v>79</v>
      </c>
      <c r="B54" s="63">
        <v>13469</v>
      </c>
      <c r="C54" s="18" t="s">
        <v>78</v>
      </c>
      <c r="D54" s="18"/>
      <c r="E54" s="18"/>
      <c r="F54" s="18"/>
      <c r="G54" s="92"/>
      <c r="H54" s="22"/>
      <c r="I54" s="22">
        <f t="shared" si="4"/>
        <v>2</v>
      </c>
      <c r="J54" s="69"/>
      <c r="K54" s="11"/>
      <c r="L54" s="22"/>
      <c r="M54" s="22">
        <v>2</v>
      </c>
      <c r="N54" s="22"/>
      <c r="O54" s="22"/>
      <c r="P54" s="22"/>
      <c r="Q54" s="22"/>
      <c r="R54" s="36"/>
      <c r="S54" s="44"/>
      <c r="T54" s="47"/>
      <c r="U54" s="52">
        <f t="shared" si="5"/>
        <v>2</v>
      </c>
      <c r="V54" s="23" t="str">
        <f t="shared" si="3"/>
        <v>OK</v>
      </c>
    </row>
    <row r="55" spans="1:22" hidden="1" x14ac:dyDescent="0.3">
      <c r="A55" s="90" t="s">
        <v>43</v>
      </c>
      <c r="B55" s="76">
        <v>11820</v>
      </c>
      <c r="C55" s="70" t="s">
        <v>67</v>
      </c>
      <c r="D55" s="70"/>
      <c r="E55" s="70"/>
      <c r="F55" s="70"/>
      <c r="G55" s="91"/>
      <c r="H55" s="82"/>
      <c r="I55" s="82">
        <f t="shared" si="4"/>
        <v>0</v>
      </c>
      <c r="J55" s="74"/>
      <c r="K55" s="11"/>
      <c r="L55" s="16"/>
      <c r="M55" s="16"/>
      <c r="N55" s="16"/>
      <c r="O55" s="16"/>
      <c r="P55" s="16"/>
      <c r="Q55" s="16"/>
      <c r="R55" s="35"/>
      <c r="S55" s="43"/>
      <c r="T55" s="46"/>
      <c r="U55" s="75">
        <f t="shared" si="5"/>
        <v>0</v>
      </c>
      <c r="V55" s="93" t="str">
        <f t="shared" si="3"/>
        <v>OK</v>
      </c>
    </row>
    <row r="56" spans="1:22" hidden="1" x14ac:dyDescent="0.3">
      <c r="A56" s="54" t="s">
        <v>44</v>
      </c>
      <c r="B56" s="63">
        <v>11816</v>
      </c>
      <c r="C56" s="18" t="s">
        <v>67</v>
      </c>
      <c r="D56" s="18"/>
      <c r="E56" s="18"/>
      <c r="F56" s="18"/>
      <c r="G56" s="92"/>
      <c r="H56" s="22"/>
      <c r="I56" s="22">
        <f t="shared" si="4"/>
        <v>0</v>
      </c>
      <c r="J56" s="69"/>
      <c r="K56" s="11"/>
      <c r="L56" s="22"/>
      <c r="M56" s="22"/>
      <c r="N56" s="22"/>
      <c r="O56" s="22"/>
      <c r="P56" s="22"/>
      <c r="Q56" s="22"/>
      <c r="R56" s="36"/>
      <c r="S56" s="44"/>
      <c r="T56" s="47"/>
      <c r="U56" s="52">
        <f>SUM(L56:T56)</f>
        <v>0</v>
      </c>
      <c r="V56" s="23" t="str">
        <f t="shared" si="3"/>
        <v>OK</v>
      </c>
    </row>
    <row r="57" spans="1:22" hidden="1" x14ac:dyDescent="0.3">
      <c r="A57" s="76" t="s">
        <v>77</v>
      </c>
      <c r="B57" s="76">
        <v>11381</v>
      </c>
      <c r="C57" s="77" t="s">
        <v>68</v>
      </c>
      <c r="D57" s="70"/>
      <c r="E57" s="70"/>
      <c r="F57" s="70"/>
      <c r="G57" s="91"/>
      <c r="H57" s="82"/>
      <c r="I57" s="82">
        <f t="shared" si="4"/>
        <v>0</v>
      </c>
      <c r="J57" s="74"/>
      <c r="K57" s="11"/>
      <c r="L57" s="16"/>
      <c r="M57" s="16"/>
      <c r="N57" s="16"/>
      <c r="O57" s="16"/>
      <c r="P57" s="16"/>
      <c r="Q57" s="16"/>
      <c r="R57" s="35"/>
      <c r="S57" s="43"/>
      <c r="T57" s="46"/>
      <c r="U57" s="75">
        <f>SUM(L57:T57)</f>
        <v>0</v>
      </c>
      <c r="V57" s="93" t="str">
        <f t="shared" si="3"/>
        <v>OK</v>
      </c>
    </row>
    <row r="58" spans="1:22" hidden="1" x14ac:dyDescent="0.3">
      <c r="A58" s="54" t="s">
        <v>69</v>
      </c>
      <c r="B58" s="63">
        <v>11382</v>
      </c>
      <c r="C58" s="18" t="s">
        <v>68</v>
      </c>
      <c r="D58" s="18"/>
      <c r="E58" s="18"/>
      <c r="F58" s="18"/>
      <c r="G58" s="92"/>
      <c r="H58" s="22"/>
      <c r="I58" s="22">
        <f t="shared" si="4"/>
        <v>0</v>
      </c>
      <c r="J58" s="69"/>
      <c r="K58" s="11"/>
      <c r="L58" s="22"/>
      <c r="M58" s="22"/>
      <c r="N58" s="22"/>
      <c r="O58" s="22"/>
      <c r="P58" s="22"/>
      <c r="Q58" s="22"/>
      <c r="R58" s="36"/>
      <c r="S58" s="44"/>
      <c r="T58" s="47"/>
      <c r="U58" s="52">
        <f>SUM(L58:T58)</f>
        <v>0</v>
      </c>
      <c r="V58" s="23" t="str">
        <f t="shared" si="3"/>
        <v>OK</v>
      </c>
    </row>
    <row r="59" spans="1:22" hidden="1" x14ac:dyDescent="0.3">
      <c r="A59" s="96" t="s">
        <v>105</v>
      </c>
      <c r="B59" s="76">
        <v>16586</v>
      </c>
      <c r="C59" s="70" t="s">
        <v>78</v>
      </c>
      <c r="D59" s="70"/>
      <c r="E59" s="70"/>
      <c r="F59" s="70"/>
      <c r="G59" s="91"/>
      <c r="H59" s="82"/>
      <c r="I59" s="82">
        <f t="shared" si="4"/>
        <v>0</v>
      </c>
      <c r="J59" s="74"/>
      <c r="K59" s="11"/>
      <c r="L59" s="16"/>
      <c r="M59" s="16"/>
      <c r="N59" s="16"/>
      <c r="O59" s="16"/>
      <c r="P59" s="16"/>
      <c r="Q59" s="16"/>
      <c r="R59" s="35"/>
      <c r="S59" s="43"/>
      <c r="T59" s="46"/>
      <c r="U59" s="75">
        <f t="shared" ref="U59:U69" si="6">SUM(L59:T59)</f>
        <v>0</v>
      </c>
      <c r="V59" s="93" t="str">
        <f t="shared" si="3"/>
        <v>OK</v>
      </c>
    </row>
    <row r="60" spans="1:22" hidden="1" x14ac:dyDescent="0.3">
      <c r="A60" s="54" t="s">
        <v>90</v>
      </c>
      <c r="B60" s="63">
        <v>16587</v>
      </c>
      <c r="C60" s="18" t="s">
        <v>78</v>
      </c>
      <c r="D60" s="18"/>
      <c r="E60" s="18"/>
      <c r="F60" s="18"/>
      <c r="G60" s="92"/>
      <c r="H60" s="22"/>
      <c r="I60" s="22">
        <f t="shared" si="4"/>
        <v>0</v>
      </c>
      <c r="J60" s="69"/>
      <c r="K60" s="11"/>
      <c r="L60" s="22"/>
      <c r="M60" s="22"/>
      <c r="N60" s="22"/>
      <c r="O60" s="22"/>
      <c r="P60" s="22"/>
      <c r="Q60" s="22"/>
      <c r="R60" s="36"/>
      <c r="S60" s="44"/>
      <c r="T60" s="47"/>
      <c r="U60" s="52">
        <f t="shared" si="6"/>
        <v>0</v>
      </c>
      <c r="V60" s="23" t="str">
        <f t="shared" si="3"/>
        <v>OK</v>
      </c>
    </row>
    <row r="61" spans="1:22" hidden="1" x14ac:dyDescent="0.3">
      <c r="A61" s="90" t="s">
        <v>91</v>
      </c>
      <c r="B61" s="76">
        <v>17121</v>
      </c>
      <c r="C61" s="70" t="s">
        <v>92</v>
      </c>
      <c r="D61" s="70"/>
      <c r="E61" s="70"/>
      <c r="F61" s="70"/>
      <c r="G61" s="91"/>
      <c r="H61" s="82"/>
      <c r="I61" s="82">
        <f t="shared" si="4"/>
        <v>0</v>
      </c>
      <c r="J61" s="74"/>
      <c r="K61" s="11"/>
      <c r="L61" s="16"/>
      <c r="M61" s="16"/>
      <c r="N61" s="16"/>
      <c r="O61" s="16"/>
      <c r="P61" s="16"/>
      <c r="Q61" s="16"/>
      <c r="R61" s="35"/>
      <c r="S61" s="43"/>
      <c r="T61" s="46"/>
      <c r="U61" s="75">
        <f t="shared" si="6"/>
        <v>0</v>
      </c>
      <c r="V61" s="93" t="str">
        <f t="shared" si="3"/>
        <v>OK</v>
      </c>
    </row>
    <row r="62" spans="1:22" hidden="1" x14ac:dyDescent="0.3">
      <c r="A62" s="54" t="s">
        <v>106</v>
      </c>
      <c r="B62" s="63">
        <v>19270</v>
      </c>
      <c r="C62" s="18" t="s">
        <v>68</v>
      </c>
      <c r="D62" s="18"/>
      <c r="E62" s="18"/>
      <c r="F62" s="18"/>
      <c r="G62" s="92"/>
      <c r="H62" s="22"/>
      <c r="I62" s="22">
        <f t="shared" si="4"/>
        <v>0</v>
      </c>
      <c r="J62" s="69"/>
      <c r="K62" s="11"/>
      <c r="L62" s="22"/>
      <c r="M62" s="22"/>
      <c r="N62" s="22"/>
      <c r="O62" s="22"/>
      <c r="P62" s="22"/>
      <c r="Q62" s="22"/>
      <c r="R62" s="36"/>
      <c r="S62" s="44"/>
      <c r="T62" s="47"/>
      <c r="U62" s="71">
        <f t="shared" si="6"/>
        <v>0</v>
      </c>
      <c r="V62" s="23" t="str">
        <f t="shared" si="3"/>
        <v>OK</v>
      </c>
    </row>
    <row r="63" spans="1:22" hidden="1" x14ac:dyDescent="0.3">
      <c r="A63" s="90" t="s">
        <v>107</v>
      </c>
      <c r="B63" s="76">
        <v>19276</v>
      </c>
      <c r="C63" s="70" t="s">
        <v>68</v>
      </c>
      <c r="D63" s="70"/>
      <c r="E63" s="70"/>
      <c r="F63" s="70"/>
      <c r="G63" s="91"/>
      <c r="H63" s="82"/>
      <c r="I63" s="82">
        <f t="shared" si="4"/>
        <v>0</v>
      </c>
      <c r="J63" s="74"/>
      <c r="K63" s="11"/>
      <c r="L63" s="16"/>
      <c r="M63" s="16"/>
      <c r="N63" s="16"/>
      <c r="O63" s="16"/>
      <c r="P63" s="16"/>
      <c r="Q63" s="16"/>
      <c r="R63" s="35"/>
      <c r="S63" s="43"/>
      <c r="T63" s="46"/>
      <c r="U63" s="75">
        <f t="shared" si="6"/>
        <v>0</v>
      </c>
      <c r="V63" s="93" t="str">
        <f t="shared" si="3"/>
        <v>OK</v>
      </c>
    </row>
    <row r="64" spans="1:22" hidden="1" x14ac:dyDescent="0.3">
      <c r="A64" s="54" t="s">
        <v>108</v>
      </c>
      <c r="B64" s="63">
        <v>19836</v>
      </c>
      <c r="C64" s="18" t="s">
        <v>45</v>
      </c>
      <c r="D64" s="18"/>
      <c r="E64" s="18"/>
      <c r="F64" s="18"/>
      <c r="G64" s="92"/>
      <c r="H64" s="22"/>
      <c r="I64" s="22">
        <f t="shared" si="4"/>
        <v>0</v>
      </c>
      <c r="J64" s="69"/>
      <c r="K64" s="11"/>
      <c r="L64" s="22"/>
      <c r="M64" s="22"/>
      <c r="N64" s="22"/>
      <c r="O64" s="22"/>
      <c r="P64" s="22"/>
      <c r="Q64" s="22"/>
      <c r="R64" s="36"/>
      <c r="S64" s="44"/>
      <c r="T64" s="47"/>
      <c r="U64" s="52">
        <f t="shared" si="6"/>
        <v>0</v>
      </c>
      <c r="V64" s="23" t="str">
        <f t="shared" si="3"/>
        <v>OK</v>
      </c>
    </row>
    <row r="65" spans="1:22" hidden="1" x14ac:dyDescent="0.3">
      <c r="A65" s="90" t="s">
        <v>109</v>
      </c>
      <c r="B65" s="76">
        <v>20278</v>
      </c>
      <c r="C65" s="70" t="s">
        <v>110</v>
      </c>
      <c r="D65" s="70"/>
      <c r="E65" s="70"/>
      <c r="F65" s="70"/>
      <c r="G65" s="91"/>
      <c r="H65" s="82"/>
      <c r="I65" s="82">
        <f t="shared" si="4"/>
        <v>0</v>
      </c>
      <c r="J65" s="74"/>
      <c r="K65" s="11"/>
      <c r="L65" s="16"/>
      <c r="M65" s="16"/>
      <c r="N65" s="16"/>
      <c r="O65" s="16"/>
      <c r="P65" s="16"/>
      <c r="Q65" s="16"/>
      <c r="R65" s="35"/>
      <c r="S65" s="43"/>
      <c r="T65" s="46"/>
      <c r="U65" s="75">
        <f t="shared" si="6"/>
        <v>0</v>
      </c>
      <c r="V65" s="93" t="str">
        <f t="shared" si="3"/>
        <v>OK</v>
      </c>
    </row>
    <row r="66" spans="1:22" hidden="1" x14ac:dyDescent="0.3">
      <c r="A66" s="54" t="s">
        <v>111</v>
      </c>
      <c r="B66" s="63">
        <v>20272</v>
      </c>
      <c r="C66" s="18" t="s">
        <v>110</v>
      </c>
      <c r="D66" s="18"/>
      <c r="E66" s="18"/>
      <c r="F66" s="18"/>
      <c r="G66" s="92"/>
      <c r="H66" s="22"/>
      <c r="I66" s="22">
        <f t="shared" si="4"/>
        <v>0</v>
      </c>
      <c r="J66" s="69"/>
      <c r="K66" s="11"/>
      <c r="L66" s="22"/>
      <c r="M66" s="22"/>
      <c r="N66" s="22"/>
      <c r="O66" s="22"/>
      <c r="P66" s="22"/>
      <c r="Q66" s="22"/>
      <c r="R66" s="36"/>
      <c r="S66" s="44"/>
      <c r="T66" s="47"/>
      <c r="U66" s="52">
        <f t="shared" si="6"/>
        <v>0</v>
      </c>
      <c r="V66" s="23" t="str">
        <f t="shared" si="3"/>
        <v>OK</v>
      </c>
    </row>
    <row r="67" spans="1:22" hidden="1" x14ac:dyDescent="0.3">
      <c r="A67" s="90" t="s">
        <v>112</v>
      </c>
      <c r="B67" s="76">
        <v>20956</v>
      </c>
      <c r="C67" s="70" t="s">
        <v>110</v>
      </c>
      <c r="D67" s="70"/>
      <c r="E67" s="70"/>
      <c r="F67" s="70"/>
      <c r="G67" s="91"/>
      <c r="H67" s="82"/>
      <c r="I67" s="82">
        <f t="shared" si="4"/>
        <v>0</v>
      </c>
      <c r="J67" s="74"/>
      <c r="K67" s="11"/>
      <c r="L67" s="16"/>
      <c r="M67" s="16"/>
      <c r="N67" s="16"/>
      <c r="O67" s="16"/>
      <c r="P67" s="16"/>
      <c r="Q67" s="16"/>
      <c r="R67" s="35"/>
      <c r="S67" s="43"/>
      <c r="T67" s="46"/>
      <c r="U67" s="75">
        <f t="shared" si="6"/>
        <v>0</v>
      </c>
      <c r="V67" s="93" t="str">
        <f t="shared" si="3"/>
        <v>OK</v>
      </c>
    </row>
    <row r="68" spans="1:22" hidden="1" x14ac:dyDescent="0.3">
      <c r="A68" s="54" t="s">
        <v>116</v>
      </c>
      <c r="B68" s="63">
        <v>21299</v>
      </c>
      <c r="C68" s="18" t="s">
        <v>78</v>
      </c>
      <c r="D68" s="18"/>
      <c r="E68" s="18"/>
      <c r="F68" s="18"/>
      <c r="G68" s="92"/>
      <c r="H68" s="22"/>
      <c r="I68" s="22">
        <f t="shared" si="4"/>
        <v>0</v>
      </c>
      <c r="J68" s="69"/>
      <c r="K68" s="11"/>
      <c r="L68" s="22"/>
      <c r="M68" s="22"/>
      <c r="N68" s="22"/>
      <c r="O68" s="22"/>
      <c r="P68" s="22"/>
      <c r="Q68" s="22"/>
      <c r="R68" s="36"/>
      <c r="S68" s="44"/>
      <c r="T68" s="47"/>
      <c r="U68" s="71">
        <f t="shared" si="6"/>
        <v>0</v>
      </c>
      <c r="V68" s="23" t="str">
        <f>IF(U68=I68,"OK","NG")</f>
        <v>OK</v>
      </c>
    </row>
    <row r="69" spans="1:22" x14ac:dyDescent="0.3">
      <c r="A69" s="99" t="s">
        <v>117</v>
      </c>
      <c r="B69" s="76">
        <v>22115</v>
      </c>
      <c r="C69" s="82" t="s">
        <v>118</v>
      </c>
      <c r="D69" s="82"/>
      <c r="E69" s="82"/>
      <c r="F69" s="82"/>
      <c r="G69" s="82"/>
      <c r="H69" s="82"/>
      <c r="I69" s="82">
        <f t="shared" si="4"/>
        <v>14</v>
      </c>
      <c r="J69" s="97"/>
      <c r="K69" s="112"/>
      <c r="L69" s="82"/>
      <c r="M69" s="82">
        <v>14</v>
      </c>
      <c r="N69" s="82"/>
      <c r="O69" s="82"/>
      <c r="P69" s="82"/>
      <c r="Q69" s="82"/>
      <c r="R69" s="83"/>
      <c r="S69" s="84"/>
      <c r="T69" s="100"/>
      <c r="U69" s="75">
        <f t="shared" si="6"/>
        <v>14</v>
      </c>
      <c r="V69" s="93" t="str">
        <f>IF(U69=I69,"OK","NG")</f>
        <v>OK</v>
      </c>
    </row>
    <row r="70" spans="1:22" hidden="1" x14ac:dyDescent="0.3">
      <c r="A70" s="54" t="s">
        <v>120</v>
      </c>
      <c r="B70" s="63">
        <v>22706</v>
      </c>
      <c r="C70" s="18" t="s">
        <v>119</v>
      </c>
      <c r="D70" s="18"/>
      <c r="E70" s="18"/>
      <c r="F70" s="18"/>
      <c r="G70" s="92"/>
      <c r="H70" s="22"/>
      <c r="I70" s="22">
        <f t="shared" si="4"/>
        <v>0</v>
      </c>
      <c r="J70" s="69"/>
      <c r="K70" s="11"/>
      <c r="L70" s="22"/>
      <c r="M70" s="22"/>
      <c r="N70" s="22"/>
      <c r="O70" s="22"/>
      <c r="P70" s="22"/>
      <c r="Q70" s="22"/>
      <c r="R70" s="36"/>
      <c r="S70" s="44"/>
      <c r="T70" s="47"/>
      <c r="U70" s="71">
        <f t="shared" ref="U70" si="7">SUM(L70:T70)</f>
        <v>0</v>
      </c>
      <c r="V70" s="23" t="str">
        <f>IF(U70=I70,"OK","NG")</f>
        <v>OK</v>
      </c>
    </row>
    <row r="71" spans="1:22" hidden="1" x14ac:dyDescent="0.3">
      <c r="A71" s="99" t="s">
        <v>121</v>
      </c>
      <c r="B71" s="76">
        <v>22886</v>
      </c>
      <c r="C71" s="82" t="s">
        <v>46</v>
      </c>
      <c r="D71" s="82"/>
      <c r="E71" s="82"/>
      <c r="F71" s="82"/>
      <c r="G71" s="82"/>
      <c r="H71" s="82"/>
      <c r="I71" s="82">
        <f t="shared" ref="I71:I80" si="8">SUM(L71:T71)</f>
        <v>0</v>
      </c>
      <c r="J71" s="97"/>
      <c r="K71" s="112"/>
      <c r="L71" s="82"/>
      <c r="M71" s="82"/>
      <c r="N71" s="82"/>
      <c r="O71" s="82"/>
      <c r="P71" s="82"/>
      <c r="Q71" s="82"/>
      <c r="R71" s="83"/>
      <c r="S71" s="84"/>
      <c r="T71" s="100"/>
      <c r="U71" s="75">
        <f>SUM(L71:T71)</f>
        <v>0</v>
      </c>
      <c r="V71" s="93" t="str">
        <f>IF(U71=I71,"OK","NG")</f>
        <v>OK</v>
      </c>
    </row>
    <row r="72" spans="1:22" hidden="1" x14ac:dyDescent="0.3">
      <c r="A72" s="54" t="s">
        <v>122</v>
      </c>
      <c r="B72" s="63">
        <v>17528</v>
      </c>
      <c r="C72" s="18" t="s">
        <v>123</v>
      </c>
      <c r="D72" s="18"/>
      <c r="E72" s="18"/>
      <c r="F72" s="18"/>
      <c r="G72" s="92"/>
      <c r="H72" s="22"/>
      <c r="I72" s="22">
        <f t="shared" si="8"/>
        <v>0</v>
      </c>
      <c r="J72" s="69"/>
      <c r="K72" s="11"/>
      <c r="L72" s="22"/>
      <c r="M72" s="22"/>
      <c r="N72" s="22"/>
      <c r="O72" s="22"/>
      <c r="P72" s="22"/>
      <c r="Q72" s="22"/>
      <c r="R72" s="36"/>
      <c r="S72" s="44"/>
      <c r="T72" s="47"/>
      <c r="U72" s="71">
        <f t="shared" ref="U72:U80" si="9">SUM(L72:T72)</f>
        <v>0</v>
      </c>
      <c r="V72" s="95" t="str">
        <f t="shared" ref="V72:V80" si="10">IF(U72=I72,"OK","NG")</f>
        <v>OK</v>
      </c>
    </row>
    <row r="73" spans="1:22" hidden="1" x14ac:dyDescent="0.3">
      <c r="A73" s="99" t="s">
        <v>124</v>
      </c>
      <c r="B73" s="76">
        <v>22380</v>
      </c>
      <c r="C73" s="82" t="s">
        <v>47</v>
      </c>
      <c r="D73" s="82"/>
      <c r="E73" s="82"/>
      <c r="F73" s="82"/>
      <c r="G73" s="82"/>
      <c r="H73" s="82"/>
      <c r="I73" s="82">
        <f t="shared" si="8"/>
        <v>0</v>
      </c>
      <c r="J73" s="97"/>
      <c r="K73" s="112"/>
      <c r="L73" s="82"/>
      <c r="M73" s="82"/>
      <c r="N73" s="82"/>
      <c r="O73" s="82"/>
      <c r="P73" s="82"/>
      <c r="Q73" s="82"/>
      <c r="R73" s="83"/>
      <c r="S73" s="84"/>
      <c r="T73" s="100"/>
      <c r="U73" s="75">
        <f t="shared" si="9"/>
        <v>0</v>
      </c>
      <c r="V73" s="93" t="str">
        <f t="shared" si="10"/>
        <v>OK</v>
      </c>
    </row>
    <row r="74" spans="1:22" hidden="1" x14ac:dyDescent="0.3">
      <c r="A74" s="54" t="s">
        <v>125</v>
      </c>
      <c r="B74" s="63">
        <v>19279</v>
      </c>
      <c r="C74" s="18" t="s">
        <v>126</v>
      </c>
      <c r="D74" s="18"/>
      <c r="E74" s="18"/>
      <c r="F74" s="18"/>
      <c r="G74" s="92"/>
      <c r="H74" s="22"/>
      <c r="I74" s="22">
        <f t="shared" si="8"/>
        <v>0</v>
      </c>
      <c r="J74" s="69"/>
      <c r="K74" s="11"/>
      <c r="L74" s="22"/>
      <c r="M74" s="22"/>
      <c r="N74" s="22"/>
      <c r="O74" s="22"/>
      <c r="P74" s="22"/>
      <c r="Q74" s="22"/>
      <c r="R74" s="36"/>
      <c r="S74" s="44"/>
      <c r="T74" s="47"/>
      <c r="U74" s="71">
        <f t="shared" si="9"/>
        <v>0</v>
      </c>
      <c r="V74" s="95" t="str">
        <f t="shared" si="10"/>
        <v>OK</v>
      </c>
    </row>
    <row r="75" spans="1:22" hidden="1" x14ac:dyDescent="0.3">
      <c r="A75" s="90" t="s">
        <v>131</v>
      </c>
      <c r="B75" s="76">
        <v>22724</v>
      </c>
      <c r="C75" s="70" t="s">
        <v>119</v>
      </c>
      <c r="D75" s="70"/>
      <c r="E75" s="70"/>
      <c r="F75" s="70"/>
      <c r="G75" s="91"/>
      <c r="H75" s="82"/>
      <c r="I75" s="82">
        <v>0</v>
      </c>
      <c r="J75" s="74"/>
      <c r="K75" s="11"/>
      <c r="L75" s="82"/>
      <c r="M75" s="82"/>
      <c r="N75" s="82"/>
      <c r="O75" s="82"/>
      <c r="P75" s="82"/>
      <c r="Q75" s="82"/>
      <c r="R75" s="83"/>
      <c r="S75" s="84"/>
      <c r="T75" s="85"/>
      <c r="U75" s="75">
        <v>0</v>
      </c>
      <c r="V75" s="93" t="s">
        <v>129</v>
      </c>
    </row>
    <row r="76" spans="1:22" ht="17.25" thickBot="1" x14ac:dyDescent="0.35">
      <c r="A76" s="54" t="s">
        <v>132</v>
      </c>
      <c r="B76" s="63">
        <v>22705</v>
      </c>
      <c r="C76" s="18" t="s">
        <v>119</v>
      </c>
      <c r="D76" s="18"/>
      <c r="E76" s="18"/>
      <c r="F76" s="18"/>
      <c r="G76" s="92"/>
      <c r="H76" s="22"/>
      <c r="I76" s="22">
        <f t="shared" si="8"/>
        <v>13</v>
      </c>
      <c r="J76" s="69"/>
      <c r="K76" s="11"/>
      <c r="L76" s="22"/>
      <c r="M76" s="22">
        <v>13</v>
      </c>
      <c r="N76" s="22"/>
      <c r="O76" s="22"/>
      <c r="P76" s="22"/>
      <c r="Q76" s="22"/>
      <c r="R76" s="36"/>
      <c r="S76" s="44"/>
      <c r="T76" s="47"/>
      <c r="U76" s="71">
        <f t="shared" si="9"/>
        <v>13</v>
      </c>
      <c r="V76" s="95" t="str">
        <f t="shared" si="10"/>
        <v>OK</v>
      </c>
    </row>
    <row r="77" spans="1:22" ht="17.25" hidden="1" thickBot="1" x14ac:dyDescent="0.35">
      <c r="A77" s="99" t="s">
        <v>128</v>
      </c>
      <c r="B77" s="76">
        <v>5655</v>
      </c>
      <c r="C77" s="82" t="s">
        <v>54</v>
      </c>
      <c r="D77" s="82"/>
      <c r="E77" s="82"/>
      <c r="F77" s="82"/>
      <c r="G77" s="82"/>
      <c r="H77" s="82"/>
      <c r="I77" s="82">
        <f t="shared" si="8"/>
        <v>0</v>
      </c>
      <c r="J77" s="97"/>
      <c r="K77" s="112"/>
      <c r="L77" s="82"/>
      <c r="M77" s="82"/>
      <c r="N77" s="82"/>
      <c r="O77" s="82"/>
      <c r="P77" s="82"/>
      <c r="Q77" s="82"/>
      <c r="R77" s="83"/>
      <c r="S77" s="84"/>
      <c r="T77" s="100"/>
      <c r="U77" s="75">
        <f t="shared" si="9"/>
        <v>0</v>
      </c>
      <c r="V77" s="93" t="str">
        <f t="shared" si="10"/>
        <v>OK</v>
      </c>
    </row>
    <row r="78" spans="1:22" ht="17.25" hidden="1" thickBot="1" x14ac:dyDescent="0.35">
      <c r="A78" s="120" t="s">
        <v>136</v>
      </c>
      <c r="B78" s="121">
        <v>22704</v>
      </c>
      <c r="C78" s="122" t="s">
        <v>137</v>
      </c>
      <c r="D78" s="122"/>
      <c r="E78" s="122"/>
      <c r="F78" s="122"/>
      <c r="G78" s="122"/>
      <c r="H78" s="122"/>
      <c r="I78" s="22">
        <f t="shared" si="8"/>
        <v>0</v>
      </c>
      <c r="J78" s="45"/>
      <c r="K78" s="112"/>
      <c r="L78" s="22"/>
      <c r="M78" s="22"/>
      <c r="N78" s="22"/>
      <c r="O78" s="22"/>
      <c r="P78" s="22"/>
      <c r="Q78" s="22"/>
      <c r="R78" s="36"/>
      <c r="S78" s="44"/>
      <c r="T78" s="116"/>
      <c r="U78" s="71">
        <f t="shared" si="9"/>
        <v>0</v>
      </c>
      <c r="V78" s="95" t="str">
        <f t="shared" si="10"/>
        <v>OK</v>
      </c>
    </row>
    <row r="79" spans="1:22" ht="17.25" hidden="1" thickBot="1" x14ac:dyDescent="0.35">
      <c r="A79" s="136" t="s">
        <v>139</v>
      </c>
      <c r="B79" s="133">
        <v>22722</v>
      </c>
      <c r="C79" s="137" t="s">
        <v>119</v>
      </c>
      <c r="D79" s="137"/>
      <c r="E79" s="137"/>
      <c r="F79" s="137"/>
      <c r="G79" s="137"/>
      <c r="H79" s="137"/>
      <c r="I79" s="82">
        <f t="shared" si="8"/>
        <v>0</v>
      </c>
      <c r="J79" s="97"/>
      <c r="K79" s="119"/>
      <c r="L79" s="82"/>
      <c r="M79" s="82"/>
      <c r="N79" s="82"/>
      <c r="O79" s="82"/>
      <c r="P79" s="82"/>
      <c r="Q79" s="82"/>
      <c r="R79" s="83"/>
      <c r="S79" s="84"/>
      <c r="T79" s="100"/>
      <c r="U79" s="75">
        <f t="shared" si="9"/>
        <v>0</v>
      </c>
      <c r="V79" s="93" t="str">
        <f t="shared" si="10"/>
        <v>OK</v>
      </c>
    </row>
    <row r="80" spans="1:22" ht="17.25" hidden="1" thickBot="1" x14ac:dyDescent="0.35">
      <c r="A80" s="126" t="s">
        <v>134</v>
      </c>
      <c r="B80" s="127">
        <v>22723</v>
      </c>
      <c r="C80" s="128" t="s">
        <v>119</v>
      </c>
      <c r="D80" s="128"/>
      <c r="E80" s="128"/>
      <c r="F80" s="128"/>
      <c r="G80" s="128"/>
      <c r="H80" s="128"/>
      <c r="I80" s="128">
        <f t="shared" si="8"/>
        <v>0</v>
      </c>
      <c r="J80" s="45"/>
      <c r="K80" s="112"/>
      <c r="L80" s="22"/>
      <c r="M80" s="22"/>
      <c r="N80" s="22"/>
      <c r="O80" s="22"/>
      <c r="P80" s="22"/>
      <c r="Q80" s="22"/>
      <c r="R80" s="36"/>
      <c r="S80" s="44"/>
      <c r="T80" s="116"/>
      <c r="U80" s="52">
        <f t="shared" si="9"/>
        <v>0</v>
      </c>
      <c r="V80" s="23" t="str">
        <f t="shared" si="10"/>
        <v>OK</v>
      </c>
    </row>
    <row r="81" spans="1:22" x14ac:dyDescent="0.3">
      <c r="A81" s="86"/>
      <c r="B81" s="86"/>
      <c r="C81" s="87" t="s">
        <v>9</v>
      </c>
      <c r="D81" s="87"/>
      <c r="E81" s="87"/>
      <c r="F81" s="87"/>
      <c r="G81" s="88">
        <f>SUM(G6:G49)</f>
        <v>0</v>
      </c>
      <c r="H81" s="89">
        <f>SUM(H6:H49)</f>
        <v>0</v>
      </c>
      <c r="I81" s="88">
        <f>SUM(I6:I80)</f>
        <v>40</v>
      </c>
      <c r="J81" s="40">
        <f>SUM(J6:J49)</f>
        <v>0</v>
      </c>
      <c r="K81" s="115">
        <f>SUM(K6:K51)</f>
        <v>0</v>
      </c>
      <c r="L81" s="38">
        <f>SUM(L6:L80)</f>
        <v>0</v>
      </c>
      <c r="M81" s="38">
        <f t="shared" ref="M81:U81" si="11">SUM(M6:M80)</f>
        <v>40</v>
      </c>
      <c r="N81" s="38">
        <f t="shared" si="11"/>
        <v>0</v>
      </c>
      <c r="O81" s="38">
        <f t="shared" si="11"/>
        <v>0</v>
      </c>
      <c r="P81" s="38">
        <f t="shared" si="11"/>
        <v>0</v>
      </c>
      <c r="Q81" s="38">
        <f t="shared" si="11"/>
        <v>0</v>
      </c>
      <c r="R81" s="38">
        <f t="shared" si="11"/>
        <v>0</v>
      </c>
      <c r="S81" s="38">
        <f t="shared" si="11"/>
        <v>0</v>
      </c>
      <c r="T81" s="38">
        <f t="shared" si="11"/>
        <v>0</v>
      </c>
      <c r="U81" s="38">
        <f t="shared" si="11"/>
        <v>40</v>
      </c>
      <c r="V81" s="41" t="str">
        <f>IF(U81=SUM(I81),"OK","NG")</f>
        <v>OK</v>
      </c>
    </row>
  </sheetData>
  <autoFilter ref="A5:V81" xr:uid="{00000000-0001-0000-0F00-000000000000}">
    <filterColumn colId="8">
      <filters>
        <filter val="11"/>
        <filter val="13"/>
        <filter val="14"/>
        <filter val="2"/>
        <filter val="40"/>
      </filters>
    </filterColumn>
  </autoFilter>
  <mergeCells count="20">
    <mergeCell ref="O4:O5"/>
    <mergeCell ref="P4:P5"/>
    <mergeCell ref="B3:C3"/>
    <mergeCell ref="N4:N5"/>
    <mergeCell ref="B1:C1"/>
    <mergeCell ref="F1:G1"/>
    <mergeCell ref="H1:J3"/>
    <mergeCell ref="B2:C2"/>
    <mergeCell ref="A4:D4"/>
    <mergeCell ref="E4:G4"/>
    <mergeCell ref="H4:J4"/>
    <mergeCell ref="L4:L5"/>
    <mergeCell ref="M4:M5"/>
    <mergeCell ref="Q4:Q5"/>
    <mergeCell ref="R4:R5"/>
    <mergeCell ref="S4:S5"/>
    <mergeCell ref="T4:T5"/>
    <mergeCell ref="V2:V3"/>
    <mergeCell ref="U4:U5"/>
    <mergeCell ref="V4:V5"/>
  </mergeCells>
  <phoneticPr fontId="3" type="noConversion"/>
  <conditionalFormatting sqref="A4 V6:V81">
    <cfRule type="containsText" dxfId="35" priority="5" operator="containsText" text="NG">
      <formula>NOT(ISERROR(SEARCH("NG",A4)))</formula>
    </cfRule>
    <cfRule type="containsText" dxfId="34" priority="6" operator="containsText" text="OK">
      <formula>NOT(ISERROR(SEARCH("OK",A4)))</formula>
    </cfRule>
  </conditionalFormatting>
  <pageMargins left="0.70866141732283472" right="0.70866141732283472" top="0.74803149606299213" bottom="0.74803149606299213" header="0.31496062992125984" footer="0.31496062992125984"/>
  <pageSetup paperSize="8" scale="10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 filterMode="1">
    <pageSetUpPr fitToPage="1"/>
  </sheetPr>
  <dimension ref="A1:V81"/>
  <sheetViews>
    <sheetView showGridLines="0" zoomScale="85" zoomScaleNormal="85" workbookViewId="0">
      <pane ySplit="5" topLeftCell="A22" activePane="bottomLeft" state="frozen"/>
      <selection activeCell="W73" sqref="W73"/>
      <selection pane="bottomLeft" activeCell="L22" sqref="L22:N70"/>
    </sheetView>
  </sheetViews>
  <sheetFormatPr defaultColWidth="9" defaultRowHeight="16.5" x14ac:dyDescent="0.3"/>
  <cols>
    <col min="1" max="1" width="12.625" bestFit="1" customWidth="1"/>
    <col min="2" max="2" width="14.125" bestFit="1" customWidth="1"/>
    <col min="3" max="3" width="35.125" customWidth="1"/>
    <col min="4" max="4" width="11.75" hidden="1" customWidth="1"/>
    <col min="5" max="6" width="9" hidden="1" customWidth="1"/>
    <col min="7" max="7" width="15.375" hidden="1" customWidth="1"/>
    <col min="8" max="8" width="13.25" hidden="1" customWidth="1"/>
    <col min="9" max="9" width="13.25" customWidth="1"/>
    <col min="10" max="10" width="13.25" hidden="1" customWidth="1"/>
    <col min="11" max="11" width="0.875" customWidth="1"/>
    <col min="20" max="20" width="11" bestFit="1" customWidth="1"/>
  </cols>
  <sheetData>
    <row r="1" spans="1:22" ht="22.5" customHeight="1" thickBot="1" x14ac:dyDescent="0.35">
      <c r="A1" s="32" t="s">
        <v>28</v>
      </c>
      <c r="B1" s="153">
        <f>H69</f>
        <v>0</v>
      </c>
      <c r="C1" s="154"/>
      <c r="D1" s="55"/>
      <c r="E1" s="58" t="s">
        <v>1</v>
      </c>
      <c r="F1" s="155">
        <f>G69</f>
        <v>0</v>
      </c>
      <c r="G1" s="155"/>
      <c r="H1" s="156"/>
      <c r="I1" s="156"/>
      <c r="J1" s="156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22.5" customHeight="1" thickBot="1" x14ac:dyDescent="0.35">
      <c r="A2" s="32" t="s">
        <v>29</v>
      </c>
      <c r="B2" s="158">
        <f>I81</f>
        <v>25</v>
      </c>
      <c r="C2" s="159"/>
      <c r="D2" s="56"/>
      <c r="E2" s="59"/>
      <c r="F2" s="2"/>
      <c r="G2" s="2"/>
      <c r="H2" s="156"/>
      <c r="I2" s="156"/>
      <c r="J2" s="156"/>
      <c r="K2" s="113"/>
      <c r="L2" s="3">
        <f>SUBTOTAL(9,L6:L80)</f>
        <v>0</v>
      </c>
      <c r="M2" s="3">
        <f t="shared" ref="M2:T2" si="0">SUBTOTAL(9,M6:M80)</f>
        <v>25</v>
      </c>
      <c r="N2" s="3">
        <f t="shared" si="0"/>
        <v>0</v>
      </c>
      <c r="O2" s="3">
        <f t="shared" si="0"/>
        <v>0</v>
      </c>
      <c r="P2" s="3">
        <f t="shared" si="0"/>
        <v>0</v>
      </c>
      <c r="Q2" s="3">
        <f t="shared" si="0"/>
        <v>0</v>
      </c>
      <c r="R2" s="3">
        <f t="shared" si="0"/>
        <v>0</v>
      </c>
      <c r="S2" s="3">
        <f t="shared" si="0"/>
        <v>0</v>
      </c>
      <c r="T2" s="3">
        <f t="shared" si="0"/>
        <v>0</v>
      </c>
      <c r="U2" s="48">
        <f>SUBTOTAL(9,U6:U80)</f>
        <v>25</v>
      </c>
      <c r="V2" s="145"/>
    </row>
    <row r="3" spans="1:22" ht="22.5" customHeight="1" thickBot="1" x14ac:dyDescent="0.35">
      <c r="A3" s="33" t="s">
        <v>30</v>
      </c>
      <c r="B3" s="151">
        <f>IF(ISERROR(B2/(B2+B1)*1000000),"",(B2/(B2+B1)*1000000))</f>
        <v>1000000</v>
      </c>
      <c r="C3" s="152"/>
      <c r="D3" s="57"/>
      <c r="E3" s="60"/>
      <c r="F3" s="27"/>
      <c r="G3" s="27"/>
      <c r="H3" s="157"/>
      <c r="I3" s="157"/>
      <c r="J3" s="157"/>
      <c r="K3" s="114"/>
      <c r="L3" s="4">
        <f t="shared" ref="L3:U3" si="1">SUM(L6:L80)</f>
        <v>0</v>
      </c>
      <c r="M3" s="4">
        <f t="shared" si="1"/>
        <v>25</v>
      </c>
      <c r="N3" s="4">
        <f t="shared" si="1"/>
        <v>0</v>
      </c>
      <c r="O3" s="4">
        <f t="shared" si="1"/>
        <v>0</v>
      </c>
      <c r="P3" s="4">
        <f t="shared" si="1"/>
        <v>0</v>
      </c>
      <c r="Q3" s="4">
        <f t="shared" si="1"/>
        <v>0</v>
      </c>
      <c r="R3" s="4">
        <f t="shared" si="1"/>
        <v>0</v>
      </c>
      <c r="S3" s="4">
        <f t="shared" si="1"/>
        <v>0</v>
      </c>
      <c r="T3" s="4">
        <f t="shared" si="1"/>
        <v>0</v>
      </c>
      <c r="U3" s="49">
        <f t="shared" si="1"/>
        <v>25</v>
      </c>
      <c r="V3" s="146"/>
    </row>
    <row r="4" spans="1:22" ht="43.5" customHeight="1" x14ac:dyDescent="0.3">
      <c r="A4" s="160" t="str">
        <f>V81</f>
        <v>OK</v>
      </c>
      <c r="B4" s="160"/>
      <c r="C4" s="160"/>
      <c r="D4" s="161"/>
      <c r="E4" s="162" t="s">
        <v>15</v>
      </c>
      <c r="F4" s="162"/>
      <c r="G4" s="162"/>
      <c r="H4" s="163" t="s">
        <v>16</v>
      </c>
      <c r="I4" s="163"/>
      <c r="J4" s="163"/>
      <c r="K4" s="113"/>
      <c r="L4" s="164" t="s">
        <v>10</v>
      </c>
      <c r="M4" s="142" t="s">
        <v>17</v>
      </c>
      <c r="N4" s="142" t="s">
        <v>11</v>
      </c>
      <c r="O4" s="138" t="s">
        <v>12</v>
      </c>
      <c r="P4" s="142" t="s">
        <v>13</v>
      </c>
      <c r="Q4" s="138" t="s">
        <v>14</v>
      </c>
      <c r="R4" s="140" t="s">
        <v>20</v>
      </c>
      <c r="S4" s="142" t="s">
        <v>21</v>
      </c>
      <c r="T4" s="143" t="s">
        <v>22</v>
      </c>
      <c r="U4" s="147" t="s">
        <v>18</v>
      </c>
      <c r="V4" s="149" t="s">
        <v>19</v>
      </c>
    </row>
    <row r="5" spans="1:22" ht="33.75" thickBot="1" x14ac:dyDescent="0.35">
      <c r="A5" s="29" t="s">
        <v>3</v>
      </c>
      <c r="B5" s="30" t="s">
        <v>32</v>
      </c>
      <c r="C5" s="29" t="s">
        <v>4</v>
      </c>
      <c r="D5" s="29" t="s">
        <v>31</v>
      </c>
      <c r="E5" s="29" t="s">
        <v>5</v>
      </c>
      <c r="F5" s="29" t="s">
        <v>6</v>
      </c>
      <c r="G5" s="30" t="s">
        <v>7</v>
      </c>
      <c r="H5" s="31" t="s">
        <v>0</v>
      </c>
      <c r="I5" s="31" t="s">
        <v>93</v>
      </c>
      <c r="J5" s="31" t="s">
        <v>8</v>
      </c>
      <c r="K5" s="28"/>
      <c r="L5" s="165"/>
      <c r="M5" s="139"/>
      <c r="N5" s="139"/>
      <c r="O5" s="139"/>
      <c r="P5" s="139"/>
      <c r="Q5" s="139"/>
      <c r="R5" s="141"/>
      <c r="S5" s="139"/>
      <c r="T5" s="144"/>
      <c r="U5" s="148"/>
      <c r="V5" s="150"/>
    </row>
    <row r="6" spans="1:22" ht="16.5" hidden="1" customHeight="1" x14ac:dyDescent="0.3">
      <c r="A6" s="61" t="s">
        <v>33</v>
      </c>
      <c r="B6" s="61">
        <v>8092</v>
      </c>
      <c r="C6" s="6" t="s">
        <v>45</v>
      </c>
      <c r="D6" s="7"/>
      <c r="E6" s="7"/>
      <c r="F6" s="7"/>
      <c r="G6" s="8"/>
      <c r="H6" s="9"/>
      <c r="I6" s="10">
        <f>SUM(L6:T6)</f>
        <v>0</v>
      </c>
      <c r="J6" s="10"/>
      <c r="K6" s="11"/>
      <c r="L6" s="10"/>
      <c r="M6" s="10"/>
      <c r="N6" s="10"/>
      <c r="O6" s="10"/>
      <c r="P6" s="10"/>
      <c r="Q6" s="10"/>
      <c r="R6" s="34"/>
      <c r="S6" s="42"/>
      <c r="T6" s="45"/>
      <c r="U6" s="50">
        <f t="shared" ref="U6:U36" si="2">SUM(L6:T6)</f>
        <v>0</v>
      </c>
      <c r="V6" s="26" t="str">
        <f t="shared" ref="V6:V67" si="3">IF(U6=I6,"OK","NG")</f>
        <v>OK</v>
      </c>
    </row>
    <row r="7" spans="1:22" ht="16.5" hidden="1" customHeight="1" x14ac:dyDescent="0.3">
      <c r="A7" s="62" t="s">
        <v>95</v>
      </c>
      <c r="B7" s="62">
        <v>8088</v>
      </c>
      <c r="C7" s="12" t="s">
        <v>46</v>
      </c>
      <c r="D7" s="53"/>
      <c r="E7" s="13"/>
      <c r="F7" s="13"/>
      <c r="G7" s="14"/>
      <c r="H7" s="15"/>
      <c r="I7" s="16">
        <f t="shared" ref="I7:I70" si="4">SUM(L7:T7)</f>
        <v>0</v>
      </c>
      <c r="J7" s="16"/>
      <c r="K7" s="11"/>
      <c r="L7" s="16"/>
      <c r="M7" s="16"/>
      <c r="N7" s="16"/>
      <c r="O7" s="16"/>
      <c r="P7" s="16"/>
      <c r="Q7" s="16"/>
      <c r="R7" s="35"/>
      <c r="S7" s="43"/>
      <c r="T7" s="46"/>
      <c r="U7" s="51">
        <f t="shared" si="2"/>
        <v>0</v>
      </c>
      <c r="V7" s="17" t="str">
        <f t="shared" si="3"/>
        <v>OK</v>
      </c>
    </row>
    <row r="8" spans="1:22" ht="16.5" hidden="1" customHeight="1" x14ac:dyDescent="0.3">
      <c r="A8" s="63" t="s">
        <v>96</v>
      </c>
      <c r="B8" s="63">
        <v>8081</v>
      </c>
      <c r="C8" s="18" t="s">
        <v>46</v>
      </c>
      <c r="D8" s="19"/>
      <c r="E8" s="19"/>
      <c r="F8" s="19"/>
      <c r="G8" s="20"/>
      <c r="H8" s="21"/>
      <c r="I8" s="22">
        <f t="shared" si="4"/>
        <v>0</v>
      </c>
      <c r="J8" s="22"/>
      <c r="K8" s="11"/>
      <c r="L8" s="22"/>
      <c r="M8" s="22"/>
      <c r="N8" s="22"/>
      <c r="O8" s="22"/>
      <c r="P8" s="22"/>
      <c r="Q8" s="22"/>
      <c r="R8" s="36"/>
      <c r="S8" s="44"/>
      <c r="T8" s="47"/>
      <c r="U8" s="52">
        <f t="shared" si="2"/>
        <v>0</v>
      </c>
      <c r="V8" s="23" t="str">
        <f t="shared" si="3"/>
        <v>OK</v>
      </c>
    </row>
    <row r="9" spans="1:22" ht="16.5" hidden="1" customHeight="1" x14ac:dyDescent="0.3">
      <c r="A9" s="62" t="s">
        <v>97</v>
      </c>
      <c r="B9" s="62">
        <v>18524</v>
      </c>
      <c r="C9" s="12" t="s">
        <v>46</v>
      </c>
      <c r="D9" s="53"/>
      <c r="E9" s="13"/>
      <c r="F9" s="13"/>
      <c r="G9" s="14"/>
      <c r="H9" s="15"/>
      <c r="I9" s="16">
        <f t="shared" si="4"/>
        <v>0</v>
      </c>
      <c r="J9" s="16"/>
      <c r="K9" s="11"/>
      <c r="L9" s="16"/>
      <c r="M9" s="16"/>
      <c r="N9" s="16"/>
      <c r="O9" s="16"/>
      <c r="P9" s="16"/>
      <c r="Q9" s="16"/>
      <c r="R9" s="35"/>
      <c r="S9" s="43"/>
      <c r="T9" s="46"/>
      <c r="U9" s="51">
        <f t="shared" si="2"/>
        <v>0</v>
      </c>
      <c r="V9" s="17" t="str">
        <f t="shared" si="3"/>
        <v>OK</v>
      </c>
    </row>
    <row r="10" spans="1:22" ht="16.5" hidden="1" customHeight="1" x14ac:dyDescent="0.3">
      <c r="A10" s="63" t="s">
        <v>34</v>
      </c>
      <c r="B10" s="63">
        <v>6234</v>
      </c>
      <c r="C10" s="18" t="s">
        <v>47</v>
      </c>
      <c r="D10" s="19"/>
      <c r="E10" s="19"/>
      <c r="F10" s="19"/>
      <c r="G10" s="20"/>
      <c r="H10" s="21"/>
      <c r="I10" s="22">
        <f t="shared" si="4"/>
        <v>0</v>
      </c>
      <c r="J10" s="22"/>
      <c r="K10" s="11"/>
      <c r="L10" s="22"/>
      <c r="M10" s="22"/>
      <c r="N10" s="22"/>
      <c r="O10" s="22"/>
      <c r="P10" s="22"/>
      <c r="Q10" s="22"/>
      <c r="R10" s="36"/>
      <c r="S10" s="44"/>
      <c r="T10" s="47"/>
      <c r="U10" s="52">
        <f t="shared" si="2"/>
        <v>0</v>
      </c>
      <c r="V10" s="23" t="str">
        <f t="shared" si="3"/>
        <v>OK</v>
      </c>
    </row>
    <row r="11" spans="1:22" ht="16.5" hidden="1" customHeight="1" x14ac:dyDescent="0.3">
      <c r="A11" s="62" t="s">
        <v>80</v>
      </c>
      <c r="B11" s="62">
        <v>14830</v>
      </c>
      <c r="C11" s="12" t="s">
        <v>47</v>
      </c>
      <c r="D11" s="53"/>
      <c r="E11" s="13"/>
      <c r="F11" s="13"/>
      <c r="G11" s="14"/>
      <c r="H11" s="15"/>
      <c r="I11" s="16">
        <f t="shared" si="4"/>
        <v>0</v>
      </c>
      <c r="J11" s="16"/>
      <c r="K11" s="11"/>
      <c r="L11" s="16"/>
      <c r="M11" s="16"/>
      <c r="N11" s="16"/>
      <c r="O11" s="16"/>
      <c r="P11" s="16"/>
      <c r="Q11" s="16"/>
      <c r="R11" s="35"/>
      <c r="S11" s="43"/>
      <c r="T11" s="46"/>
      <c r="U11" s="51">
        <f t="shared" si="2"/>
        <v>0</v>
      </c>
      <c r="V11" s="17" t="str">
        <f t="shared" si="3"/>
        <v>OK</v>
      </c>
    </row>
    <row r="12" spans="1:22" ht="16.5" hidden="1" customHeight="1" x14ac:dyDescent="0.3">
      <c r="A12" s="63" t="s">
        <v>35</v>
      </c>
      <c r="B12" s="63">
        <v>6004</v>
      </c>
      <c r="C12" s="18" t="s">
        <v>48</v>
      </c>
      <c r="D12" s="19"/>
      <c r="E12" s="19"/>
      <c r="F12" s="19"/>
      <c r="G12" s="20"/>
      <c r="H12" s="21"/>
      <c r="I12" s="22">
        <f t="shared" si="4"/>
        <v>0</v>
      </c>
      <c r="J12" s="22"/>
      <c r="K12" s="11"/>
      <c r="L12" s="22"/>
      <c r="M12" s="22"/>
      <c r="N12" s="22"/>
      <c r="O12" s="22"/>
      <c r="P12" s="22"/>
      <c r="Q12" s="22"/>
      <c r="R12" s="36"/>
      <c r="S12" s="44"/>
      <c r="T12" s="47"/>
      <c r="U12" s="52">
        <f t="shared" si="2"/>
        <v>0</v>
      </c>
      <c r="V12" s="23" t="str">
        <f t="shared" si="3"/>
        <v>OK</v>
      </c>
    </row>
    <row r="13" spans="1:22" ht="16.5" hidden="1" customHeight="1" x14ac:dyDescent="0.3">
      <c r="A13" s="62" t="s">
        <v>36</v>
      </c>
      <c r="B13" s="62">
        <v>11857</v>
      </c>
      <c r="C13" s="12" t="s">
        <v>48</v>
      </c>
      <c r="D13" s="53"/>
      <c r="E13" s="13"/>
      <c r="F13" s="13"/>
      <c r="G13" s="14"/>
      <c r="H13" s="15"/>
      <c r="I13" s="16">
        <f t="shared" si="4"/>
        <v>0</v>
      </c>
      <c r="J13" s="16"/>
      <c r="K13" s="11"/>
      <c r="L13" s="16"/>
      <c r="M13" s="16"/>
      <c r="N13" s="16"/>
      <c r="O13" s="16"/>
      <c r="P13" s="16"/>
      <c r="Q13" s="16"/>
      <c r="R13" s="35"/>
      <c r="S13" s="43"/>
      <c r="T13" s="46"/>
      <c r="U13" s="51">
        <f t="shared" si="2"/>
        <v>0</v>
      </c>
      <c r="V13" s="17" t="str">
        <f t="shared" si="3"/>
        <v>OK</v>
      </c>
    </row>
    <row r="14" spans="1:22" ht="16.5" hidden="1" customHeight="1" x14ac:dyDescent="0.3">
      <c r="A14" s="63" t="s">
        <v>82</v>
      </c>
      <c r="B14" s="63">
        <v>15004</v>
      </c>
      <c r="C14" s="18" t="s">
        <v>48</v>
      </c>
      <c r="D14" s="19"/>
      <c r="E14" s="19"/>
      <c r="F14" s="19"/>
      <c r="G14" s="20"/>
      <c r="H14" s="21"/>
      <c r="I14" s="22">
        <f t="shared" si="4"/>
        <v>0</v>
      </c>
      <c r="J14" s="22"/>
      <c r="K14" s="11"/>
      <c r="L14" s="22"/>
      <c r="M14" s="22"/>
      <c r="N14" s="22"/>
      <c r="O14" s="22"/>
      <c r="P14" s="22"/>
      <c r="Q14" s="22"/>
      <c r="R14" s="36"/>
      <c r="S14" s="44"/>
      <c r="T14" s="47"/>
      <c r="U14" s="52">
        <f t="shared" si="2"/>
        <v>0</v>
      </c>
      <c r="V14" s="23" t="str">
        <f t="shared" si="3"/>
        <v>OK</v>
      </c>
    </row>
    <row r="15" spans="1:22" ht="16.5" hidden="1" customHeight="1" x14ac:dyDescent="0.3">
      <c r="A15" s="62" t="s">
        <v>86</v>
      </c>
      <c r="B15" s="62">
        <v>15174</v>
      </c>
      <c r="C15" s="12" t="s">
        <v>45</v>
      </c>
      <c r="D15" s="53"/>
      <c r="E15" s="13"/>
      <c r="F15" s="13"/>
      <c r="G15" s="14"/>
      <c r="H15" s="15"/>
      <c r="I15" s="16">
        <f t="shared" si="4"/>
        <v>0</v>
      </c>
      <c r="J15" s="16"/>
      <c r="K15" s="11"/>
      <c r="L15" s="16"/>
      <c r="M15" s="16"/>
      <c r="N15" s="16"/>
      <c r="O15" s="16"/>
      <c r="P15" s="16"/>
      <c r="Q15" s="16"/>
      <c r="R15" s="35"/>
      <c r="S15" s="43"/>
      <c r="T15" s="46"/>
      <c r="U15" s="51">
        <f t="shared" si="2"/>
        <v>0</v>
      </c>
      <c r="V15" s="17" t="str">
        <f t="shared" si="3"/>
        <v>OK</v>
      </c>
    </row>
    <row r="16" spans="1:22" ht="16.5" hidden="1" customHeight="1" x14ac:dyDescent="0.3">
      <c r="A16" s="63" t="s">
        <v>87</v>
      </c>
      <c r="B16" s="63">
        <v>15520</v>
      </c>
      <c r="C16" s="18" t="s">
        <v>47</v>
      </c>
      <c r="D16" s="19"/>
      <c r="E16" s="19"/>
      <c r="F16" s="19"/>
      <c r="G16" s="20"/>
      <c r="H16" s="21"/>
      <c r="I16" s="22">
        <f t="shared" si="4"/>
        <v>0</v>
      </c>
      <c r="J16" s="22"/>
      <c r="K16" s="11"/>
      <c r="L16" s="22"/>
      <c r="M16" s="22"/>
      <c r="N16" s="22"/>
      <c r="O16" s="22"/>
      <c r="P16" s="22"/>
      <c r="Q16" s="22"/>
      <c r="R16" s="36"/>
      <c r="S16" s="44"/>
      <c r="T16" s="47"/>
      <c r="U16" s="52">
        <f t="shared" si="2"/>
        <v>0</v>
      </c>
      <c r="V16" s="23" t="str">
        <f t="shared" si="3"/>
        <v>OK</v>
      </c>
    </row>
    <row r="17" spans="1:22" ht="16.5" hidden="1" customHeight="1" x14ac:dyDescent="0.3">
      <c r="A17" s="62" t="s">
        <v>85</v>
      </c>
      <c r="B17" s="62">
        <v>14989</v>
      </c>
      <c r="C17" s="12" t="s">
        <v>45</v>
      </c>
      <c r="D17" s="53"/>
      <c r="E17" s="13"/>
      <c r="F17" s="13"/>
      <c r="G17" s="14"/>
      <c r="H17" s="15"/>
      <c r="I17" s="16">
        <f t="shared" si="4"/>
        <v>0</v>
      </c>
      <c r="J17" s="16"/>
      <c r="K17" s="11"/>
      <c r="L17" s="16"/>
      <c r="M17" s="16"/>
      <c r="N17" s="16"/>
      <c r="O17" s="16"/>
      <c r="P17" s="16"/>
      <c r="Q17" s="16"/>
      <c r="R17" s="35"/>
      <c r="S17" s="43"/>
      <c r="T17" s="46"/>
      <c r="U17" s="51">
        <f t="shared" si="2"/>
        <v>0</v>
      </c>
      <c r="V17" s="17" t="str">
        <f t="shared" si="3"/>
        <v>OK</v>
      </c>
    </row>
    <row r="18" spans="1:22" ht="16.5" hidden="1" customHeight="1" x14ac:dyDescent="0.3">
      <c r="A18" s="63" t="s">
        <v>84</v>
      </c>
      <c r="B18" s="63">
        <v>14984</v>
      </c>
      <c r="C18" s="18" t="s">
        <v>46</v>
      </c>
      <c r="D18" s="19"/>
      <c r="E18" s="19"/>
      <c r="F18" s="19"/>
      <c r="G18" s="20"/>
      <c r="H18" s="21"/>
      <c r="I18" s="22">
        <f t="shared" si="4"/>
        <v>0</v>
      </c>
      <c r="J18" s="22"/>
      <c r="K18" s="11"/>
      <c r="L18" s="22"/>
      <c r="M18" s="22"/>
      <c r="N18" s="22"/>
      <c r="O18" s="22"/>
      <c r="P18" s="22"/>
      <c r="Q18" s="22"/>
      <c r="R18" s="36"/>
      <c r="S18" s="44"/>
      <c r="T18" s="47"/>
      <c r="U18" s="52">
        <f t="shared" si="2"/>
        <v>0</v>
      </c>
      <c r="V18" s="23" t="str">
        <f t="shared" si="3"/>
        <v>OK</v>
      </c>
    </row>
    <row r="19" spans="1:22" ht="16.5" hidden="1" customHeight="1" x14ac:dyDescent="0.3">
      <c r="A19" s="62" t="s">
        <v>88</v>
      </c>
      <c r="B19" s="62">
        <v>16270</v>
      </c>
      <c r="C19" s="12" t="s">
        <v>89</v>
      </c>
      <c r="D19" s="53"/>
      <c r="E19" s="13"/>
      <c r="F19" s="13"/>
      <c r="G19" s="14"/>
      <c r="H19" s="15"/>
      <c r="I19" s="16">
        <f t="shared" si="4"/>
        <v>0</v>
      </c>
      <c r="J19" s="16"/>
      <c r="K19" s="11"/>
      <c r="L19" s="16"/>
      <c r="M19" s="16"/>
      <c r="N19" s="16"/>
      <c r="O19" s="16"/>
      <c r="P19" s="16"/>
      <c r="Q19" s="16"/>
      <c r="R19" s="35"/>
      <c r="S19" s="43"/>
      <c r="T19" s="46"/>
      <c r="U19" s="51">
        <f t="shared" si="2"/>
        <v>0</v>
      </c>
      <c r="V19" s="17" t="str">
        <f t="shared" si="3"/>
        <v>OK</v>
      </c>
    </row>
    <row r="20" spans="1:22" ht="16.5" hidden="1" customHeight="1" x14ac:dyDescent="0.3">
      <c r="A20" s="63" t="s">
        <v>98</v>
      </c>
      <c r="B20" s="63">
        <v>19060</v>
      </c>
      <c r="C20" s="18" t="s">
        <v>47</v>
      </c>
      <c r="D20" s="19"/>
      <c r="E20" s="19"/>
      <c r="F20" s="19"/>
      <c r="G20" s="20"/>
      <c r="H20" s="21"/>
      <c r="I20" s="22">
        <f t="shared" si="4"/>
        <v>0</v>
      </c>
      <c r="J20" s="22"/>
      <c r="K20" s="11"/>
      <c r="L20" s="22"/>
      <c r="M20" s="22"/>
      <c r="N20" s="22"/>
      <c r="O20" s="22"/>
      <c r="P20" s="22"/>
      <c r="Q20" s="22"/>
      <c r="R20" s="36"/>
      <c r="S20" s="44"/>
      <c r="T20" s="47"/>
      <c r="U20" s="52">
        <f t="shared" si="2"/>
        <v>0</v>
      </c>
      <c r="V20" s="23" t="str">
        <f t="shared" si="3"/>
        <v>OK</v>
      </c>
    </row>
    <row r="21" spans="1:22" ht="16.5" hidden="1" customHeight="1" x14ac:dyDescent="0.3">
      <c r="A21" s="62" t="s">
        <v>99</v>
      </c>
      <c r="B21" s="62">
        <v>18828</v>
      </c>
      <c r="C21" s="12" t="s">
        <v>94</v>
      </c>
      <c r="D21" s="53"/>
      <c r="E21" s="13"/>
      <c r="F21" s="13"/>
      <c r="G21" s="14"/>
      <c r="H21" s="15"/>
      <c r="I21" s="16">
        <f t="shared" si="4"/>
        <v>0</v>
      </c>
      <c r="J21" s="16"/>
      <c r="K21" s="11"/>
      <c r="L21" s="16"/>
      <c r="M21" s="16"/>
      <c r="N21" s="16"/>
      <c r="O21" s="16"/>
      <c r="P21" s="16"/>
      <c r="Q21" s="16"/>
      <c r="R21" s="35"/>
      <c r="S21" s="43"/>
      <c r="T21" s="46"/>
      <c r="U21" s="51">
        <f t="shared" si="2"/>
        <v>0</v>
      </c>
      <c r="V21" s="17" t="str">
        <f t="shared" si="3"/>
        <v>OK</v>
      </c>
    </row>
    <row r="22" spans="1:22" ht="16.5" customHeight="1" x14ac:dyDescent="0.3">
      <c r="A22" s="63" t="s">
        <v>23</v>
      </c>
      <c r="B22" s="63">
        <v>5695</v>
      </c>
      <c r="C22" s="18" t="s">
        <v>49</v>
      </c>
      <c r="D22" s="19"/>
      <c r="E22" s="19"/>
      <c r="F22" s="19"/>
      <c r="G22" s="20"/>
      <c r="H22" s="21"/>
      <c r="I22" s="22">
        <f t="shared" si="4"/>
        <v>5</v>
      </c>
      <c r="J22" s="22"/>
      <c r="K22" s="11"/>
      <c r="L22" s="22"/>
      <c r="M22" s="22">
        <v>5</v>
      </c>
      <c r="N22" s="22"/>
      <c r="O22" s="22"/>
      <c r="P22" s="22"/>
      <c r="Q22" s="22"/>
      <c r="R22" s="36"/>
      <c r="S22" s="44"/>
      <c r="T22" s="47"/>
      <c r="U22" s="52">
        <f t="shared" si="2"/>
        <v>5</v>
      </c>
      <c r="V22" s="23" t="str">
        <f t="shared" si="3"/>
        <v>OK</v>
      </c>
    </row>
    <row r="23" spans="1:22" ht="16.5" hidden="1" customHeight="1" x14ac:dyDescent="0.3">
      <c r="A23" s="62" t="s">
        <v>24</v>
      </c>
      <c r="B23" s="62">
        <v>5691</v>
      </c>
      <c r="C23" s="12" t="s">
        <v>50</v>
      </c>
      <c r="D23" s="53"/>
      <c r="E23" s="13"/>
      <c r="F23" s="13"/>
      <c r="G23" s="14"/>
      <c r="H23" s="15"/>
      <c r="I23" s="16">
        <f t="shared" si="4"/>
        <v>0</v>
      </c>
      <c r="J23" s="16"/>
      <c r="K23" s="11"/>
      <c r="L23" s="16"/>
      <c r="M23" s="16"/>
      <c r="N23" s="16"/>
      <c r="O23" s="16"/>
      <c r="P23" s="16"/>
      <c r="Q23" s="16"/>
      <c r="R23" s="35"/>
      <c r="S23" s="43"/>
      <c r="T23" s="46"/>
      <c r="U23" s="51">
        <f t="shared" si="2"/>
        <v>0</v>
      </c>
      <c r="V23" s="17" t="str">
        <f t="shared" si="3"/>
        <v>OK</v>
      </c>
    </row>
    <row r="24" spans="1:22" ht="16.5" hidden="1" customHeight="1" x14ac:dyDescent="0.3">
      <c r="A24" s="63" t="s">
        <v>37</v>
      </c>
      <c r="B24" s="63">
        <v>5687</v>
      </c>
      <c r="C24" s="18" t="s">
        <v>51</v>
      </c>
      <c r="D24" s="19"/>
      <c r="E24" s="19"/>
      <c r="F24" s="19"/>
      <c r="G24" s="20"/>
      <c r="H24" s="21"/>
      <c r="I24" s="22">
        <f t="shared" si="4"/>
        <v>0</v>
      </c>
      <c r="J24" s="22"/>
      <c r="K24" s="11"/>
      <c r="L24" s="22"/>
      <c r="M24" s="22"/>
      <c r="N24" s="22"/>
      <c r="O24" s="22"/>
      <c r="P24" s="22"/>
      <c r="Q24" s="22"/>
      <c r="R24" s="36"/>
      <c r="S24" s="44"/>
      <c r="T24" s="47"/>
      <c r="U24" s="52">
        <f t="shared" si="2"/>
        <v>0</v>
      </c>
      <c r="V24" s="23" t="str">
        <f t="shared" si="3"/>
        <v>OK</v>
      </c>
    </row>
    <row r="25" spans="1:22" ht="16.5" hidden="1" customHeight="1" x14ac:dyDescent="0.3">
      <c r="A25" s="62" t="s">
        <v>38</v>
      </c>
      <c r="B25" s="62">
        <v>5683</v>
      </c>
      <c r="C25" s="12" t="s">
        <v>51</v>
      </c>
      <c r="D25" s="53"/>
      <c r="E25" s="13"/>
      <c r="F25" s="13"/>
      <c r="G25" s="14"/>
      <c r="H25" s="15"/>
      <c r="I25" s="16">
        <f t="shared" si="4"/>
        <v>0</v>
      </c>
      <c r="J25" s="16"/>
      <c r="K25" s="11"/>
      <c r="L25" s="16"/>
      <c r="M25" s="16"/>
      <c r="N25" s="16"/>
      <c r="O25" s="16"/>
      <c r="P25" s="16"/>
      <c r="Q25" s="16"/>
      <c r="R25" s="35"/>
      <c r="S25" s="43"/>
      <c r="T25" s="46"/>
      <c r="U25" s="51">
        <f t="shared" si="2"/>
        <v>0</v>
      </c>
      <c r="V25" s="17" t="str">
        <f t="shared" si="3"/>
        <v>OK</v>
      </c>
    </row>
    <row r="26" spans="1:22" ht="16.5" hidden="1" customHeight="1" x14ac:dyDescent="0.3">
      <c r="A26" s="63" t="s">
        <v>25</v>
      </c>
      <c r="B26" s="63">
        <v>5679</v>
      </c>
      <c r="C26" s="18" t="s">
        <v>52</v>
      </c>
      <c r="D26" s="19"/>
      <c r="E26" s="19"/>
      <c r="F26" s="19"/>
      <c r="G26" s="20"/>
      <c r="H26" s="21"/>
      <c r="I26" s="22">
        <f t="shared" si="4"/>
        <v>0</v>
      </c>
      <c r="J26" s="22"/>
      <c r="K26" s="11"/>
      <c r="L26" s="22"/>
      <c r="M26" s="22"/>
      <c r="N26" s="22"/>
      <c r="O26" s="22"/>
      <c r="P26" s="22"/>
      <c r="Q26" s="22"/>
      <c r="R26" s="36"/>
      <c r="S26" s="44"/>
      <c r="T26" s="47"/>
      <c r="U26" s="52">
        <f t="shared" si="2"/>
        <v>0</v>
      </c>
      <c r="V26" s="23" t="str">
        <f t="shared" si="3"/>
        <v>OK</v>
      </c>
    </row>
    <row r="27" spans="1:22" ht="16.5" hidden="1" customHeight="1" x14ac:dyDescent="0.3">
      <c r="A27" s="62" t="s">
        <v>39</v>
      </c>
      <c r="B27" s="62">
        <v>5675</v>
      </c>
      <c r="C27" s="12" t="s">
        <v>53</v>
      </c>
      <c r="D27" s="53"/>
      <c r="E27" s="13"/>
      <c r="F27" s="13"/>
      <c r="G27" s="14"/>
      <c r="H27" s="15"/>
      <c r="I27" s="16">
        <f t="shared" si="4"/>
        <v>0</v>
      </c>
      <c r="J27" s="16"/>
      <c r="K27" s="11"/>
      <c r="L27" s="16"/>
      <c r="M27" s="16"/>
      <c r="N27" s="16"/>
      <c r="O27" s="16"/>
      <c r="P27" s="16"/>
      <c r="Q27" s="16"/>
      <c r="R27" s="35"/>
      <c r="S27" s="43"/>
      <c r="T27" s="46"/>
      <c r="U27" s="51">
        <f t="shared" si="2"/>
        <v>0</v>
      </c>
      <c r="V27" s="17" t="str">
        <f t="shared" si="3"/>
        <v>OK</v>
      </c>
    </row>
    <row r="28" spans="1:22" ht="16.5" hidden="1" customHeight="1" x14ac:dyDescent="0.3">
      <c r="A28" s="63" t="s">
        <v>26</v>
      </c>
      <c r="B28" s="63">
        <v>5671</v>
      </c>
      <c r="C28" s="18" t="s">
        <v>49</v>
      </c>
      <c r="D28" s="19"/>
      <c r="E28" s="19"/>
      <c r="F28" s="19"/>
      <c r="G28" s="20"/>
      <c r="H28" s="21"/>
      <c r="I28" s="22">
        <f t="shared" si="4"/>
        <v>0</v>
      </c>
      <c r="J28" s="22"/>
      <c r="K28" s="11"/>
      <c r="L28" s="22"/>
      <c r="M28" s="22"/>
      <c r="N28" s="22"/>
      <c r="O28" s="22"/>
      <c r="P28" s="22"/>
      <c r="Q28" s="22"/>
      <c r="R28" s="36"/>
      <c r="S28" s="44"/>
      <c r="T28" s="47"/>
      <c r="U28" s="52">
        <f t="shared" si="2"/>
        <v>0</v>
      </c>
      <c r="V28" s="23" t="str">
        <f t="shared" si="3"/>
        <v>OK</v>
      </c>
    </row>
    <row r="29" spans="1:22" ht="16.5" hidden="1" customHeight="1" x14ac:dyDescent="0.3">
      <c r="A29" s="62" t="s">
        <v>40</v>
      </c>
      <c r="B29" s="62">
        <v>5667</v>
      </c>
      <c r="C29" s="12" t="s">
        <v>50</v>
      </c>
      <c r="D29" s="53"/>
      <c r="E29" s="13"/>
      <c r="F29" s="13"/>
      <c r="G29" s="14"/>
      <c r="H29" s="15"/>
      <c r="I29" s="16">
        <f t="shared" si="4"/>
        <v>0</v>
      </c>
      <c r="J29" s="16"/>
      <c r="K29" s="11"/>
      <c r="L29" s="16"/>
      <c r="M29" s="16"/>
      <c r="N29" s="16"/>
      <c r="O29" s="16"/>
      <c r="P29" s="16"/>
      <c r="Q29" s="16"/>
      <c r="R29" s="35"/>
      <c r="S29" s="43"/>
      <c r="T29" s="46"/>
      <c r="U29" s="51">
        <f t="shared" si="2"/>
        <v>0</v>
      </c>
      <c r="V29" s="17" t="str">
        <f t="shared" si="3"/>
        <v>OK</v>
      </c>
    </row>
    <row r="30" spans="1:22" ht="16.5" hidden="1" customHeight="1" x14ac:dyDescent="0.3">
      <c r="A30" s="63" t="s">
        <v>41</v>
      </c>
      <c r="B30" s="63">
        <v>5663</v>
      </c>
      <c r="C30" s="18" t="s">
        <v>51</v>
      </c>
      <c r="D30" s="19"/>
      <c r="E30" s="19"/>
      <c r="F30" s="19"/>
      <c r="G30" s="20"/>
      <c r="H30" s="21"/>
      <c r="I30" s="22">
        <f t="shared" si="4"/>
        <v>0</v>
      </c>
      <c r="J30" s="22"/>
      <c r="K30" s="11"/>
      <c r="L30" s="22"/>
      <c r="M30" s="22"/>
      <c r="N30" s="22"/>
      <c r="O30" s="22"/>
      <c r="P30" s="22"/>
      <c r="Q30" s="22"/>
      <c r="R30" s="36"/>
      <c r="S30" s="44"/>
      <c r="T30" s="47"/>
      <c r="U30" s="52">
        <f t="shared" si="2"/>
        <v>0</v>
      </c>
      <c r="V30" s="23" t="str">
        <f t="shared" si="3"/>
        <v>OK</v>
      </c>
    </row>
    <row r="31" spans="1:22" ht="16.5" hidden="1" customHeight="1" x14ac:dyDescent="0.3">
      <c r="A31" s="62" t="s">
        <v>42</v>
      </c>
      <c r="B31" s="62">
        <v>5659</v>
      </c>
      <c r="C31" s="12" t="s">
        <v>52</v>
      </c>
      <c r="D31" s="53"/>
      <c r="E31" s="13"/>
      <c r="F31" s="13"/>
      <c r="G31" s="14"/>
      <c r="H31" s="15"/>
      <c r="I31" s="16">
        <f t="shared" si="4"/>
        <v>0</v>
      </c>
      <c r="J31" s="16"/>
      <c r="K31" s="11"/>
      <c r="L31" s="16"/>
      <c r="M31" s="16"/>
      <c r="N31" s="16"/>
      <c r="O31" s="16"/>
      <c r="P31" s="16"/>
      <c r="Q31" s="16"/>
      <c r="R31" s="35"/>
      <c r="S31" s="43"/>
      <c r="T31" s="46"/>
      <c r="U31" s="51">
        <f t="shared" si="2"/>
        <v>0</v>
      </c>
      <c r="V31" s="17" t="str">
        <f t="shared" si="3"/>
        <v>OK</v>
      </c>
    </row>
    <row r="32" spans="1:22" ht="16.5" hidden="1" customHeight="1" x14ac:dyDescent="0.3">
      <c r="A32" s="63" t="s">
        <v>27</v>
      </c>
      <c r="B32" s="63">
        <v>5655</v>
      </c>
      <c r="C32" s="18" t="s">
        <v>54</v>
      </c>
      <c r="D32" s="19"/>
      <c r="E32" s="19"/>
      <c r="F32" s="19"/>
      <c r="G32" s="20"/>
      <c r="H32" s="21"/>
      <c r="I32" s="22">
        <f t="shared" si="4"/>
        <v>0</v>
      </c>
      <c r="J32" s="22"/>
      <c r="K32" s="11"/>
      <c r="L32" s="22"/>
      <c r="M32" s="22"/>
      <c r="N32" s="22"/>
      <c r="O32" s="22"/>
      <c r="P32" s="22"/>
      <c r="Q32" s="22"/>
      <c r="R32" s="36"/>
      <c r="S32" s="44"/>
      <c r="T32" s="47"/>
      <c r="U32" s="52">
        <f t="shared" si="2"/>
        <v>0</v>
      </c>
      <c r="V32" s="23" t="str">
        <f t="shared" si="3"/>
        <v>OK</v>
      </c>
    </row>
    <row r="33" spans="1:22" hidden="1" x14ac:dyDescent="0.3">
      <c r="A33" s="62" t="s">
        <v>70</v>
      </c>
      <c r="B33" s="62">
        <v>5651</v>
      </c>
      <c r="C33" s="12" t="s">
        <v>55</v>
      </c>
      <c r="D33" s="53"/>
      <c r="E33" s="13"/>
      <c r="F33" s="13"/>
      <c r="G33" s="14"/>
      <c r="H33" s="15"/>
      <c r="I33" s="16">
        <f t="shared" si="4"/>
        <v>0</v>
      </c>
      <c r="J33" s="16"/>
      <c r="K33" s="11"/>
      <c r="L33" s="16"/>
      <c r="M33" s="16"/>
      <c r="N33" s="16"/>
      <c r="O33" s="16"/>
      <c r="P33" s="16"/>
      <c r="Q33" s="16"/>
      <c r="R33" s="35"/>
      <c r="S33" s="43"/>
      <c r="T33" s="46"/>
      <c r="U33" s="51">
        <f t="shared" si="2"/>
        <v>0</v>
      </c>
      <c r="V33" s="17" t="str">
        <f t="shared" si="3"/>
        <v>OK</v>
      </c>
    </row>
    <row r="34" spans="1:22" ht="16.5" hidden="1" customHeight="1" x14ac:dyDescent="0.3">
      <c r="A34" s="63" t="s">
        <v>71</v>
      </c>
      <c r="B34" s="63">
        <v>5643</v>
      </c>
      <c r="C34" s="18" t="s">
        <v>56</v>
      </c>
      <c r="D34" s="19"/>
      <c r="E34" s="19"/>
      <c r="F34" s="19"/>
      <c r="G34" s="20"/>
      <c r="H34" s="21"/>
      <c r="I34" s="22">
        <f t="shared" si="4"/>
        <v>0</v>
      </c>
      <c r="J34" s="22"/>
      <c r="K34" s="11"/>
      <c r="L34" s="22"/>
      <c r="M34" s="22"/>
      <c r="N34" s="22"/>
      <c r="O34" s="22"/>
      <c r="P34" s="22"/>
      <c r="Q34" s="22"/>
      <c r="R34" s="36"/>
      <c r="S34" s="44"/>
      <c r="T34" s="47"/>
      <c r="U34" s="52">
        <f t="shared" si="2"/>
        <v>0</v>
      </c>
      <c r="V34" s="23" t="str">
        <f t="shared" si="3"/>
        <v>OK</v>
      </c>
    </row>
    <row r="35" spans="1:22" ht="16.5" hidden="1" customHeight="1" x14ac:dyDescent="0.3">
      <c r="A35" s="62" t="s">
        <v>57</v>
      </c>
      <c r="B35" s="62">
        <v>11350</v>
      </c>
      <c r="C35" s="12" t="s">
        <v>56</v>
      </c>
      <c r="D35" s="53"/>
      <c r="E35" s="13"/>
      <c r="F35" s="13"/>
      <c r="G35" s="14"/>
      <c r="H35" s="15"/>
      <c r="I35" s="16">
        <f t="shared" si="4"/>
        <v>0</v>
      </c>
      <c r="J35" s="16"/>
      <c r="K35" s="11"/>
      <c r="L35" s="16"/>
      <c r="M35" s="16"/>
      <c r="N35" s="16"/>
      <c r="O35" s="16"/>
      <c r="P35" s="16"/>
      <c r="Q35" s="16"/>
      <c r="R35" s="35"/>
      <c r="S35" s="43"/>
      <c r="T35" s="46"/>
      <c r="U35" s="51">
        <f t="shared" si="2"/>
        <v>0</v>
      </c>
      <c r="V35" s="17" t="str">
        <f t="shared" si="3"/>
        <v>OK</v>
      </c>
    </row>
    <row r="36" spans="1:22" ht="16.5" hidden="1" customHeight="1" x14ac:dyDescent="0.3">
      <c r="A36" s="63" t="s">
        <v>72</v>
      </c>
      <c r="B36" s="63">
        <v>5635</v>
      </c>
      <c r="C36" s="18" t="s">
        <v>55</v>
      </c>
      <c r="D36" s="19"/>
      <c r="E36" s="19"/>
      <c r="F36" s="19"/>
      <c r="G36" s="20"/>
      <c r="H36" s="21"/>
      <c r="I36" s="22">
        <f t="shared" si="4"/>
        <v>0</v>
      </c>
      <c r="J36" s="22"/>
      <c r="K36" s="11"/>
      <c r="L36" s="22"/>
      <c r="M36" s="22"/>
      <c r="N36" s="22"/>
      <c r="O36" s="22"/>
      <c r="P36" s="22"/>
      <c r="Q36" s="22"/>
      <c r="R36" s="36"/>
      <c r="S36" s="44"/>
      <c r="T36" s="47"/>
      <c r="U36" s="52">
        <f t="shared" si="2"/>
        <v>0</v>
      </c>
      <c r="V36" s="23" t="str">
        <f t="shared" si="3"/>
        <v>OK</v>
      </c>
    </row>
    <row r="37" spans="1:22" ht="16.5" hidden="1" customHeight="1" x14ac:dyDescent="0.3">
      <c r="A37" s="62" t="s">
        <v>58</v>
      </c>
      <c r="B37" s="62">
        <v>11349</v>
      </c>
      <c r="C37" s="12" t="s">
        <v>55</v>
      </c>
      <c r="D37" s="53"/>
      <c r="E37" s="13"/>
      <c r="F37" s="13"/>
      <c r="G37" s="14"/>
      <c r="H37" s="15"/>
      <c r="I37" s="16">
        <f t="shared" si="4"/>
        <v>0</v>
      </c>
      <c r="J37" s="16"/>
      <c r="K37" s="11"/>
      <c r="L37" s="16"/>
      <c r="M37" s="16"/>
      <c r="N37" s="16"/>
      <c r="O37" s="16"/>
      <c r="P37" s="16"/>
      <c r="Q37" s="16"/>
      <c r="R37" s="35"/>
      <c r="S37" s="43"/>
      <c r="T37" s="46"/>
      <c r="U37" s="51">
        <f t="shared" ref="U37:U55" si="5">SUM(L37:T37)</f>
        <v>0</v>
      </c>
      <c r="V37" s="17" t="str">
        <f t="shared" si="3"/>
        <v>OK</v>
      </c>
    </row>
    <row r="38" spans="1:22" ht="16.5" hidden="1" customHeight="1" x14ac:dyDescent="0.3">
      <c r="A38" s="63" t="s">
        <v>73</v>
      </c>
      <c r="B38" s="63">
        <v>5627</v>
      </c>
      <c r="C38" s="18" t="s">
        <v>56</v>
      </c>
      <c r="D38" s="19"/>
      <c r="E38" s="19"/>
      <c r="F38" s="19"/>
      <c r="G38" s="20"/>
      <c r="H38" s="21"/>
      <c r="I38" s="22">
        <f t="shared" si="4"/>
        <v>0</v>
      </c>
      <c r="J38" s="22"/>
      <c r="K38" s="11"/>
      <c r="L38" s="22"/>
      <c r="M38" s="22"/>
      <c r="N38" s="22"/>
      <c r="O38" s="22"/>
      <c r="P38" s="22"/>
      <c r="Q38" s="22"/>
      <c r="R38" s="36"/>
      <c r="S38" s="44"/>
      <c r="T38" s="47"/>
      <c r="U38" s="52">
        <f t="shared" si="5"/>
        <v>0</v>
      </c>
      <c r="V38" s="23" t="str">
        <f t="shared" si="3"/>
        <v>OK</v>
      </c>
    </row>
    <row r="39" spans="1:22" ht="16.5" hidden="1" customHeight="1" x14ac:dyDescent="0.3">
      <c r="A39" s="62" t="s">
        <v>59</v>
      </c>
      <c r="B39" s="62">
        <v>11348</v>
      </c>
      <c r="C39" s="12" t="s">
        <v>56</v>
      </c>
      <c r="D39" s="53"/>
      <c r="E39" s="13"/>
      <c r="F39" s="13"/>
      <c r="G39" s="14"/>
      <c r="H39" s="15"/>
      <c r="I39" s="16">
        <f t="shared" si="4"/>
        <v>0</v>
      </c>
      <c r="J39" s="16"/>
      <c r="K39" s="11"/>
      <c r="L39" s="16"/>
      <c r="M39" s="16"/>
      <c r="N39" s="16"/>
      <c r="O39" s="16"/>
      <c r="P39" s="16"/>
      <c r="Q39" s="16"/>
      <c r="R39" s="35"/>
      <c r="S39" s="43"/>
      <c r="T39" s="46"/>
      <c r="U39" s="51">
        <f t="shared" si="5"/>
        <v>0</v>
      </c>
      <c r="V39" s="17" t="str">
        <f t="shared" si="3"/>
        <v>OK</v>
      </c>
    </row>
    <row r="40" spans="1:22" ht="16.5" hidden="1" customHeight="1" x14ac:dyDescent="0.3">
      <c r="A40" s="63" t="s">
        <v>74</v>
      </c>
      <c r="B40" s="63">
        <v>5619</v>
      </c>
      <c r="C40" s="18" t="s">
        <v>60</v>
      </c>
      <c r="D40" s="19"/>
      <c r="E40" s="19"/>
      <c r="F40" s="19"/>
      <c r="G40" s="20"/>
      <c r="H40" s="21"/>
      <c r="I40" s="22">
        <f t="shared" si="4"/>
        <v>0</v>
      </c>
      <c r="J40" s="22"/>
      <c r="K40" s="11"/>
      <c r="L40" s="22"/>
      <c r="M40" s="22"/>
      <c r="N40" s="22"/>
      <c r="O40" s="22"/>
      <c r="P40" s="22"/>
      <c r="Q40" s="22"/>
      <c r="R40" s="36"/>
      <c r="S40" s="44"/>
      <c r="T40" s="47"/>
      <c r="U40" s="52">
        <f t="shared" si="5"/>
        <v>0</v>
      </c>
      <c r="V40" s="23" t="str">
        <f t="shared" si="3"/>
        <v>OK</v>
      </c>
    </row>
    <row r="41" spans="1:22" ht="16.5" hidden="1" customHeight="1" x14ac:dyDescent="0.3">
      <c r="A41" s="64" t="s">
        <v>61</v>
      </c>
      <c r="B41" s="62">
        <v>11347</v>
      </c>
      <c r="C41" s="12" t="s">
        <v>60</v>
      </c>
      <c r="D41" s="53"/>
      <c r="E41" s="13"/>
      <c r="F41" s="13"/>
      <c r="G41" s="14"/>
      <c r="H41" s="15"/>
      <c r="I41" s="16">
        <f t="shared" si="4"/>
        <v>0</v>
      </c>
      <c r="J41" s="16"/>
      <c r="K41" s="11"/>
      <c r="L41" s="16"/>
      <c r="M41" s="16"/>
      <c r="N41" s="16"/>
      <c r="O41" s="16"/>
      <c r="P41" s="16"/>
      <c r="Q41" s="16"/>
      <c r="R41" s="35"/>
      <c r="S41" s="43"/>
      <c r="T41" s="46"/>
      <c r="U41" s="51">
        <f t="shared" si="5"/>
        <v>0</v>
      </c>
      <c r="V41" s="17" t="str">
        <f t="shared" si="3"/>
        <v>OK</v>
      </c>
    </row>
    <row r="42" spans="1:22" hidden="1" x14ac:dyDescent="0.3">
      <c r="A42" s="54" t="s">
        <v>75</v>
      </c>
      <c r="B42" s="63">
        <v>5611</v>
      </c>
      <c r="C42" s="18" t="s">
        <v>62</v>
      </c>
      <c r="D42" s="19"/>
      <c r="E42" s="19"/>
      <c r="F42" s="19"/>
      <c r="G42" s="20"/>
      <c r="H42" s="21"/>
      <c r="I42" s="22">
        <f t="shared" si="4"/>
        <v>0</v>
      </c>
      <c r="J42" s="22"/>
      <c r="K42" s="11"/>
      <c r="L42" s="22"/>
      <c r="M42" s="22"/>
      <c r="N42" s="22"/>
      <c r="O42" s="22"/>
      <c r="P42" s="22"/>
      <c r="Q42" s="22"/>
      <c r="R42" s="36"/>
      <c r="S42" s="44"/>
      <c r="T42" s="47"/>
      <c r="U42" s="52">
        <f t="shared" si="5"/>
        <v>0</v>
      </c>
      <c r="V42" s="23" t="str">
        <f t="shared" si="3"/>
        <v>OK</v>
      </c>
    </row>
    <row r="43" spans="1:22" ht="16.5" hidden="1" customHeight="1" x14ac:dyDescent="0.3">
      <c r="A43" s="12" t="s">
        <v>63</v>
      </c>
      <c r="B43" s="62">
        <v>11336</v>
      </c>
      <c r="C43" s="12" t="s">
        <v>62</v>
      </c>
      <c r="D43" s="53"/>
      <c r="E43" s="13"/>
      <c r="F43" s="13"/>
      <c r="G43" s="14"/>
      <c r="H43" s="15"/>
      <c r="I43" s="16">
        <f t="shared" si="4"/>
        <v>0</v>
      </c>
      <c r="J43" s="16"/>
      <c r="K43" s="11"/>
      <c r="L43" s="16"/>
      <c r="M43" s="16"/>
      <c r="N43" s="16"/>
      <c r="O43" s="16"/>
      <c r="P43" s="16"/>
      <c r="Q43" s="16"/>
      <c r="R43" s="35"/>
      <c r="S43" s="43"/>
      <c r="T43" s="46"/>
      <c r="U43" s="51">
        <f t="shared" si="5"/>
        <v>0</v>
      </c>
      <c r="V43" s="17" t="str">
        <f t="shared" si="3"/>
        <v>OK</v>
      </c>
    </row>
    <row r="44" spans="1:22" ht="16.5" hidden="1" customHeight="1" x14ac:dyDescent="0.3">
      <c r="A44" s="54" t="s">
        <v>100</v>
      </c>
      <c r="B44" s="63">
        <v>14860</v>
      </c>
      <c r="C44" s="18" t="s">
        <v>56</v>
      </c>
      <c r="D44" s="19"/>
      <c r="E44" s="19"/>
      <c r="F44" s="19"/>
      <c r="G44" s="20"/>
      <c r="H44" s="21"/>
      <c r="I44" s="22">
        <f t="shared" si="4"/>
        <v>0</v>
      </c>
      <c r="J44" s="22"/>
      <c r="K44" s="11"/>
      <c r="L44" s="22"/>
      <c r="M44" s="22"/>
      <c r="N44" s="22"/>
      <c r="O44" s="22"/>
      <c r="P44" s="22"/>
      <c r="Q44" s="22"/>
      <c r="R44" s="36"/>
      <c r="S44" s="44"/>
      <c r="T44" s="47"/>
      <c r="U44" s="52">
        <f t="shared" si="5"/>
        <v>0</v>
      </c>
      <c r="V44" s="23" t="str">
        <f t="shared" si="3"/>
        <v>OK</v>
      </c>
    </row>
    <row r="45" spans="1:22" ht="16.5" hidden="1" customHeight="1" x14ac:dyDescent="0.3">
      <c r="A45" s="64" t="s">
        <v>83</v>
      </c>
      <c r="B45" s="62">
        <v>14861</v>
      </c>
      <c r="C45" s="12" t="s">
        <v>56</v>
      </c>
      <c r="D45" s="53"/>
      <c r="E45" s="13"/>
      <c r="F45" s="13"/>
      <c r="G45" s="14"/>
      <c r="H45" s="15"/>
      <c r="I45" s="16">
        <f t="shared" si="4"/>
        <v>0</v>
      </c>
      <c r="J45" s="16"/>
      <c r="K45" s="11"/>
      <c r="L45" s="16"/>
      <c r="M45" s="16"/>
      <c r="N45" s="16"/>
      <c r="O45" s="16"/>
      <c r="P45" s="16"/>
      <c r="Q45" s="16"/>
      <c r="R45" s="35"/>
      <c r="S45" s="43"/>
      <c r="T45" s="46"/>
      <c r="U45" s="51">
        <f t="shared" si="5"/>
        <v>0</v>
      </c>
      <c r="V45" s="17" t="str">
        <f t="shared" si="3"/>
        <v>OK</v>
      </c>
    </row>
    <row r="46" spans="1:22" ht="16.5" hidden="1" customHeight="1" x14ac:dyDescent="0.3">
      <c r="A46" s="54" t="s">
        <v>101</v>
      </c>
      <c r="B46" s="63">
        <v>15096</v>
      </c>
      <c r="C46" s="18" t="s">
        <v>56</v>
      </c>
      <c r="D46" s="19"/>
      <c r="E46" s="19"/>
      <c r="F46" s="19"/>
      <c r="G46" s="20"/>
      <c r="H46" s="21"/>
      <c r="I46" s="22">
        <f t="shared" si="4"/>
        <v>0</v>
      </c>
      <c r="J46" s="22"/>
      <c r="K46" s="11"/>
      <c r="L46" s="22"/>
      <c r="M46" s="22"/>
      <c r="N46" s="22"/>
      <c r="O46" s="22"/>
      <c r="P46" s="22"/>
      <c r="Q46" s="22"/>
      <c r="R46" s="36"/>
      <c r="S46" s="44"/>
      <c r="T46" s="47"/>
      <c r="U46" s="52">
        <f t="shared" si="5"/>
        <v>0</v>
      </c>
      <c r="V46" s="23" t="str">
        <f t="shared" si="3"/>
        <v>OK</v>
      </c>
    </row>
    <row r="47" spans="1:22" ht="16.5" hidden="1" customHeight="1" x14ac:dyDescent="0.3">
      <c r="A47" s="12" t="s">
        <v>81</v>
      </c>
      <c r="B47" s="62">
        <v>15097</v>
      </c>
      <c r="C47" s="12" t="s">
        <v>56</v>
      </c>
      <c r="D47" s="53"/>
      <c r="E47" s="13"/>
      <c r="F47" s="13"/>
      <c r="G47" s="14"/>
      <c r="H47" s="15"/>
      <c r="I47" s="16">
        <f t="shared" si="4"/>
        <v>0</v>
      </c>
      <c r="J47" s="16"/>
      <c r="K47" s="11"/>
      <c r="L47" s="16"/>
      <c r="M47" s="16"/>
      <c r="N47" s="16"/>
      <c r="O47" s="16"/>
      <c r="P47" s="16"/>
      <c r="Q47" s="16"/>
      <c r="R47" s="35"/>
      <c r="S47" s="43"/>
      <c r="T47" s="46"/>
      <c r="U47" s="51">
        <f t="shared" si="5"/>
        <v>0</v>
      </c>
      <c r="V47" s="17" t="str">
        <f t="shared" si="3"/>
        <v>OK</v>
      </c>
    </row>
    <row r="48" spans="1:22" ht="16.5" hidden="1" customHeight="1" x14ac:dyDescent="0.3">
      <c r="A48" s="54" t="s">
        <v>76</v>
      </c>
      <c r="B48" s="63">
        <v>5585</v>
      </c>
      <c r="C48" s="18" t="s">
        <v>64</v>
      </c>
      <c r="D48" s="19"/>
      <c r="E48" s="19"/>
      <c r="F48" s="19"/>
      <c r="G48" s="20"/>
      <c r="H48" s="21"/>
      <c r="I48" s="22">
        <f t="shared" si="4"/>
        <v>0</v>
      </c>
      <c r="J48" s="22"/>
      <c r="K48" s="11"/>
      <c r="L48" s="22"/>
      <c r="M48" s="22"/>
      <c r="N48" s="22"/>
      <c r="O48" s="22"/>
      <c r="P48" s="22"/>
      <c r="Q48" s="22"/>
      <c r="R48" s="36"/>
      <c r="S48" s="44"/>
      <c r="T48" s="47"/>
      <c r="U48" s="52">
        <f t="shared" si="5"/>
        <v>0</v>
      </c>
      <c r="V48" s="23" t="str">
        <f t="shared" si="3"/>
        <v>OK</v>
      </c>
    </row>
    <row r="49" spans="1:22" ht="16.5" hidden="1" customHeight="1" x14ac:dyDescent="0.3">
      <c r="A49" s="12" t="s">
        <v>65</v>
      </c>
      <c r="B49" s="62">
        <v>11351</v>
      </c>
      <c r="C49" s="12" t="s">
        <v>64</v>
      </c>
      <c r="D49" s="53"/>
      <c r="E49" s="13"/>
      <c r="F49" s="13"/>
      <c r="G49" s="14"/>
      <c r="H49" s="15"/>
      <c r="I49" s="16">
        <f t="shared" si="4"/>
        <v>0</v>
      </c>
      <c r="J49" s="16"/>
      <c r="K49" s="11"/>
      <c r="L49" s="16"/>
      <c r="M49" s="16"/>
      <c r="N49" s="16"/>
      <c r="O49" s="16"/>
      <c r="P49" s="16"/>
      <c r="Q49" s="16"/>
      <c r="R49" s="35"/>
      <c r="S49" s="43"/>
      <c r="T49" s="46"/>
      <c r="U49" s="51">
        <f t="shared" si="5"/>
        <v>0</v>
      </c>
      <c r="V49" s="17" t="str">
        <f t="shared" si="3"/>
        <v>OK</v>
      </c>
    </row>
    <row r="50" spans="1:22" ht="16.5" hidden="1" customHeight="1" x14ac:dyDescent="0.3">
      <c r="A50" s="54" t="s">
        <v>66</v>
      </c>
      <c r="B50" s="63">
        <v>11352</v>
      </c>
      <c r="C50" s="18" t="s">
        <v>64</v>
      </c>
      <c r="D50" s="19"/>
      <c r="E50" s="19"/>
      <c r="F50" s="19"/>
      <c r="G50" s="20"/>
      <c r="H50" s="21"/>
      <c r="I50" s="22">
        <f t="shared" si="4"/>
        <v>0</v>
      </c>
      <c r="J50" s="22"/>
      <c r="K50" s="11"/>
      <c r="L50" s="22"/>
      <c r="M50" s="22"/>
      <c r="N50" s="22"/>
      <c r="O50" s="22"/>
      <c r="P50" s="22"/>
      <c r="Q50" s="22"/>
      <c r="R50" s="36"/>
      <c r="S50" s="44"/>
      <c r="T50" s="47"/>
      <c r="U50" s="52">
        <f t="shared" si="5"/>
        <v>0</v>
      </c>
      <c r="V50" s="23" t="str">
        <f t="shared" si="3"/>
        <v>OK</v>
      </c>
    </row>
    <row r="51" spans="1:22" ht="16.5" hidden="1" customHeight="1" x14ac:dyDescent="0.3">
      <c r="A51" s="90" t="s">
        <v>102</v>
      </c>
      <c r="B51" s="76">
        <v>13515</v>
      </c>
      <c r="C51" s="70" t="s">
        <v>78</v>
      </c>
      <c r="D51" s="70"/>
      <c r="E51" s="70"/>
      <c r="F51" s="70"/>
      <c r="G51" s="91"/>
      <c r="H51" s="82"/>
      <c r="I51" s="82">
        <f t="shared" si="4"/>
        <v>0</v>
      </c>
      <c r="J51" s="74"/>
      <c r="K51" s="11"/>
      <c r="L51" s="16"/>
      <c r="M51" s="16"/>
      <c r="N51" s="16"/>
      <c r="O51" s="16"/>
      <c r="P51" s="16"/>
      <c r="Q51" s="16"/>
      <c r="R51" s="35"/>
      <c r="S51" s="43"/>
      <c r="T51" s="46"/>
      <c r="U51" s="75">
        <f t="shared" si="5"/>
        <v>0</v>
      </c>
      <c r="V51" s="93" t="str">
        <f t="shared" si="3"/>
        <v>OK</v>
      </c>
    </row>
    <row r="52" spans="1:22" ht="16.5" hidden="1" customHeight="1" x14ac:dyDescent="0.3">
      <c r="A52" s="54" t="s">
        <v>103</v>
      </c>
      <c r="B52" s="63">
        <v>13516</v>
      </c>
      <c r="C52" s="18" t="s">
        <v>78</v>
      </c>
      <c r="D52" s="18"/>
      <c r="E52" s="18"/>
      <c r="F52" s="18"/>
      <c r="G52" s="92"/>
      <c r="H52" s="22"/>
      <c r="I52" s="22">
        <f t="shared" si="4"/>
        <v>0</v>
      </c>
      <c r="J52" s="69"/>
      <c r="K52" s="11"/>
      <c r="L52" s="22"/>
      <c r="M52" s="22"/>
      <c r="N52" s="22"/>
      <c r="O52" s="22"/>
      <c r="P52" s="22"/>
      <c r="Q52" s="22"/>
      <c r="R52" s="36"/>
      <c r="S52" s="44"/>
      <c r="T52" s="47"/>
      <c r="U52" s="52">
        <f t="shared" si="5"/>
        <v>0</v>
      </c>
      <c r="V52" s="23" t="str">
        <f t="shared" si="3"/>
        <v>OK</v>
      </c>
    </row>
    <row r="53" spans="1:22" ht="16.5" customHeight="1" x14ac:dyDescent="0.3">
      <c r="A53" s="90" t="s">
        <v>104</v>
      </c>
      <c r="B53" s="76">
        <v>13468</v>
      </c>
      <c r="C53" s="70" t="s">
        <v>78</v>
      </c>
      <c r="D53" s="70"/>
      <c r="E53" s="70"/>
      <c r="F53" s="70"/>
      <c r="G53" s="91"/>
      <c r="H53" s="82"/>
      <c r="I53" s="82">
        <f t="shared" si="4"/>
        <v>5</v>
      </c>
      <c r="J53" s="74"/>
      <c r="K53" s="11"/>
      <c r="L53" s="16"/>
      <c r="M53" s="16">
        <v>5</v>
      </c>
      <c r="N53" s="16"/>
      <c r="O53" s="16"/>
      <c r="P53" s="16"/>
      <c r="Q53" s="16"/>
      <c r="R53" s="35"/>
      <c r="S53" s="43"/>
      <c r="T53" s="46"/>
      <c r="U53" s="75">
        <f t="shared" si="5"/>
        <v>5</v>
      </c>
      <c r="V53" s="93" t="str">
        <f t="shared" si="3"/>
        <v>OK</v>
      </c>
    </row>
    <row r="54" spans="1:22" ht="16.5" hidden="1" customHeight="1" x14ac:dyDescent="0.3">
      <c r="A54" s="54" t="s">
        <v>79</v>
      </c>
      <c r="B54" s="63">
        <v>13469</v>
      </c>
      <c r="C54" s="18" t="s">
        <v>78</v>
      </c>
      <c r="D54" s="18"/>
      <c r="E54" s="18"/>
      <c r="F54" s="18"/>
      <c r="G54" s="92"/>
      <c r="H54" s="22"/>
      <c r="I54" s="22">
        <f t="shared" si="4"/>
        <v>0</v>
      </c>
      <c r="J54" s="69"/>
      <c r="K54" s="11"/>
      <c r="L54" s="22"/>
      <c r="M54" s="22"/>
      <c r="N54" s="22"/>
      <c r="O54" s="22"/>
      <c r="P54" s="22"/>
      <c r="Q54" s="22"/>
      <c r="R54" s="36"/>
      <c r="S54" s="44"/>
      <c r="T54" s="47"/>
      <c r="U54" s="52">
        <f t="shared" si="5"/>
        <v>0</v>
      </c>
      <c r="V54" s="23" t="str">
        <f t="shared" si="3"/>
        <v>OK</v>
      </c>
    </row>
    <row r="55" spans="1:22" ht="16.5" hidden="1" customHeight="1" x14ac:dyDescent="0.3">
      <c r="A55" s="90" t="s">
        <v>43</v>
      </c>
      <c r="B55" s="76">
        <v>11820</v>
      </c>
      <c r="C55" s="70" t="s">
        <v>67</v>
      </c>
      <c r="D55" s="70"/>
      <c r="E55" s="70"/>
      <c r="F55" s="70"/>
      <c r="G55" s="91"/>
      <c r="H55" s="82"/>
      <c r="I55" s="82">
        <f t="shared" si="4"/>
        <v>0</v>
      </c>
      <c r="J55" s="74"/>
      <c r="K55" s="11"/>
      <c r="L55" s="16"/>
      <c r="M55" s="16"/>
      <c r="N55" s="16"/>
      <c r="O55" s="16"/>
      <c r="P55" s="16"/>
      <c r="Q55" s="16"/>
      <c r="R55" s="35"/>
      <c r="S55" s="43"/>
      <c r="T55" s="46"/>
      <c r="U55" s="75">
        <f t="shared" si="5"/>
        <v>0</v>
      </c>
      <c r="V55" s="93" t="str">
        <f t="shared" si="3"/>
        <v>OK</v>
      </c>
    </row>
    <row r="56" spans="1:22" ht="16.5" hidden="1" customHeight="1" x14ac:dyDescent="0.3">
      <c r="A56" s="54" t="s">
        <v>44</v>
      </c>
      <c r="B56" s="63">
        <v>11816</v>
      </c>
      <c r="C56" s="18" t="s">
        <v>67</v>
      </c>
      <c r="D56" s="18"/>
      <c r="E56" s="18"/>
      <c r="F56" s="18"/>
      <c r="G56" s="92"/>
      <c r="H56" s="22"/>
      <c r="I56" s="22">
        <f t="shared" si="4"/>
        <v>0</v>
      </c>
      <c r="J56" s="69"/>
      <c r="K56" s="11"/>
      <c r="L56" s="22"/>
      <c r="M56" s="22"/>
      <c r="N56" s="22"/>
      <c r="O56" s="22"/>
      <c r="P56" s="22"/>
      <c r="Q56" s="22"/>
      <c r="R56" s="36"/>
      <c r="S56" s="44"/>
      <c r="T56" s="47"/>
      <c r="U56" s="52">
        <f>SUM(L56:T56)</f>
        <v>0</v>
      </c>
      <c r="V56" s="23" t="str">
        <f t="shared" si="3"/>
        <v>OK</v>
      </c>
    </row>
    <row r="57" spans="1:22" ht="16.5" hidden="1" customHeight="1" x14ac:dyDescent="0.3">
      <c r="A57" s="76" t="s">
        <v>77</v>
      </c>
      <c r="B57" s="76">
        <v>11381</v>
      </c>
      <c r="C57" s="77" t="s">
        <v>68</v>
      </c>
      <c r="D57" s="70"/>
      <c r="E57" s="70"/>
      <c r="F57" s="70"/>
      <c r="G57" s="91"/>
      <c r="H57" s="82"/>
      <c r="I57" s="82">
        <f t="shared" si="4"/>
        <v>0</v>
      </c>
      <c r="J57" s="74"/>
      <c r="K57" s="11"/>
      <c r="L57" s="16"/>
      <c r="M57" s="16"/>
      <c r="N57" s="16"/>
      <c r="O57" s="16"/>
      <c r="P57" s="16"/>
      <c r="Q57" s="16"/>
      <c r="R57" s="35"/>
      <c r="S57" s="43"/>
      <c r="T57" s="46"/>
      <c r="U57" s="75">
        <f>SUM(L57:T57)</f>
        <v>0</v>
      </c>
      <c r="V57" s="93" t="str">
        <f t="shared" si="3"/>
        <v>OK</v>
      </c>
    </row>
    <row r="58" spans="1:22" ht="16.5" hidden="1" customHeight="1" x14ac:dyDescent="0.3">
      <c r="A58" s="54" t="s">
        <v>69</v>
      </c>
      <c r="B58" s="63">
        <v>11382</v>
      </c>
      <c r="C58" s="18" t="s">
        <v>68</v>
      </c>
      <c r="D58" s="18"/>
      <c r="E58" s="18"/>
      <c r="F58" s="18"/>
      <c r="G58" s="92"/>
      <c r="H58" s="22"/>
      <c r="I58" s="22">
        <f t="shared" si="4"/>
        <v>0</v>
      </c>
      <c r="J58" s="69"/>
      <c r="K58" s="11"/>
      <c r="L58" s="22"/>
      <c r="M58" s="22"/>
      <c r="N58" s="22"/>
      <c r="O58" s="22"/>
      <c r="P58" s="22"/>
      <c r="Q58" s="22"/>
      <c r="R58" s="36"/>
      <c r="S58" s="44"/>
      <c r="T58" s="47"/>
      <c r="U58" s="52">
        <f>SUM(L58:T58)</f>
        <v>0</v>
      </c>
      <c r="V58" s="23" t="str">
        <f t="shared" si="3"/>
        <v>OK</v>
      </c>
    </row>
    <row r="59" spans="1:22" ht="16.5" hidden="1" customHeight="1" x14ac:dyDescent="0.3">
      <c r="A59" s="96" t="s">
        <v>105</v>
      </c>
      <c r="B59" s="76">
        <v>16586</v>
      </c>
      <c r="C59" s="70" t="s">
        <v>78</v>
      </c>
      <c r="D59" s="70"/>
      <c r="E59" s="70"/>
      <c r="F59" s="70"/>
      <c r="G59" s="91"/>
      <c r="H59" s="82"/>
      <c r="I59" s="82">
        <f t="shared" si="4"/>
        <v>0</v>
      </c>
      <c r="J59" s="74"/>
      <c r="K59" s="11"/>
      <c r="L59" s="16"/>
      <c r="M59" s="16"/>
      <c r="N59" s="16"/>
      <c r="O59" s="16"/>
      <c r="P59" s="16"/>
      <c r="Q59" s="16"/>
      <c r="R59" s="35"/>
      <c r="S59" s="43"/>
      <c r="T59" s="46"/>
      <c r="U59" s="75">
        <f t="shared" ref="U59:U69" si="6">SUM(L59:T59)</f>
        <v>0</v>
      </c>
      <c r="V59" s="93" t="str">
        <f t="shared" si="3"/>
        <v>OK</v>
      </c>
    </row>
    <row r="60" spans="1:22" ht="16.5" hidden="1" customHeight="1" x14ac:dyDescent="0.3">
      <c r="A60" s="54" t="s">
        <v>90</v>
      </c>
      <c r="B60" s="63">
        <v>16587</v>
      </c>
      <c r="C60" s="18" t="s">
        <v>78</v>
      </c>
      <c r="D60" s="18"/>
      <c r="E60" s="18"/>
      <c r="F60" s="18"/>
      <c r="G60" s="92"/>
      <c r="H60" s="22"/>
      <c r="I60" s="22">
        <f t="shared" si="4"/>
        <v>0</v>
      </c>
      <c r="J60" s="69"/>
      <c r="K60" s="11"/>
      <c r="L60" s="22"/>
      <c r="M60" s="22"/>
      <c r="N60" s="22"/>
      <c r="O60" s="22"/>
      <c r="P60" s="22"/>
      <c r="Q60" s="22"/>
      <c r="R60" s="36"/>
      <c r="S60" s="44"/>
      <c r="T60" s="47"/>
      <c r="U60" s="52">
        <f t="shared" si="6"/>
        <v>0</v>
      </c>
      <c r="V60" s="23" t="str">
        <f t="shared" si="3"/>
        <v>OK</v>
      </c>
    </row>
    <row r="61" spans="1:22" ht="16.5" hidden="1" customHeight="1" x14ac:dyDescent="0.3">
      <c r="A61" s="90" t="s">
        <v>91</v>
      </c>
      <c r="B61" s="76">
        <v>17121</v>
      </c>
      <c r="C61" s="70" t="s">
        <v>92</v>
      </c>
      <c r="D61" s="70"/>
      <c r="E61" s="70"/>
      <c r="F61" s="70"/>
      <c r="G61" s="91"/>
      <c r="H61" s="82"/>
      <c r="I61" s="82">
        <f t="shared" si="4"/>
        <v>0</v>
      </c>
      <c r="J61" s="74"/>
      <c r="K61" s="11"/>
      <c r="L61" s="16"/>
      <c r="M61" s="16"/>
      <c r="N61" s="16"/>
      <c r="O61" s="16"/>
      <c r="P61" s="16"/>
      <c r="Q61" s="16"/>
      <c r="R61" s="35"/>
      <c r="S61" s="43"/>
      <c r="T61" s="46"/>
      <c r="U61" s="75">
        <f t="shared" si="6"/>
        <v>0</v>
      </c>
      <c r="V61" s="93" t="str">
        <f t="shared" si="3"/>
        <v>OK</v>
      </c>
    </row>
    <row r="62" spans="1:22" ht="16.5" hidden="1" customHeight="1" x14ac:dyDescent="0.3">
      <c r="A62" s="54" t="s">
        <v>106</v>
      </c>
      <c r="B62" s="63">
        <v>19270</v>
      </c>
      <c r="C62" s="18" t="s">
        <v>68</v>
      </c>
      <c r="D62" s="18"/>
      <c r="E62" s="18"/>
      <c r="F62" s="18"/>
      <c r="G62" s="92"/>
      <c r="H62" s="22"/>
      <c r="I62" s="22">
        <f t="shared" si="4"/>
        <v>0</v>
      </c>
      <c r="J62" s="69"/>
      <c r="K62" s="11"/>
      <c r="L62" s="22"/>
      <c r="M62" s="22"/>
      <c r="N62" s="22"/>
      <c r="O62" s="22"/>
      <c r="P62" s="22"/>
      <c r="Q62" s="22"/>
      <c r="R62" s="36"/>
      <c r="S62" s="44"/>
      <c r="T62" s="47"/>
      <c r="U62" s="71">
        <f t="shared" si="6"/>
        <v>0</v>
      </c>
      <c r="V62" s="23" t="str">
        <f t="shared" si="3"/>
        <v>OK</v>
      </c>
    </row>
    <row r="63" spans="1:22" ht="16.5" hidden="1" customHeight="1" x14ac:dyDescent="0.3">
      <c r="A63" s="90" t="s">
        <v>107</v>
      </c>
      <c r="B63" s="76">
        <v>19276</v>
      </c>
      <c r="C63" s="70" t="s">
        <v>68</v>
      </c>
      <c r="D63" s="70"/>
      <c r="E63" s="70"/>
      <c r="F63" s="70"/>
      <c r="G63" s="91"/>
      <c r="H63" s="82"/>
      <c r="I63" s="82">
        <f t="shared" si="4"/>
        <v>0</v>
      </c>
      <c r="J63" s="74"/>
      <c r="K63" s="11"/>
      <c r="L63" s="16"/>
      <c r="M63" s="16"/>
      <c r="N63" s="16"/>
      <c r="O63" s="16"/>
      <c r="P63" s="16"/>
      <c r="Q63" s="16"/>
      <c r="R63" s="35"/>
      <c r="S63" s="43"/>
      <c r="T63" s="46"/>
      <c r="U63" s="75">
        <f t="shared" si="6"/>
        <v>0</v>
      </c>
      <c r="V63" s="93" t="str">
        <f t="shared" si="3"/>
        <v>OK</v>
      </c>
    </row>
    <row r="64" spans="1:22" ht="16.5" hidden="1" customHeight="1" x14ac:dyDescent="0.3">
      <c r="A64" s="54" t="s">
        <v>108</v>
      </c>
      <c r="B64" s="63">
        <v>19836</v>
      </c>
      <c r="C64" s="18" t="s">
        <v>45</v>
      </c>
      <c r="D64" s="18"/>
      <c r="E64" s="18"/>
      <c r="F64" s="18"/>
      <c r="G64" s="92"/>
      <c r="H64" s="22"/>
      <c r="I64" s="22">
        <f t="shared" si="4"/>
        <v>0</v>
      </c>
      <c r="J64" s="69"/>
      <c r="K64" s="11"/>
      <c r="L64" s="22"/>
      <c r="M64" s="22"/>
      <c r="N64" s="22"/>
      <c r="O64" s="22"/>
      <c r="P64" s="22"/>
      <c r="Q64" s="22"/>
      <c r="R64" s="36"/>
      <c r="S64" s="44"/>
      <c r="T64" s="47"/>
      <c r="U64" s="52">
        <f t="shared" si="6"/>
        <v>0</v>
      </c>
      <c r="V64" s="23" t="str">
        <f t="shared" si="3"/>
        <v>OK</v>
      </c>
    </row>
    <row r="65" spans="1:22" ht="16.5" hidden="1" customHeight="1" x14ac:dyDescent="0.3">
      <c r="A65" s="90" t="s">
        <v>109</v>
      </c>
      <c r="B65" s="76">
        <v>20278</v>
      </c>
      <c r="C65" s="70" t="s">
        <v>110</v>
      </c>
      <c r="D65" s="70"/>
      <c r="E65" s="70"/>
      <c r="F65" s="70"/>
      <c r="G65" s="91"/>
      <c r="H65" s="82"/>
      <c r="I65" s="82">
        <f t="shared" si="4"/>
        <v>0</v>
      </c>
      <c r="J65" s="74"/>
      <c r="K65" s="11"/>
      <c r="L65" s="16"/>
      <c r="M65" s="16"/>
      <c r="N65" s="16"/>
      <c r="O65" s="16"/>
      <c r="P65" s="16"/>
      <c r="Q65" s="16"/>
      <c r="R65" s="35"/>
      <c r="S65" s="43"/>
      <c r="T65" s="46"/>
      <c r="U65" s="75">
        <f t="shared" si="6"/>
        <v>0</v>
      </c>
      <c r="V65" s="93" t="str">
        <f t="shared" si="3"/>
        <v>OK</v>
      </c>
    </row>
    <row r="66" spans="1:22" ht="16.5" hidden="1" customHeight="1" x14ac:dyDescent="0.3">
      <c r="A66" s="54" t="s">
        <v>111</v>
      </c>
      <c r="B66" s="63">
        <v>20272</v>
      </c>
      <c r="C66" s="18" t="s">
        <v>110</v>
      </c>
      <c r="D66" s="18"/>
      <c r="E66" s="18"/>
      <c r="F66" s="18"/>
      <c r="G66" s="92"/>
      <c r="H66" s="22"/>
      <c r="I66" s="22">
        <f t="shared" si="4"/>
        <v>0</v>
      </c>
      <c r="J66" s="69"/>
      <c r="K66" s="11"/>
      <c r="L66" s="22"/>
      <c r="M66" s="22"/>
      <c r="N66" s="22"/>
      <c r="O66" s="22"/>
      <c r="P66" s="22"/>
      <c r="Q66" s="22"/>
      <c r="R66" s="36"/>
      <c r="S66" s="44"/>
      <c r="T66" s="47"/>
      <c r="U66" s="52">
        <f t="shared" si="6"/>
        <v>0</v>
      </c>
      <c r="V66" s="23" t="str">
        <f t="shared" si="3"/>
        <v>OK</v>
      </c>
    </row>
    <row r="67" spans="1:22" ht="16.5" hidden="1" customHeight="1" x14ac:dyDescent="0.3">
      <c r="A67" s="90" t="s">
        <v>112</v>
      </c>
      <c r="B67" s="76">
        <v>20956</v>
      </c>
      <c r="C67" s="70" t="s">
        <v>110</v>
      </c>
      <c r="D67" s="70"/>
      <c r="E67" s="70"/>
      <c r="F67" s="70"/>
      <c r="G67" s="91"/>
      <c r="H67" s="82"/>
      <c r="I67" s="82">
        <f t="shared" si="4"/>
        <v>0</v>
      </c>
      <c r="J67" s="74"/>
      <c r="K67" s="11"/>
      <c r="L67" s="16"/>
      <c r="M67" s="16"/>
      <c r="N67" s="16"/>
      <c r="O67" s="16"/>
      <c r="P67" s="16"/>
      <c r="Q67" s="16"/>
      <c r="R67" s="35"/>
      <c r="S67" s="43"/>
      <c r="T67" s="46"/>
      <c r="U67" s="75">
        <f t="shared" si="6"/>
        <v>0</v>
      </c>
      <c r="V67" s="93" t="str">
        <f t="shared" si="3"/>
        <v>OK</v>
      </c>
    </row>
    <row r="68" spans="1:22" ht="16.5" hidden="1" customHeight="1" x14ac:dyDescent="0.3">
      <c r="A68" s="54" t="s">
        <v>116</v>
      </c>
      <c r="B68" s="63">
        <v>21299</v>
      </c>
      <c r="C68" s="18" t="s">
        <v>78</v>
      </c>
      <c r="D68" s="18"/>
      <c r="E68" s="18"/>
      <c r="F68" s="18"/>
      <c r="G68" s="92"/>
      <c r="H68" s="22"/>
      <c r="I68" s="22">
        <f t="shared" si="4"/>
        <v>0</v>
      </c>
      <c r="J68" s="69"/>
      <c r="K68" s="11"/>
      <c r="L68" s="22"/>
      <c r="M68" s="22"/>
      <c r="N68" s="22"/>
      <c r="O68" s="22"/>
      <c r="P68" s="22"/>
      <c r="Q68" s="22"/>
      <c r="R68" s="36"/>
      <c r="S68" s="44"/>
      <c r="T68" s="47"/>
      <c r="U68" s="71">
        <f t="shared" si="6"/>
        <v>0</v>
      </c>
      <c r="V68" s="23" t="str">
        <f>IF(U68=I68,"OK","NG")</f>
        <v>OK</v>
      </c>
    </row>
    <row r="69" spans="1:22" hidden="1" x14ac:dyDescent="0.3">
      <c r="A69" s="99" t="s">
        <v>117</v>
      </c>
      <c r="B69" s="76">
        <v>22115</v>
      </c>
      <c r="C69" s="82" t="s">
        <v>118</v>
      </c>
      <c r="D69" s="82"/>
      <c r="E69" s="82"/>
      <c r="F69" s="82"/>
      <c r="G69" s="82"/>
      <c r="H69" s="82"/>
      <c r="I69" s="82">
        <f t="shared" si="4"/>
        <v>0</v>
      </c>
      <c r="J69" s="97"/>
      <c r="K69" s="112"/>
      <c r="L69" s="82"/>
      <c r="M69" s="82"/>
      <c r="N69" s="82"/>
      <c r="O69" s="82"/>
      <c r="P69" s="82"/>
      <c r="Q69" s="82"/>
      <c r="R69" s="83"/>
      <c r="S69" s="84"/>
      <c r="T69" s="100"/>
      <c r="U69" s="75">
        <f t="shared" si="6"/>
        <v>0</v>
      </c>
      <c r="V69" s="93" t="str">
        <f>IF(U69=I69,"OK","NG")</f>
        <v>OK</v>
      </c>
    </row>
    <row r="70" spans="1:22" ht="17.25" thickBot="1" x14ac:dyDescent="0.35">
      <c r="A70" s="54" t="s">
        <v>120</v>
      </c>
      <c r="B70" s="63">
        <v>22706</v>
      </c>
      <c r="C70" s="18" t="s">
        <v>119</v>
      </c>
      <c r="D70" s="18"/>
      <c r="E70" s="18"/>
      <c r="F70" s="18"/>
      <c r="G70" s="92"/>
      <c r="H70" s="22"/>
      <c r="I70" s="22">
        <f t="shared" si="4"/>
        <v>15</v>
      </c>
      <c r="J70" s="69"/>
      <c r="K70" s="11"/>
      <c r="L70" s="22"/>
      <c r="M70" s="22">
        <f>7+8</f>
        <v>15</v>
      </c>
      <c r="N70" s="22"/>
      <c r="O70" s="22"/>
      <c r="P70" s="22"/>
      <c r="Q70" s="22"/>
      <c r="R70" s="36"/>
      <c r="S70" s="44"/>
      <c r="T70" s="47"/>
      <c r="U70" s="71">
        <f t="shared" ref="U70" si="7">SUM(L70:T70)</f>
        <v>15</v>
      </c>
      <c r="V70" s="23" t="str">
        <f>IF(U70=I70,"OK","NG")</f>
        <v>OK</v>
      </c>
    </row>
    <row r="71" spans="1:22" ht="17.25" hidden="1" thickBot="1" x14ac:dyDescent="0.35">
      <c r="A71" s="99" t="s">
        <v>121</v>
      </c>
      <c r="B71" s="76">
        <v>22886</v>
      </c>
      <c r="C71" s="82" t="s">
        <v>46</v>
      </c>
      <c r="D71" s="82"/>
      <c r="E71" s="82"/>
      <c r="F71" s="82"/>
      <c r="G71" s="82"/>
      <c r="H71" s="82"/>
      <c r="I71" s="82">
        <f t="shared" ref="I71:I80" si="8">SUM(L71:T71)</f>
        <v>0</v>
      </c>
      <c r="J71" s="97"/>
      <c r="K71" s="112"/>
      <c r="L71" s="82"/>
      <c r="M71" s="82"/>
      <c r="N71" s="82"/>
      <c r="O71" s="82"/>
      <c r="P71" s="82"/>
      <c r="Q71" s="82"/>
      <c r="R71" s="83"/>
      <c r="S71" s="84"/>
      <c r="T71" s="100"/>
      <c r="U71" s="75">
        <f>SUM(L71:T71)</f>
        <v>0</v>
      </c>
      <c r="V71" s="93" t="str">
        <f>IF(U71=I71,"OK","NG")</f>
        <v>OK</v>
      </c>
    </row>
    <row r="72" spans="1:22" ht="17.25" hidden="1" thickBot="1" x14ac:dyDescent="0.35">
      <c r="A72" s="54" t="s">
        <v>122</v>
      </c>
      <c r="B72" s="63">
        <v>17528</v>
      </c>
      <c r="C72" s="18" t="s">
        <v>123</v>
      </c>
      <c r="D72" s="18"/>
      <c r="E72" s="18"/>
      <c r="F72" s="18"/>
      <c r="G72" s="92"/>
      <c r="H72" s="22"/>
      <c r="I72" s="22">
        <f t="shared" si="8"/>
        <v>0</v>
      </c>
      <c r="J72" s="69"/>
      <c r="K72" s="11"/>
      <c r="L72" s="22"/>
      <c r="M72" s="22"/>
      <c r="N72" s="22"/>
      <c r="O72" s="22"/>
      <c r="P72" s="22"/>
      <c r="Q72" s="22"/>
      <c r="R72" s="36"/>
      <c r="S72" s="44"/>
      <c r="T72" s="47"/>
      <c r="U72" s="71">
        <f t="shared" ref="U72:U80" si="9">SUM(L72:T72)</f>
        <v>0</v>
      </c>
      <c r="V72" s="95" t="str">
        <f t="shared" ref="V72:V80" si="10">IF(U72=I72,"OK","NG")</f>
        <v>OK</v>
      </c>
    </row>
    <row r="73" spans="1:22" ht="17.25" hidden="1" thickBot="1" x14ac:dyDescent="0.35">
      <c r="A73" s="99" t="s">
        <v>124</v>
      </c>
      <c r="B73" s="76">
        <v>22380</v>
      </c>
      <c r="C73" s="82" t="s">
        <v>47</v>
      </c>
      <c r="D73" s="82"/>
      <c r="E73" s="82"/>
      <c r="F73" s="82"/>
      <c r="G73" s="82"/>
      <c r="H73" s="82"/>
      <c r="I73" s="82">
        <f t="shared" si="8"/>
        <v>0</v>
      </c>
      <c r="J73" s="97"/>
      <c r="K73" s="112"/>
      <c r="L73" s="82"/>
      <c r="M73" s="82"/>
      <c r="N73" s="82"/>
      <c r="O73" s="82"/>
      <c r="P73" s="82"/>
      <c r="Q73" s="82"/>
      <c r="R73" s="83"/>
      <c r="S73" s="84"/>
      <c r="T73" s="100"/>
      <c r="U73" s="75">
        <f t="shared" si="9"/>
        <v>0</v>
      </c>
      <c r="V73" s="93" t="str">
        <f t="shared" si="10"/>
        <v>OK</v>
      </c>
    </row>
    <row r="74" spans="1:22" ht="17.25" hidden="1" thickBot="1" x14ac:dyDescent="0.35">
      <c r="A74" s="54" t="s">
        <v>125</v>
      </c>
      <c r="B74" s="63">
        <v>19279</v>
      </c>
      <c r="C74" s="18" t="s">
        <v>126</v>
      </c>
      <c r="D74" s="18"/>
      <c r="E74" s="18"/>
      <c r="F74" s="18"/>
      <c r="G74" s="92"/>
      <c r="H74" s="22"/>
      <c r="I74" s="22">
        <f t="shared" si="8"/>
        <v>0</v>
      </c>
      <c r="J74" s="69"/>
      <c r="K74" s="11"/>
      <c r="L74" s="22"/>
      <c r="M74" s="22"/>
      <c r="N74" s="22"/>
      <c r="O74" s="22"/>
      <c r="P74" s="22"/>
      <c r="Q74" s="22"/>
      <c r="R74" s="36"/>
      <c r="S74" s="44"/>
      <c r="T74" s="47"/>
      <c r="U74" s="71">
        <f t="shared" si="9"/>
        <v>0</v>
      </c>
      <c r="V74" s="95" t="str">
        <f t="shared" si="10"/>
        <v>OK</v>
      </c>
    </row>
    <row r="75" spans="1:22" ht="17.25" hidden="1" thickBot="1" x14ac:dyDescent="0.35">
      <c r="A75" s="90" t="s">
        <v>131</v>
      </c>
      <c r="B75" s="76">
        <v>22724</v>
      </c>
      <c r="C75" s="70" t="s">
        <v>119</v>
      </c>
      <c r="D75" s="70"/>
      <c r="E75" s="70"/>
      <c r="F75" s="70"/>
      <c r="G75" s="91"/>
      <c r="H75" s="82"/>
      <c r="I75" s="82">
        <v>0</v>
      </c>
      <c r="J75" s="74"/>
      <c r="K75" s="11"/>
      <c r="L75" s="82"/>
      <c r="M75" s="82"/>
      <c r="N75" s="82"/>
      <c r="O75" s="82"/>
      <c r="P75" s="82"/>
      <c r="Q75" s="82"/>
      <c r="R75" s="83"/>
      <c r="S75" s="84"/>
      <c r="T75" s="85"/>
      <c r="U75" s="75">
        <v>0</v>
      </c>
      <c r="V75" s="93" t="s">
        <v>129</v>
      </c>
    </row>
    <row r="76" spans="1:22" ht="17.25" hidden="1" thickBot="1" x14ac:dyDescent="0.35">
      <c r="A76" s="54" t="s">
        <v>132</v>
      </c>
      <c r="B76" s="63">
        <v>22705</v>
      </c>
      <c r="C76" s="18" t="s">
        <v>119</v>
      </c>
      <c r="D76" s="18"/>
      <c r="E76" s="18"/>
      <c r="F76" s="18"/>
      <c r="G76" s="92"/>
      <c r="H76" s="22"/>
      <c r="I76" s="22">
        <f t="shared" si="8"/>
        <v>0</v>
      </c>
      <c r="J76" s="69"/>
      <c r="K76" s="11"/>
      <c r="L76" s="22"/>
      <c r="M76" s="22"/>
      <c r="N76" s="22"/>
      <c r="O76" s="22"/>
      <c r="P76" s="22"/>
      <c r="Q76" s="22"/>
      <c r="R76" s="36"/>
      <c r="S76" s="44"/>
      <c r="T76" s="47"/>
      <c r="U76" s="71">
        <f t="shared" si="9"/>
        <v>0</v>
      </c>
      <c r="V76" s="95" t="str">
        <f t="shared" si="10"/>
        <v>OK</v>
      </c>
    </row>
    <row r="77" spans="1:22" ht="17.25" hidden="1" thickBot="1" x14ac:dyDescent="0.35">
      <c r="A77" s="99" t="s">
        <v>128</v>
      </c>
      <c r="B77" s="76">
        <v>5655</v>
      </c>
      <c r="C77" s="82" t="s">
        <v>54</v>
      </c>
      <c r="D77" s="82"/>
      <c r="E77" s="82"/>
      <c r="F77" s="82"/>
      <c r="G77" s="82"/>
      <c r="H77" s="82"/>
      <c r="I77" s="82">
        <f t="shared" si="8"/>
        <v>0</v>
      </c>
      <c r="J77" s="97"/>
      <c r="K77" s="112"/>
      <c r="L77" s="82"/>
      <c r="M77" s="82"/>
      <c r="N77" s="82"/>
      <c r="O77" s="82"/>
      <c r="P77" s="82"/>
      <c r="Q77" s="82"/>
      <c r="R77" s="83"/>
      <c r="S77" s="84"/>
      <c r="T77" s="100"/>
      <c r="U77" s="75">
        <f t="shared" si="9"/>
        <v>0</v>
      </c>
      <c r="V77" s="93" t="str">
        <f t="shared" si="10"/>
        <v>OK</v>
      </c>
    </row>
    <row r="78" spans="1:22" ht="17.25" hidden="1" thickBot="1" x14ac:dyDescent="0.35">
      <c r="A78" s="120" t="s">
        <v>136</v>
      </c>
      <c r="B78" s="121">
        <v>22704</v>
      </c>
      <c r="C78" s="122" t="s">
        <v>137</v>
      </c>
      <c r="D78" s="122"/>
      <c r="E78" s="122"/>
      <c r="F78" s="122"/>
      <c r="G78" s="122"/>
      <c r="H78" s="122"/>
      <c r="I78" s="22">
        <f t="shared" si="8"/>
        <v>0</v>
      </c>
      <c r="J78" s="45"/>
      <c r="K78" s="112"/>
      <c r="L78" s="22"/>
      <c r="M78" s="22"/>
      <c r="N78" s="22"/>
      <c r="O78" s="22"/>
      <c r="P78" s="22"/>
      <c r="Q78" s="22"/>
      <c r="R78" s="36"/>
      <c r="S78" s="44"/>
      <c r="T78" s="116"/>
      <c r="U78" s="71">
        <f t="shared" si="9"/>
        <v>0</v>
      </c>
      <c r="V78" s="95" t="str">
        <f t="shared" si="10"/>
        <v>OK</v>
      </c>
    </row>
    <row r="79" spans="1:22" ht="17.25" hidden="1" thickBot="1" x14ac:dyDescent="0.35">
      <c r="A79" s="136" t="s">
        <v>139</v>
      </c>
      <c r="B79" s="133">
        <v>22722</v>
      </c>
      <c r="C79" s="137" t="s">
        <v>119</v>
      </c>
      <c r="D79" s="137"/>
      <c r="E79" s="137"/>
      <c r="F79" s="137"/>
      <c r="G79" s="137"/>
      <c r="H79" s="137"/>
      <c r="I79" s="82">
        <f t="shared" si="8"/>
        <v>0</v>
      </c>
      <c r="J79" s="97"/>
      <c r="K79" s="119"/>
      <c r="L79" s="82"/>
      <c r="M79" s="82"/>
      <c r="N79" s="82"/>
      <c r="O79" s="82"/>
      <c r="P79" s="82"/>
      <c r="Q79" s="82"/>
      <c r="R79" s="83"/>
      <c r="S79" s="84"/>
      <c r="T79" s="100"/>
      <c r="U79" s="75">
        <f t="shared" si="9"/>
        <v>0</v>
      </c>
      <c r="V79" s="93" t="str">
        <f t="shared" si="10"/>
        <v>OK</v>
      </c>
    </row>
    <row r="80" spans="1:22" ht="17.25" hidden="1" thickBot="1" x14ac:dyDescent="0.35">
      <c r="A80" s="126" t="s">
        <v>134</v>
      </c>
      <c r="B80" s="127">
        <v>22723</v>
      </c>
      <c r="C80" s="128" t="s">
        <v>119</v>
      </c>
      <c r="D80" s="128"/>
      <c r="E80" s="128"/>
      <c r="F80" s="128"/>
      <c r="G80" s="128"/>
      <c r="H80" s="128"/>
      <c r="I80" s="128">
        <f t="shared" si="8"/>
        <v>0</v>
      </c>
      <c r="J80" s="45"/>
      <c r="K80" s="112"/>
      <c r="L80" s="22"/>
      <c r="M80" s="22"/>
      <c r="N80" s="22"/>
      <c r="O80" s="22"/>
      <c r="P80" s="22"/>
      <c r="Q80" s="22"/>
      <c r="R80" s="36"/>
      <c r="S80" s="44"/>
      <c r="T80" s="116"/>
      <c r="U80" s="52">
        <f t="shared" si="9"/>
        <v>0</v>
      </c>
      <c r="V80" s="23" t="str">
        <f t="shared" si="10"/>
        <v>OK</v>
      </c>
    </row>
    <row r="81" spans="1:22" x14ac:dyDescent="0.3">
      <c r="A81" s="86"/>
      <c r="B81" s="86"/>
      <c r="C81" s="87" t="s">
        <v>9</v>
      </c>
      <c r="D81" s="87"/>
      <c r="E81" s="87"/>
      <c r="F81" s="87"/>
      <c r="G81" s="88">
        <f>SUM(G6:G49)</f>
        <v>0</v>
      </c>
      <c r="H81" s="89">
        <f>SUM(H6:H49)</f>
        <v>0</v>
      </c>
      <c r="I81" s="88">
        <f>SUM(I6:I80)</f>
        <v>25</v>
      </c>
      <c r="J81" s="40">
        <f>SUM(J6:J49)</f>
        <v>0</v>
      </c>
      <c r="K81" s="115">
        <f>SUM(K6:K51)</f>
        <v>0</v>
      </c>
      <c r="L81" s="38">
        <f>SUM(L6:L80)</f>
        <v>0</v>
      </c>
      <c r="M81" s="38">
        <f t="shared" ref="M81:U81" si="11">SUM(M6:M80)</f>
        <v>25</v>
      </c>
      <c r="N81" s="38">
        <f t="shared" si="11"/>
        <v>0</v>
      </c>
      <c r="O81" s="38">
        <f t="shared" si="11"/>
        <v>0</v>
      </c>
      <c r="P81" s="38">
        <f t="shared" si="11"/>
        <v>0</v>
      </c>
      <c r="Q81" s="38">
        <f t="shared" si="11"/>
        <v>0</v>
      </c>
      <c r="R81" s="38">
        <f t="shared" si="11"/>
        <v>0</v>
      </c>
      <c r="S81" s="38">
        <f t="shared" si="11"/>
        <v>0</v>
      </c>
      <c r="T81" s="38">
        <f t="shared" si="11"/>
        <v>0</v>
      </c>
      <c r="U81" s="38">
        <f t="shared" si="11"/>
        <v>25</v>
      </c>
      <c r="V81" s="41" t="str">
        <f>IF(U81=SUM(I81),"OK","NG")</f>
        <v>OK</v>
      </c>
    </row>
  </sheetData>
  <autoFilter ref="A5:V81" xr:uid="{00000000-0001-0000-1000-000000000000}">
    <filterColumn colId="8">
      <filters>
        <filter val="15"/>
        <filter val="25"/>
        <filter val="5"/>
      </filters>
    </filterColumn>
  </autoFilter>
  <mergeCells count="20">
    <mergeCell ref="O4:O5"/>
    <mergeCell ref="P4:P5"/>
    <mergeCell ref="B3:C3"/>
    <mergeCell ref="N4:N5"/>
    <mergeCell ref="B1:C1"/>
    <mergeCell ref="F1:G1"/>
    <mergeCell ref="H1:J3"/>
    <mergeCell ref="B2:C2"/>
    <mergeCell ref="A4:D4"/>
    <mergeCell ref="E4:G4"/>
    <mergeCell ref="H4:J4"/>
    <mergeCell ref="L4:L5"/>
    <mergeCell ref="M4:M5"/>
    <mergeCell ref="Q4:Q5"/>
    <mergeCell ref="R4:R5"/>
    <mergeCell ref="S4:S5"/>
    <mergeCell ref="T4:T5"/>
    <mergeCell ref="V2:V3"/>
    <mergeCell ref="U4:U5"/>
    <mergeCell ref="V4:V5"/>
  </mergeCells>
  <phoneticPr fontId="3" type="noConversion"/>
  <conditionalFormatting sqref="A4 V6:V81">
    <cfRule type="containsText" dxfId="33" priority="5" operator="containsText" text="NG">
      <formula>NOT(ISERROR(SEARCH("NG",A4)))</formula>
    </cfRule>
    <cfRule type="containsText" dxfId="32" priority="6" operator="containsText" text="OK">
      <formula>NOT(ISERROR(SEARCH("OK",A4)))</formula>
    </cfRule>
  </conditionalFormatting>
  <pageMargins left="0.70866141732283472" right="0.70866141732283472" top="0.74803149606299213" bottom="0.74803149606299213" header="0.31496062992125984" footer="0.31496062992125984"/>
  <pageSetup paperSize="8" scale="10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>
    <pageSetUpPr fitToPage="1"/>
  </sheetPr>
  <dimension ref="A1:V81"/>
  <sheetViews>
    <sheetView showGridLines="0" zoomScale="85" zoomScaleNormal="85" workbookViewId="0">
      <pane ySplit="5" topLeftCell="A17" activePane="bottomLeft" state="frozen"/>
      <selection activeCell="W73" sqref="W73"/>
      <selection pane="bottomLeft" activeCell="Q29" sqref="Q29"/>
    </sheetView>
  </sheetViews>
  <sheetFormatPr defaultColWidth="9" defaultRowHeight="16.5" x14ac:dyDescent="0.3"/>
  <cols>
    <col min="1" max="1" width="12.625" bestFit="1" customWidth="1"/>
    <col min="2" max="2" width="14.125" bestFit="1" customWidth="1"/>
    <col min="3" max="3" width="35.125" customWidth="1"/>
    <col min="4" max="4" width="11.75" hidden="1" customWidth="1"/>
    <col min="5" max="6" width="9" hidden="1" customWidth="1"/>
    <col min="7" max="7" width="15.375" hidden="1" customWidth="1"/>
    <col min="8" max="8" width="13.25" hidden="1" customWidth="1"/>
    <col min="9" max="9" width="13.25" customWidth="1"/>
    <col min="10" max="10" width="13.25" hidden="1" customWidth="1"/>
    <col min="11" max="11" width="0.875" customWidth="1"/>
    <col min="20" max="20" width="11" bestFit="1" customWidth="1"/>
  </cols>
  <sheetData>
    <row r="1" spans="1:22" ht="22.5" customHeight="1" thickBot="1" x14ac:dyDescent="0.35">
      <c r="A1" s="32" t="s">
        <v>28</v>
      </c>
      <c r="B1" s="153">
        <f>H69</f>
        <v>0</v>
      </c>
      <c r="C1" s="154"/>
      <c r="D1" s="55"/>
      <c r="E1" s="58" t="s">
        <v>1</v>
      </c>
      <c r="F1" s="155">
        <f>G69</f>
        <v>0</v>
      </c>
      <c r="G1" s="155"/>
      <c r="H1" s="156"/>
      <c r="I1" s="156"/>
      <c r="J1" s="156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22.5" customHeight="1" thickBot="1" x14ac:dyDescent="0.35">
      <c r="A2" s="32" t="s">
        <v>29</v>
      </c>
      <c r="B2" s="158">
        <f>I81</f>
        <v>0</v>
      </c>
      <c r="C2" s="159"/>
      <c r="D2" s="56"/>
      <c r="E2" s="59"/>
      <c r="F2" s="2"/>
      <c r="G2" s="2"/>
      <c r="H2" s="156"/>
      <c r="I2" s="156"/>
      <c r="J2" s="156"/>
      <c r="K2" s="113"/>
      <c r="L2" s="3">
        <f>SUBTOTAL(9,L6:L80)</f>
        <v>0</v>
      </c>
      <c r="M2" s="3">
        <f t="shared" ref="M2:T2" si="0">SUBTOTAL(9,M6:M80)</f>
        <v>0</v>
      </c>
      <c r="N2" s="3">
        <f t="shared" si="0"/>
        <v>0</v>
      </c>
      <c r="O2" s="3">
        <f t="shared" si="0"/>
        <v>0</v>
      </c>
      <c r="P2" s="3">
        <f t="shared" si="0"/>
        <v>0</v>
      </c>
      <c r="Q2" s="3">
        <f t="shared" si="0"/>
        <v>0</v>
      </c>
      <c r="R2" s="3">
        <f t="shared" si="0"/>
        <v>0</v>
      </c>
      <c r="S2" s="3">
        <f t="shared" si="0"/>
        <v>0</v>
      </c>
      <c r="T2" s="3">
        <f t="shared" si="0"/>
        <v>0</v>
      </c>
      <c r="U2" s="48">
        <f>SUBTOTAL(9,U6:U80)</f>
        <v>0</v>
      </c>
      <c r="V2" s="145"/>
    </row>
    <row r="3" spans="1:22" ht="22.5" customHeight="1" thickBot="1" x14ac:dyDescent="0.35">
      <c r="A3" s="33" t="s">
        <v>30</v>
      </c>
      <c r="B3" s="151" t="str">
        <f>IF(ISERROR(B2/(B2+B1)*1000000),"",(B2/(B2+B1)*1000000))</f>
        <v/>
      </c>
      <c r="C3" s="152"/>
      <c r="D3" s="57"/>
      <c r="E3" s="60"/>
      <c r="F3" s="27"/>
      <c r="G3" s="27"/>
      <c r="H3" s="157"/>
      <c r="I3" s="157"/>
      <c r="J3" s="157"/>
      <c r="K3" s="114"/>
      <c r="L3" s="4">
        <f t="shared" ref="L3:U3" si="1">SUM(L6:L80)</f>
        <v>0</v>
      </c>
      <c r="M3" s="4">
        <f t="shared" si="1"/>
        <v>0</v>
      </c>
      <c r="N3" s="4">
        <f t="shared" si="1"/>
        <v>0</v>
      </c>
      <c r="O3" s="4">
        <f t="shared" si="1"/>
        <v>0</v>
      </c>
      <c r="P3" s="4">
        <f t="shared" si="1"/>
        <v>0</v>
      </c>
      <c r="Q3" s="4">
        <f t="shared" si="1"/>
        <v>0</v>
      </c>
      <c r="R3" s="4">
        <f t="shared" si="1"/>
        <v>0</v>
      </c>
      <c r="S3" s="4">
        <f t="shared" si="1"/>
        <v>0</v>
      </c>
      <c r="T3" s="4">
        <f t="shared" si="1"/>
        <v>0</v>
      </c>
      <c r="U3" s="49">
        <f t="shared" si="1"/>
        <v>0</v>
      </c>
      <c r="V3" s="146"/>
    </row>
    <row r="4" spans="1:22" ht="43.5" customHeight="1" x14ac:dyDescent="0.3">
      <c r="A4" s="160" t="str">
        <f>V81</f>
        <v>OK</v>
      </c>
      <c r="B4" s="160"/>
      <c r="C4" s="160"/>
      <c r="D4" s="161"/>
      <c r="E4" s="162" t="s">
        <v>15</v>
      </c>
      <c r="F4" s="162"/>
      <c r="G4" s="162"/>
      <c r="H4" s="163" t="s">
        <v>16</v>
      </c>
      <c r="I4" s="163"/>
      <c r="J4" s="163"/>
      <c r="K4" s="113"/>
      <c r="L4" s="164" t="s">
        <v>10</v>
      </c>
      <c r="M4" s="142" t="s">
        <v>17</v>
      </c>
      <c r="N4" s="142" t="s">
        <v>11</v>
      </c>
      <c r="O4" s="138" t="s">
        <v>12</v>
      </c>
      <c r="P4" s="142" t="s">
        <v>13</v>
      </c>
      <c r="Q4" s="138" t="s">
        <v>14</v>
      </c>
      <c r="R4" s="140" t="s">
        <v>20</v>
      </c>
      <c r="S4" s="142" t="s">
        <v>21</v>
      </c>
      <c r="T4" s="143" t="s">
        <v>22</v>
      </c>
      <c r="U4" s="147" t="s">
        <v>18</v>
      </c>
      <c r="V4" s="149" t="s">
        <v>19</v>
      </c>
    </row>
    <row r="5" spans="1:22" ht="33.75" thickBot="1" x14ac:dyDescent="0.35">
      <c r="A5" s="29" t="s">
        <v>3</v>
      </c>
      <c r="B5" s="30" t="s">
        <v>32</v>
      </c>
      <c r="C5" s="29" t="s">
        <v>4</v>
      </c>
      <c r="D5" s="29" t="s">
        <v>31</v>
      </c>
      <c r="E5" s="29" t="s">
        <v>5</v>
      </c>
      <c r="F5" s="29" t="s">
        <v>6</v>
      </c>
      <c r="G5" s="30" t="s">
        <v>7</v>
      </c>
      <c r="H5" s="31" t="s">
        <v>0</v>
      </c>
      <c r="I5" s="31" t="s">
        <v>2</v>
      </c>
      <c r="J5" s="31" t="s">
        <v>8</v>
      </c>
      <c r="K5" s="28"/>
      <c r="L5" s="165"/>
      <c r="M5" s="139"/>
      <c r="N5" s="139"/>
      <c r="O5" s="139"/>
      <c r="P5" s="139"/>
      <c r="Q5" s="139"/>
      <c r="R5" s="141"/>
      <c r="S5" s="139"/>
      <c r="T5" s="144"/>
      <c r="U5" s="148"/>
      <c r="V5" s="150"/>
    </row>
    <row r="6" spans="1:22" x14ac:dyDescent="0.3">
      <c r="A6" s="61" t="s">
        <v>33</v>
      </c>
      <c r="B6" s="61">
        <v>8092</v>
      </c>
      <c r="C6" s="6" t="s">
        <v>45</v>
      </c>
      <c r="D6" s="7"/>
      <c r="E6" s="7"/>
      <c r="F6" s="7"/>
      <c r="G6" s="8"/>
      <c r="H6" s="9"/>
      <c r="I6" s="10">
        <f>SUM(L6:T6)</f>
        <v>0</v>
      </c>
      <c r="J6" s="10"/>
      <c r="K6" s="11"/>
      <c r="L6" s="10"/>
      <c r="M6" s="10"/>
      <c r="N6" s="10"/>
      <c r="O6" s="10"/>
      <c r="P6" s="10"/>
      <c r="Q6" s="10"/>
      <c r="R6" s="34"/>
      <c r="S6" s="42"/>
      <c r="T6" s="45"/>
      <c r="U6" s="50">
        <f t="shared" ref="U6:U36" si="2">SUM(L6:T6)</f>
        <v>0</v>
      </c>
      <c r="V6" s="26" t="str">
        <f t="shared" ref="V6:V67" si="3">IF(U6=I6,"OK","NG")</f>
        <v>OK</v>
      </c>
    </row>
    <row r="7" spans="1:22" x14ac:dyDescent="0.3">
      <c r="A7" s="62" t="s">
        <v>95</v>
      </c>
      <c r="B7" s="62">
        <v>8088</v>
      </c>
      <c r="C7" s="12" t="s">
        <v>46</v>
      </c>
      <c r="D7" s="53"/>
      <c r="E7" s="13"/>
      <c r="F7" s="13"/>
      <c r="G7" s="14"/>
      <c r="H7" s="15"/>
      <c r="I7" s="16">
        <f t="shared" ref="I7:I70" si="4">SUM(L7:T7)</f>
        <v>0</v>
      </c>
      <c r="J7" s="16"/>
      <c r="K7" s="11"/>
      <c r="L7" s="16"/>
      <c r="M7" s="16"/>
      <c r="N7" s="16"/>
      <c r="O7" s="16"/>
      <c r="P7" s="16"/>
      <c r="Q7" s="16"/>
      <c r="R7" s="35"/>
      <c r="S7" s="43"/>
      <c r="T7" s="46"/>
      <c r="U7" s="51">
        <f t="shared" si="2"/>
        <v>0</v>
      </c>
      <c r="V7" s="17" t="str">
        <f t="shared" si="3"/>
        <v>OK</v>
      </c>
    </row>
    <row r="8" spans="1:22" x14ac:dyDescent="0.3">
      <c r="A8" s="63" t="s">
        <v>96</v>
      </c>
      <c r="B8" s="63">
        <v>8081</v>
      </c>
      <c r="C8" s="18" t="s">
        <v>46</v>
      </c>
      <c r="D8" s="19"/>
      <c r="E8" s="19"/>
      <c r="F8" s="19"/>
      <c r="G8" s="20"/>
      <c r="H8" s="21"/>
      <c r="I8" s="22">
        <f t="shared" si="4"/>
        <v>0</v>
      </c>
      <c r="J8" s="22"/>
      <c r="K8" s="11"/>
      <c r="L8" s="22"/>
      <c r="M8" s="22"/>
      <c r="N8" s="22"/>
      <c r="O8" s="22"/>
      <c r="P8" s="22"/>
      <c r="Q8" s="22"/>
      <c r="R8" s="36"/>
      <c r="S8" s="44"/>
      <c r="T8" s="47"/>
      <c r="U8" s="52">
        <f t="shared" si="2"/>
        <v>0</v>
      </c>
      <c r="V8" s="23" t="str">
        <f t="shared" si="3"/>
        <v>OK</v>
      </c>
    </row>
    <row r="9" spans="1:22" x14ac:dyDescent="0.3">
      <c r="A9" s="62" t="s">
        <v>97</v>
      </c>
      <c r="B9" s="62">
        <v>18524</v>
      </c>
      <c r="C9" s="12" t="s">
        <v>46</v>
      </c>
      <c r="D9" s="53"/>
      <c r="E9" s="13"/>
      <c r="F9" s="13"/>
      <c r="G9" s="14"/>
      <c r="H9" s="15"/>
      <c r="I9" s="16">
        <f t="shared" si="4"/>
        <v>0</v>
      </c>
      <c r="J9" s="16"/>
      <c r="K9" s="11"/>
      <c r="L9" s="16"/>
      <c r="M9" s="16"/>
      <c r="N9" s="16"/>
      <c r="O9" s="16"/>
      <c r="P9" s="16"/>
      <c r="Q9" s="16"/>
      <c r="R9" s="35"/>
      <c r="S9" s="43"/>
      <c r="T9" s="46"/>
      <c r="U9" s="51">
        <f t="shared" si="2"/>
        <v>0</v>
      </c>
      <c r="V9" s="17" t="str">
        <f t="shared" si="3"/>
        <v>OK</v>
      </c>
    </row>
    <row r="10" spans="1:22" x14ac:dyDescent="0.3">
      <c r="A10" s="63" t="s">
        <v>34</v>
      </c>
      <c r="B10" s="63">
        <v>6234</v>
      </c>
      <c r="C10" s="18" t="s">
        <v>47</v>
      </c>
      <c r="D10" s="19"/>
      <c r="E10" s="19"/>
      <c r="F10" s="19"/>
      <c r="G10" s="20"/>
      <c r="H10" s="21"/>
      <c r="I10" s="22">
        <f t="shared" si="4"/>
        <v>0</v>
      </c>
      <c r="J10" s="22"/>
      <c r="K10" s="11"/>
      <c r="L10" s="22"/>
      <c r="M10" s="22"/>
      <c r="N10" s="22"/>
      <c r="O10" s="22"/>
      <c r="P10" s="22"/>
      <c r="Q10" s="22"/>
      <c r="R10" s="36"/>
      <c r="S10" s="44"/>
      <c r="T10" s="47"/>
      <c r="U10" s="52">
        <f t="shared" si="2"/>
        <v>0</v>
      </c>
      <c r="V10" s="23" t="str">
        <f t="shared" si="3"/>
        <v>OK</v>
      </c>
    </row>
    <row r="11" spans="1:22" x14ac:dyDescent="0.3">
      <c r="A11" s="62" t="s">
        <v>80</v>
      </c>
      <c r="B11" s="62">
        <v>14830</v>
      </c>
      <c r="C11" s="12" t="s">
        <v>47</v>
      </c>
      <c r="D11" s="53"/>
      <c r="E11" s="13"/>
      <c r="F11" s="13"/>
      <c r="G11" s="14"/>
      <c r="H11" s="15"/>
      <c r="I11" s="16">
        <f t="shared" si="4"/>
        <v>0</v>
      </c>
      <c r="J11" s="16"/>
      <c r="K11" s="11"/>
      <c r="L11" s="16"/>
      <c r="M11" s="16"/>
      <c r="N11" s="16"/>
      <c r="O11" s="16"/>
      <c r="P11" s="16"/>
      <c r="Q11" s="16"/>
      <c r="R11" s="35"/>
      <c r="S11" s="43"/>
      <c r="T11" s="46"/>
      <c r="U11" s="51">
        <f t="shared" si="2"/>
        <v>0</v>
      </c>
      <c r="V11" s="17" t="str">
        <f t="shared" si="3"/>
        <v>OK</v>
      </c>
    </row>
    <row r="12" spans="1:22" x14ac:dyDescent="0.3">
      <c r="A12" s="63" t="s">
        <v>35</v>
      </c>
      <c r="B12" s="63">
        <v>6004</v>
      </c>
      <c r="C12" s="18" t="s">
        <v>48</v>
      </c>
      <c r="D12" s="19"/>
      <c r="E12" s="19"/>
      <c r="F12" s="19"/>
      <c r="G12" s="20"/>
      <c r="H12" s="21"/>
      <c r="I12" s="22">
        <f t="shared" si="4"/>
        <v>0</v>
      </c>
      <c r="J12" s="22"/>
      <c r="K12" s="11"/>
      <c r="L12" s="22"/>
      <c r="M12" s="22"/>
      <c r="N12" s="22"/>
      <c r="O12" s="22"/>
      <c r="P12" s="22"/>
      <c r="Q12" s="22"/>
      <c r="R12" s="36"/>
      <c r="S12" s="44"/>
      <c r="T12" s="47"/>
      <c r="U12" s="52">
        <f t="shared" si="2"/>
        <v>0</v>
      </c>
      <c r="V12" s="23" t="str">
        <f t="shared" si="3"/>
        <v>OK</v>
      </c>
    </row>
    <row r="13" spans="1:22" x14ac:dyDescent="0.3">
      <c r="A13" s="62" t="s">
        <v>36</v>
      </c>
      <c r="B13" s="62">
        <v>11857</v>
      </c>
      <c r="C13" s="12" t="s">
        <v>48</v>
      </c>
      <c r="D13" s="53"/>
      <c r="E13" s="13"/>
      <c r="F13" s="13"/>
      <c r="G13" s="14"/>
      <c r="H13" s="15"/>
      <c r="I13" s="16">
        <f t="shared" si="4"/>
        <v>0</v>
      </c>
      <c r="J13" s="16"/>
      <c r="K13" s="11"/>
      <c r="L13" s="16"/>
      <c r="M13" s="16"/>
      <c r="N13" s="16"/>
      <c r="O13" s="16"/>
      <c r="P13" s="16"/>
      <c r="Q13" s="16"/>
      <c r="R13" s="35"/>
      <c r="S13" s="43"/>
      <c r="T13" s="46"/>
      <c r="U13" s="51">
        <f t="shared" si="2"/>
        <v>0</v>
      </c>
      <c r="V13" s="17" t="str">
        <f t="shared" si="3"/>
        <v>OK</v>
      </c>
    </row>
    <row r="14" spans="1:22" x14ac:dyDescent="0.3">
      <c r="A14" s="63" t="s">
        <v>82</v>
      </c>
      <c r="B14" s="63">
        <v>15004</v>
      </c>
      <c r="C14" s="18" t="s">
        <v>48</v>
      </c>
      <c r="D14" s="19"/>
      <c r="E14" s="19"/>
      <c r="F14" s="19"/>
      <c r="G14" s="20"/>
      <c r="H14" s="21"/>
      <c r="I14" s="22">
        <f t="shared" si="4"/>
        <v>0</v>
      </c>
      <c r="J14" s="22"/>
      <c r="K14" s="11"/>
      <c r="L14" s="22"/>
      <c r="M14" s="22"/>
      <c r="N14" s="22"/>
      <c r="O14" s="22"/>
      <c r="P14" s="22"/>
      <c r="Q14" s="22"/>
      <c r="R14" s="36"/>
      <c r="S14" s="44"/>
      <c r="T14" s="47"/>
      <c r="U14" s="52">
        <f t="shared" si="2"/>
        <v>0</v>
      </c>
      <c r="V14" s="23" t="str">
        <f t="shared" si="3"/>
        <v>OK</v>
      </c>
    </row>
    <row r="15" spans="1:22" x14ac:dyDescent="0.3">
      <c r="A15" s="62" t="s">
        <v>86</v>
      </c>
      <c r="B15" s="62">
        <v>15174</v>
      </c>
      <c r="C15" s="12" t="s">
        <v>45</v>
      </c>
      <c r="D15" s="53"/>
      <c r="E15" s="13"/>
      <c r="F15" s="13"/>
      <c r="G15" s="14"/>
      <c r="H15" s="15"/>
      <c r="I15" s="16">
        <f t="shared" si="4"/>
        <v>0</v>
      </c>
      <c r="J15" s="16"/>
      <c r="K15" s="11"/>
      <c r="L15" s="16"/>
      <c r="M15" s="16"/>
      <c r="N15" s="16"/>
      <c r="O15" s="16"/>
      <c r="P15" s="16"/>
      <c r="Q15" s="16"/>
      <c r="R15" s="35"/>
      <c r="S15" s="43"/>
      <c r="T15" s="46"/>
      <c r="U15" s="51">
        <f t="shared" si="2"/>
        <v>0</v>
      </c>
      <c r="V15" s="17" t="str">
        <f t="shared" si="3"/>
        <v>OK</v>
      </c>
    </row>
    <row r="16" spans="1:22" x14ac:dyDescent="0.3">
      <c r="A16" s="63" t="s">
        <v>87</v>
      </c>
      <c r="B16" s="63">
        <v>15520</v>
      </c>
      <c r="C16" s="18" t="s">
        <v>47</v>
      </c>
      <c r="D16" s="19"/>
      <c r="E16" s="19"/>
      <c r="F16" s="19"/>
      <c r="G16" s="20"/>
      <c r="H16" s="21"/>
      <c r="I16" s="22">
        <f t="shared" si="4"/>
        <v>0</v>
      </c>
      <c r="J16" s="22"/>
      <c r="K16" s="11"/>
      <c r="L16" s="22"/>
      <c r="M16" s="22"/>
      <c r="N16" s="22"/>
      <c r="O16" s="22"/>
      <c r="P16" s="22"/>
      <c r="Q16" s="22"/>
      <c r="R16" s="36"/>
      <c r="S16" s="44"/>
      <c r="T16" s="47"/>
      <c r="U16" s="52">
        <f t="shared" si="2"/>
        <v>0</v>
      </c>
      <c r="V16" s="23" t="str">
        <f t="shared" si="3"/>
        <v>OK</v>
      </c>
    </row>
    <row r="17" spans="1:22" x14ac:dyDescent="0.3">
      <c r="A17" s="62" t="s">
        <v>85</v>
      </c>
      <c r="B17" s="62">
        <v>14989</v>
      </c>
      <c r="C17" s="12" t="s">
        <v>45</v>
      </c>
      <c r="D17" s="53"/>
      <c r="E17" s="13"/>
      <c r="F17" s="13"/>
      <c r="G17" s="14"/>
      <c r="H17" s="15"/>
      <c r="I17" s="16">
        <f t="shared" si="4"/>
        <v>0</v>
      </c>
      <c r="J17" s="16"/>
      <c r="K17" s="11"/>
      <c r="L17" s="16"/>
      <c r="M17" s="16"/>
      <c r="N17" s="16"/>
      <c r="O17" s="16"/>
      <c r="P17" s="16"/>
      <c r="Q17" s="16"/>
      <c r="R17" s="35"/>
      <c r="S17" s="43"/>
      <c r="T17" s="46"/>
      <c r="U17" s="51">
        <f t="shared" si="2"/>
        <v>0</v>
      </c>
      <c r="V17" s="17" t="str">
        <f t="shared" si="3"/>
        <v>OK</v>
      </c>
    </row>
    <row r="18" spans="1:22" x14ac:dyDescent="0.3">
      <c r="A18" s="63" t="s">
        <v>84</v>
      </c>
      <c r="B18" s="63">
        <v>14984</v>
      </c>
      <c r="C18" s="18" t="s">
        <v>46</v>
      </c>
      <c r="D18" s="19"/>
      <c r="E18" s="19"/>
      <c r="F18" s="19"/>
      <c r="G18" s="20"/>
      <c r="H18" s="21"/>
      <c r="I18" s="22">
        <f t="shared" si="4"/>
        <v>0</v>
      </c>
      <c r="J18" s="22"/>
      <c r="K18" s="11"/>
      <c r="L18" s="22"/>
      <c r="M18" s="22"/>
      <c r="N18" s="22"/>
      <c r="O18" s="22"/>
      <c r="P18" s="22"/>
      <c r="Q18" s="22"/>
      <c r="R18" s="36"/>
      <c r="S18" s="44"/>
      <c r="T18" s="47"/>
      <c r="U18" s="52">
        <f t="shared" si="2"/>
        <v>0</v>
      </c>
      <c r="V18" s="23" t="str">
        <f t="shared" si="3"/>
        <v>OK</v>
      </c>
    </row>
    <row r="19" spans="1:22" x14ac:dyDescent="0.3">
      <c r="A19" s="62" t="s">
        <v>88</v>
      </c>
      <c r="B19" s="62">
        <v>16270</v>
      </c>
      <c r="C19" s="12" t="s">
        <v>89</v>
      </c>
      <c r="D19" s="53"/>
      <c r="E19" s="13"/>
      <c r="F19" s="13"/>
      <c r="G19" s="14"/>
      <c r="H19" s="15"/>
      <c r="I19" s="16">
        <f t="shared" si="4"/>
        <v>0</v>
      </c>
      <c r="J19" s="16"/>
      <c r="K19" s="11"/>
      <c r="L19" s="16"/>
      <c r="M19" s="16"/>
      <c r="N19" s="16"/>
      <c r="O19" s="16"/>
      <c r="P19" s="16"/>
      <c r="Q19" s="16"/>
      <c r="R19" s="35"/>
      <c r="S19" s="43"/>
      <c r="T19" s="46"/>
      <c r="U19" s="51">
        <f t="shared" si="2"/>
        <v>0</v>
      </c>
      <c r="V19" s="17" t="str">
        <f t="shared" si="3"/>
        <v>OK</v>
      </c>
    </row>
    <row r="20" spans="1:22" x14ac:dyDescent="0.3">
      <c r="A20" s="63" t="s">
        <v>98</v>
      </c>
      <c r="B20" s="63">
        <v>19060</v>
      </c>
      <c r="C20" s="18" t="s">
        <v>47</v>
      </c>
      <c r="D20" s="19"/>
      <c r="E20" s="19"/>
      <c r="F20" s="19"/>
      <c r="G20" s="20"/>
      <c r="H20" s="21"/>
      <c r="I20" s="22">
        <f t="shared" si="4"/>
        <v>0</v>
      </c>
      <c r="J20" s="22"/>
      <c r="K20" s="11"/>
      <c r="L20" s="22"/>
      <c r="M20" s="22"/>
      <c r="N20" s="22"/>
      <c r="O20" s="22"/>
      <c r="P20" s="22"/>
      <c r="Q20" s="22"/>
      <c r="R20" s="36"/>
      <c r="S20" s="44"/>
      <c r="T20" s="47"/>
      <c r="U20" s="52">
        <f t="shared" si="2"/>
        <v>0</v>
      </c>
      <c r="V20" s="23" t="str">
        <f t="shared" si="3"/>
        <v>OK</v>
      </c>
    </row>
    <row r="21" spans="1:22" x14ac:dyDescent="0.3">
      <c r="A21" s="62" t="s">
        <v>99</v>
      </c>
      <c r="B21" s="62">
        <v>18828</v>
      </c>
      <c r="C21" s="12" t="s">
        <v>94</v>
      </c>
      <c r="D21" s="53"/>
      <c r="E21" s="13"/>
      <c r="F21" s="13"/>
      <c r="G21" s="14"/>
      <c r="H21" s="15"/>
      <c r="I21" s="16">
        <f t="shared" si="4"/>
        <v>0</v>
      </c>
      <c r="J21" s="16"/>
      <c r="K21" s="11"/>
      <c r="L21" s="16"/>
      <c r="M21" s="16"/>
      <c r="N21" s="16"/>
      <c r="O21" s="16"/>
      <c r="P21" s="16"/>
      <c r="Q21" s="16"/>
      <c r="R21" s="35"/>
      <c r="S21" s="43"/>
      <c r="T21" s="46"/>
      <c r="U21" s="51">
        <f t="shared" si="2"/>
        <v>0</v>
      </c>
      <c r="V21" s="17" t="str">
        <f t="shared" si="3"/>
        <v>OK</v>
      </c>
    </row>
    <row r="22" spans="1:22" x14ac:dyDescent="0.3">
      <c r="A22" s="63" t="s">
        <v>23</v>
      </c>
      <c r="B22" s="63">
        <v>5695</v>
      </c>
      <c r="C22" s="18" t="s">
        <v>49</v>
      </c>
      <c r="D22" s="19"/>
      <c r="E22" s="19"/>
      <c r="F22" s="19"/>
      <c r="G22" s="20"/>
      <c r="H22" s="21"/>
      <c r="I22" s="22">
        <f t="shared" si="4"/>
        <v>0</v>
      </c>
      <c r="J22" s="22"/>
      <c r="K22" s="11"/>
      <c r="L22" s="22"/>
      <c r="M22" s="22"/>
      <c r="N22" s="22"/>
      <c r="O22" s="22"/>
      <c r="P22" s="22"/>
      <c r="Q22" s="22"/>
      <c r="R22" s="36"/>
      <c r="S22" s="44"/>
      <c r="T22" s="47"/>
      <c r="U22" s="52">
        <f t="shared" si="2"/>
        <v>0</v>
      </c>
      <c r="V22" s="23" t="str">
        <f t="shared" si="3"/>
        <v>OK</v>
      </c>
    </row>
    <row r="23" spans="1:22" x14ac:dyDescent="0.3">
      <c r="A23" s="62" t="s">
        <v>24</v>
      </c>
      <c r="B23" s="62">
        <v>5691</v>
      </c>
      <c r="C23" s="12" t="s">
        <v>50</v>
      </c>
      <c r="D23" s="53"/>
      <c r="E23" s="13"/>
      <c r="F23" s="13"/>
      <c r="G23" s="14"/>
      <c r="H23" s="15"/>
      <c r="I23" s="16">
        <f t="shared" si="4"/>
        <v>0</v>
      </c>
      <c r="J23" s="16"/>
      <c r="K23" s="11"/>
      <c r="L23" s="16"/>
      <c r="M23" s="16"/>
      <c r="N23" s="16"/>
      <c r="O23" s="16"/>
      <c r="P23" s="16"/>
      <c r="Q23" s="16"/>
      <c r="R23" s="35"/>
      <c r="S23" s="43"/>
      <c r="T23" s="46"/>
      <c r="U23" s="51">
        <f t="shared" si="2"/>
        <v>0</v>
      </c>
      <c r="V23" s="17" t="str">
        <f t="shared" si="3"/>
        <v>OK</v>
      </c>
    </row>
    <row r="24" spans="1:22" x14ac:dyDescent="0.3">
      <c r="A24" s="63" t="s">
        <v>37</v>
      </c>
      <c r="B24" s="63">
        <v>5687</v>
      </c>
      <c r="C24" s="18" t="s">
        <v>51</v>
      </c>
      <c r="D24" s="19"/>
      <c r="E24" s="19"/>
      <c r="F24" s="19"/>
      <c r="G24" s="20"/>
      <c r="H24" s="21"/>
      <c r="I24" s="22">
        <f t="shared" si="4"/>
        <v>0</v>
      </c>
      <c r="J24" s="22"/>
      <c r="K24" s="11"/>
      <c r="L24" s="22"/>
      <c r="M24" s="22"/>
      <c r="N24" s="22"/>
      <c r="O24" s="22"/>
      <c r="P24" s="22"/>
      <c r="Q24" s="22"/>
      <c r="R24" s="36"/>
      <c r="S24" s="44"/>
      <c r="T24" s="47"/>
      <c r="U24" s="52">
        <f t="shared" si="2"/>
        <v>0</v>
      </c>
      <c r="V24" s="23" t="str">
        <f t="shared" si="3"/>
        <v>OK</v>
      </c>
    </row>
    <row r="25" spans="1:22" x14ac:dyDescent="0.3">
      <c r="A25" s="62" t="s">
        <v>38</v>
      </c>
      <c r="B25" s="62">
        <v>5683</v>
      </c>
      <c r="C25" s="12" t="s">
        <v>51</v>
      </c>
      <c r="D25" s="53"/>
      <c r="E25" s="13"/>
      <c r="F25" s="13"/>
      <c r="G25" s="14"/>
      <c r="H25" s="15"/>
      <c r="I25" s="16">
        <f t="shared" si="4"/>
        <v>0</v>
      </c>
      <c r="J25" s="16"/>
      <c r="K25" s="11"/>
      <c r="L25" s="16"/>
      <c r="M25" s="16"/>
      <c r="N25" s="16"/>
      <c r="O25" s="16"/>
      <c r="P25" s="16"/>
      <c r="Q25" s="16"/>
      <c r="R25" s="35"/>
      <c r="S25" s="43"/>
      <c r="T25" s="46"/>
      <c r="U25" s="51">
        <f t="shared" si="2"/>
        <v>0</v>
      </c>
      <c r="V25" s="17" t="str">
        <f t="shared" si="3"/>
        <v>OK</v>
      </c>
    </row>
    <row r="26" spans="1:22" x14ac:dyDescent="0.3">
      <c r="A26" s="63" t="s">
        <v>25</v>
      </c>
      <c r="B26" s="63">
        <v>5679</v>
      </c>
      <c r="C26" s="18" t="s">
        <v>52</v>
      </c>
      <c r="D26" s="19"/>
      <c r="E26" s="19"/>
      <c r="F26" s="19"/>
      <c r="G26" s="20"/>
      <c r="H26" s="21"/>
      <c r="I26" s="22">
        <f t="shared" si="4"/>
        <v>0</v>
      </c>
      <c r="J26" s="22"/>
      <c r="K26" s="11"/>
      <c r="L26" s="22"/>
      <c r="M26" s="22"/>
      <c r="N26" s="22"/>
      <c r="O26" s="22"/>
      <c r="P26" s="22"/>
      <c r="Q26" s="22"/>
      <c r="R26" s="36"/>
      <c r="S26" s="44"/>
      <c r="T26" s="47"/>
      <c r="U26" s="52">
        <f t="shared" si="2"/>
        <v>0</v>
      </c>
      <c r="V26" s="23" t="str">
        <f t="shared" si="3"/>
        <v>OK</v>
      </c>
    </row>
    <row r="27" spans="1:22" x14ac:dyDescent="0.3">
      <c r="A27" s="62" t="s">
        <v>39</v>
      </c>
      <c r="B27" s="62">
        <v>5675</v>
      </c>
      <c r="C27" s="12" t="s">
        <v>53</v>
      </c>
      <c r="D27" s="53"/>
      <c r="E27" s="13"/>
      <c r="F27" s="13"/>
      <c r="G27" s="14"/>
      <c r="H27" s="15"/>
      <c r="I27" s="16">
        <f t="shared" si="4"/>
        <v>0</v>
      </c>
      <c r="J27" s="16"/>
      <c r="K27" s="11"/>
      <c r="L27" s="16"/>
      <c r="M27" s="16"/>
      <c r="N27" s="16"/>
      <c r="O27" s="16"/>
      <c r="P27" s="16"/>
      <c r="Q27" s="16"/>
      <c r="R27" s="35"/>
      <c r="S27" s="43"/>
      <c r="T27" s="46"/>
      <c r="U27" s="51">
        <f t="shared" si="2"/>
        <v>0</v>
      </c>
      <c r="V27" s="17" t="str">
        <f t="shared" si="3"/>
        <v>OK</v>
      </c>
    </row>
    <row r="28" spans="1:22" x14ac:dyDescent="0.3">
      <c r="A28" s="63" t="s">
        <v>26</v>
      </c>
      <c r="B28" s="63">
        <v>5671</v>
      </c>
      <c r="C28" s="18" t="s">
        <v>49</v>
      </c>
      <c r="D28" s="19"/>
      <c r="E28" s="19"/>
      <c r="F28" s="19"/>
      <c r="G28" s="20"/>
      <c r="H28" s="21"/>
      <c r="I28" s="22">
        <f t="shared" si="4"/>
        <v>0</v>
      </c>
      <c r="J28" s="22"/>
      <c r="K28" s="11"/>
      <c r="L28" s="22"/>
      <c r="M28" s="22"/>
      <c r="N28" s="22"/>
      <c r="O28" s="22"/>
      <c r="P28" s="22"/>
      <c r="Q28" s="22"/>
      <c r="R28" s="36"/>
      <c r="S28" s="44"/>
      <c r="T28" s="47"/>
      <c r="U28" s="52">
        <f t="shared" si="2"/>
        <v>0</v>
      </c>
      <c r="V28" s="23" t="str">
        <f t="shared" si="3"/>
        <v>OK</v>
      </c>
    </row>
    <row r="29" spans="1:22" x14ac:dyDescent="0.3">
      <c r="A29" s="62" t="s">
        <v>40</v>
      </c>
      <c r="B29" s="62">
        <v>5667</v>
      </c>
      <c r="C29" s="12" t="s">
        <v>50</v>
      </c>
      <c r="D29" s="53"/>
      <c r="E29" s="13"/>
      <c r="F29" s="13"/>
      <c r="G29" s="14"/>
      <c r="H29" s="15"/>
      <c r="I29" s="16">
        <f t="shared" si="4"/>
        <v>0</v>
      </c>
      <c r="J29" s="16"/>
      <c r="K29" s="11"/>
      <c r="L29" s="16"/>
      <c r="M29" s="16"/>
      <c r="N29" s="16"/>
      <c r="O29" s="16"/>
      <c r="P29" s="16"/>
      <c r="Q29" s="16"/>
      <c r="R29" s="35"/>
      <c r="S29" s="43"/>
      <c r="T29" s="46"/>
      <c r="U29" s="51">
        <f t="shared" si="2"/>
        <v>0</v>
      </c>
      <c r="V29" s="17" t="str">
        <f t="shared" si="3"/>
        <v>OK</v>
      </c>
    </row>
    <row r="30" spans="1:22" x14ac:dyDescent="0.3">
      <c r="A30" s="63" t="s">
        <v>41</v>
      </c>
      <c r="B30" s="63">
        <v>5663</v>
      </c>
      <c r="C30" s="18" t="s">
        <v>51</v>
      </c>
      <c r="D30" s="19"/>
      <c r="E30" s="19"/>
      <c r="F30" s="19"/>
      <c r="G30" s="20"/>
      <c r="H30" s="21"/>
      <c r="I30" s="22">
        <f t="shared" si="4"/>
        <v>0</v>
      </c>
      <c r="J30" s="22"/>
      <c r="K30" s="11"/>
      <c r="L30" s="22"/>
      <c r="M30" s="22"/>
      <c r="N30" s="22"/>
      <c r="O30" s="22"/>
      <c r="P30" s="22"/>
      <c r="Q30" s="22"/>
      <c r="R30" s="36"/>
      <c r="S30" s="44"/>
      <c r="T30" s="47"/>
      <c r="U30" s="52">
        <f t="shared" si="2"/>
        <v>0</v>
      </c>
      <c r="V30" s="23" t="str">
        <f t="shared" si="3"/>
        <v>OK</v>
      </c>
    </row>
    <row r="31" spans="1:22" x14ac:dyDescent="0.3">
      <c r="A31" s="62" t="s">
        <v>42</v>
      </c>
      <c r="B31" s="62">
        <v>5659</v>
      </c>
      <c r="C31" s="12" t="s">
        <v>52</v>
      </c>
      <c r="D31" s="53"/>
      <c r="E31" s="13"/>
      <c r="F31" s="13"/>
      <c r="G31" s="14"/>
      <c r="H31" s="15"/>
      <c r="I31" s="16">
        <f t="shared" si="4"/>
        <v>0</v>
      </c>
      <c r="J31" s="16"/>
      <c r="K31" s="11"/>
      <c r="L31" s="16"/>
      <c r="M31" s="16"/>
      <c r="N31" s="16"/>
      <c r="O31" s="16"/>
      <c r="P31" s="16"/>
      <c r="Q31" s="16"/>
      <c r="R31" s="35"/>
      <c r="S31" s="43"/>
      <c r="T31" s="46"/>
      <c r="U31" s="51">
        <f t="shared" si="2"/>
        <v>0</v>
      </c>
      <c r="V31" s="17" t="str">
        <f t="shared" si="3"/>
        <v>OK</v>
      </c>
    </row>
    <row r="32" spans="1:22" x14ac:dyDescent="0.3">
      <c r="A32" s="63" t="s">
        <v>27</v>
      </c>
      <c r="B32" s="63">
        <v>5655</v>
      </c>
      <c r="C32" s="18" t="s">
        <v>54</v>
      </c>
      <c r="D32" s="19"/>
      <c r="E32" s="19"/>
      <c r="F32" s="19"/>
      <c r="G32" s="20"/>
      <c r="H32" s="21"/>
      <c r="I32" s="22">
        <f t="shared" si="4"/>
        <v>0</v>
      </c>
      <c r="J32" s="22"/>
      <c r="K32" s="11"/>
      <c r="L32" s="22"/>
      <c r="M32" s="22"/>
      <c r="N32" s="22"/>
      <c r="O32" s="22"/>
      <c r="P32" s="22"/>
      <c r="Q32" s="22"/>
      <c r="R32" s="36"/>
      <c r="S32" s="44"/>
      <c r="T32" s="47"/>
      <c r="U32" s="52">
        <f t="shared" si="2"/>
        <v>0</v>
      </c>
      <c r="V32" s="23" t="str">
        <f t="shared" si="3"/>
        <v>OK</v>
      </c>
    </row>
    <row r="33" spans="1:22" x14ac:dyDescent="0.3">
      <c r="A33" s="62" t="s">
        <v>70</v>
      </c>
      <c r="B33" s="62">
        <v>5651</v>
      </c>
      <c r="C33" s="12" t="s">
        <v>55</v>
      </c>
      <c r="D33" s="53"/>
      <c r="E33" s="13"/>
      <c r="F33" s="13"/>
      <c r="G33" s="14"/>
      <c r="H33" s="15"/>
      <c r="I33" s="16">
        <f t="shared" si="4"/>
        <v>0</v>
      </c>
      <c r="J33" s="16"/>
      <c r="K33" s="11"/>
      <c r="L33" s="16"/>
      <c r="M33" s="16"/>
      <c r="N33" s="16"/>
      <c r="O33" s="16"/>
      <c r="P33" s="16"/>
      <c r="Q33" s="16"/>
      <c r="R33" s="35"/>
      <c r="S33" s="43"/>
      <c r="T33" s="46"/>
      <c r="U33" s="51">
        <f t="shared" si="2"/>
        <v>0</v>
      </c>
      <c r="V33" s="17" t="str">
        <f t="shared" si="3"/>
        <v>OK</v>
      </c>
    </row>
    <row r="34" spans="1:22" x14ac:dyDescent="0.3">
      <c r="A34" s="63" t="s">
        <v>71</v>
      </c>
      <c r="B34" s="63">
        <v>5643</v>
      </c>
      <c r="C34" s="18" t="s">
        <v>56</v>
      </c>
      <c r="D34" s="19"/>
      <c r="E34" s="19"/>
      <c r="F34" s="19"/>
      <c r="G34" s="20"/>
      <c r="H34" s="21"/>
      <c r="I34" s="22">
        <f t="shared" si="4"/>
        <v>0</v>
      </c>
      <c r="J34" s="22"/>
      <c r="K34" s="11"/>
      <c r="L34" s="22"/>
      <c r="M34" s="22"/>
      <c r="N34" s="22"/>
      <c r="O34" s="22"/>
      <c r="P34" s="22"/>
      <c r="Q34" s="22"/>
      <c r="R34" s="36"/>
      <c r="S34" s="44"/>
      <c r="T34" s="47"/>
      <c r="U34" s="52">
        <f t="shared" si="2"/>
        <v>0</v>
      </c>
      <c r="V34" s="23" t="str">
        <f t="shared" si="3"/>
        <v>OK</v>
      </c>
    </row>
    <row r="35" spans="1:22" x14ac:dyDescent="0.3">
      <c r="A35" s="62" t="s">
        <v>57</v>
      </c>
      <c r="B35" s="62">
        <v>11350</v>
      </c>
      <c r="C35" s="12" t="s">
        <v>56</v>
      </c>
      <c r="D35" s="53"/>
      <c r="E35" s="13"/>
      <c r="F35" s="13"/>
      <c r="G35" s="14"/>
      <c r="H35" s="15"/>
      <c r="I35" s="16">
        <f t="shared" si="4"/>
        <v>0</v>
      </c>
      <c r="J35" s="16"/>
      <c r="K35" s="11"/>
      <c r="L35" s="16"/>
      <c r="M35" s="16"/>
      <c r="N35" s="16"/>
      <c r="O35" s="16"/>
      <c r="P35" s="16"/>
      <c r="Q35" s="16"/>
      <c r="R35" s="35"/>
      <c r="S35" s="43"/>
      <c r="T35" s="46"/>
      <c r="U35" s="51">
        <f t="shared" si="2"/>
        <v>0</v>
      </c>
      <c r="V35" s="17" t="str">
        <f t="shared" si="3"/>
        <v>OK</v>
      </c>
    </row>
    <row r="36" spans="1:22" x14ac:dyDescent="0.3">
      <c r="A36" s="63" t="s">
        <v>72</v>
      </c>
      <c r="B36" s="63">
        <v>5635</v>
      </c>
      <c r="C36" s="18" t="s">
        <v>55</v>
      </c>
      <c r="D36" s="19"/>
      <c r="E36" s="19"/>
      <c r="F36" s="19"/>
      <c r="G36" s="20"/>
      <c r="H36" s="21"/>
      <c r="I36" s="22">
        <f t="shared" si="4"/>
        <v>0</v>
      </c>
      <c r="J36" s="22"/>
      <c r="K36" s="11"/>
      <c r="L36" s="22"/>
      <c r="M36" s="22"/>
      <c r="N36" s="22"/>
      <c r="O36" s="22"/>
      <c r="P36" s="22"/>
      <c r="Q36" s="22"/>
      <c r="R36" s="36"/>
      <c r="S36" s="44"/>
      <c r="T36" s="47"/>
      <c r="U36" s="52">
        <f t="shared" si="2"/>
        <v>0</v>
      </c>
      <c r="V36" s="23" t="str">
        <f t="shared" si="3"/>
        <v>OK</v>
      </c>
    </row>
    <row r="37" spans="1:22" x14ac:dyDescent="0.3">
      <c r="A37" s="62" t="s">
        <v>58</v>
      </c>
      <c r="B37" s="62">
        <v>11349</v>
      </c>
      <c r="C37" s="12" t="s">
        <v>55</v>
      </c>
      <c r="D37" s="53"/>
      <c r="E37" s="13"/>
      <c r="F37" s="13"/>
      <c r="G37" s="14"/>
      <c r="H37" s="15"/>
      <c r="I37" s="16">
        <f t="shared" si="4"/>
        <v>0</v>
      </c>
      <c r="J37" s="16"/>
      <c r="K37" s="11"/>
      <c r="L37" s="16"/>
      <c r="M37" s="16"/>
      <c r="N37" s="16"/>
      <c r="O37" s="16"/>
      <c r="P37" s="16"/>
      <c r="Q37" s="16"/>
      <c r="R37" s="35"/>
      <c r="S37" s="43"/>
      <c r="T37" s="46"/>
      <c r="U37" s="51">
        <f t="shared" ref="U37:U55" si="5">SUM(L37:T37)</f>
        <v>0</v>
      </c>
      <c r="V37" s="17" t="str">
        <f t="shared" si="3"/>
        <v>OK</v>
      </c>
    </row>
    <row r="38" spans="1:22" x14ac:dyDescent="0.3">
      <c r="A38" s="63" t="s">
        <v>73</v>
      </c>
      <c r="B38" s="63">
        <v>5627</v>
      </c>
      <c r="C38" s="18" t="s">
        <v>56</v>
      </c>
      <c r="D38" s="19"/>
      <c r="E38" s="19"/>
      <c r="F38" s="19"/>
      <c r="G38" s="20"/>
      <c r="H38" s="21"/>
      <c r="I38" s="22">
        <f t="shared" si="4"/>
        <v>0</v>
      </c>
      <c r="J38" s="22"/>
      <c r="K38" s="11"/>
      <c r="L38" s="22"/>
      <c r="M38" s="22"/>
      <c r="N38" s="22"/>
      <c r="O38" s="22"/>
      <c r="P38" s="22"/>
      <c r="Q38" s="22"/>
      <c r="R38" s="36"/>
      <c r="S38" s="44"/>
      <c r="T38" s="47"/>
      <c r="U38" s="52">
        <f t="shared" si="5"/>
        <v>0</v>
      </c>
      <c r="V38" s="23" t="str">
        <f t="shared" si="3"/>
        <v>OK</v>
      </c>
    </row>
    <row r="39" spans="1:22" x14ac:dyDescent="0.3">
      <c r="A39" s="62" t="s">
        <v>59</v>
      </c>
      <c r="B39" s="62">
        <v>11348</v>
      </c>
      <c r="C39" s="12" t="s">
        <v>56</v>
      </c>
      <c r="D39" s="53"/>
      <c r="E39" s="13"/>
      <c r="F39" s="13"/>
      <c r="G39" s="14"/>
      <c r="H39" s="15"/>
      <c r="I39" s="16">
        <f t="shared" si="4"/>
        <v>0</v>
      </c>
      <c r="J39" s="16"/>
      <c r="K39" s="11"/>
      <c r="L39" s="16"/>
      <c r="M39" s="16"/>
      <c r="N39" s="16"/>
      <c r="O39" s="16"/>
      <c r="P39" s="16"/>
      <c r="Q39" s="16"/>
      <c r="R39" s="35"/>
      <c r="S39" s="43"/>
      <c r="T39" s="46"/>
      <c r="U39" s="51">
        <f t="shared" si="5"/>
        <v>0</v>
      </c>
      <c r="V39" s="17" t="str">
        <f t="shared" si="3"/>
        <v>OK</v>
      </c>
    </row>
    <row r="40" spans="1:22" x14ac:dyDescent="0.3">
      <c r="A40" s="63" t="s">
        <v>74</v>
      </c>
      <c r="B40" s="63">
        <v>5619</v>
      </c>
      <c r="C40" s="18" t="s">
        <v>60</v>
      </c>
      <c r="D40" s="19"/>
      <c r="E40" s="19"/>
      <c r="F40" s="19"/>
      <c r="G40" s="20"/>
      <c r="H40" s="21"/>
      <c r="I40" s="22">
        <f t="shared" si="4"/>
        <v>0</v>
      </c>
      <c r="J40" s="22"/>
      <c r="K40" s="11"/>
      <c r="L40" s="22"/>
      <c r="M40" s="22"/>
      <c r="N40" s="22"/>
      <c r="O40" s="22"/>
      <c r="P40" s="22"/>
      <c r="Q40" s="22"/>
      <c r="R40" s="36"/>
      <c r="S40" s="44"/>
      <c r="T40" s="47"/>
      <c r="U40" s="52">
        <f t="shared" si="5"/>
        <v>0</v>
      </c>
      <c r="V40" s="23" t="str">
        <f t="shared" si="3"/>
        <v>OK</v>
      </c>
    </row>
    <row r="41" spans="1:22" x14ac:dyDescent="0.3">
      <c r="A41" s="64" t="s">
        <v>61</v>
      </c>
      <c r="B41" s="62">
        <v>11347</v>
      </c>
      <c r="C41" s="12" t="s">
        <v>60</v>
      </c>
      <c r="D41" s="53"/>
      <c r="E41" s="13"/>
      <c r="F41" s="13"/>
      <c r="G41" s="14"/>
      <c r="H41" s="15"/>
      <c r="I41" s="16">
        <f t="shared" si="4"/>
        <v>0</v>
      </c>
      <c r="J41" s="16"/>
      <c r="K41" s="11"/>
      <c r="L41" s="16"/>
      <c r="M41" s="16"/>
      <c r="N41" s="16"/>
      <c r="O41" s="16"/>
      <c r="P41" s="16"/>
      <c r="Q41" s="16"/>
      <c r="R41" s="35"/>
      <c r="S41" s="43"/>
      <c r="T41" s="46"/>
      <c r="U41" s="51">
        <f t="shared" si="5"/>
        <v>0</v>
      </c>
      <c r="V41" s="17" t="str">
        <f t="shared" si="3"/>
        <v>OK</v>
      </c>
    </row>
    <row r="42" spans="1:22" x14ac:dyDescent="0.3">
      <c r="A42" s="54" t="s">
        <v>75</v>
      </c>
      <c r="B42" s="63">
        <v>5611</v>
      </c>
      <c r="C42" s="18" t="s">
        <v>62</v>
      </c>
      <c r="D42" s="19"/>
      <c r="E42" s="19"/>
      <c r="F42" s="19"/>
      <c r="G42" s="20"/>
      <c r="H42" s="21"/>
      <c r="I42" s="22">
        <f t="shared" si="4"/>
        <v>0</v>
      </c>
      <c r="J42" s="22"/>
      <c r="K42" s="11"/>
      <c r="L42" s="22"/>
      <c r="M42" s="22"/>
      <c r="N42" s="22"/>
      <c r="O42" s="22"/>
      <c r="P42" s="22"/>
      <c r="Q42" s="22"/>
      <c r="R42" s="36"/>
      <c r="S42" s="44"/>
      <c r="T42" s="47"/>
      <c r="U42" s="52">
        <f t="shared" si="5"/>
        <v>0</v>
      </c>
      <c r="V42" s="23" t="str">
        <f t="shared" si="3"/>
        <v>OK</v>
      </c>
    </row>
    <row r="43" spans="1:22" x14ac:dyDescent="0.3">
      <c r="A43" s="12" t="s">
        <v>63</v>
      </c>
      <c r="B43" s="62">
        <v>11336</v>
      </c>
      <c r="C43" s="12" t="s">
        <v>62</v>
      </c>
      <c r="D43" s="53"/>
      <c r="E43" s="13"/>
      <c r="F43" s="13"/>
      <c r="G43" s="14"/>
      <c r="H43" s="15"/>
      <c r="I43" s="16">
        <f t="shared" si="4"/>
        <v>0</v>
      </c>
      <c r="J43" s="16"/>
      <c r="K43" s="11"/>
      <c r="L43" s="16"/>
      <c r="M43" s="16"/>
      <c r="N43" s="16"/>
      <c r="O43" s="16"/>
      <c r="P43" s="16"/>
      <c r="Q43" s="16"/>
      <c r="R43" s="35"/>
      <c r="S43" s="43"/>
      <c r="T43" s="46"/>
      <c r="U43" s="51">
        <f t="shared" si="5"/>
        <v>0</v>
      </c>
      <c r="V43" s="17" t="str">
        <f t="shared" si="3"/>
        <v>OK</v>
      </c>
    </row>
    <row r="44" spans="1:22" x14ac:dyDescent="0.3">
      <c r="A44" s="54" t="s">
        <v>100</v>
      </c>
      <c r="B44" s="63">
        <v>14860</v>
      </c>
      <c r="C44" s="18" t="s">
        <v>56</v>
      </c>
      <c r="D44" s="19"/>
      <c r="E44" s="19"/>
      <c r="F44" s="19"/>
      <c r="G44" s="20"/>
      <c r="H44" s="21"/>
      <c r="I44" s="22">
        <f t="shared" si="4"/>
        <v>0</v>
      </c>
      <c r="J44" s="22"/>
      <c r="K44" s="11"/>
      <c r="L44" s="22"/>
      <c r="M44" s="22"/>
      <c r="N44" s="22"/>
      <c r="O44" s="22"/>
      <c r="P44" s="22"/>
      <c r="Q44" s="22"/>
      <c r="R44" s="36"/>
      <c r="S44" s="44"/>
      <c r="T44" s="47"/>
      <c r="U44" s="52">
        <f t="shared" si="5"/>
        <v>0</v>
      </c>
      <c r="V44" s="23" t="str">
        <f t="shared" si="3"/>
        <v>OK</v>
      </c>
    </row>
    <row r="45" spans="1:22" x14ac:dyDescent="0.3">
      <c r="A45" s="64" t="s">
        <v>83</v>
      </c>
      <c r="B45" s="62">
        <v>14861</v>
      </c>
      <c r="C45" s="12" t="s">
        <v>56</v>
      </c>
      <c r="D45" s="53"/>
      <c r="E45" s="13"/>
      <c r="F45" s="13"/>
      <c r="G45" s="14"/>
      <c r="H45" s="15"/>
      <c r="I45" s="16">
        <f t="shared" si="4"/>
        <v>0</v>
      </c>
      <c r="J45" s="16"/>
      <c r="K45" s="11"/>
      <c r="L45" s="16"/>
      <c r="M45" s="16"/>
      <c r="N45" s="16"/>
      <c r="O45" s="16"/>
      <c r="P45" s="16"/>
      <c r="Q45" s="16"/>
      <c r="R45" s="35"/>
      <c r="S45" s="43"/>
      <c r="T45" s="46"/>
      <c r="U45" s="51">
        <f t="shared" si="5"/>
        <v>0</v>
      </c>
      <c r="V45" s="17" t="str">
        <f t="shared" si="3"/>
        <v>OK</v>
      </c>
    </row>
    <row r="46" spans="1:22" x14ac:dyDescent="0.3">
      <c r="A46" s="54" t="s">
        <v>101</v>
      </c>
      <c r="B46" s="63">
        <v>15096</v>
      </c>
      <c r="C46" s="18" t="s">
        <v>56</v>
      </c>
      <c r="D46" s="19"/>
      <c r="E46" s="19"/>
      <c r="F46" s="19"/>
      <c r="G46" s="20"/>
      <c r="H46" s="21"/>
      <c r="I46" s="22">
        <f t="shared" si="4"/>
        <v>0</v>
      </c>
      <c r="J46" s="22"/>
      <c r="K46" s="11"/>
      <c r="L46" s="22"/>
      <c r="M46" s="22"/>
      <c r="N46" s="22"/>
      <c r="O46" s="22"/>
      <c r="P46" s="22"/>
      <c r="Q46" s="22"/>
      <c r="R46" s="36"/>
      <c r="S46" s="44"/>
      <c r="T46" s="47"/>
      <c r="U46" s="52">
        <f t="shared" si="5"/>
        <v>0</v>
      </c>
      <c r="V46" s="23" t="str">
        <f t="shared" si="3"/>
        <v>OK</v>
      </c>
    </row>
    <row r="47" spans="1:22" x14ac:dyDescent="0.3">
      <c r="A47" s="12" t="s">
        <v>81</v>
      </c>
      <c r="B47" s="62">
        <v>15097</v>
      </c>
      <c r="C47" s="12" t="s">
        <v>56</v>
      </c>
      <c r="D47" s="53"/>
      <c r="E47" s="13"/>
      <c r="F47" s="13"/>
      <c r="G47" s="14"/>
      <c r="H47" s="15"/>
      <c r="I47" s="16">
        <f t="shared" si="4"/>
        <v>0</v>
      </c>
      <c r="J47" s="16"/>
      <c r="K47" s="11"/>
      <c r="L47" s="16"/>
      <c r="M47" s="16"/>
      <c r="N47" s="16"/>
      <c r="O47" s="16"/>
      <c r="P47" s="16"/>
      <c r="Q47" s="16"/>
      <c r="R47" s="35"/>
      <c r="S47" s="43"/>
      <c r="T47" s="46"/>
      <c r="U47" s="51">
        <f t="shared" si="5"/>
        <v>0</v>
      </c>
      <c r="V47" s="17" t="str">
        <f t="shared" si="3"/>
        <v>OK</v>
      </c>
    </row>
    <row r="48" spans="1:22" x14ac:dyDescent="0.3">
      <c r="A48" s="54" t="s">
        <v>76</v>
      </c>
      <c r="B48" s="63">
        <v>5585</v>
      </c>
      <c r="C48" s="18" t="s">
        <v>64</v>
      </c>
      <c r="D48" s="19"/>
      <c r="E48" s="19"/>
      <c r="F48" s="19"/>
      <c r="G48" s="20"/>
      <c r="H48" s="21"/>
      <c r="I48" s="22">
        <f t="shared" si="4"/>
        <v>0</v>
      </c>
      <c r="J48" s="22"/>
      <c r="K48" s="11"/>
      <c r="L48" s="22"/>
      <c r="M48" s="22"/>
      <c r="N48" s="22"/>
      <c r="O48" s="22"/>
      <c r="P48" s="22"/>
      <c r="Q48" s="22"/>
      <c r="R48" s="36"/>
      <c r="S48" s="44"/>
      <c r="T48" s="47"/>
      <c r="U48" s="52">
        <f t="shared" si="5"/>
        <v>0</v>
      </c>
      <c r="V48" s="23" t="str">
        <f t="shared" si="3"/>
        <v>OK</v>
      </c>
    </row>
    <row r="49" spans="1:22" x14ac:dyDescent="0.3">
      <c r="A49" s="12" t="s">
        <v>65</v>
      </c>
      <c r="B49" s="62">
        <v>11351</v>
      </c>
      <c r="C49" s="12" t="s">
        <v>64</v>
      </c>
      <c r="D49" s="53"/>
      <c r="E49" s="13"/>
      <c r="F49" s="13"/>
      <c r="G49" s="14"/>
      <c r="H49" s="15"/>
      <c r="I49" s="16">
        <f t="shared" si="4"/>
        <v>0</v>
      </c>
      <c r="J49" s="16"/>
      <c r="K49" s="11"/>
      <c r="L49" s="16"/>
      <c r="M49" s="16"/>
      <c r="N49" s="16"/>
      <c r="O49" s="16"/>
      <c r="P49" s="16"/>
      <c r="Q49" s="16"/>
      <c r="R49" s="35"/>
      <c r="S49" s="43"/>
      <c r="T49" s="46"/>
      <c r="U49" s="51">
        <f t="shared" si="5"/>
        <v>0</v>
      </c>
      <c r="V49" s="17" t="str">
        <f t="shared" si="3"/>
        <v>OK</v>
      </c>
    </row>
    <row r="50" spans="1:22" x14ac:dyDescent="0.3">
      <c r="A50" s="54" t="s">
        <v>66</v>
      </c>
      <c r="B50" s="63">
        <v>11352</v>
      </c>
      <c r="C50" s="18" t="s">
        <v>64</v>
      </c>
      <c r="D50" s="19"/>
      <c r="E50" s="19"/>
      <c r="F50" s="19"/>
      <c r="G50" s="20"/>
      <c r="H50" s="21"/>
      <c r="I50" s="22">
        <f t="shared" si="4"/>
        <v>0</v>
      </c>
      <c r="J50" s="22"/>
      <c r="K50" s="11"/>
      <c r="L50" s="22"/>
      <c r="M50" s="22"/>
      <c r="N50" s="22"/>
      <c r="O50" s="22"/>
      <c r="P50" s="22"/>
      <c r="Q50" s="22"/>
      <c r="R50" s="36"/>
      <c r="S50" s="44"/>
      <c r="T50" s="47"/>
      <c r="U50" s="52">
        <f t="shared" si="5"/>
        <v>0</v>
      </c>
      <c r="V50" s="23" t="str">
        <f t="shared" si="3"/>
        <v>OK</v>
      </c>
    </row>
    <row r="51" spans="1:22" x14ac:dyDescent="0.3">
      <c r="A51" s="90" t="s">
        <v>102</v>
      </c>
      <c r="B51" s="76">
        <v>13515</v>
      </c>
      <c r="C51" s="70" t="s">
        <v>78</v>
      </c>
      <c r="D51" s="70"/>
      <c r="E51" s="70"/>
      <c r="F51" s="70"/>
      <c r="G51" s="91"/>
      <c r="H51" s="82"/>
      <c r="I51" s="82">
        <f t="shared" si="4"/>
        <v>0</v>
      </c>
      <c r="J51" s="74"/>
      <c r="K51" s="11"/>
      <c r="L51" s="16"/>
      <c r="M51" s="16"/>
      <c r="N51" s="16"/>
      <c r="O51" s="16"/>
      <c r="P51" s="16"/>
      <c r="Q51" s="16"/>
      <c r="R51" s="35"/>
      <c r="S51" s="43"/>
      <c r="T51" s="46"/>
      <c r="U51" s="75">
        <f t="shared" si="5"/>
        <v>0</v>
      </c>
      <c r="V51" s="93" t="str">
        <f t="shared" si="3"/>
        <v>OK</v>
      </c>
    </row>
    <row r="52" spans="1:22" x14ac:dyDescent="0.3">
      <c r="A52" s="54" t="s">
        <v>103</v>
      </c>
      <c r="B52" s="63">
        <v>13516</v>
      </c>
      <c r="C52" s="18" t="s">
        <v>78</v>
      </c>
      <c r="D52" s="18"/>
      <c r="E52" s="18"/>
      <c r="F52" s="18"/>
      <c r="G52" s="92"/>
      <c r="H52" s="22"/>
      <c r="I52" s="22">
        <f t="shared" si="4"/>
        <v>0</v>
      </c>
      <c r="J52" s="69"/>
      <c r="K52" s="11"/>
      <c r="L52" s="22"/>
      <c r="M52" s="22"/>
      <c r="N52" s="22"/>
      <c r="O52" s="22"/>
      <c r="P52" s="22"/>
      <c r="Q52" s="22"/>
      <c r="R52" s="36"/>
      <c r="S52" s="44"/>
      <c r="T52" s="47"/>
      <c r="U52" s="52">
        <f t="shared" si="5"/>
        <v>0</v>
      </c>
      <c r="V52" s="23" t="str">
        <f t="shared" si="3"/>
        <v>OK</v>
      </c>
    </row>
    <row r="53" spans="1:22" x14ac:dyDescent="0.3">
      <c r="A53" s="90" t="s">
        <v>104</v>
      </c>
      <c r="B53" s="76">
        <v>13468</v>
      </c>
      <c r="C53" s="70" t="s">
        <v>78</v>
      </c>
      <c r="D53" s="70"/>
      <c r="E53" s="70"/>
      <c r="F53" s="70"/>
      <c r="G53" s="91"/>
      <c r="H53" s="82"/>
      <c r="I53" s="82">
        <f t="shared" si="4"/>
        <v>0</v>
      </c>
      <c r="J53" s="74"/>
      <c r="K53" s="11"/>
      <c r="L53" s="16"/>
      <c r="M53" s="16"/>
      <c r="N53" s="16"/>
      <c r="O53" s="16"/>
      <c r="P53" s="16"/>
      <c r="Q53" s="16"/>
      <c r="R53" s="35"/>
      <c r="S53" s="43"/>
      <c r="T53" s="46"/>
      <c r="U53" s="75">
        <f t="shared" si="5"/>
        <v>0</v>
      </c>
      <c r="V53" s="93" t="str">
        <f t="shared" si="3"/>
        <v>OK</v>
      </c>
    </row>
    <row r="54" spans="1:22" x14ac:dyDescent="0.3">
      <c r="A54" s="54" t="s">
        <v>79</v>
      </c>
      <c r="B54" s="63">
        <v>13469</v>
      </c>
      <c r="C54" s="18" t="s">
        <v>78</v>
      </c>
      <c r="D54" s="18"/>
      <c r="E54" s="18"/>
      <c r="F54" s="18"/>
      <c r="G54" s="92"/>
      <c r="H54" s="22"/>
      <c r="I54" s="22">
        <f t="shared" si="4"/>
        <v>0</v>
      </c>
      <c r="J54" s="69"/>
      <c r="K54" s="11"/>
      <c r="L54" s="22"/>
      <c r="M54" s="22"/>
      <c r="N54" s="22"/>
      <c r="O54" s="22"/>
      <c r="P54" s="22"/>
      <c r="Q54" s="22"/>
      <c r="R54" s="36"/>
      <c r="S54" s="44"/>
      <c r="T54" s="47"/>
      <c r="U54" s="52">
        <f t="shared" si="5"/>
        <v>0</v>
      </c>
      <c r="V54" s="23" t="str">
        <f t="shared" si="3"/>
        <v>OK</v>
      </c>
    </row>
    <row r="55" spans="1:22" x14ac:dyDescent="0.3">
      <c r="A55" s="90" t="s">
        <v>43</v>
      </c>
      <c r="B55" s="76">
        <v>11820</v>
      </c>
      <c r="C55" s="70" t="s">
        <v>67</v>
      </c>
      <c r="D55" s="70"/>
      <c r="E55" s="70"/>
      <c r="F55" s="70"/>
      <c r="G55" s="91"/>
      <c r="H55" s="82"/>
      <c r="I55" s="82">
        <f t="shared" si="4"/>
        <v>0</v>
      </c>
      <c r="J55" s="74"/>
      <c r="K55" s="11"/>
      <c r="L55" s="16"/>
      <c r="M55" s="16"/>
      <c r="N55" s="16"/>
      <c r="O55" s="16"/>
      <c r="P55" s="16"/>
      <c r="Q55" s="16"/>
      <c r="R55" s="35"/>
      <c r="S55" s="43"/>
      <c r="T55" s="46"/>
      <c r="U55" s="75">
        <f t="shared" si="5"/>
        <v>0</v>
      </c>
      <c r="V55" s="93" t="str">
        <f t="shared" si="3"/>
        <v>OK</v>
      </c>
    </row>
    <row r="56" spans="1:22" x14ac:dyDescent="0.3">
      <c r="A56" s="54" t="s">
        <v>44</v>
      </c>
      <c r="B56" s="63">
        <v>11816</v>
      </c>
      <c r="C56" s="18" t="s">
        <v>67</v>
      </c>
      <c r="D56" s="18"/>
      <c r="E56" s="18"/>
      <c r="F56" s="18"/>
      <c r="G56" s="92"/>
      <c r="H56" s="22"/>
      <c r="I56" s="22">
        <f t="shared" si="4"/>
        <v>0</v>
      </c>
      <c r="J56" s="69"/>
      <c r="K56" s="11"/>
      <c r="L56" s="22"/>
      <c r="M56" s="22"/>
      <c r="N56" s="22"/>
      <c r="O56" s="22"/>
      <c r="P56" s="22"/>
      <c r="Q56" s="22"/>
      <c r="R56" s="36"/>
      <c r="S56" s="44"/>
      <c r="T56" s="47"/>
      <c r="U56" s="52">
        <f>SUM(L56:T56)</f>
        <v>0</v>
      </c>
      <c r="V56" s="23" t="str">
        <f t="shared" si="3"/>
        <v>OK</v>
      </c>
    </row>
    <row r="57" spans="1:22" x14ac:dyDescent="0.3">
      <c r="A57" s="76" t="s">
        <v>77</v>
      </c>
      <c r="B57" s="76">
        <v>11381</v>
      </c>
      <c r="C57" s="77" t="s">
        <v>68</v>
      </c>
      <c r="D57" s="70"/>
      <c r="E57" s="70"/>
      <c r="F57" s="70"/>
      <c r="G57" s="91"/>
      <c r="H57" s="82"/>
      <c r="I57" s="82">
        <f t="shared" si="4"/>
        <v>0</v>
      </c>
      <c r="J57" s="74"/>
      <c r="K57" s="11"/>
      <c r="L57" s="16"/>
      <c r="M57" s="16"/>
      <c r="N57" s="16"/>
      <c r="O57" s="16"/>
      <c r="P57" s="16"/>
      <c r="Q57" s="16"/>
      <c r="R57" s="35"/>
      <c r="S57" s="43"/>
      <c r="T57" s="46"/>
      <c r="U57" s="75">
        <f>SUM(L57:T57)</f>
        <v>0</v>
      </c>
      <c r="V57" s="93" t="str">
        <f t="shared" si="3"/>
        <v>OK</v>
      </c>
    </row>
    <row r="58" spans="1:22" x14ac:dyDescent="0.3">
      <c r="A58" s="54" t="s">
        <v>69</v>
      </c>
      <c r="B58" s="63">
        <v>11382</v>
      </c>
      <c r="C58" s="18" t="s">
        <v>68</v>
      </c>
      <c r="D58" s="18"/>
      <c r="E58" s="18"/>
      <c r="F58" s="18"/>
      <c r="G58" s="92"/>
      <c r="H58" s="22"/>
      <c r="I58" s="22">
        <f t="shared" si="4"/>
        <v>0</v>
      </c>
      <c r="J58" s="69"/>
      <c r="K58" s="11"/>
      <c r="L58" s="22"/>
      <c r="M58" s="22"/>
      <c r="N58" s="22"/>
      <c r="O58" s="22"/>
      <c r="P58" s="22"/>
      <c r="Q58" s="22"/>
      <c r="R58" s="36"/>
      <c r="S58" s="44"/>
      <c r="T58" s="47"/>
      <c r="U58" s="52">
        <f>SUM(L58:T58)</f>
        <v>0</v>
      </c>
      <c r="V58" s="23" t="str">
        <f t="shared" si="3"/>
        <v>OK</v>
      </c>
    </row>
    <row r="59" spans="1:22" x14ac:dyDescent="0.3">
      <c r="A59" s="96" t="s">
        <v>105</v>
      </c>
      <c r="B59" s="76">
        <v>16586</v>
      </c>
      <c r="C59" s="70" t="s">
        <v>78</v>
      </c>
      <c r="D59" s="70"/>
      <c r="E59" s="70"/>
      <c r="F59" s="70"/>
      <c r="G59" s="91"/>
      <c r="H59" s="82"/>
      <c r="I59" s="82">
        <f t="shared" si="4"/>
        <v>0</v>
      </c>
      <c r="J59" s="74"/>
      <c r="K59" s="11"/>
      <c r="L59" s="16"/>
      <c r="M59" s="16"/>
      <c r="N59" s="16"/>
      <c r="O59" s="16"/>
      <c r="P59" s="16"/>
      <c r="Q59" s="16"/>
      <c r="R59" s="35"/>
      <c r="S59" s="43"/>
      <c r="T59" s="46"/>
      <c r="U59" s="75">
        <f t="shared" ref="U59:U69" si="6">SUM(L59:T59)</f>
        <v>0</v>
      </c>
      <c r="V59" s="93" t="str">
        <f t="shared" si="3"/>
        <v>OK</v>
      </c>
    </row>
    <row r="60" spans="1:22" x14ac:dyDescent="0.3">
      <c r="A60" s="54" t="s">
        <v>90</v>
      </c>
      <c r="B60" s="63">
        <v>16587</v>
      </c>
      <c r="C60" s="18" t="s">
        <v>78</v>
      </c>
      <c r="D60" s="18"/>
      <c r="E60" s="18"/>
      <c r="F60" s="18"/>
      <c r="G60" s="92"/>
      <c r="H60" s="22"/>
      <c r="I60" s="22">
        <f t="shared" si="4"/>
        <v>0</v>
      </c>
      <c r="J60" s="69"/>
      <c r="K60" s="11"/>
      <c r="L60" s="22"/>
      <c r="M60" s="22"/>
      <c r="N60" s="22"/>
      <c r="O60" s="22"/>
      <c r="P60" s="22"/>
      <c r="Q60" s="22"/>
      <c r="R60" s="36"/>
      <c r="S60" s="44"/>
      <c r="T60" s="47"/>
      <c r="U60" s="52">
        <f t="shared" si="6"/>
        <v>0</v>
      </c>
      <c r="V60" s="23" t="str">
        <f t="shared" si="3"/>
        <v>OK</v>
      </c>
    </row>
    <row r="61" spans="1:22" x14ac:dyDescent="0.3">
      <c r="A61" s="90" t="s">
        <v>91</v>
      </c>
      <c r="B61" s="76">
        <v>17121</v>
      </c>
      <c r="C61" s="70" t="s">
        <v>92</v>
      </c>
      <c r="D61" s="70"/>
      <c r="E61" s="70"/>
      <c r="F61" s="70"/>
      <c r="G61" s="91"/>
      <c r="H61" s="82"/>
      <c r="I61" s="82">
        <f t="shared" si="4"/>
        <v>0</v>
      </c>
      <c r="J61" s="74"/>
      <c r="K61" s="11"/>
      <c r="L61" s="16"/>
      <c r="M61" s="16"/>
      <c r="N61" s="16"/>
      <c r="O61" s="16"/>
      <c r="P61" s="16"/>
      <c r="Q61" s="16"/>
      <c r="R61" s="35"/>
      <c r="S61" s="43"/>
      <c r="T61" s="46"/>
      <c r="U61" s="75">
        <f t="shared" si="6"/>
        <v>0</v>
      </c>
      <c r="V61" s="93" t="str">
        <f t="shared" si="3"/>
        <v>OK</v>
      </c>
    </row>
    <row r="62" spans="1:22" x14ac:dyDescent="0.3">
      <c r="A62" s="54" t="s">
        <v>106</v>
      </c>
      <c r="B62" s="63">
        <v>19270</v>
      </c>
      <c r="C62" s="18" t="s">
        <v>68</v>
      </c>
      <c r="D62" s="18"/>
      <c r="E62" s="18"/>
      <c r="F62" s="18"/>
      <c r="G62" s="92"/>
      <c r="H62" s="22"/>
      <c r="I62" s="22">
        <f t="shared" si="4"/>
        <v>0</v>
      </c>
      <c r="J62" s="69"/>
      <c r="K62" s="11"/>
      <c r="L62" s="22"/>
      <c r="M62" s="22"/>
      <c r="N62" s="22"/>
      <c r="O62" s="22"/>
      <c r="P62" s="22"/>
      <c r="Q62" s="22"/>
      <c r="R62" s="36"/>
      <c r="S62" s="44"/>
      <c r="T62" s="47"/>
      <c r="U62" s="71">
        <f t="shared" si="6"/>
        <v>0</v>
      </c>
      <c r="V62" s="23" t="str">
        <f t="shared" si="3"/>
        <v>OK</v>
      </c>
    </row>
    <row r="63" spans="1:22" x14ac:dyDescent="0.3">
      <c r="A63" s="90" t="s">
        <v>107</v>
      </c>
      <c r="B63" s="76">
        <v>19276</v>
      </c>
      <c r="C63" s="70" t="s">
        <v>68</v>
      </c>
      <c r="D63" s="70"/>
      <c r="E63" s="70"/>
      <c r="F63" s="70"/>
      <c r="G63" s="91"/>
      <c r="H63" s="82"/>
      <c r="I63" s="82">
        <f t="shared" si="4"/>
        <v>0</v>
      </c>
      <c r="J63" s="74"/>
      <c r="K63" s="11"/>
      <c r="L63" s="16"/>
      <c r="M63" s="16"/>
      <c r="N63" s="16"/>
      <c r="O63" s="16"/>
      <c r="P63" s="16"/>
      <c r="Q63" s="16"/>
      <c r="R63" s="35"/>
      <c r="S63" s="43"/>
      <c r="T63" s="46"/>
      <c r="U63" s="75">
        <f t="shared" si="6"/>
        <v>0</v>
      </c>
      <c r="V63" s="93" t="str">
        <f t="shared" si="3"/>
        <v>OK</v>
      </c>
    </row>
    <row r="64" spans="1:22" x14ac:dyDescent="0.3">
      <c r="A64" s="54" t="s">
        <v>108</v>
      </c>
      <c r="B64" s="63">
        <v>19836</v>
      </c>
      <c r="C64" s="18" t="s">
        <v>45</v>
      </c>
      <c r="D64" s="18"/>
      <c r="E64" s="18"/>
      <c r="F64" s="18"/>
      <c r="G64" s="92"/>
      <c r="H64" s="22"/>
      <c r="I64" s="22">
        <f t="shared" si="4"/>
        <v>0</v>
      </c>
      <c r="J64" s="69"/>
      <c r="K64" s="11"/>
      <c r="L64" s="22"/>
      <c r="M64" s="22"/>
      <c r="N64" s="22"/>
      <c r="O64" s="22"/>
      <c r="P64" s="22"/>
      <c r="Q64" s="22"/>
      <c r="R64" s="36"/>
      <c r="S64" s="44"/>
      <c r="T64" s="47"/>
      <c r="U64" s="52">
        <f t="shared" si="6"/>
        <v>0</v>
      </c>
      <c r="V64" s="23" t="str">
        <f t="shared" si="3"/>
        <v>OK</v>
      </c>
    </row>
    <row r="65" spans="1:22" x14ac:dyDescent="0.3">
      <c r="A65" s="90" t="s">
        <v>109</v>
      </c>
      <c r="B65" s="76">
        <v>20278</v>
      </c>
      <c r="C65" s="70" t="s">
        <v>110</v>
      </c>
      <c r="D65" s="70"/>
      <c r="E65" s="70"/>
      <c r="F65" s="70"/>
      <c r="G65" s="91"/>
      <c r="H65" s="82"/>
      <c r="I65" s="82">
        <f t="shared" si="4"/>
        <v>0</v>
      </c>
      <c r="J65" s="74"/>
      <c r="K65" s="11"/>
      <c r="L65" s="16"/>
      <c r="M65" s="16"/>
      <c r="N65" s="16"/>
      <c r="O65" s="16"/>
      <c r="P65" s="16"/>
      <c r="Q65" s="16"/>
      <c r="R65" s="35"/>
      <c r="S65" s="43"/>
      <c r="T65" s="46"/>
      <c r="U65" s="75">
        <f t="shared" si="6"/>
        <v>0</v>
      </c>
      <c r="V65" s="93" t="str">
        <f t="shared" si="3"/>
        <v>OK</v>
      </c>
    </row>
    <row r="66" spans="1:22" x14ac:dyDescent="0.3">
      <c r="A66" s="54" t="s">
        <v>111</v>
      </c>
      <c r="B66" s="63">
        <v>20272</v>
      </c>
      <c r="C66" s="18" t="s">
        <v>110</v>
      </c>
      <c r="D66" s="18"/>
      <c r="E66" s="18"/>
      <c r="F66" s="18"/>
      <c r="G66" s="92"/>
      <c r="H66" s="22"/>
      <c r="I66" s="22">
        <f t="shared" si="4"/>
        <v>0</v>
      </c>
      <c r="J66" s="69"/>
      <c r="K66" s="11"/>
      <c r="L66" s="22"/>
      <c r="M66" s="22"/>
      <c r="N66" s="22"/>
      <c r="O66" s="22"/>
      <c r="P66" s="22"/>
      <c r="Q66" s="22"/>
      <c r="R66" s="36"/>
      <c r="S66" s="44"/>
      <c r="T66" s="47"/>
      <c r="U66" s="52">
        <f t="shared" si="6"/>
        <v>0</v>
      </c>
      <c r="V66" s="23" t="str">
        <f t="shared" si="3"/>
        <v>OK</v>
      </c>
    </row>
    <row r="67" spans="1:22" x14ac:dyDescent="0.3">
      <c r="A67" s="90" t="s">
        <v>112</v>
      </c>
      <c r="B67" s="76">
        <v>20956</v>
      </c>
      <c r="C67" s="70" t="s">
        <v>110</v>
      </c>
      <c r="D67" s="70"/>
      <c r="E67" s="70"/>
      <c r="F67" s="70"/>
      <c r="G67" s="91"/>
      <c r="H67" s="82"/>
      <c r="I67" s="82">
        <f t="shared" si="4"/>
        <v>0</v>
      </c>
      <c r="J67" s="74"/>
      <c r="K67" s="11"/>
      <c r="L67" s="16"/>
      <c r="M67" s="16"/>
      <c r="N67" s="16"/>
      <c r="O67" s="16"/>
      <c r="P67" s="16"/>
      <c r="Q67" s="16"/>
      <c r="R67" s="35"/>
      <c r="S67" s="43"/>
      <c r="T67" s="46"/>
      <c r="U67" s="75">
        <f t="shared" si="6"/>
        <v>0</v>
      </c>
      <c r="V67" s="93" t="str">
        <f t="shared" si="3"/>
        <v>OK</v>
      </c>
    </row>
    <row r="68" spans="1:22" x14ac:dyDescent="0.3">
      <c r="A68" s="54" t="s">
        <v>116</v>
      </c>
      <c r="B68" s="63">
        <v>21299</v>
      </c>
      <c r="C68" s="18" t="s">
        <v>78</v>
      </c>
      <c r="D68" s="18"/>
      <c r="E68" s="18"/>
      <c r="F68" s="18"/>
      <c r="G68" s="92"/>
      <c r="H68" s="22"/>
      <c r="I68" s="22">
        <f t="shared" si="4"/>
        <v>0</v>
      </c>
      <c r="J68" s="69"/>
      <c r="K68" s="11"/>
      <c r="L68" s="22"/>
      <c r="M68" s="22"/>
      <c r="N68" s="22"/>
      <c r="O68" s="22"/>
      <c r="P68" s="22"/>
      <c r="Q68" s="22"/>
      <c r="R68" s="36"/>
      <c r="S68" s="44"/>
      <c r="T68" s="47"/>
      <c r="U68" s="71">
        <f t="shared" si="6"/>
        <v>0</v>
      </c>
      <c r="V68" s="23" t="str">
        <f>IF(U68=I68,"OK","NG")</f>
        <v>OK</v>
      </c>
    </row>
    <row r="69" spans="1:22" x14ac:dyDescent="0.3">
      <c r="A69" s="99" t="s">
        <v>117</v>
      </c>
      <c r="B69" s="76">
        <v>22115</v>
      </c>
      <c r="C69" s="82" t="s">
        <v>118</v>
      </c>
      <c r="D69" s="82"/>
      <c r="E69" s="82"/>
      <c r="F69" s="82"/>
      <c r="G69" s="82"/>
      <c r="H69" s="82"/>
      <c r="I69" s="82">
        <f t="shared" si="4"/>
        <v>0</v>
      </c>
      <c r="J69" s="97"/>
      <c r="K69" s="112"/>
      <c r="L69" s="82"/>
      <c r="M69" s="82"/>
      <c r="N69" s="82"/>
      <c r="O69" s="82"/>
      <c r="P69" s="82"/>
      <c r="Q69" s="82"/>
      <c r="R69" s="83"/>
      <c r="S69" s="84"/>
      <c r="T69" s="100"/>
      <c r="U69" s="75">
        <f t="shared" si="6"/>
        <v>0</v>
      </c>
      <c r="V69" s="93" t="str">
        <f>IF(U69=I69,"OK","NG")</f>
        <v>OK</v>
      </c>
    </row>
    <row r="70" spans="1:22" x14ac:dyDescent="0.3">
      <c r="A70" s="54" t="s">
        <v>120</v>
      </c>
      <c r="B70" s="63">
        <v>22706</v>
      </c>
      <c r="C70" s="18" t="s">
        <v>119</v>
      </c>
      <c r="D70" s="18"/>
      <c r="E70" s="18"/>
      <c r="F70" s="18"/>
      <c r="G70" s="92"/>
      <c r="H70" s="22"/>
      <c r="I70" s="22">
        <f t="shared" si="4"/>
        <v>0</v>
      </c>
      <c r="J70" s="69"/>
      <c r="K70" s="11"/>
      <c r="L70" s="22"/>
      <c r="M70" s="22"/>
      <c r="N70" s="22"/>
      <c r="O70" s="22"/>
      <c r="P70" s="22"/>
      <c r="Q70" s="22"/>
      <c r="R70" s="36"/>
      <c r="S70" s="44"/>
      <c r="T70" s="47"/>
      <c r="U70" s="71">
        <f t="shared" ref="U70" si="7">SUM(L70:T70)</f>
        <v>0</v>
      </c>
      <c r="V70" s="23" t="str">
        <f>IF(U70=I70,"OK","NG")</f>
        <v>OK</v>
      </c>
    </row>
    <row r="71" spans="1:22" x14ac:dyDescent="0.3">
      <c r="A71" s="99" t="s">
        <v>121</v>
      </c>
      <c r="B71" s="76">
        <v>22886</v>
      </c>
      <c r="C71" s="82" t="s">
        <v>46</v>
      </c>
      <c r="D71" s="82"/>
      <c r="E71" s="82"/>
      <c r="F71" s="82"/>
      <c r="G71" s="82"/>
      <c r="H71" s="82"/>
      <c r="I71" s="82">
        <f t="shared" ref="I71:I80" si="8">SUM(L71:T71)</f>
        <v>0</v>
      </c>
      <c r="J71" s="97"/>
      <c r="K71" s="112"/>
      <c r="L71" s="82"/>
      <c r="M71" s="82"/>
      <c r="N71" s="82"/>
      <c r="O71" s="82"/>
      <c r="P71" s="82"/>
      <c r="Q71" s="82"/>
      <c r="R71" s="83"/>
      <c r="S71" s="84"/>
      <c r="T71" s="100"/>
      <c r="U71" s="75">
        <f>SUM(L71:T71)</f>
        <v>0</v>
      </c>
      <c r="V71" s="93" t="str">
        <f>IF(U71=I71,"OK","NG")</f>
        <v>OK</v>
      </c>
    </row>
    <row r="72" spans="1:22" x14ac:dyDescent="0.3">
      <c r="A72" s="54" t="s">
        <v>122</v>
      </c>
      <c r="B72" s="63">
        <v>17528</v>
      </c>
      <c r="C72" s="18" t="s">
        <v>123</v>
      </c>
      <c r="D72" s="18"/>
      <c r="E72" s="18"/>
      <c r="F72" s="18"/>
      <c r="G72" s="92"/>
      <c r="H72" s="22"/>
      <c r="I72" s="22">
        <f t="shared" si="8"/>
        <v>0</v>
      </c>
      <c r="J72" s="69"/>
      <c r="K72" s="11"/>
      <c r="L72" s="22"/>
      <c r="M72" s="22"/>
      <c r="N72" s="22"/>
      <c r="O72" s="22"/>
      <c r="P72" s="22"/>
      <c r="Q72" s="22"/>
      <c r="R72" s="36"/>
      <c r="S72" s="44"/>
      <c r="T72" s="47"/>
      <c r="U72" s="71">
        <f t="shared" ref="U72:U80" si="9">SUM(L72:T72)</f>
        <v>0</v>
      </c>
      <c r="V72" s="95" t="str">
        <f t="shared" ref="V72:V80" si="10">IF(U72=I72,"OK","NG")</f>
        <v>OK</v>
      </c>
    </row>
    <row r="73" spans="1:22" x14ac:dyDescent="0.3">
      <c r="A73" s="99" t="s">
        <v>124</v>
      </c>
      <c r="B73" s="76">
        <v>22380</v>
      </c>
      <c r="C73" s="82" t="s">
        <v>47</v>
      </c>
      <c r="D73" s="82"/>
      <c r="E73" s="82"/>
      <c r="F73" s="82"/>
      <c r="G73" s="82"/>
      <c r="H73" s="82"/>
      <c r="I73" s="82">
        <f t="shared" si="8"/>
        <v>0</v>
      </c>
      <c r="J73" s="97"/>
      <c r="K73" s="112"/>
      <c r="L73" s="82"/>
      <c r="M73" s="82"/>
      <c r="N73" s="82"/>
      <c r="O73" s="82"/>
      <c r="P73" s="82"/>
      <c r="Q73" s="82"/>
      <c r="R73" s="83"/>
      <c r="S73" s="84"/>
      <c r="T73" s="100"/>
      <c r="U73" s="75">
        <f t="shared" si="9"/>
        <v>0</v>
      </c>
      <c r="V73" s="93" t="str">
        <f t="shared" si="10"/>
        <v>OK</v>
      </c>
    </row>
    <row r="74" spans="1:22" x14ac:dyDescent="0.3">
      <c r="A74" s="54" t="s">
        <v>125</v>
      </c>
      <c r="B74" s="63">
        <v>19279</v>
      </c>
      <c r="C74" s="18" t="s">
        <v>126</v>
      </c>
      <c r="D74" s="18"/>
      <c r="E74" s="18"/>
      <c r="F74" s="18"/>
      <c r="G74" s="92"/>
      <c r="H74" s="22"/>
      <c r="I74" s="22">
        <f t="shared" si="8"/>
        <v>0</v>
      </c>
      <c r="J74" s="69"/>
      <c r="K74" s="11"/>
      <c r="L74" s="22"/>
      <c r="M74" s="22"/>
      <c r="N74" s="22"/>
      <c r="O74" s="22"/>
      <c r="P74" s="22"/>
      <c r="Q74" s="22"/>
      <c r="R74" s="36"/>
      <c r="S74" s="44"/>
      <c r="T74" s="47"/>
      <c r="U74" s="71">
        <f t="shared" si="9"/>
        <v>0</v>
      </c>
      <c r="V74" s="95" t="str">
        <f t="shared" si="10"/>
        <v>OK</v>
      </c>
    </row>
    <row r="75" spans="1:22" x14ac:dyDescent="0.3">
      <c r="A75" s="90" t="s">
        <v>131</v>
      </c>
      <c r="B75" s="76">
        <v>22724</v>
      </c>
      <c r="C75" s="70" t="s">
        <v>119</v>
      </c>
      <c r="D75" s="70"/>
      <c r="E75" s="70"/>
      <c r="F75" s="70"/>
      <c r="G75" s="91"/>
      <c r="H75" s="82"/>
      <c r="I75" s="82">
        <v>0</v>
      </c>
      <c r="J75" s="74"/>
      <c r="K75" s="11"/>
      <c r="L75" s="82"/>
      <c r="M75" s="82"/>
      <c r="N75" s="82"/>
      <c r="O75" s="82"/>
      <c r="P75" s="82"/>
      <c r="Q75" s="82"/>
      <c r="R75" s="83"/>
      <c r="S75" s="84"/>
      <c r="T75" s="85"/>
      <c r="U75" s="75">
        <v>0</v>
      </c>
      <c r="V75" s="93" t="s">
        <v>129</v>
      </c>
    </row>
    <row r="76" spans="1:22" x14ac:dyDescent="0.3">
      <c r="A76" s="54" t="s">
        <v>132</v>
      </c>
      <c r="B76" s="63">
        <v>22705</v>
      </c>
      <c r="C76" s="18" t="s">
        <v>119</v>
      </c>
      <c r="D76" s="18"/>
      <c r="E76" s="18"/>
      <c r="F76" s="18"/>
      <c r="G76" s="92"/>
      <c r="H76" s="22"/>
      <c r="I76" s="22">
        <f t="shared" si="8"/>
        <v>0</v>
      </c>
      <c r="J76" s="69"/>
      <c r="K76" s="11"/>
      <c r="L76" s="22"/>
      <c r="M76" s="22"/>
      <c r="N76" s="22"/>
      <c r="O76" s="22"/>
      <c r="P76" s="22"/>
      <c r="Q76" s="22"/>
      <c r="R76" s="36"/>
      <c r="S76" s="44"/>
      <c r="T76" s="47"/>
      <c r="U76" s="71">
        <f t="shared" si="9"/>
        <v>0</v>
      </c>
      <c r="V76" s="95" t="str">
        <f t="shared" si="10"/>
        <v>OK</v>
      </c>
    </row>
    <row r="77" spans="1:22" x14ac:dyDescent="0.3">
      <c r="A77" s="99" t="s">
        <v>128</v>
      </c>
      <c r="B77" s="76">
        <v>5655</v>
      </c>
      <c r="C77" s="82" t="s">
        <v>54</v>
      </c>
      <c r="D77" s="82"/>
      <c r="E77" s="82"/>
      <c r="F77" s="82"/>
      <c r="G77" s="82"/>
      <c r="H77" s="82"/>
      <c r="I77" s="82">
        <f t="shared" si="8"/>
        <v>0</v>
      </c>
      <c r="J77" s="97"/>
      <c r="K77" s="112"/>
      <c r="L77" s="82"/>
      <c r="M77" s="82"/>
      <c r="N77" s="82"/>
      <c r="O77" s="82"/>
      <c r="P77" s="82"/>
      <c r="Q77" s="82"/>
      <c r="R77" s="83"/>
      <c r="S77" s="84"/>
      <c r="T77" s="100"/>
      <c r="U77" s="75">
        <f t="shared" si="9"/>
        <v>0</v>
      </c>
      <c r="V77" s="93" t="str">
        <f t="shared" si="10"/>
        <v>OK</v>
      </c>
    </row>
    <row r="78" spans="1:22" x14ac:dyDescent="0.3">
      <c r="A78" s="120" t="s">
        <v>136</v>
      </c>
      <c r="B78" s="121">
        <v>22704</v>
      </c>
      <c r="C78" s="122" t="s">
        <v>137</v>
      </c>
      <c r="D78" s="122"/>
      <c r="E78" s="122"/>
      <c r="F78" s="122"/>
      <c r="G78" s="122"/>
      <c r="H78" s="122"/>
      <c r="I78" s="22">
        <f t="shared" si="8"/>
        <v>0</v>
      </c>
      <c r="J78" s="45"/>
      <c r="K78" s="112"/>
      <c r="L78" s="22"/>
      <c r="M78" s="22"/>
      <c r="N78" s="22"/>
      <c r="O78" s="22"/>
      <c r="P78" s="22"/>
      <c r="Q78" s="22"/>
      <c r="R78" s="36"/>
      <c r="S78" s="44"/>
      <c r="T78" s="116"/>
      <c r="U78" s="71">
        <f t="shared" si="9"/>
        <v>0</v>
      </c>
      <c r="V78" s="95" t="str">
        <f t="shared" si="10"/>
        <v>OK</v>
      </c>
    </row>
    <row r="79" spans="1:22" x14ac:dyDescent="0.3">
      <c r="A79" s="136" t="s">
        <v>139</v>
      </c>
      <c r="B79" s="133">
        <v>22722</v>
      </c>
      <c r="C79" s="137" t="s">
        <v>119</v>
      </c>
      <c r="D79" s="137"/>
      <c r="E79" s="137"/>
      <c r="F79" s="137"/>
      <c r="G79" s="137"/>
      <c r="H79" s="137"/>
      <c r="I79" s="82">
        <f t="shared" si="8"/>
        <v>0</v>
      </c>
      <c r="J79" s="97"/>
      <c r="K79" s="119"/>
      <c r="L79" s="82"/>
      <c r="M79" s="82"/>
      <c r="N79" s="82"/>
      <c r="O79" s="82"/>
      <c r="P79" s="82"/>
      <c r="Q79" s="82"/>
      <c r="R79" s="83"/>
      <c r="S79" s="84"/>
      <c r="T79" s="100"/>
      <c r="U79" s="75">
        <f t="shared" si="9"/>
        <v>0</v>
      </c>
      <c r="V79" s="93" t="str">
        <f t="shared" si="10"/>
        <v>OK</v>
      </c>
    </row>
    <row r="80" spans="1:22" ht="17.25" thickBot="1" x14ac:dyDescent="0.35">
      <c r="A80" s="126" t="s">
        <v>134</v>
      </c>
      <c r="B80" s="127">
        <v>22723</v>
      </c>
      <c r="C80" s="128" t="s">
        <v>119</v>
      </c>
      <c r="D80" s="128"/>
      <c r="E80" s="128"/>
      <c r="F80" s="128"/>
      <c r="G80" s="128"/>
      <c r="H80" s="128"/>
      <c r="I80" s="128">
        <f t="shared" si="8"/>
        <v>0</v>
      </c>
      <c r="J80" s="45"/>
      <c r="K80" s="112"/>
      <c r="L80" s="22"/>
      <c r="M80" s="22"/>
      <c r="N80" s="22"/>
      <c r="O80" s="22"/>
      <c r="P80" s="22"/>
      <c r="Q80" s="22"/>
      <c r="R80" s="36"/>
      <c r="S80" s="44"/>
      <c r="T80" s="116"/>
      <c r="U80" s="52">
        <f t="shared" si="9"/>
        <v>0</v>
      </c>
      <c r="V80" s="23" t="str">
        <f t="shared" si="10"/>
        <v>OK</v>
      </c>
    </row>
    <row r="81" spans="1:22" x14ac:dyDescent="0.3">
      <c r="A81" s="86"/>
      <c r="B81" s="86"/>
      <c r="C81" s="87" t="s">
        <v>9</v>
      </c>
      <c r="D81" s="87"/>
      <c r="E81" s="87"/>
      <c r="F81" s="87"/>
      <c r="G81" s="88">
        <f>SUM(G6:G49)</f>
        <v>0</v>
      </c>
      <c r="H81" s="89">
        <f>SUM(H6:H49)</f>
        <v>0</v>
      </c>
      <c r="I81" s="88">
        <f>SUM(I6:I80)</f>
        <v>0</v>
      </c>
      <c r="J81" s="40">
        <f>SUM(J6:J49)</f>
        <v>0</v>
      </c>
      <c r="K81" s="115">
        <f>SUM(K6:K51)</f>
        <v>0</v>
      </c>
      <c r="L81" s="38">
        <f>SUM(L6:L80)</f>
        <v>0</v>
      </c>
      <c r="M81" s="38">
        <f t="shared" ref="M81:U81" si="11">SUM(M6:M80)</f>
        <v>0</v>
      </c>
      <c r="N81" s="38">
        <f t="shared" si="11"/>
        <v>0</v>
      </c>
      <c r="O81" s="38">
        <f t="shared" si="11"/>
        <v>0</v>
      </c>
      <c r="P81" s="38">
        <f t="shared" si="11"/>
        <v>0</v>
      </c>
      <c r="Q81" s="38">
        <f t="shared" si="11"/>
        <v>0</v>
      </c>
      <c r="R81" s="38">
        <f t="shared" si="11"/>
        <v>0</v>
      </c>
      <c r="S81" s="38">
        <f t="shared" si="11"/>
        <v>0</v>
      </c>
      <c r="T81" s="38">
        <f t="shared" si="11"/>
        <v>0</v>
      </c>
      <c r="U81" s="38">
        <f t="shared" si="11"/>
        <v>0</v>
      </c>
      <c r="V81" s="41" t="str">
        <f>IF(U81=SUM(I81),"OK","NG")</f>
        <v>OK</v>
      </c>
    </row>
  </sheetData>
  <mergeCells count="20">
    <mergeCell ref="O4:O5"/>
    <mergeCell ref="P4:P5"/>
    <mergeCell ref="B3:C3"/>
    <mergeCell ref="N4:N5"/>
    <mergeCell ref="B1:C1"/>
    <mergeCell ref="F1:G1"/>
    <mergeCell ref="H1:J3"/>
    <mergeCell ref="B2:C2"/>
    <mergeCell ref="A4:D4"/>
    <mergeCell ref="E4:G4"/>
    <mergeCell ref="H4:J4"/>
    <mergeCell ref="L4:L5"/>
    <mergeCell ref="M4:M5"/>
    <mergeCell ref="Q4:Q5"/>
    <mergeCell ref="R4:R5"/>
    <mergeCell ref="S4:S5"/>
    <mergeCell ref="T4:T5"/>
    <mergeCell ref="V2:V3"/>
    <mergeCell ref="U4:U5"/>
    <mergeCell ref="V4:V5"/>
  </mergeCells>
  <phoneticPr fontId="3" type="noConversion"/>
  <conditionalFormatting sqref="A4 V6:V81">
    <cfRule type="containsText" dxfId="31" priority="7" operator="containsText" text="NG">
      <formula>NOT(ISERROR(SEARCH("NG",A4)))</formula>
    </cfRule>
    <cfRule type="containsText" dxfId="30" priority="8" operator="containsText" text="OK">
      <formula>NOT(ISERROR(SEARCH("OK",A4)))</formula>
    </cfRule>
  </conditionalFormatting>
  <pageMargins left="0.70866141732283472" right="0.70866141732283472" top="0.74803149606299213" bottom="0.74803149606299213" header="0.31496062992125984" footer="0.31496062992125984"/>
  <pageSetup paperSize="8" scale="10" orientation="landscape" r:id="rId1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 filterMode="1">
    <pageSetUpPr fitToPage="1"/>
  </sheetPr>
  <dimension ref="A1:V81"/>
  <sheetViews>
    <sheetView showGridLines="0" zoomScale="85" zoomScaleNormal="85" workbookViewId="0">
      <pane ySplit="5" topLeftCell="A16" activePane="bottomLeft" state="frozen"/>
      <selection activeCell="W73" sqref="W73"/>
      <selection pane="bottomLeft" activeCell="W73" sqref="W73"/>
    </sheetView>
  </sheetViews>
  <sheetFormatPr defaultColWidth="9" defaultRowHeight="16.5" x14ac:dyDescent="0.3"/>
  <cols>
    <col min="1" max="1" width="12.625" bestFit="1" customWidth="1"/>
    <col min="2" max="2" width="14.125" bestFit="1" customWidth="1"/>
    <col min="3" max="3" width="35.125" customWidth="1"/>
    <col min="4" max="4" width="11.75" hidden="1" customWidth="1"/>
    <col min="5" max="6" width="9" hidden="1" customWidth="1"/>
    <col min="7" max="7" width="15.375" hidden="1" customWidth="1"/>
    <col min="8" max="8" width="13.25" hidden="1" customWidth="1"/>
    <col min="9" max="9" width="13.25" customWidth="1"/>
    <col min="10" max="10" width="13.25" hidden="1" customWidth="1"/>
    <col min="11" max="11" width="0.875" customWidth="1"/>
    <col min="20" max="20" width="11" bestFit="1" customWidth="1"/>
  </cols>
  <sheetData>
    <row r="1" spans="1:22" ht="22.5" customHeight="1" thickBot="1" x14ac:dyDescent="0.35">
      <c r="A1" s="32" t="s">
        <v>28</v>
      </c>
      <c r="B1" s="153">
        <f>H69</f>
        <v>0</v>
      </c>
      <c r="C1" s="154"/>
      <c r="D1" s="55"/>
      <c r="E1" s="58" t="s">
        <v>1</v>
      </c>
      <c r="F1" s="155">
        <f>G69</f>
        <v>0</v>
      </c>
      <c r="G1" s="155"/>
      <c r="H1" s="156"/>
      <c r="I1" s="156"/>
      <c r="J1" s="156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22.5" customHeight="1" thickBot="1" x14ac:dyDescent="0.35">
      <c r="A2" s="32" t="s">
        <v>29</v>
      </c>
      <c r="B2" s="158">
        <f>I81</f>
        <v>0</v>
      </c>
      <c r="C2" s="159"/>
      <c r="D2" s="56"/>
      <c r="E2" s="59"/>
      <c r="F2" s="2"/>
      <c r="G2" s="2"/>
      <c r="H2" s="156"/>
      <c r="I2" s="156"/>
      <c r="J2" s="156"/>
      <c r="K2" s="113"/>
      <c r="L2" s="3">
        <f>SUBTOTAL(9,L6:L80)</f>
        <v>0</v>
      </c>
      <c r="M2" s="3">
        <f t="shared" ref="M2:T2" si="0">SUBTOTAL(9,M6:M80)</f>
        <v>0</v>
      </c>
      <c r="N2" s="3">
        <f t="shared" si="0"/>
        <v>0</v>
      </c>
      <c r="O2" s="3">
        <f t="shared" si="0"/>
        <v>0</v>
      </c>
      <c r="P2" s="3">
        <f t="shared" si="0"/>
        <v>0</v>
      </c>
      <c r="Q2" s="3">
        <f t="shared" si="0"/>
        <v>0</v>
      </c>
      <c r="R2" s="3">
        <f t="shared" si="0"/>
        <v>0</v>
      </c>
      <c r="S2" s="3">
        <f t="shared" si="0"/>
        <v>0</v>
      </c>
      <c r="T2" s="3">
        <f t="shared" si="0"/>
        <v>0</v>
      </c>
      <c r="U2" s="48">
        <f>SUBTOTAL(9,U6:U80)</f>
        <v>0</v>
      </c>
      <c r="V2" s="145"/>
    </row>
    <row r="3" spans="1:22" ht="22.5" customHeight="1" thickBot="1" x14ac:dyDescent="0.35">
      <c r="A3" s="33" t="s">
        <v>30</v>
      </c>
      <c r="B3" s="151" t="str">
        <f>IF(ISERROR(B2/(B2+B1)*1000000),"",(B2/(B2+B1)*1000000))</f>
        <v/>
      </c>
      <c r="C3" s="152"/>
      <c r="D3" s="57"/>
      <c r="E3" s="60"/>
      <c r="F3" s="27"/>
      <c r="G3" s="27"/>
      <c r="H3" s="157"/>
      <c r="I3" s="157"/>
      <c r="J3" s="157"/>
      <c r="K3" s="114"/>
      <c r="L3" s="4">
        <f t="shared" ref="L3:U3" si="1">SUM(L6:L80)</f>
        <v>0</v>
      </c>
      <c r="M3" s="4">
        <f t="shared" si="1"/>
        <v>0</v>
      </c>
      <c r="N3" s="4">
        <f t="shared" si="1"/>
        <v>0</v>
      </c>
      <c r="O3" s="4">
        <f t="shared" si="1"/>
        <v>0</v>
      </c>
      <c r="P3" s="4">
        <f t="shared" si="1"/>
        <v>0</v>
      </c>
      <c r="Q3" s="4">
        <f t="shared" si="1"/>
        <v>0</v>
      </c>
      <c r="R3" s="4">
        <f t="shared" si="1"/>
        <v>0</v>
      </c>
      <c r="S3" s="4">
        <f t="shared" si="1"/>
        <v>0</v>
      </c>
      <c r="T3" s="4">
        <f t="shared" si="1"/>
        <v>0</v>
      </c>
      <c r="U3" s="49">
        <f t="shared" si="1"/>
        <v>0</v>
      </c>
      <c r="V3" s="146"/>
    </row>
    <row r="4" spans="1:22" ht="43.5" customHeight="1" x14ac:dyDescent="0.3">
      <c r="A4" s="160" t="str">
        <f>V81</f>
        <v>OK</v>
      </c>
      <c r="B4" s="160"/>
      <c r="C4" s="160"/>
      <c r="D4" s="161"/>
      <c r="E4" s="162" t="s">
        <v>15</v>
      </c>
      <c r="F4" s="162"/>
      <c r="G4" s="162"/>
      <c r="H4" s="163" t="s">
        <v>16</v>
      </c>
      <c r="I4" s="163"/>
      <c r="J4" s="163"/>
      <c r="K4" s="113"/>
      <c r="L4" s="164" t="s">
        <v>10</v>
      </c>
      <c r="M4" s="142" t="s">
        <v>17</v>
      </c>
      <c r="N4" s="142" t="s">
        <v>11</v>
      </c>
      <c r="O4" s="138" t="s">
        <v>12</v>
      </c>
      <c r="P4" s="142" t="s">
        <v>13</v>
      </c>
      <c r="Q4" s="138" t="s">
        <v>14</v>
      </c>
      <c r="R4" s="140" t="s">
        <v>20</v>
      </c>
      <c r="S4" s="142" t="s">
        <v>21</v>
      </c>
      <c r="T4" s="143" t="s">
        <v>22</v>
      </c>
      <c r="U4" s="147" t="s">
        <v>18</v>
      </c>
      <c r="V4" s="149" t="s">
        <v>19</v>
      </c>
    </row>
    <row r="5" spans="1:22" ht="33.75" thickBot="1" x14ac:dyDescent="0.35">
      <c r="A5" s="29" t="s">
        <v>3</v>
      </c>
      <c r="B5" s="30" t="s">
        <v>32</v>
      </c>
      <c r="C5" s="29" t="s">
        <v>4</v>
      </c>
      <c r="D5" s="29" t="s">
        <v>31</v>
      </c>
      <c r="E5" s="29" t="s">
        <v>5</v>
      </c>
      <c r="F5" s="29" t="s">
        <v>6</v>
      </c>
      <c r="G5" s="30" t="s">
        <v>7</v>
      </c>
      <c r="H5" s="31" t="s">
        <v>0</v>
      </c>
      <c r="I5" s="31" t="s">
        <v>2</v>
      </c>
      <c r="J5" s="31" t="s">
        <v>8</v>
      </c>
      <c r="K5" s="28"/>
      <c r="L5" s="165"/>
      <c r="M5" s="139"/>
      <c r="N5" s="139"/>
      <c r="O5" s="139"/>
      <c r="P5" s="139"/>
      <c r="Q5" s="139"/>
      <c r="R5" s="141"/>
      <c r="S5" s="139"/>
      <c r="T5" s="144"/>
      <c r="U5" s="148"/>
      <c r="V5" s="150"/>
    </row>
    <row r="6" spans="1:22" hidden="1" x14ac:dyDescent="0.3">
      <c r="A6" s="61" t="s">
        <v>127</v>
      </c>
      <c r="B6" s="61">
        <v>8092</v>
      </c>
      <c r="C6" s="6" t="s">
        <v>45</v>
      </c>
      <c r="D6" s="7"/>
      <c r="E6" s="7"/>
      <c r="F6" s="7"/>
      <c r="G6" s="8"/>
      <c r="H6" s="9"/>
      <c r="I6" s="10">
        <f>SUM(L6:T6)</f>
        <v>0</v>
      </c>
      <c r="J6" s="10"/>
      <c r="K6" s="11"/>
      <c r="L6" s="10"/>
      <c r="M6" s="10"/>
      <c r="N6" s="10"/>
      <c r="O6" s="10"/>
      <c r="P6" s="10"/>
      <c r="Q6" s="10"/>
      <c r="R6" s="34"/>
      <c r="S6" s="42"/>
      <c r="T6" s="45"/>
      <c r="U6" s="50">
        <f t="shared" ref="U6:U36" si="2">SUM(L6:T6)</f>
        <v>0</v>
      </c>
      <c r="V6" s="26" t="str">
        <f t="shared" ref="V6:V67" si="3">IF(U6=I6,"OK","NG")</f>
        <v>OK</v>
      </c>
    </row>
    <row r="7" spans="1:22" hidden="1" x14ac:dyDescent="0.3">
      <c r="A7" s="62" t="s">
        <v>95</v>
      </c>
      <c r="B7" s="62">
        <v>8088</v>
      </c>
      <c r="C7" s="12" t="s">
        <v>46</v>
      </c>
      <c r="D7" s="53"/>
      <c r="E7" s="13"/>
      <c r="F7" s="13"/>
      <c r="G7" s="14"/>
      <c r="H7" s="15"/>
      <c r="I7" s="16">
        <f t="shared" ref="I7:I70" si="4">SUM(L7:T7)</f>
        <v>0</v>
      </c>
      <c r="J7" s="16"/>
      <c r="K7" s="11"/>
      <c r="L7" s="16"/>
      <c r="M7" s="16"/>
      <c r="N7" s="16"/>
      <c r="O7" s="16"/>
      <c r="P7" s="16"/>
      <c r="Q7" s="16"/>
      <c r="R7" s="35"/>
      <c r="S7" s="43"/>
      <c r="T7" s="46"/>
      <c r="U7" s="51">
        <f t="shared" si="2"/>
        <v>0</v>
      </c>
      <c r="V7" s="17" t="str">
        <f t="shared" si="3"/>
        <v>OK</v>
      </c>
    </row>
    <row r="8" spans="1:22" hidden="1" x14ac:dyDescent="0.3">
      <c r="A8" s="63" t="s">
        <v>96</v>
      </c>
      <c r="B8" s="63">
        <v>8081</v>
      </c>
      <c r="C8" s="18" t="s">
        <v>46</v>
      </c>
      <c r="D8" s="19"/>
      <c r="E8" s="19"/>
      <c r="F8" s="19"/>
      <c r="G8" s="20"/>
      <c r="H8" s="21"/>
      <c r="I8" s="22">
        <f t="shared" si="4"/>
        <v>0</v>
      </c>
      <c r="J8" s="22"/>
      <c r="K8" s="11"/>
      <c r="L8" s="22"/>
      <c r="M8" s="22"/>
      <c r="N8" s="22"/>
      <c r="O8" s="22"/>
      <c r="P8" s="22"/>
      <c r="Q8" s="22"/>
      <c r="R8" s="36"/>
      <c r="S8" s="44"/>
      <c r="T8" s="47"/>
      <c r="U8" s="52">
        <f t="shared" si="2"/>
        <v>0</v>
      </c>
      <c r="V8" s="23" t="str">
        <f t="shared" si="3"/>
        <v>OK</v>
      </c>
    </row>
    <row r="9" spans="1:22" hidden="1" x14ac:dyDescent="0.3">
      <c r="A9" s="62" t="s">
        <v>97</v>
      </c>
      <c r="B9" s="62">
        <v>18524</v>
      </c>
      <c r="C9" s="12" t="s">
        <v>46</v>
      </c>
      <c r="D9" s="53"/>
      <c r="E9" s="13"/>
      <c r="F9" s="13"/>
      <c r="G9" s="14"/>
      <c r="H9" s="15"/>
      <c r="I9" s="16">
        <f t="shared" si="4"/>
        <v>0</v>
      </c>
      <c r="J9" s="16"/>
      <c r="K9" s="11"/>
      <c r="L9" s="16"/>
      <c r="M9" s="16"/>
      <c r="N9" s="16"/>
      <c r="O9" s="16"/>
      <c r="P9" s="16"/>
      <c r="Q9" s="16"/>
      <c r="R9" s="35"/>
      <c r="S9" s="43"/>
      <c r="T9" s="46"/>
      <c r="U9" s="51">
        <f t="shared" si="2"/>
        <v>0</v>
      </c>
      <c r="V9" s="17" t="str">
        <f t="shared" si="3"/>
        <v>OK</v>
      </c>
    </row>
    <row r="10" spans="1:22" hidden="1" x14ac:dyDescent="0.3">
      <c r="A10" s="63" t="s">
        <v>34</v>
      </c>
      <c r="B10" s="63">
        <v>6234</v>
      </c>
      <c r="C10" s="18" t="s">
        <v>47</v>
      </c>
      <c r="D10" s="19"/>
      <c r="E10" s="19"/>
      <c r="F10" s="19"/>
      <c r="G10" s="20"/>
      <c r="H10" s="21"/>
      <c r="I10" s="22">
        <f t="shared" si="4"/>
        <v>0</v>
      </c>
      <c r="J10" s="22"/>
      <c r="K10" s="11"/>
      <c r="L10" s="22"/>
      <c r="M10" s="22"/>
      <c r="N10" s="22"/>
      <c r="O10" s="22"/>
      <c r="P10" s="22"/>
      <c r="Q10" s="22"/>
      <c r="R10" s="36"/>
      <c r="S10" s="44"/>
      <c r="T10" s="47"/>
      <c r="U10" s="52">
        <f t="shared" si="2"/>
        <v>0</v>
      </c>
      <c r="V10" s="23" t="str">
        <f t="shared" si="3"/>
        <v>OK</v>
      </c>
    </row>
    <row r="11" spans="1:22" hidden="1" x14ac:dyDescent="0.3">
      <c r="A11" s="62" t="s">
        <v>80</v>
      </c>
      <c r="B11" s="62">
        <v>14830</v>
      </c>
      <c r="C11" s="12" t="s">
        <v>47</v>
      </c>
      <c r="D11" s="53"/>
      <c r="E11" s="13"/>
      <c r="F11" s="13"/>
      <c r="G11" s="14"/>
      <c r="H11" s="15"/>
      <c r="I11" s="16">
        <f t="shared" si="4"/>
        <v>0</v>
      </c>
      <c r="J11" s="16"/>
      <c r="K11" s="11"/>
      <c r="L11" s="16"/>
      <c r="M11" s="16"/>
      <c r="N11" s="16"/>
      <c r="O11" s="16"/>
      <c r="P11" s="16"/>
      <c r="Q11" s="16"/>
      <c r="R11" s="35"/>
      <c r="S11" s="43"/>
      <c r="T11" s="46"/>
      <c r="U11" s="51">
        <f t="shared" si="2"/>
        <v>0</v>
      </c>
      <c r="V11" s="17" t="str">
        <f t="shared" si="3"/>
        <v>OK</v>
      </c>
    </row>
    <row r="12" spans="1:22" hidden="1" x14ac:dyDescent="0.3">
      <c r="A12" s="63" t="s">
        <v>35</v>
      </c>
      <c r="B12" s="63">
        <v>6004</v>
      </c>
      <c r="C12" s="18" t="s">
        <v>48</v>
      </c>
      <c r="D12" s="19"/>
      <c r="E12" s="19"/>
      <c r="F12" s="19"/>
      <c r="G12" s="20"/>
      <c r="H12" s="21"/>
      <c r="I12" s="22">
        <f t="shared" si="4"/>
        <v>0</v>
      </c>
      <c r="J12" s="22"/>
      <c r="K12" s="11"/>
      <c r="L12" s="22"/>
      <c r="M12" s="22"/>
      <c r="N12" s="22"/>
      <c r="O12" s="22"/>
      <c r="P12" s="22"/>
      <c r="Q12" s="22"/>
      <c r="R12" s="36"/>
      <c r="S12" s="44"/>
      <c r="T12" s="47"/>
      <c r="U12" s="52">
        <f t="shared" si="2"/>
        <v>0</v>
      </c>
      <c r="V12" s="23" t="str">
        <f t="shared" si="3"/>
        <v>OK</v>
      </c>
    </row>
    <row r="13" spans="1:22" hidden="1" x14ac:dyDescent="0.3">
      <c r="A13" s="62" t="s">
        <v>36</v>
      </c>
      <c r="B13" s="62">
        <v>11857</v>
      </c>
      <c r="C13" s="12" t="s">
        <v>48</v>
      </c>
      <c r="D13" s="53"/>
      <c r="E13" s="13"/>
      <c r="F13" s="13"/>
      <c r="G13" s="14"/>
      <c r="H13" s="15"/>
      <c r="I13" s="16">
        <f t="shared" si="4"/>
        <v>0</v>
      </c>
      <c r="J13" s="16"/>
      <c r="K13" s="11"/>
      <c r="L13" s="16"/>
      <c r="M13" s="16"/>
      <c r="N13" s="16"/>
      <c r="O13" s="16"/>
      <c r="P13" s="16"/>
      <c r="Q13" s="16"/>
      <c r="R13" s="35"/>
      <c r="S13" s="43"/>
      <c r="T13" s="46"/>
      <c r="U13" s="51">
        <f t="shared" si="2"/>
        <v>0</v>
      </c>
      <c r="V13" s="17" t="str">
        <f t="shared" si="3"/>
        <v>OK</v>
      </c>
    </row>
    <row r="14" spans="1:22" hidden="1" x14ac:dyDescent="0.3">
      <c r="A14" s="63" t="s">
        <v>82</v>
      </c>
      <c r="B14" s="63">
        <v>15004</v>
      </c>
      <c r="C14" s="18" t="s">
        <v>48</v>
      </c>
      <c r="D14" s="19"/>
      <c r="E14" s="19"/>
      <c r="F14" s="19"/>
      <c r="G14" s="20"/>
      <c r="H14" s="21"/>
      <c r="I14" s="22">
        <f t="shared" si="4"/>
        <v>0</v>
      </c>
      <c r="J14" s="22"/>
      <c r="K14" s="11"/>
      <c r="L14" s="22"/>
      <c r="M14" s="22"/>
      <c r="N14" s="22"/>
      <c r="O14" s="22"/>
      <c r="P14" s="22"/>
      <c r="Q14" s="22"/>
      <c r="R14" s="36"/>
      <c r="S14" s="44"/>
      <c r="T14" s="47"/>
      <c r="U14" s="52">
        <f t="shared" si="2"/>
        <v>0</v>
      </c>
      <c r="V14" s="23" t="str">
        <f t="shared" si="3"/>
        <v>OK</v>
      </c>
    </row>
    <row r="15" spans="1:22" hidden="1" x14ac:dyDescent="0.3">
      <c r="A15" s="62" t="s">
        <v>86</v>
      </c>
      <c r="B15" s="62">
        <v>15174</v>
      </c>
      <c r="C15" s="12" t="s">
        <v>45</v>
      </c>
      <c r="D15" s="53"/>
      <c r="E15" s="13"/>
      <c r="F15" s="13"/>
      <c r="G15" s="14"/>
      <c r="H15" s="15"/>
      <c r="I15" s="16">
        <f t="shared" si="4"/>
        <v>0</v>
      </c>
      <c r="J15" s="16"/>
      <c r="K15" s="11"/>
      <c r="L15" s="16"/>
      <c r="M15" s="16"/>
      <c r="N15" s="16"/>
      <c r="O15" s="16"/>
      <c r="P15" s="16"/>
      <c r="Q15" s="16"/>
      <c r="R15" s="35"/>
      <c r="S15" s="43"/>
      <c r="T15" s="46"/>
      <c r="U15" s="51">
        <f t="shared" si="2"/>
        <v>0</v>
      </c>
      <c r="V15" s="17" t="str">
        <f t="shared" si="3"/>
        <v>OK</v>
      </c>
    </row>
    <row r="16" spans="1:22" x14ac:dyDescent="0.3">
      <c r="A16" s="63" t="s">
        <v>87</v>
      </c>
      <c r="B16" s="63">
        <v>15520</v>
      </c>
      <c r="C16" s="18" t="s">
        <v>47</v>
      </c>
      <c r="D16" s="19"/>
      <c r="E16" s="19"/>
      <c r="F16" s="19"/>
      <c r="G16" s="20"/>
      <c r="H16" s="21"/>
      <c r="I16" s="22">
        <f t="shared" si="4"/>
        <v>0</v>
      </c>
      <c r="J16" s="22"/>
      <c r="K16" s="11"/>
      <c r="L16" s="22"/>
      <c r="M16" s="22"/>
      <c r="N16" s="22"/>
      <c r="O16" s="22"/>
      <c r="P16" s="22"/>
      <c r="Q16" s="22"/>
      <c r="R16" s="36"/>
      <c r="S16" s="44"/>
      <c r="T16" s="47"/>
      <c r="U16" s="52">
        <f t="shared" si="2"/>
        <v>0</v>
      </c>
      <c r="V16" s="23" t="str">
        <f t="shared" si="3"/>
        <v>OK</v>
      </c>
    </row>
    <row r="17" spans="1:22" hidden="1" x14ac:dyDescent="0.3">
      <c r="A17" s="62" t="s">
        <v>85</v>
      </c>
      <c r="B17" s="62">
        <v>14989</v>
      </c>
      <c r="C17" s="12" t="s">
        <v>45</v>
      </c>
      <c r="D17" s="53"/>
      <c r="E17" s="13"/>
      <c r="F17" s="13"/>
      <c r="G17" s="14"/>
      <c r="H17" s="15"/>
      <c r="I17" s="16">
        <f t="shared" si="4"/>
        <v>0</v>
      </c>
      <c r="J17" s="16"/>
      <c r="K17" s="11"/>
      <c r="L17" s="16"/>
      <c r="M17" s="16"/>
      <c r="N17" s="16"/>
      <c r="O17" s="16"/>
      <c r="P17" s="16"/>
      <c r="Q17" s="16"/>
      <c r="R17" s="35"/>
      <c r="S17" s="43"/>
      <c r="T17" s="46"/>
      <c r="U17" s="51">
        <f t="shared" si="2"/>
        <v>0</v>
      </c>
      <c r="V17" s="17" t="str">
        <f t="shared" si="3"/>
        <v>OK</v>
      </c>
    </row>
    <row r="18" spans="1:22" hidden="1" x14ac:dyDescent="0.3">
      <c r="A18" s="63" t="s">
        <v>84</v>
      </c>
      <c r="B18" s="63">
        <v>14984</v>
      </c>
      <c r="C18" s="18" t="s">
        <v>46</v>
      </c>
      <c r="D18" s="19"/>
      <c r="E18" s="19"/>
      <c r="F18" s="19"/>
      <c r="G18" s="20"/>
      <c r="H18" s="21"/>
      <c r="I18" s="22">
        <f t="shared" si="4"/>
        <v>0</v>
      </c>
      <c r="J18" s="22"/>
      <c r="K18" s="11"/>
      <c r="L18" s="22"/>
      <c r="M18" s="22"/>
      <c r="N18" s="22"/>
      <c r="O18" s="22"/>
      <c r="P18" s="22"/>
      <c r="Q18" s="22"/>
      <c r="R18" s="36"/>
      <c r="S18" s="44"/>
      <c r="T18" s="47"/>
      <c r="U18" s="52">
        <f t="shared" si="2"/>
        <v>0</v>
      </c>
      <c r="V18" s="23" t="str">
        <f t="shared" si="3"/>
        <v>OK</v>
      </c>
    </row>
    <row r="19" spans="1:22" hidden="1" x14ac:dyDescent="0.3">
      <c r="A19" s="62" t="s">
        <v>88</v>
      </c>
      <c r="B19" s="62">
        <v>16270</v>
      </c>
      <c r="C19" s="12" t="s">
        <v>89</v>
      </c>
      <c r="D19" s="53"/>
      <c r="E19" s="13"/>
      <c r="F19" s="13"/>
      <c r="G19" s="14"/>
      <c r="H19" s="15"/>
      <c r="I19" s="16">
        <f t="shared" si="4"/>
        <v>0</v>
      </c>
      <c r="J19" s="16"/>
      <c r="K19" s="11"/>
      <c r="L19" s="16"/>
      <c r="M19" s="16"/>
      <c r="N19" s="16"/>
      <c r="O19" s="16"/>
      <c r="P19" s="16"/>
      <c r="Q19" s="16"/>
      <c r="R19" s="35"/>
      <c r="S19" s="43"/>
      <c r="T19" s="46"/>
      <c r="U19" s="51">
        <f t="shared" si="2"/>
        <v>0</v>
      </c>
      <c r="V19" s="17" t="str">
        <f t="shared" si="3"/>
        <v>OK</v>
      </c>
    </row>
    <row r="20" spans="1:22" hidden="1" x14ac:dyDescent="0.3">
      <c r="A20" s="63" t="s">
        <v>98</v>
      </c>
      <c r="B20" s="63">
        <v>19060</v>
      </c>
      <c r="C20" s="18" t="s">
        <v>47</v>
      </c>
      <c r="D20" s="19"/>
      <c r="E20" s="19"/>
      <c r="F20" s="19"/>
      <c r="G20" s="20"/>
      <c r="H20" s="21"/>
      <c r="I20" s="22">
        <f t="shared" si="4"/>
        <v>0</v>
      </c>
      <c r="J20" s="22"/>
      <c r="K20" s="11"/>
      <c r="L20" s="22"/>
      <c r="M20" s="22"/>
      <c r="N20" s="22"/>
      <c r="O20" s="22"/>
      <c r="P20" s="22"/>
      <c r="Q20" s="22"/>
      <c r="R20" s="36"/>
      <c r="S20" s="44"/>
      <c r="T20" s="47"/>
      <c r="U20" s="52">
        <f t="shared" si="2"/>
        <v>0</v>
      </c>
      <c r="V20" s="23" t="str">
        <f t="shared" si="3"/>
        <v>OK</v>
      </c>
    </row>
    <row r="21" spans="1:22" hidden="1" x14ac:dyDescent="0.3">
      <c r="A21" s="62" t="s">
        <v>99</v>
      </c>
      <c r="B21" s="62">
        <v>18828</v>
      </c>
      <c r="C21" s="12" t="s">
        <v>94</v>
      </c>
      <c r="D21" s="53"/>
      <c r="E21" s="13"/>
      <c r="F21" s="13"/>
      <c r="G21" s="14"/>
      <c r="H21" s="15"/>
      <c r="I21" s="16">
        <f t="shared" si="4"/>
        <v>0</v>
      </c>
      <c r="J21" s="16"/>
      <c r="K21" s="11"/>
      <c r="L21" s="16"/>
      <c r="M21" s="16"/>
      <c r="N21" s="16"/>
      <c r="O21" s="16"/>
      <c r="P21" s="16"/>
      <c r="Q21" s="16"/>
      <c r="R21" s="35"/>
      <c r="S21" s="43"/>
      <c r="T21" s="46"/>
      <c r="U21" s="51">
        <f t="shared" si="2"/>
        <v>0</v>
      </c>
      <c r="V21" s="17" t="str">
        <f t="shared" si="3"/>
        <v>OK</v>
      </c>
    </row>
    <row r="22" spans="1:22" hidden="1" x14ac:dyDescent="0.3">
      <c r="A22" s="63" t="s">
        <v>23</v>
      </c>
      <c r="B22" s="63">
        <v>5695</v>
      </c>
      <c r="C22" s="18" t="s">
        <v>49</v>
      </c>
      <c r="D22" s="19"/>
      <c r="E22" s="19"/>
      <c r="F22" s="19"/>
      <c r="G22" s="20"/>
      <c r="H22" s="21"/>
      <c r="I22" s="22">
        <f t="shared" si="4"/>
        <v>0</v>
      </c>
      <c r="J22" s="22"/>
      <c r="K22" s="11"/>
      <c r="L22" s="22"/>
      <c r="M22" s="22"/>
      <c r="N22" s="22"/>
      <c r="O22" s="22"/>
      <c r="P22" s="22"/>
      <c r="Q22" s="22"/>
      <c r="R22" s="36"/>
      <c r="S22" s="44"/>
      <c r="T22" s="47"/>
      <c r="U22" s="52">
        <f t="shared" si="2"/>
        <v>0</v>
      </c>
      <c r="V22" s="23" t="str">
        <f t="shared" si="3"/>
        <v>OK</v>
      </c>
    </row>
    <row r="23" spans="1:22" hidden="1" x14ac:dyDescent="0.3">
      <c r="A23" s="62" t="s">
        <v>24</v>
      </c>
      <c r="B23" s="62">
        <v>5691</v>
      </c>
      <c r="C23" s="12" t="s">
        <v>50</v>
      </c>
      <c r="D23" s="53"/>
      <c r="E23" s="13"/>
      <c r="F23" s="13"/>
      <c r="G23" s="14"/>
      <c r="H23" s="15"/>
      <c r="I23" s="16">
        <f t="shared" si="4"/>
        <v>0</v>
      </c>
      <c r="J23" s="16"/>
      <c r="K23" s="11"/>
      <c r="L23" s="16"/>
      <c r="M23" s="16"/>
      <c r="N23" s="16"/>
      <c r="O23" s="16"/>
      <c r="P23" s="16"/>
      <c r="Q23" s="16"/>
      <c r="R23" s="35"/>
      <c r="S23" s="43"/>
      <c r="T23" s="46"/>
      <c r="U23" s="51">
        <f t="shared" si="2"/>
        <v>0</v>
      </c>
      <c r="V23" s="17" t="str">
        <f t="shared" si="3"/>
        <v>OK</v>
      </c>
    </row>
    <row r="24" spans="1:22" hidden="1" x14ac:dyDescent="0.3">
      <c r="A24" s="63" t="s">
        <v>37</v>
      </c>
      <c r="B24" s="63">
        <v>5687</v>
      </c>
      <c r="C24" s="18" t="s">
        <v>51</v>
      </c>
      <c r="D24" s="19"/>
      <c r="E24" s="19"/>
      <c r="F24" s="19"/>
      <c r="G24" s="20"/>
      <c r="H24" s="21"/>
      <c r="I24" s="22">
        <f t="shared" si="4"/>
        <v>0</v>
      </c>
      <c r="J24" s="22"/>
      <c r="K24" s="11"/>
      <c r="L24" s="22"/>
      <c r="M24" s="22"/>
      <c r="N24" s="22"/>
      <c r="O24" s="22"/>
      <c r="P24" s="22"/>
      <c r="Q24" s="22"/>
      <c r="R24" s="36"/>
      <c r="S24" s="44"/>
      <c r="T24" s="47"/>
      <c r="U24" s="52">
        <f t="shared" si="2"/>
        <v>0</v>
      </c>
      <c r="V24" s="23" t="str">
        <f t="shared" si="3"/>
        <v>OK</v>
      </c>
    </row>
    <row r="25" spans="1:22" hidden="1" x14ac:dyDescent="0.3">
      <c r="A25" s="62" t="s">
        <v>38</v>
      </c>
      <c r="B25" s="62">
        <v>5683</v>
      </c>
      <c r="C25" s="12" t="s">
        <v>51</v>
      </c>
      <c r="D25" s="53"/>
      <c r="E25" s="13"/>
      <c r="F25" s="13"/>
      <c r="G25" s="14"/>
      <c r="H25" s="15"/>
      <c r="I25" s="16">
        <f t="shared" si="4"/>
        <v>0</v>
      </c>
      <c r="J25" s="16"/>
      <c r="K25" s="11"/>
      <c r="L25" s="16"/>
      <c r="M25" s="16"/>
      <c r="N25" s="16"/>
      <c r="O25" s="16"/>
      <c r="P25" s="16"/>
      <c r="Q25" s="16"/>
      <c r="R25" s="35"/>
      <c r="S25" s="43"/>
      <c r="T25" s="46"/>
      <c r="U25" s="51">
        <f t="shared" si="2"/>
        <v>0</v>
      </c>
      <c r="V25" s="17" t="str">
        <f t="shared" si="3"/>
        <v>OK</v>
      </c>
    </row>
    <row r="26" spans="1:22" hidden="1" x14ac:dyDescent="0.3">
      <c r="A26" s="63" t="s">
        <v>25</v>
      </c>
      <c r="B26" s="63">
        <v>5679</v>
      </c>
      <c r="C26" s="18" t="s">
        <v>52</v>
      </c>
      <c r="D26" s="19"/>
      <c r="E26" s="19"/>
      <c r="F26" s="19"/>
      <c r="G26" s="20"/>
      <c r="H26" s="21"/>
      <c r="I26" s="22">
        <f t="shared" si="4"/>
        <v>0</v>
      </c>
      <c r="J26" s="22"/>
      <c r="K26" s="11"/>
      <c r="L26" s="22"/>
      <c r="M26" s="22"/>
      <c r="N26" s="22"/>
      <c r="O26" s="22"/>
      <c r="P26" s="22"/>
      <c r="Q26" s="22"/>
      <c r="R26" s="36"/>
      <c r="S26" s="44"/>
      <c r="T26" s="47"/>
      <c r="U26" s="52">
        <f t="shared" si="2"/>
        <v>0</v>
      </c>
      <c r="V26" s="23" t="str">
        <f t="shared" si="3"/>
        <v>OK</v>
      </c>
    </row>
    <row r="27" spans="1:22" hidden="1" x14ac:dyDescent="0.3">
      <c r="A27" s="62" t="s">
        <v>39</v>
      </c>
      <c r="B27" s="62">
        <v>5675</v>
      </c>
      <c r="C27" s="12" t="s">
        <v>53</v>
      </c>
      <c r="D27" s="53"/>
      <c r="E27" s="13"/>
      <c r="F27" s="13"/>
      <c r="G27" s="14"/>
      <c r="H27" s="15"/>
      <c r="I27" s="16">
        <f t="shared" si="4"/>
        <v>0</v>
      </c>
      <c r="J27" s="16"/>
      <c r="K27" s="11"/>
      <c r="L27" s="16"/>
      <c r="M27" s="16"/>
      <c r="N27" s="16"/>
      <c r="O27" s="16"/>
      <c r="P27" s="16"/>
      <c r="Q27" s="16"/>
      <c r="R27" s="35"/>
      <c r="S27" s="43"/>
      <c r="T27" s="46"/>
      <c r="U27" s="51">
        <f t="shared" si="2"/>
        <v>0</v>
      </c>
      <c r="V27" s="17" t="str">
        <f t="shared" si="3"/>
        <v>OK</v>
      </c>
    </row>
    <row r="28" spans="1:22" hidden="1" x14ac:dyDescent="0.3">
      <c r="A28" s="63" t="s">
        <v>26</v>
      </c>
      <c r="B28" s="63">
        <v>5671</v>
      </c>
      <c r="C28" s="18" t="s">
        <v>49</v>
      </c>
      <c r="D28" s="19"/>
      <c r="E28" s="19"/>
      <c r="F28" s="19"/>
      <c r="G28" s="20"/>
      <c r="H28" s="21"/>
      <c r="I28" s="22">
        <f t="shared" si="4"/>
        <v>0</v>
      </c>
      <c r="J28" s="22"/>
      <c r="K28" s="11"/>
      <c r="L28" s="22"/>
      <c r="M28" s="22"/>
      <c r="N28" s="22"/>
      <c r="O28" s="22"/>
      <c r="P28" s="22"/>
      <c r="Q28" s="22"/>
      <c r="R28" s="36"/>
      <c r="S28" s="44"/>
      <c r="T28" s="47"/>
      <c r="U28" s="52">
        <f t="shared" si="2"/>
        <v>0</v>
      </c>
      <c r="V28" s="23" t="str">
        <f t="shared" si="3"/>
        <v>OK</v>
      </c>
    </row>
    <row r="29" spans="1:22" hidden="1" x14ac:dyDescent="0.3">
      <c r="A29" s="62" t="s">
        <v>40</v>
      </c>
      <c r="B29" s="62">
        <v>5667</v>
      </c>
      <c r="C29" s="12" t="s">
        <v>50</v>
      </c>
      <c r="D29" s="53"/>
      <c r="E29" s="13"/>
      <c r="F29" s="13"/>
      <c r="G29" s="14"/>
      <c r="H29" s="15"/>
      <c r="I29" s="16">
        <f t="shared" si="4"/>
        <v>0</v>
      </c>
      <c r="J29" s="16"/>
      <c r="K29" s="11"/>
      <c r="L29" s="16"/>
      <c r="M29" s="16"/>
      <c r="N29" s="16"/>
      <c r="O29" s="16"/>
      <c r="P29" s="16"/>
      <c r="Q29" s="16"/>
      <c r="R29" s="35"/>
      <c r="S29" s="43"/>
      <c r="T29" s="46"/>
      <c r="U29" s="51">
        <f t="shared" si="2"/>
        <v>0</v>
      </c>
      <c r="V29" s="17" t="str">
        <f t="shared" si="3"/>
        <v>OK</v>
      </c>
    </row>
    <row r="30" spans="1:22" hidden="1" x14ac:dyDescent="0.3">
      <c r="A30" s="63" t="s">
        <v>41</v>
      </c>
      <c r="B30" s="63">
        <v>5663</v>
      </c>
      <c r="C30" s="18" t="s">
        <v>51</v>
      </c>
      <c r="D30" s="19"/>
      <c r="E30" s="19"/>
      <c r="F30" s="19"/>
      <c r="G30" s="20"/>
      <c r="H30" s="21"/>
      <c r="I30" s="22">
        <f t="shared" si="4"/>
        <v>0</v>
      </c>
      <c r="J30" s="22"/>
      <c r="K30" s="11"/>
      <c r="L30" s="22"/>
      <c r="M30" s="22"/>
      <c r="N30" s="22"/>
      <c r="O30" s="22"/>
      <c r="P30" s="22"/>
      <c r="Q30" s="22"/>
      <c r="R30" s="36"/>
      <c r="S30" s="44"/>
      <c r="T30" s="47"/>
      <c r="U30" s="52">
        <f t="shared" si="2"/>
        <v>0</v>
      </c>
      <c r="V30" s="23" t="str">
        <f t="shared" si="3"/>
        <v>OK</v>
      </c>
    </row>
    <row r="31" spans="1:22" hidden="1" x14ac:dyDescent="0.3">
      <c r="A31" s="62" t="s">
        <v>42</v>
      </c>
      <c r="B31" s="62">
        <v>5659</v>
      </c>
      <c r="C31" s="12" t="s">
        <v>52</v>
      </c>
      <c r="D31" s="53"/>
      <c r="E31" s="13"/>
      <c r="F31" s="13"/>
      <c r="G31" s="14"/>
      <c r="H31" s="15"/>
      <c r="I31" s="16">
        <f t="shared" si="4"/>
        <v>0</v>
      </c>
      <c r="J31" s="16"/>
      <c r="K31" s="11"/>
      <c r="L31" s="16"/>
      <c r="M31" s="16"/>
      <c r="N31" s="16"/>
      <c r="O31" s="16"/>
      <c r="P31" s="16"/>
      <c r="Q31" s="16"/>
      <c r="R31" s="35"/>
      <c r="S31" s="43"/>
      <c r="T31" s="46"/>
      <c r="U31" s="51">
        <f t="shared" si="2"/>
        <v>0</v>
      </c>
      <c r="V31" s="17" t="str">
        <f t="shared" si="3"/>
        <v>OK</v>
      </c>
    </row>
    <row r="32" spans="1:22" hidden="1" x14ac:dyDescent="0.3">
      <c r="A32" s="63" t="s">
        <v>27</v>
      </c>
      <c r="B32" s="63">
        <v>5655</v>
      </c>
      <c r="C32" s="18" t="s">
        <v>54</v>
      </c>
      <c r="D32" s="19"/>
      <c r="E32" s="19"/>
      <c r="F32" s="19"/>
      <c r="G32" s="20"/>
      <c r="H32" s="21"/>
      <c r="I32" s="22">
        <f t="shared" si="4"/>
        <v>0</v>
      </c>
      <c r="J32" s="22"/>
      <c r="K32" s="11"/>
      <c r="L32" s="22"/>
      <c r="M32" s="22"/>
      <c r="N32" s="22"/>
      <c r="O32" s="22"/>
      <c r="P32" s="22"/>
      <c r="Q32" s="22"/>
      <c r="R32" s="36"/>
      <c r="S32" s="44"/>
      <c r="T32" s="47"/>
      <c r="U32" s="52">
        <f t="shared" si="2"/>
        <v>0</v>
      </c>
      <c r="V32" s="23" t="str">
        <f t="shared" si="3"/>
        <v>OK</v>
      </c>
    </row>
    <row r="33" spans="1:22" hidden="1" x14ac:dyDescent="0.3">
      <c r="A33" s="62" t="s">
        <v>70</v>
      </c>
      <c r="B33" s="62">
        <v>5651</v>
      </c>
      <c r="C33" s="12" t="s">
        <v>55</v>
      </c>
      <c r="D33" s="53"/>
      <c r="E33" s="13"/>
      <c r="F33" s="13"/>
      <c r="G33" s="14"/>
      <c r="H33" s="15"/>
      <c r="I33" s="16">
        <f t="shared" si="4"/>
        <v>0</v>
      </c>
      <c r="J33" s="16"/>
      <c r="K33" s="11"/>
      <c r="L33" s="16"/>
      <c r="M33" s="16"/>
      <c r="N33" s="16"/>
      <c r="O33" s="16"/>
      <c r="P33" s="16"/>
      <c r="Q33" s="16"/>
      <c r="R33" s="35"/>
      <c r="S33" s="43"/>
      <c r="T33" s="46"/>
      <c r="U33" s="51">
        <f t="shared" si="2"/>
        <v>0</v>
      </c>
      <c r="V33" s="17" t="str">
        <f t="shared" si="3"/>
        <v>OK</v>
      </c>
    </row>
    <row r="34" spans="1:22" hidden="1" x14ac:dyDescent="0.3">
      <c r="A34" s="63" t="s">
        <v>71</v>
      </c>
      <c r="B34" s="63">
        <v>5643</v>
      </c>
      <c r="C34" s="18" t="s">
        <v>56</v>
      </c>
      <c r="D34" s="19"/>
      <c r="E34" s="19"/>
      <c r="F34" s="19"/>
      <c r="G34" s="20"/>
      <c r="H34" s="21"/>
      <c r="I34" s="22">
        <f t="shared" si="4"/>
        <v>0</v>
      </c>
      <c r="J34" s="22"/>
      <c r="K34" s="11"/>
      <c r="L34" s="22"/>
      <c r="M34" s="22"/>
      <c r="N34" s="22"/>
      <c r="O34" s="22"/>
      <c r="P34" s="22"/>
      <c r="Q34" s="22"/>
      <c r="R34" s="36"/>
      <c r="S34" s="44"/>
      <c r="T34" s="47"/>
      <c r="U34" s="52">
        <f t="shared" si="2"/>
        <v>0</v>
      </c>
      <c r="V34" s="23" t="str">
        <f t="shared" si="3"/>
        <v>OK</v>
      </c>
    </row>
    <row r="35" spans="1:22" hidden="1" x14ac:dyDescent="0.3">
      <c r="A35" s="62" t="s">
        <v>57</v>
      </c>
      <c r="B35" s="62">
        <v>11350</v>
      </c>
      <c r="C35" s="12" t="s">
        <v>56</v>
      </c>
      <c r="D35" s="53"/>
      <c r="E35" s="13"/>
      <c r="F35" s="13"/>
      <c r="G35" s="14"/>
      <c r="H35" s="15"/>
      <c r="I35" s="16">
        <f t="shared" si="4"/>
        <v>0</v>
      </c>
      <c r="J35" s="16"/>
      <c r="K35" s="11"/>
      <c r="L35" s="16"/>
      <c r="M35" s="16"/>
      <c r="N35" s="16"/>
      <c r="O35" s="16"/>
      <c r="P35" s="16"/>
      <c r="Q35" s="16"/>
      <c r="R35" s="35"/>
      <c r="S35" s="43"/>
      <c r="T35" s="46"/>
      <c r="U35" s="51">
        <f t="shared" si="2"/>
        <v>0</v>
      </c>
      <c r="V35" s="17" t="str">
        <f t="shared" si="3"/>
        <v>OK</v>
      </c>
    </row>
    <row r="36" spans="1:22" hidden="1" x14ac:dyDescent="0.3">
      <c r="A36" s="63" t="s">
        <v>72</v>
      </c>
      <c r="B36" s="63">
        <v>5635</v>
      </c>
      <c r="C36" s="18" t="s">
        <v>55</v>
      </c>
      <c r="D36" s="19"/>
      <c r="E36" s="19"/>
      <c r="F36" s="19"/>
      <c r="G36" s="20"/>
      <c r="H36" s="21"/>
      <c r="I36" s="22">
        <f t="shared" si="4"/>
        <v>0</v>
      </c>
      <c r="J36" s="22"/>
      <c r="K36" s="11"/>
      <c r="L36" s="22"/>
      <c r="M36" s="22"/>
      <c r="N36" s="22"/>
      <c r="O36" s="22"/>
      <c r="P36" s="22"/>
      <c r="Q36" s="22"/>
      <c r="R36" s="36"/>
      <c r="S36" s="44"/>
      <c r="T36" s="47"/>
      <c r="U36" s="52">
        <f t="shared" si="2"/>
        <v>0</v>
      </c>
      <c r="V36" s="23" t="str">
        <f t="shared" si="3"/>
        <v>OK</v>
      </c>
    </row>
    <row r="37" spans="1:22" hidden="1" x14ac:dyDescent="0.3">
      <c r="A37" s="62" t="s">
        <v>58</v>
      </c>
      <c r="B37" s="62">
        <v>11349</v>
      </c>
      <c r="C37" s="12" t="s">
        <v>55</v>
      </c>
      <c r="D37" s="53"/>
      <c r="E37" s="13"/>
      <c r="F37" s="13"/>
      <c r="G37" s="14"/>
      <c r="H37" s="15"/>
      <c r="I37" s="16">
        <f t="shared" si="4"/>
        <v>0</v>
      </c>
      <c r="J37" s="16"/>
      <c r="K37" s="11"/>
      <c r="L37" s="16"/>
      <c r="M37" s="16"/>
      <c r="N37" s="16"/>
      <c r="O37" s="16"/>
      <c r="P37" s="16"/>
      <c r="Q37" s="16"/>
      <c r="R37" s="35"/>
      <c r="S37" s="43"/>
      <c r="T37" s="46"/>
      <c r="U37" s="51">
        <f t="shared" ref="U37:U55" si="5">SUM(L37:T37)</f>
        <v>0</v>
      </c>
      <c r="V37" s="17" t="str">
        <f t="shared" si="3"/>
        <v>OK</v>
      </c>
    </row>
    <row r="38" spans="1:22" hidden="1" x14ac:dyDescent="0.3">
      <c r="A38" s="63" t="s">
        <v>73</v>
      </c>
      <c r="B38" s="63">
        <v>5627</v>
      </c>
      <c r="C38" s="18" t="s">
        <v>56</v>
      </c>
      <c r="D38" s="19"/>
      <c r="E38" s="19"/>
      <c r="F38" s="19"/>
      <c r="G38" s="20"/>
      <c r="H38" s="21"/>
      <c r="I38" s="22">
        <f t="shared" si="4"/>
        <v>0</v>
      </c>
      <c r="J38" s="22"/>
      <c r="K38" s="11"/>
      <c r="L38" s="22"/>
      <c r="M38" s="22"/>
      <c r="N38" s="22"/>
      <c r="O38" s="22"/>
      <c r="P38" s="22"/>
      <c r="Q38" s="22"/>
      <c r="R38" s="36"/>
      <c r="S38" s="44"/>
      <c r="T38" s="47"/>
      <c r="U38" s="52">
        <f t="shared" si="5"/>
        <v>0</v>
      </c>
      <c r="V38" s="23" t="str">
        <f t="shared" si="3"/>
        <v>OK</v>
      </c>
    </row>
    <row r="39" spans="1:22" hidden="1" x14ac:dyDescent="0.3">
      <c r="A39" s="62" t="s">
        <v>59</v>
      </c>
      <c r="B39" s="62">
        <v>11348</v>
      </c>
      <c r="C39" s="12" t="s">
        <v>56</v>
      </c>
      <c r="D39" s="53"/>
      <c r="E39" s="13"/>
      <c r="F39" s="13"/>
      <c r="G39" s="14"/>
      <c r="H39" s="15"/>
      <c r="I39" s="16">
        <f t="shared" si="4"/>
        <v>0</v>
      </c>
      <c r="J39" s="16"/>
      <c r="K39" s="11"/>
      <c r="L39" s="16"/>
      <c r="M39" s="16"/>
      <c r="N39" s="16"/>
      <c r="O39" s="16"/>
      <c r="P39" s="16"/>
      <c r="Q39" s="16"/>
      <c r="R39" s="35"/>
      <c r="S39" s="43"/>
      <c r="T39" s="46"/>
      <c r="U39" s="51">
        <f t="shared" si="5"/>
        <v>0</v>
      </c>
      <c r="V39" s="17" t="str">
        <f t="shared" si="3"/>
        <v>OK</v>
      </c>
    </row>
    <row r="40" spans="1:22" hidden="1" x14ac:dyDescent="0.3">
      <c r="A40" s="63" t="s">
        <v>74</v>
      </c>
      <c r="B40" s="63">
        <v>5619</v>
      </c>
      <c r="C40" s="18" t="s">
        <v>60</v>
      </c>
      <c r="D40" s="19"/>
      <c r="E40" s="19"/>
      <c r="F40" s="19"/>
      <c r="G40" s="20"/>
      <c r="H40" s="21"/>
      <c r="I40" s="22">
        <f t="shared" si="4"/>
        <v>0</v>
      </c>
      <c r="J40" s="22"/>
      <c r="K40" s="11"/>
      <c r="L40" s="22"/>
      <c r="M40" s="22"/>
      <c r="N40" s="22"/>
      <c r="O40" s="22"/>
      <c r="P40" s="22"/>
      <c r="Q40" s="22"/>
      <c r="R40" s="36"/>
      <c r="S40" s="44"/>
      <c r="T40" s="47"/>
      <c r="U40" s="52">
        <f t="shared" si="5"/>
        <v>0</v>
      </c>
      <c r="V40" s="23" t="str">
        <f t="shared" si="3"/>
        <v>OK</v>
      </c>
    </row>
    <row r="41" spans="1:22" hidden="1" x14ac:dyDescent="0.3">
      <c r="A41" s="64" t="s">
        <v>61</v>
      </c>
      <c r="B41" s="62">
        <v>11347</v>
      </c>
      <c r="C41" s="12" t="s">
        <v>60</v>
      </c>
      <c r="D41" s="53"/>
      <c r="E41" s="13"/>
      <c r="F41" s="13"/>
      <c r="G41" s="14"/>
      <c r="H41" s="15"/>
      <c r="I41" s="16">
        <f t="shared" si="4"/>
        <v>0</v>
      </c>
      <c r="J41" s="16"/>
      <c r="K41" s="11"/>
      <c r="L41" s="16"/>
      <c r="M41" s="16"/>
      <c r="N41" s="16"/>
      <c r="O41" s="16"/>
      <c r="P41" s="16"/>
      <c r="Q41" s="16"/>
      <c r="R41" s="35"/>
      <c r="S41" s="43"/>
      <c r="T41" s="46"/>
      <c r="U41" s="51">
        <f t="shared" si="5"/>
        <v>0</v>
      </c>
      <c r="V41" s="17" t="str">
        <f t="shared" si="3"/>
        <v>OK</v>
      </c>
    </row>
    <row r="42" spans="1:22" hidden="1" x14ac:dyDescent="0.3">
      <c r="A42" s="54" t="s">
        <v>75</v>
      </c>
      <c r="B42" s="63">
        <v>5611</v>
      </c>
      <c r="C42" s="18" t="s">
        <v>62</v>
      </c>
      <c r="D42" s="19"/>
      <c r="E42" s="19"/>
      <c r="F42" s="19"/>
      <c r="G42" s="20"/>
      <c r="H42" s="21"/>
      <c r="I42" s="22">
        <f t="shared" si="4"/>
        <v>0</v>
      </c>
      <c r="J42" s="22"/>
      <c r="K42" s="11"/>
      <c r="L42" s="22"/>
      <c r="M42" s="22"/>
      <c r="N42" s="22"/>
      <c r="O42" s="22"/>
      <c r="P42" s="22"/>
      <c r="Q42" s="22"/>
      <c r="R42" s="36"/>
      <c r="S42" s="44"/>
      <c r="T42" s="47"/>
      <c r="U42" s="52">
        <f t="shared" si="5"/>
        <v>0</v>
      </c>
      <c r="V42" s="23" t="str">
        <f t="shared" si="3"/>
        <v>OK</v>
      </c>
    </row>
    <row r="43" spans="1:22" hidden="1" x14ac:dyDescent="0.3">
      <c r="A43" s="12" t="s">
        <v>63</v>
      </c>
      <c r="B43" s="62">
        <v>11336</v>
      </c>
      <c r="C43" s="12" t="s">
        <v>62</v>
      </c>
      <c r="D43" s="53"/>
      <c r="E43" s="13"/>
      <c r="F43" s="13"/>
      <c r="G43" s="14"/>
      <c r="H43" s="15"/>
      <c r="I43" s="16">
        <f t="shared" si="4"/>
        <v>0</v>
      </c>
      <c r="J43" s="16"/>
      <c r="K43" s="11"/>
      <c r="L43" s="16"/>
      <c r="M43" s="16"/>
      <c r="N43" s="16"/>
      <c r="O43" s="16"/>
      <c r="P43" s="16"/>
      <c r="Q43" s="16"/>
      <c r="R43" s="35"/>
      <c r="S43" s="43"/>
      <c r="T43" s="46"/>
      <c r="U43" s="51">
        <f t="shared" si="5"/>
        <v>0</v>
      </c>
      <c r="V43" s="17" t="str">
        <f t="shared" si="3"/>
        <v>OK</v>
      </c>
    </row>
    <row r="44" spans="1:22" hidden="1" x14ac:dyDescent="0.3">
      <c r="A44" s="54" t="s">
        <v>100</v>
      </c>
      <c r="B44" s="63">
        <v>14860</v>
      </c>
      <c r="C44" s="18" t="s">
        <v>56</v>
      </c>
      <c r="D44" s="19"/>
      <c r="E44" s="19"/>
      <c r="F44" s="19"/>
      <c r="G44" s="20"/>
      <c r="H44" s="21"/>
      <c r="I44" s="22">
        <f t="shared" si="4"/>
        <v>0</v>
      </c>
      <c r="J44" s="22"/>
      <c r="K44" s="11"/>
      <c r="L44" s="22"/>
      <c r="M44" s="22"/>
      <c r="N44" s="22"/>
      <c r="O44" s="22"/>
      <c r="P44" s="22"/>
      <c r="Q44" s="22"/>
      <c r="R44" s="36"/>
      <c r="S44" s="44"/>
      <c r="T44" s="47"/>
      <c r="U44" s="52">
        <f t="shared" si="5"/>
        <v>0</v>
      </c>
      <c r="V44" s="23" t="str">
        <f t="shared" si="3"/>
        <v>OK</v>
      </c>
    </row>
    <row r="45" spans="1:22" hidden="1" x14ac:dyDescent="0.3">
      <c r="A45" s="64" t="s">
        <v>83</v>
      </c>
      <c r="B45" s="62">
        <v>14861</v>
      </c>
      <c r="C45" s="12" t="s">
        <v>56</v>
      </c>
      <c r="D45" s="53"/>
      <c r="E45" s="13"/>
      <c r="F45" s="13"/>
      <c r="G45" s="14"/>
      <c r="H45" s="15"/>
      <c r="I45" s="16">
        <f t="shared" si="4"/>
        <v>0</v>
      </c>
      <c r="J45" s="16"/>
      <c r="K45" s="11"/>
      <c r="L45" s="16"/>
      <c r="M45" s="16"/>
      <c r="N45" s="16"/>
      <c r="O45" s="16"/>
      <c r="P45" s="16"/>
      <c r="Q45" s="16"/>
      <c r="R45" s="35"/>
      <c r="S45" s="43"/>
      <c r="T45" s="46"/>
      <c r="U45" s="51">
        <f t="shared" si="5"/>
        <v>0</v>
      </c>
      <c r="V45" s="17" t="str">
        <f t="shared" si="3"/>
        <v>OK</v>
      </c>
    </row>
    <row r="46" spans="1:22" hidden="1" x14ac:dyDescent="0.3">
      <c r="A46" s="54" t="s">
        <v>101</v>
      </c>
      <c r="B46" s="63">
        <v>15096</v>
      </c>
      <c r="C46" s="18" t="s">
        <v>56</v>
      </c>
      <c r="D46" s="19"/>
      <c r="E46" s="19"/>
      <c r="F46" s="19"/>
      <c r="G46" s="20"/>
      <c r="H46" s="21"/>
      <c r="I46" s="22">
        <f t="shared" si="4"/>
        <v>0</v>
      </c>
      <c r="J46" s="22"/>
      <c r="K46" s="11"/>
      <c r="L46" s="22"/>
      <c r="M46" s="22"/>
      <c r="N46" s="22"/>
      <c r="O46" s="22"/>
      <c r="P46" s="22"/>
      <c r="Q46" s="22"/>
      <c r="R46" s="36"/>
      <c r="S46" s="44"/>
      <c r="T46" s="47"/>
      <c r="U46" s="52">
        <f t="shared" si="5"/>
        <v>0</v>
      </c>
      <c r="V46" s="23" t="str">
        <f t="shared" si="3"/>
        <v>OK</v>
      </c>
    </row>
    <row r="47" spans="1:22" hidden="1" x14ac:dyDescent="0.3">
      <c r="A47" s="12" t="s">
        <v>81</v>
      </c>
      <c r="B47" s="62">
        <v>15097</v>
      </c>
      <c r="C47" s="12" t="s">
        <v>56</v>
      </c>
      <c r="D47" s="53"/>
      <c r="E47" s="13"/>
      <c r="F47" s="13"/>
      <c r="G47" s="14"/>
      <c r="H47" s="15"/>
      <c r="I47" s="16">
        <f t="shared" si="4"/>
        <v>0</v>
      </c>
      <c r="J47" s="16"/>
      <c r="K47" s="11"/>
      <c r="L47" s="16"/>
      <c r="M47" s="16"/>
      <c r="N47" s="16"/>
      <c r="O47" s="16"/>
      <c r="P47" s="16"/>
      <c r="Q47" s="16"/>
      <c r="R47" s="35"/>
      <c r="S47" s="43"/>
      <c r="T47" s="46"/>
      <c r="U47" s="51">
        <f t="shared" si="5"/>
        <v>0</v>
      </c>
      <c r="V47" s="17" t="str">
        <f t="shared" si="3"/>
        <v>OK</v>
      </c>
    </row>
    <row r="48" spans="1:22" hidden="1" x14ac:dyDescent="0.3">
      <c r="A48" s="54" t="s">
        <v>76</v>
      </c>
      <c r="B48" s="63">
        <v>5585</v>
      </c>
      <c r="C48" s="18" t="s">
        <v>64</v>
      </c>
      <c r="D48" s="19"/>
      <c r="E48" s="19"/>
      <c r="F48" s="19"/>
      <c r="G48" s="20"/>
      <c r="H48" s="21"/>
      <c r="I48" s="22">
        <f t="shared" si="4"/>
        <v>0</v>
      </c>
      <c r="J48" s="22"/>
      <c r="K48" s="11"/>
      <c r="L48" s="22"/>
      <c r="M48" s="22"/>
      <c r="N48" s="22"/>
      <c r="O48" s="22"/>
      <c r="P48" s="22"/>
      <c r="Q48" s="22"/>
      <c r="R48" s="36"/>
      <c r="S48" s="44"/>
      <c r="T48" s="47"/>
      <c r="U48" s="52">
        <f t="shared" si="5"/>
        <v>0</v>
      </c>
      <c r="V48" s="23" t="str">
        <f t="shared" si="3"/>
        <v>OK</v>
      </c>
    </row>
    <row r="49" spans="1:22" hidden="1" x14ac:dyDescent="0.3">
      <c r="A49" s="12" t="s">
        <v>65</v>
      </c>
      <c r="B49" s="62">
        <v>11351</v>
      </c>
      <c r="C49" s="12" t="s">
        <v>64</v>
      </c>
      <c r="D49" s="53"/>
      <c r="E49" s="13"/>
      <c r="F49" s="13"/>
      <c r="G49" s="14"/>
      <c r="H49" s="15"/>
      <c r="I49" s="16">
        <f t="shared" si="4"/>
        <v>0</v>
      </c>
      <c r="J49" s="16"/>
      <c r="K49" s="11"/>
      <c r="L49" s="16"/>
      <c r="M49" s="16"/>
      <c r="N49" s="16"/>
      <c r="O49" s="16"/>
      <c r="P49" s="16"/>
      <c r="Q49" s="16"/>
      <c r="R49" s="35"/>
      <c r="S49" s="43"/>
      <c r="T49" s="46"/>
      <c r="U49" s="51">
        <f t="shared" si="5"/>
        <v>0</v>
      </c>
      <c r="V49" s="17" t="str">
        <f t="shared" si="3"/>
        <v>OK</v>
      </c>
    </row>
    <row r="50" spans="1:22" hidden="1" x14ac:dyDescent="0.3">
      <c r="A50" s="54" t="s">
        <v>66</v>
      </c>
      <c r="B50" s="63">
        <v>11352</v>
      </c>
      <c r="C50" s="18" t="s">
        <v>64</v>
      </c>
      <c r="D50" s="19"/>
      <c r="E50" s="19"/>
      <c r="F50" s="19"/>
      <c r="G50" s="20"/>
      <c r="H50" s="21"/>
      <c r="I50" s="22">
        <f t="shared" si="4"/>
        <v>0</v>
      </c>
      <c r="J50" s="22"/>
      <c r="K50" s="11"/>
      <c r="L50" s="22"/>
      <c r="M50" s="22"/>
      <c r="N50" s="22"/>
      <c r="O50" s="22"/>
      <c r="P50" s="22"/>
      <c r="Q50" s="22"/>
      <c r="R50" s="36"/>
      <c r="S50" s="44"/>
      <c r="T50" s="47"/>
      <c r="U50" s="52">
        <f t="shared" si="5"/>
        <v>0</v>
      </c>
      <c r="V50" s="23" t="str">
        <f t="shared" si="3"/>
        <v>OK</v>
      </c>
    </row>
    <row r="51" spans="1:22" hidden="1" x14ac:dyDescent="0.3">
      <c r="A51" s="90" t="s">
        <v>102</v>
      </c>
      <c r="B51" s="76">
        <v>13515</v>
      </c>
      <c r="C51" s="70" t="s">
        <v>78</v>
      </c>
      <c r="D51" s="70"/>
      <c r="E51" s="70"/>
      <c r="F51" s="70"/>
      <c r="G51" s="91"/>
      <c r="H51" s="82"/>
      <c r="I51" s="82">
        <f t="shared" si="4"/>
        <v>0</v>
      </c>
      <c r="J51" s="74"/>
      <c r="K51" s="11"/>
      <c r="L51" s="16"/>
      <c r="M51" s="16"/>
      <c r="N51" s="16"/>
      <c r="O51" s="16"/>
      <c r="P51" s="16"/>
      <c r="Q51" s="16"/>
      <c r="R51" s="35"/>
      <c r="S51" s="43"/>
      <c r="T51" s="46"/>
      <c r="U51" s="75">
        <f t="shared" si="5"/>
        <v>0</v>
      </c>
      <c r="V51" s="93" t="str">
        <f t="shared" si="3"/>
        <v>OK</v>
      </c>
    </row>
    <row r="52" spans="1:22" hidden="1" x14ac:dyDescent="0.3">
      <c r="A52" s="54" t="s">
        <v>103</v>
      </c>
      <c r="B52" s="63">
        <v>13516</v>
      </c>
      <c r="C52" s="18" t="s">
        <v>78</v>
      </c>
      <c r="D52" s="18"/>
      <c r="E52" s="18"/>
      <c r="F52" s="18"/>
      <c r="G52" s="92"/>
      <c r="H52" s="22"/>
      <c r="I52" s="22">
        <f t="shared" si="4"/>
        <v>0</v>
      </c>
      <c r="J52" s="69"/>
      <c r="K52" s="11"/>
      <c r="L52" s="22"/>
      <c r="M52" s="22"/>
      <c r="N52" s="22"/>
      <c r="O52" s="22"/>
      <c r="P52" s="22"/>
      <c r="Q52" s="22"/>
      <c r="R52" s="36"/>
      <c r="S52" s="44"/>
      <c r="T52" s="47"/>
      <c r="U52" s="52">
        <f t="shared" si="5"/>
        <v>0</v>
      </c>
      <c r="V52" s="23" t="str">
        <f t="shared" si="3"/>
        <v>OK</v>
      </c>
    </row>
    <row r="53" spans="1:22" hidden="1" x14ac:dyDescent="0.3">
      <c r="A53" s="90" t="s">
        <v>104</v>
      </c>
      <c r="B53" s="76">
        <v>13468</v>
      </c>
      <c r="C53" s="70" t="s">
        <v>78</v>
      </c>
      <c r="D53" s="70"/>
      <c r="E53" s="70"/>
      <c r="F53" s="70"/>
      <c r="G53" s="91"/>
      <c r="H53" s="82"/>
      <c r="I53" s="82">
        <f t="shared" si="4"/>
        <v>0</v>
      </c>
      <c r="J53" s="74"/>
      <c r="K53" s="11"/>
      <c r="L53" s="16"/>
      <c r="M53" s="16"/>
      <c r="N53" s="16"/>
      <c r="O53" s="16"/>
      <c r="P53" s="16"/>
      <c r="Q53" s="16"/>
      <c r="R53" s="35"/>
      <c r="S53" s="43"/>
      <c r="T53" s="46"/>
      <c r="U53" s="75">
        <f t="shared" si="5"/>
        <v>0</v>
      </c>
      <c r="V53" s="93" t="str">
        <f t="shared" si="3"/>
        <v>OK</v>
      </c>
    </row>
    <row r="54" spans="1:22" hidden="1" x14ac:dyDescent="0.3">
      <c r="A54" s="54" t="s">
        <v>79</v>
      </c>
      <c r="B54" s="63">
        <v>13469</v>
      </c>
      <c r="C54" s="18" t="s">
        <v>78</v>
      </c>
      <c r="D54" s="18"/>
      <c r="E54" s="18"/>
      <c r="F54" s="18"/>
      <c r="G54" s="92"/>
      <c r="H54" s="22"/>
      <c r="I54" s="22">
        <f t="shared" si="4"/>
        <v>0</v>
      </c>
      <c r="J54" s="69"/>
      <c r="K54" s="11"/>
      <c r="L54" s="22"/>
      <c r="M54" s="22"/>
      <c r="N54" s="22"/>
      <c r="O54" s="22"/>
      <c r="P54" s="22"/>
      <c r="Q54" s="22"/>
      <c r="R54" s="36"/>
      <c r="S54" s="44"/>
      <c r="T54" s="47"/>
      <c r="U54" s="52">
        <f t="shared" si="5"/>
        <v>0</v>
      </c>
      <c r="V54" s="23" t="str">
        <f t="shared" si="3"/>
        <v>OK</v>
      </c>
    </row>
    <row r="55" spans="1:22" hidden="1" x14ac:dyDescent="0.3">
      <c r="A55" s="90" t="s">
        <v>43</v>
      </c>
      <c r="B55" s="76">
        <v>11820</v>
      </c>
      <c r="C55" s="70" t="s">
        <v>67</v>
      </c>
      <c r="D55" s="70"/>
      <c r="E55" s="70"/>
      <c r="F55" s="70"/>
      <c r="G55" s="91"/>
      <c r="H55" s="82"/>
      <c r="I55" s="82">
        <f t="shared" si="4"/>
        <v>0</v>
      </c>
      <c r="J55" s="74"/>
      <c r="K55" s="11"/>
      <c r="L55" s="16"/>
      <c r="M55" s="16"/>
      <c r="N55" s="16"/>
      <c r="O55" s="16"/>
      <c r="P55" s="16"/>
      <c r="Q55" s="16"/>
      <c r="R55" s="35"/>
      <c r="S55" s="43"/>
      <c r="T55" s="46"/>
      <c r="U55" s="75">
        <f t="shared" si="5"/>
        <v>0</v>
      </c>
      <c r="V55" s="93" t="str">
        <f t="shared" si="3"/>
        <v>OK</v>
      </c>
    </row>
    <row r="56" spans="1:22" hidden="1" x14ac:dyDescent="0.3">
      <c r="A56" s="54" t="s">
        <v>44</v>
      </c>
      <c r="B56" s="63">
        <v>11816</v>
      </c>
      <c r="C56" s="18" t="s">
        <v>67</v>
      </c>
      <c r="D56" s="18"/>
      <c r="E56" s="18"/>
      <c r="F56" s="18"/>
      <c r="G56" s="92"/>
      <c r="H56" s="22"/>
      <c r="I56" s="22">
        <f t="shared" si="4"/>
        <v>0</v>
      </c>
      <c r="J56" s="69"/>
      <c r="K56" s="11"/>
      <c r="L56" s="22"/>
      <c r="M56" s="22"/>
      <c r="N56" s="22"/>
      <c r="O56" s="22"/>
      <c r="P56" s="22"/>
      <c r="Q56" s="22"/>
      <c r="R56" s="36"/>
      <c r="S56" s="44"/>
      <c r="T56" s="47"/>
      <c r="U56" s="52">
        <f>SUM(L56:T56)</f>
        <v>0</v>
      </c>
      <c r="V56" s="23" t="str">
        <f t="shared" si="3"/>
        <v>OK</v>
      </c>
    </row>
    <row r="57" spans="1:22" hidden="1" x14ac:dyDescent="0.3">
      <c r="A57" s="76" t="s">
        <v>77</v>
      </c>
      <c r="B57" s="76">
        <v>11381</v>
      </c>
      <c r="C57" s="77" t="s">
        <v>68</v>
      </c>
      <c r="D57" s="70"/>
      <c r="E57" s="70"/>
      <c r="F57" s="70"/>
      <c r="G57" s="91"/>
      <c r="H57" s="82"/>
      <c r="I57" s="82">
        <f t="shared" si="4"/>
        <v>0</v>
      </c>
      <c r="J57" s="74"/>
      <c r="K57" s="11"/>
      <c r="L57" s="16"/>
      <c r="M57" s="16"/>
      <c r="N57" s="16"/>
      <c r="O57" s="16"/>
      <c r="P57" s="16"/>
      <c r="Q57" s="16"/>
      <c r="R57" s="35"/>
      <c r="S57" s="43"/>
      <c r="T57" s="46"/>
      <c r="U57" s="75">
        <f>SUM(L57:T57)</f>
        <v>0</v>
      </c>
      <c r="V57" s="93" t="str">
        <f t="shared" si="3"/>
        <v>OK</v>
      </c>
    </row>
    <row r="58" spans="1:22" hidden="1" x14ac:dyDescent="0.3">
      <c r="A58" s="54" t="s">
        <v>69</v>
      </c>
      <c r="B58" s="63">
        <v>11382</v>
      </c>
      <c r="C58" s="18" t="s">
        <v>68</v>
      </c>
      <c r="D58" s="18"/>
      <c r="E58" s="18"/>
      <c r="F58" s="18"/>
      <c r="G58" s="92"/>
      <c r="H58" s="22"/>
      <c r="I58" s="22">
        <f t="shared" si="4"/>
        <v>0</v>
      </c>
      <c r="J58" s="69"/>
      <c r="K58" s="11"/>
      <c r="L58" s="22"/>
      <c r="M58" s="22"/>
      <c r="N58" s="22"/>
      <c r="O58" s="22"/>
      <c r="P58" s="22"/>
      <c r="Q58" s="22"/>
      <c r="R58" s="36"/>
      <c r="S58" s="44"/>
      <c r="T58" s="47"/>
      <c r="U58" s="52">
        <f>SUM(L58:T58)</f>
        <v>0</v>
      </c>
      <c r="V58" s="23" t="str">
        <f t="shared" si="3"/>
        <v>OK</v>
      </c>
    </row>
    <row r="59" spans="1:22" hidden="1" x14ac:dyDescent="0.3">
      <c r="A59" s="96" t="s">
        <v>105</v>
      </c>
      <c r="B59" s="76">
        <v>16586</v>
      </c>
      <c r="C59" s="70" t="s">
        <v>78</v>
      </c>
      <c r="D59" s="70"/>
      <c r="E59" s="70"/>
      <c r="F59" s="70"/>
      <c r="G59" s="91"/>
      <c r="H59" s="82"/>
      <c r="I59" s="82">
        <f t="shared" si="4"/>
        <v>0</v>
      </c>
      <c r="J59" s="74"/>
      <c r="K59" s="11"/>
      <c r="L59" s="16"/>
      <c r="M59" s="16"/>
      <c r="N59" s="16"/>
      <c r="O59" s="16"/>
      <c r="P59" s="16"/>
      <c r="Q59" s="16"/>
      <c r="R59" s="35"/>
      <c r="S59" s="43"/>
      <c r="T59" s="46"/>
      <c r="U59" s="75">
        <f t="shared" ref="U59:U69" si="6">SUM(L59:T59)</f>
        <v>0</v>
      </c>
      <c r="V59" s="93" t="str">
        <f t="shared" si="3"/>
        <v>OK</v>
      </c>
    </row>
    <row r="60" spans="1:22" hidden="1" x14ac:dyDescent="0.3">
      <c r="A60" s="54" t="s">
        <v>90</v>
      </c>
      <c r="B60" s="63">
        <v>16587</v>
      </c>
      <c r="C60" s="18" t="s">
        <v>78</v>
      </c>
      <c r="D60" s="18"/>
      <c r="E60" s="18"/>
      <c r="F60" s="18"/>
      <c r="G60" s="92"/>
      <c r="H60" s="22"/>
      <c r="I60" s="22">
        <f t="shared" si="4"/>
        <v>0</v>
      </c>
      <c r="J60" s="69"/>
      <c r="K60" s="11"/>
      <c r="L60" s="22"/>
      <c r="M60" s="22"/>
      <c r="N60" s="22"/>
      <c r="O60" s="22"/>
      <c r="P60" s="22"/>
      <c r="Q60" s="22"/>
      <c r="R60" s="36"/>
      <c r="S60" s="44"/>
      <c r="T60" s="47"/>
      <c r="U60" s="52">
        <f t="shared" si="6"/>
        <v>0</v>
      </c>
      <c r="V60" s="23" t="str">
        <f t="shared" si="3"/>
        <v>OK</v>
      </c>
    </row>
    <row r="61" spans="1:22" x14ac:dyDescent="0.3">
      <c r="A61" s="90" t="s">
        <v>91</v>
      </c>
      <c r="B61" s="76">
        <v>17121</v>
      </c>
      <c r="C61" s="70" t="s">
        <v>92</v>
      </c>
      <c r="D61" s="70"/>
      <c r="E61" s="70"/>
      <c r="F61" s="70"/>
      <c r="G61" s="91"/>
      <c r="H61" s="82"/>
      <c r="I61" s="82">
        <f t="shared" si="4"/>
        <v>0</v>
      </c>
      <c r="J61" s="74"/>
      <c r="K61" s="11"/>
      <c r="L61" s="16"/>
      <c r="M61" s="16"/>
      <c r="N61" s="16"/>
      <c r="O61" s="16"/>
      <c r="P61" s="16"/>
      <c r="Q61" s="16"/>
      <c r="R61" s="35"/>
      <c r="S61" s="43"/>
      <c r="T61" s="46"/>
      <c r="U61" s="75">
        <f t="shared" si="6"/>
        <v>0</v>
      </c>
      <c r="V61" s="93" t="str">
        <f t="shared" si="3"/>
        <v>OK</v>
      </c>
    </row>
    <row r="62" spans="1:22" hidden="1" x14ac:dyDescent="0.3">
      <c r="A62" s="54" t="s">
        <v>106</v>
      </c>
      <c r="B62" s="63">
        <v>19270</v>
      </c>
      <c r="C62" s="18" t="s">
        <v>68</v>
      </c>
      <c r="D62" s="18"/>
      <c r="E62" s="18"/>
      <c r="F62" s="18"/>
      <c r="G62" s="92"/>
      <c r="H62" s="22"/>
      <c r="I62" s="22">
        <f t="shared" si="4"/>
        <v>0</v>
      </c>
      <c r="J62" s="69"/>
      <c r="K62" s="11"/>
      <c r="L62" s="22"/>
      <c r="M62" s="22"/>
      <c r="N62" s="22"/>
      <c r="O62" s="22"/>
      <c r="P62" s="22"/>
      <c r="Q62" s="22"/>
      <c r="R62" s="36"/>
      <c r="S62" s="44"/>
      <c r="T62" s="47"/>
      <c r="U62" s="71">
        <f t="shared" si="6"/>
        <v>0</v>
      </c>
      <c r="V62" s="23" t="str">
        <f t="shared" si="3"/>
        <v>OK</v>
      </c>
    </row>
    <row r="63" spans="1:22" hidden="1" x14ac:dyDescent="0.3">
      <c r="A63" s="90" t="s">
        <v>107</v>
      </c>
      <c r="B63" s="76">
        <v>19276</v>
      </c>
      <c r="C63" s="70" t="s">
        <v>68</v>
      </c>
      <c r="D63" s="70"/>
      <c r="E63" s="70"/>
      <c r="F63" s="70"/>
      <c r="G63" s="91"/>
      <c r="H63" s="82"/>
      <c r="I63" s="82">
        <f t="shared" si="4"/>
        <v>0</v>
      </c>
      <c r="J63" s="74"/>
      <c r="K63" s="11"/>
      <c r="L63" s="16"/>
      <c r="M63" s="16"/>
      <c r="N63" s="16"/>
      <c r="O63" s="16"/>
      <c r="P63" s="16"/>
      <c r="Q63" s="16"/>
      <c r="R63" s="35"/>
      <c r="S63" s="43"/>
      <c r="T63" s="46"/>
      <c r="U63" s="75">
        <f t="shared" si="6"/>
        <v>0</v>
      </c>
      <c r="V63" s="93" t="str">
        <f t="shared" si="3"/>
        <v>OK</v>
      </c>
    </row>
    <row r="64" spans="1:22" hidden="1" x14ac:dyDescent="0.3">
      <c r="A64" s="54" t="s">
        <v>108</v>
      </c>
      <c r="B64" s="63">
        <v>19836</v>
      </c>
      <c r="C64" s="18" t="s">
        <v>45</v>
      </c>
      <c r="D64" s="18"/>
      <c r="E64" s="18"/>
      <c r="F64" s="18"/>
      <c r="G64" s="92"/>
      <c r="H64" s="22"/>
      <c r="I64" s="22">
        <f t="shared" si="4"/>
        <v>0</v>
      </c>
      <c r="J64" s="69"/>
      <c r="K64" s="11"/>
      <c r="L64" s="22"/>
      <c r="M64" s="22"/>
      <c r="N64" s="22"/>
      <c r="O64" s="22"/>
      <c r="P64" s="22"/>
      <c r="Q64" s="22"/>
      <c r="R64" s="36"/>
      <c r="S64" s="44"/>
      <c r="T64" s="47"/>
      <c r="U64" s="52">
        <f t="shared" si="6"/>
        <v>0</v>
      </c>
      <c r="V64" s="23" t="str">
        <f t="shared" si="3"/>
        <v>OK</v>
      </c>
    </row>
    <row r="65" spans="1:22" hidden="1" x14ac:dyDescent="0.3">
      <c r="A65" s="90" t="s">
        <v>109</v>
      </c>
      <c r="B65" s="76">
        <v>20278</v>
      </c>
      <c r="C65" s="70" t="s">
        <v>110</v>
      </c>
      <c r="D65" s="70"/>
      <c r="E65" s="70"/>
      <c r="F65" s="70"/>
      <c r="G65" s="91"/>
      <c r="H65" s="82"/>
      <c r="I65" s="82">
        <f t="shared" si="4"/>
        <v>0</v>
      </c>
      <c r="J65" s="74"/>
      <c r="K65" s="11"/>
      <c r="L65" s="16"/>
      <c r="M65" s="16"/>
      <c r="N65" s="16"/>
      <c r="O65" s="16"/>
      <c r="P65" s="16"/>
      <c r="Q65" s="16"/>
      <c r="R65" s="35"/>
      <c r="S65" s="43"/>
      <c r="T65" s="46"/>
      <c r="U65" s="75">
        <f t="shared" si="6"/>
        <v>0</v>
      </c>
      <c r="V65" s="93" t="str">
        <f t="shared" si="3"/>
        <v>OK</v>
      </c>
    </row>
    <row r="66" spans="1:22" hidden="1" x14ac:dyDescent="0.3">
      <c r="A66" s="54" t="s">
        <v>111</v>
      </c>
      <c r="B66" s="63">
        <v>20272</v>
      </c>
      <c r="C66" s="18" t="s">
        <v>110</v>
      </c>
      <c r="D66" s="18"/>
      <c r="E66" s="18"/>
      <c r="F66" s="18"/>
      <c r="G66" s="92"/>
      <c r="H66" s="22"/>
      <c r="I66" s="22">
        <f t="shared" si="4"/>
        <v>0</v>
      </c>
      <c r="J66" s="69"/>
      <c r="K66" s="11"/>
      <c r="L66" s="22"/>
      <c r="M66" s="22"/>
      <c r="N66" s="22"/>
      <c r="O66" s="22"/>
      <c r="P66" s="22"/>
      <c r="Q66" s="22"/>
      <c r="R66" s="36"/>
      <c r="S66" s="44"/>
      <c r="T66" s="47"/>
      <c r="U66" s="52">
        <f t="shared" si="6"/>
        <v>0</v>
      </c>
      <c r="V66" s="23" t="str">
        <f t="shared" si="3"/>
        <v>OK</v>
      </c>
    </row>
    <row r="67" spans="1:22" hidden="1" x14ac:dyDescent="0.3">
      <c r="A67" s="90" t="s">
        <v>112</v>
      </c>
      <c r="B67" s="76">
        <v>20956</v>
      </c>
      <c r="C67" s="70" t="s">
        <v>110</v>
      </c>
      <c r="D67" s="70"/>
      <c r="E67" s="70"/>
      <c r="F67" s="70"/>
      <c r="G67" s="91"/>
      <c r="H67" s="82"/>
      <c r="I67" s="82">
        <f t="shared" si="4"/>
        <v>0</v>
      </c>
      <c r="J67" s="74"/>
      <c r="K67" s="11"/>
      <c r="L67" s="16"/>
      <c r="M67" s="16"/>
      <c r="N67" s="16"/>
      <c r="O67" s="16"/>
      <c r="P67" s="16"/>
      <c r="Q67" s="16"/>
      <c r="R67" s="35"/>
      <c r="S67" s="43"/>
      <c r="T67" s="46"/>
      <c r="U67" s="75">
        <f t="shared" si="6"/>
        <v>0</v>
      </c>
      <c r="V67" s="93" t="str">
        <f t="shared" si="3"/>
        <v>OK</v>
      </c>
    </row>
    <row r="68" spans="1:22" hidden="1" x14ac:dyDescent="0.3">
      <c r="A68" s="54" t="s">
        <v>116</v>
      </c>
      <c r="B68" s="63">
        <v>21299</v>
      </c>
      <c r="C68" s="18" t="s">
        <v>78</v>
      </c>
      <c r="D68" s="18"/>
      <c r="E68" s="18"/>
      <c r="F68" s="18"/>
      <c r="G68" s="92"/>
      <c r="H68" s="22"/>
      <c r="I68" s="22">
        <f t="shared" si="4"/>
        <v>0</v>
      </c>
      <c r="J68" s="69"/>
      <c r="K68" s="11"/>
      <c r="L68" s="22"/>
      <c r="M68" s="22"/>
      <c r="N68" s="22"/>
      <c r="O68" s="22"/>
      <c r="P68" s="22"/>
      <c r="Q68" s="22"/>
      <c r="R68" s="36"/>
      <c r="S68" s="44"/>
      <c r="T68" s="47"/>
      <c r="U68" s="71">
        <f t="shared" si="6"/>
        <v>0</v>
      </c>
      <c r="V68" s="23" t="str">
        <f>IF(U68=I68,"OK","NG")</f>
        <v>OK</v>
      </c>
    </row>
    <row r="69" spans="1:22" hidden="1" x14ac:dyDescent="0.3">
      <c r="A69" s="99" t="s">
        <v>117</v>
      </c>
      <c r="B69" s="76">
        <v>22115</v>
      </c>
      <c r="C69" s="82" t="s">
        <v>118</v>
      </c>
      <c r="D69" s="82"/>
      <c r="E69" s="82"/>
      <c r="F69" s="82"/>
      <c r="G69" s="82"/>
      <c r="H69" s="82"/>
      <c r="I69" s="82">
        <f t="shared" si="4"/>
        <v>0</v>
      </c>
      <c r="J69" s="97"/>
      <c r="K69" s="112"/>
      <c r="L69" s="82"/>
      <c r="M69" s="82"/>
      <c r="N69" s="82"/>
      <c r="O69" s="82"/>
      <c r="P69" s="82"/>
      <c r="Q69" s="82"/>
      <c r="R69" s="83"/>
      <c r="S69" s="84"/>
      <c r="T69" s="100"/>
      <c r="U69" s="75">
        <f t="shared" si="6"/>
        <v>0</v>
      </c>
      <c r="V69" s="93" t="str">
        <f>IF(U69=I69,"OK","NG")</f>
        <v>OK</v>
      </c>
    </row>
    <row r="70" spans="1:22" hidden="1" x14ac:dyDescent="0.3">
      <c r="A70" s="54" t="s">
        <v>120</v>
      </c>
      <c r="B70" s="63">
        <v>22706</v>
      </c>
      <c r="C70" s="18" t="s">
        <v>119</v>
      </c>
      <c r="D70" s="18"/>
      <c r="E70" s="18"/>
      <c r="F70" s="18"/>
      <c r="G70" s="92"/>
      <c r="H70" s="22"/>
      <c r="I70" s="22">
        <f t="shared" si="4"/>
        <v>0</v>
      </c>
      <c r="J70" s="69"/>
      <c r="K70" s="11"/>
      <c r="L70" s="22"/>
      <c r="M70" s="22"/>
      <c r="N70" s="22"/>
      <c r="O70" s="22"/>
      <c r="P70" s="22"/>
      <c r="Q70" s="22"/>
      <c r="R70" s="36"/>
      <c r="S70" s="44"/>
      <c r="T70" s="47"/>
      <c r="U70" s="71">
        <f t="shared" ref="U70" si="7">SUM(L70:T70)</f>
        <v>0</v>
      </c>
      <c r="V70" s="23" t="str">
        <f>IF(U70=I70,"OK","NG")</f>
        <v>OK</v>
      </c>
    </row>
    <row r="71" spans="1:22" hidden="1" x14ac:dyDescent="0.3">
      <c r="A71" s="99" t="s">
        <v>121</v>
      </c>
      <c r="B71" s="76">
        <v>22886</v>
      </c>
      <c r="C71" s="82" t="s">
        <v>46</v>
      </c>
      <c r="D71" s="82"/>
      <c r="E71" s="82"/>
      <c r="F71" s="82"/>
      <c r="G71" s="82"/>
      <c r="H71" s="82"/>
      <c r="I71" s="82">
        <f t="shared" ref="I71:I80" si="8">SUM(L71:T71)</f>
        <v>0</v>
      </c>
      <c r="J71" s="97"/>
      <c r="K71" s="112"/>
      <c r="L71" s="82"/>
      <c r="M71" s="82"/>
      <c r="N71" s="82"/>
      <c r="O71" s="82"/>
      <c r="P71" s="82"/>
      <c r="Q71" s="82"/>
      <c r="R71" s="83"/>
      <c r="S71" s="84"/>
      <c r="T71" s="100"/>
      <c r="U71" s="75">
        <f>SUM(L71:T71)</f>
        <v>0</v>
      </c>
      <c r="V71" s="93" t="str">
        <f>IF(U71=I71,"OK","NG")</f>
        <v>OK</v>
      </c>
    </row>
    <row r="72" spans="1:22" hidden="1" x14ac:dyDescent="0.3">
      <c r="A72" s="54" t="s">
        <v>122</v>
      </c>
      <c r="B72" s="63">
        <v>17528</v>
      </c>
      <c r="C72" s="18" t="s">
        <v>123</v>
      </c>
      <c r="D72" s="18"/>
      <c r="E72" s="18"/>
      <c r="F72" s="18"/>
      <c r="G72" s="92"/>
      <c r="H72" s="22"/>
      <c r="I72" s="22">
        <f t="shared" si="8"/>
        <v>0</v>
      </c>
      <c r="J72" s="69"/>
      <c r="K72" s="11"/>
      <c r="L72" s="22"/>
      <c r="M72" s="22"/>
      <c r="N72" s="22"/>
      <c r="O72" s="22"/>
      <c r="P72" s="22"/>
      <c r="Q72" s="22"/>
      <c r="R72" s="36"/>
      <c r="S72" s="44"/>
      <c r="T72" s="47"/>
      <c r="U72" s="71">
        <f t="shared" ref="U72:U80" si="9">SUM(L72:T72)</f>
        <v>0</v>
      </c>
      <c r="V72" s="95" t="str">
        <f t="shared" ref="V72:V80" si="10">IF(U72=I72,"OK","NG")</f>
        <v>OK</v>
      </c>
    </row>
    <row r="73" spans="1:22" hidden="1" x14ac:dyDescent="0.3">
      <c r="A73" s="99" t="s">
        <v>124</v>
      </c>
      <c r="B73" s="76">
        <v>22380</v>
      </c>
      <c r="C73" s="82" t="s">
        <v>47</v>
      </c>
      <c r="D73" s="82"/>
      <c r="E73" s="82"/>
      <c r="F73" s="82"/>
      <c r="G73" s="82"/>
      <c r="H73" s="82"/>
      <c r="I73" s="82">
        <f t="shared" si="8"/>
        <v>0</v>
      </c>
      <c r="J73" s="97"/>
      <c r="K73" s="112"/>
      <c r="L73" s="82"/>
      <c r="M73" s="82"/>
      <c r="N73" s="82"/>
      <c r="O73" s="82"/>
      <c r="P73" s="82"/>
      <c r="Q73" s="82"/>
      <c r="R73" s="83"/>
      <c r="S73" s="84"/>
      <c r="T73" s="100"/>
      <c r="U73" s="75">
        <f t="shared" si="9"/>
        <v>0</v>
      </c>
      <c r="V73" s="93" t="str">
        <f t="shared" si="10"/>
        <v>OK</v>
      </c>
    </row>
    <row r="74" spans="1:22" hidden="1" x14ac:dyDescent="0.3">
      <c r="A74" s="54" t="s">
        <v>125</v>
      </c>
      <c r="B74" s="63">
        <v>19279</v>
      </c>
      <c r="C74" s="18" t="s">
        <v>126</v>
      </c>
      <c r="D74" s="18"/>
      <c r="E74" s="18"/>
      <c r="F74" s="18"/>
      <c r="G74" s="92"/>
      <c r="H74" s="22"/>
      <c r="I74" s="22">
        <f t="shared" si="8"/>
        <v>0</v>
      </c>
      <c r="J74" s="69"/>
      <c r="K74" s="11"/>
      <c r="L74" s="22"/>
      <c r="M74" s="22"/>
      <c r="N74" s="22"/>
      <c r="O74" s="22"/>
      <c r="P74" s="22"/>
      <c r="Q74" s="22"/>
      <c r="R74" s="36"/>
      <c r="S74" s="44"/>
      <c r="T74" s="47"/>
      <c r="U74" s="71">
        <f t="shared" si="9"/>
        <v>0</v>
      </c>
      <c r="V74" s="95" t="str">
        <f t="shared" si="10"/>
        <v>OK</v>
      </c>
    </row>
    <row r="75" spans="1:22" ht="17.25" thickBot="1" x14ac:dyDescent="0.35">
      <c r="A75" s="90" t="s">
        <v>131</v>
      </c>
      <c r="B75" s="76">
        <v>22724</v>
      </c>
      <c r="C75" s="70" t="s">
        <v>119</v>
      </c>
      <c r="D75" s="70"/>
      <c r="E75" s="70"/>
      <c r="F75" s="70"/>
      <c r="G75" s="91"/>
      <c r="H75" s="82"/>
      <c r="I75" s="82">
        <f t="shared" si="8"/>
        <v>0</v>
      </c>
      <c r="J75" s="74"/>
      <c r="K75" s="11"/>
      <c r="L75" s="82"/>
      <c r="M75" s="82"/>
      <c r="N75" s="82"/>
      <c r="O75" s="82"/>
      <c r="P75" s="82"/>
      <c r="Q75" s="82"/>
      <c r="R75" s="83"/>
      <c r="S75" s="84"/>
      <c r="T75" s="85"/>
      <c r="U75" s="75">
        <f t="shared" si="9"/>
        <v>0</v>
      </c>
      <c r="V75" s="93" t="s">
        <v>129</v>
      </c>
    </row>
    <row r="76" spans="1:22" ht="17.25" hidden="1" thickBot="1" x14ac:dyDescent="0.35">
      <c r="A76" s="54" t="s">
        <v>133</v>
      </c>
      <c r="B76" s="63">
        <v>22705</v>
      </c>
      <c r="C76" s="18" t="s">
        <v>119</v>
      </c>
      <c r="D76" s="18"/>
      <c r="E76" s="18"/>
      <c r="F76" s="18"/>
      <c r="G76" s="92"/>
      <c r="H76" s="22"/>
      <c r="I76" s="22">
        <f t="shared" si="8"/>
        <v>0</v>
      </c>
      <c r="J76" s="69"/>
      <c r="K76" s="11"/>
      <c r="L76" s="22"/>
      <c r="M76" s="22"/>
      <c r="N76" s="22"/>
      <c r="O76" s="22"/>
      <c r="P76" s="22"/>
      <c r="Q76" s="22"/>
      <c r="R76" s="36"/>
      <c r="S76" s="44"/>
      <c r="T76" s="47"/>
      <c r="U76" s="71">
        <f t="shared" si="9"/>
        <v>0</v>
      </c>
      <c r="V76" s="95" t="str">
        <f t="shared" si="10"/>
        <v>OK</v>
      </c>
    </row>
    <row r="77" spans="1:22" ht="17.25" hidden="1" thickBot="1" x14ac:dyDescent="0.35">
      <c r="A77" s="99" t="s">
        <v>128</v>
      </c>
      <c r="B77" s="76">
        <v>5655</v>
      </c>
      <c r="C77" s="82" t="s">
        <v>54</v>
      </c>
      <c r="D77" s="82"/>
      <c r="E77" s="82"/>
      <c r="F77" s="82"/>
      <c r="G77" s="82"/>
      <c r="H77" s="82"/>
      <c r="I77" s="82">
        <f t="shared" si="8"/>
        <v>0</v>
      </c>
      <c r="J77" s="97"/>
      <c r="K77" s="112"/>
      <c r="L77" s="82"/>
      <c r="M77" s="82"/>
      <c r="N77" s="82"/>
      <c r="O77" s="82"/>
      <c r="P77" s="82"/>
      <c r="Q77" s="82"/>
      <c r="R77" s="83"/>
      <c r="S77" s="84"/>
      <c r="T77" s="100"/>
      <c r="U77" s="75">
        <f t="shared" si="9"/>
        <v>0</v>
      </c>
      <c r="V77" s="93" t="str">
        <f t="shared" si="10"/>
        <v>OK</v>
      </c>
    </row>
    <row r="78" spans="1:22" ht="17.25" hidden="1" thickBot="1" x14ac:dyDescent="0.35">
      <c r="A78" s="120" t="s">
        <v>136</v>
      </c>
      <c r="B78" s="121">
        <v>22704</v>
      </c>
      <c r="C78" s="122" t="s">
        <v>137</v>
      </c>
      <c r="D78" s="122"/>
      <c r="E78" s="122"/>
      <c r="F78" s="122"/>
      <c r="G78" s="122"/>
      <c r="H78" s="122"/>
      <c r="I78" s="22">
        <f t="shared" si="8"/>
        <v>0</v>
      </c>
      <c r="J78" s="45"/>
      <c r="K78" s="112"/>
      <c r="L78" s="22"/>
      <c r="M78" s="22"/>
      <c r="N78" s="22"/>
      <c r="O78" s="22"/>
      <c r="P78" s="22"/>
      <c r="Q78" s="22"/>
      <c r="R78" s="36"/>
      <c r="S78" s="44"/>
      <c r="T78" s="116"/>
      <c r="U78" s="71">
        <f t="shared" si="9"/>
        <v>0</v>
      </c>
      <c r="V78" s="95" t="str">
        <f t="shared" si="10"/>
        <v>OK</v>
      </c>
    </row>
    <row r="79" spans="1:22" ht="17.25" hidden="1" thickBot="1" x14ac:dyDescent="0.35">
      <c r="A79" s="136" t="s">
        <v>139</v>
      </c>
      <c r="B79" s="133">
        <v>22722</v>
      </c>
      <c r="C79" s="137" t="s">
        <v>119</v>
      </c>
      <c r="D79" s="137"/>
      <c r="E79" s="137"/>
      <c r="F79" s="137"/>
      <c r="G79" s="137"/>
      <c r="H79" s="137"/>
      <c r="I79" s="82">
        <f t="shared" si="8"/>
        <v>0</v>
      </c>
      <c r="J79" s="97"/>
      <c r="K79" s="119"/>
      <c r="L79" s="82"/>
      <c r="M79" s="82"/>
      <c r="N79" s="82"/>
      <c r="O79" s="82"/>
      <c r="P79" s="82"/>
      <c r="Q79" s="82"/>
      <c r="R79" s="83"/>
      <c r="S79" s="84"/>
      <c r="T79" s="100"/>
      <c r="U79" s="75">
        <f t="shared" si="9"/>
        <v>0</v>
      </c>
      <c r="V79" s="93" t="str">
        <f t="shared" si="10"/>
        <v>OK</v>
      </c>
    </row>
    <row r="80" spans="1:22" ht="17.25" hidden="1" customHeight="1" thickBot="1" x14ac:dyDescent="0.35">
      <c r="A80" s="126" t="s">
        <v>134</v>
      </c>
      <c r="B80" s="127">
        <v>22723</v>
      </c>
      <c r="C80" s="128" t="s">
        <v>119</v>
      </c>
      <c r="D80" s="128"/>
      <c r="E80" s="128"/>
      <c r="F80" s="128"/>
      <c r="G80" s="128"/>
      <c r="H80" s="128"/>
      <c r="I80" s="128">
        <f t="shared" si="8"/>
        <v>0</v>
      </c>
      <c r="J80" s="45"/>
      <c r="K80" s="112"/>
      <c r="L80" s="22"/>
      <c r="M80" s="22"/>
      <c r="N80" s="22"/>
      <c r="O80" s="22"/>
      <c r="P80" s="22"/>
      <c r="Q80" s="22"/>
      <c r="R80" s="36"/>
      <c r="S80" s="44"/>
      <c r="T80" s="116"/>
      <c r="U80" s="52">
        <f t="shared" si="9"/>
        <v>0</v>
      </c>
      <c r="V80" s="23" t="str">
        <f t="shared" si="10"/>
        <v>OK</v>
      </c>
    </row>
    <row r="81" spans="1:22" x14ac:dyDescent="0.3">
      <c r="A81" s="86"/>
      <c r="B81" s="86"/>
      <c r="C81" s="87" t="s">
        <v>9</v>
      </c>
      <c r="D81" s="87"/>
      <c r="E81" s="87"/>
      <c r="F81" s="87"/>
      <c r="G81" s="88">
        <f>SUM(G6:G49)</f>
        <v>0</v>
      </c>
      <c r="H81" s="89">
        <f>SUM(H6:H49)</f>
        <v>0</v>
      </c>
      <c r="I81" s="88">
        <f>SUM(I6:I80)</f>
        <v>0</v>
      </c>
      <c r="J81" s="40">
        <f>SUM(J6:J49)</f>
        <v>0</v>
      </c>
      <c r="K81" s="115">
        <f>SUM(K6:K51)</f>
        <v>0</v>
      </c>
      <c r="L81" s="38">
        <f>SUM(L6:L80)</f>
        <v>0</v>
      </c>
      <c r="M81" s="38">
        <f t="shared" ref="M81:U81" si="11">SUM(M6:M80)</f>
        <v>0</v>
      </c>
      <c r="N81" s="38">
        <f t="shared" si="11"/>
        <v>0</v>
      </c>
      <c r="O81" s="38">
        <f t="shared" si="11"/>
        <v>0</v>
      </c>
      <c r="P81" s="38">
        <f t="shared" si="11"/>
        <v>0</v>
      </c>
      <c r="Q81" s="38">
        <f t="shared" si="11"/>
        <v>0</v>
      </c>
      <c r="R81" s="38">
        <f t="shared" si="11"/>
        <v>0</v>
      </c>
      <c r="S81" s="38">
        <f t="shared" si="11"/>
        <v>0</v>
      </c>
      <c r="T81" s="38">
        <f t="shared" si="11"/>
        <v>0</v>
      </c>
      <c r="U81" s="38">
        <f t="shared" si="11"/>
        <v>0</v>
      </c>
      <c r="V81" s="41" t="str">
        <f>IF(U81=SUM(I81),"OK","NG")</f>
        <v>OK</v>
      </c>
    </row>
  </sheetData>
  <autoFilter ref="A5:V81" xr:uid="{00000000-0001-0000-1200-000000000000}">
    <filterColumn colId="8">
      <filters>
        <filter val="10"/>
        <filter val="16"/>
        <filter val="33"/>
        <filter val="7"/>
      </filters>
    </filterColumn>
  </autoFilter>
  <mergeCells count="20">
    <mergeCell ref="O4:O5"/>
    <mergeCell ref="P4:P5"/>
    <mergeCell ref="B3:C3"/>
    <mergeCell ref="N4:N5"/>
    <mergeCell ref="B1:C1"/>
    <mergeCell ref="F1:G1"/>
    <mergeCell ref="H1:J3"/>
    <mergeCell ref="B2:C2"/>
    <mergeCell ref="A4:D4"/>
    <mergeCell ref="E4:G4"/>
    <mergeCell ref="H4:J4"/>
    <mergeCell ref="L4:L5"/>
    <mergeCell ref="M4:M5"/>
    <mergeCell ref="Q4:Q5"/>
    <mergeCell ref="R4:R5"/>
    <mergeCell ref="S4:S5"/>
    <mergeCell ref="T4:T5"/>
    <mergeCell ref="V2:V3"/>
    <mergeCell ref="U4:U5"/>
    <mergeCell ref="V4:V5"/>
  </mergeCells>
  <phoneticPr fontId="3" type="noConversion"/>
  <conditionalFormatting sqref="A4 V6:V81">
    <cfRule type="containsText" dxfId="29" priority="9" operator="containsText" text="NG">
      <formula>NOT(ISERROR(SEARCH("NG",A4)))</formula>
    </cfRule>
    <cfRule type="containsText" dxfId="28" priority="10" operator="containsText" text="OK">
      <formula>NOT(ISERROR(SEARCH("OK",A4)))</formula>
    </cfRule>
  </conditionalFormatting>
  <pageMargins left="0.70866141732283472" right="0.70866141732283472" top="0.74803149606299213" bottom="0.74803149606299213" header="0.31496062992125984" footer="0.31496062992125984"/>
  <pageSetup paperSize="8" scale="10" orientation="landscape" r:id="rId1"/>
  <ignoredErrors>
    <ignoredError sqref="U70" formula="1"/>
  </ignoredErrors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 filterMode="1">
    <pageSetUpPr fitToPage="1"/>
  </sheetPr>
  <dimension ref="A1:V81"/>
  <sheetViews>
    <sheetView showGridLines="0" zoomScale="85" zoomScaleNormal="85" workbookViewId="0">
      <pane ySplit="5" topLeftCell="A76" activePane="bottomLeft" state="frozen"/>
      <selection activeCell="W73" sqref="W73"/>
      <selection pane="bottomLeft" activeCell="L76" sqref="L76:N76"/>
    </sheetView>
  </sheetViews>
  <sheetFormatPr defaultColWidth="9" defaultRowHeight="16.5" x14ac:dyDescent="0.3"/>
  <cols>
    <col min="1" max="1" width="12.625" bestFit="1" customWidth="1"/>
    <col min="2" max="2" width="14.125" bestFit="1" customWidth="1"/>
    <col min="3" max="3" width="35.125" customWidth="1"/>
    <col min="4" max="4" width="11.75" hidden="1" customWidth="1"/>
    <col min="5" max="6" width="9" hidden="1" customWidth="1"/>
    <col min="7" max="7" width="15.375" hidden="1" customWidth="1"/>
    <col min="8" max="8" width="13.25" hidden="1" customWidth="1"/>
    <col min="9" max="9" width="13.25" customWidth="1"/>
    <col min="10" max="10" width="13.25" hidden="1" customWidth="1"/>
    <col min="11" max="11" width="0.875" customWidth="1"/>
    <col min="20" max="20" width="11" bestFit="1" customWidth="1"/>
  </cols>
  <sheetData>
    <row r="1" spans="1:22" ht="22.5" customHeight="1" thickBot="1" x14ac:dyDescent="0.35">
      <c r="A1" s="32" t="s">
        <v>28</v>
      </c>
      <c r="B1" s="153">
        <f>H69</f>
        <v>0</v>
      </c>
      <c r="C1" s="154"/>
      <c r="D1" s="55"/>
      <c r="E1" s="58" t="s">
        <v>1</v>
      </c>
      <c r="F1" s="155">
        <f>G69</f>
        <v>0</v>
      </c>
      <c r="G1" s="155"/>
      <c r="H1" s="156"/>
      <c r="I1" s="156"/>
      <c r="J1" s="156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22.5" customHeight="1" thickBot="1" x14ac:dyDescent="0.35">
      <c r="A2" s="32" t="s">
        <v>29</v>
      </c>
      <c r="B2" s="158">
        <f>I81</f>
        <v>16</v>
      </c>
      <c r="C2" s="159"/>
      <c r="D2" s="56"/>
      <c r="E2" s="59"/>
      <c r="F2" s="2"/>
      <c r="G2" s="2"/>
      <c r="H2" s="156"/>
      <c r="I2" s="156"/>
      <c r="J2" s="156"/>
      <c r="K2" s="113"/>
      <c r="L2" s="3">
        <f>SUBTOTAL(9,L6:L80)</f>
        <v>0</v>
      </c>
      <c r="M2" s="3">
        <f t="shared" ref="M2:T2" si="0">SUBTOTAL(9,M6:M80)</f>
        <v>16</v>
      </c>
      <c r="N2" s="3">
        <f t="shared" si="0"/>
        <v>0</v>
      </c>
      <c r="O2" s="3">
        <f t="shared" si="0"/>
        <v>0</v>
      </c>
      <c r="P2" s="3">
        <f t="shared" si="0"/>
        <v>0</v>
      </c>
      <c r="Q2" s="3">
        <f t="shared" si="0"/>
        <v>0</v>
      </c>
      <c r="R2" s="3">
        <f t="shared" si="0"/>
        <v>0</v>
      </c>
      <c r="S2" s="3">
        <f t="shared" si="0"/>
        <v>0</v>
      </c>
      <c r="T2" s="3">
        <f t="shared" si="0"/>
        <v>0</v>
      </c>
      <c r="U2" s="48">
        <f>SUBTOTAL(9,U6:U80)</f>
        <v>16</v>
      </c>
      <c r="V2" s="145"/>
    </row>
    <row r="3" spans="1:22" ht="22.5" customHeight="1" thickBot="1" x14ac:dyDescent="0.35">
      <c r="A3" s="33" t="s">
        <v>30</v>
      </c>
      <c r="B3" s="151">
        <f>IF(ISERROR(B2/(B2+B1)*1000000),"",(B2/(B2+B1)*1000000))</f>
        <v>1000000</v>
      </c>
      <c r="C3" s="152"/>
      <c r="D3" s="57"/>
      <c r="E3" s="60"/>
      <c r="F3" s="27"/>
      <c r="G3" s="27"/>
      <c r="H3" s="157"/>
      <c r="I3" s="157"/>
      <c r="J3" s="157"/>
      <c r="K3" s="114"/>
      <c r="L3" s="4">
        <f t="shared" ref="L3:U3" si="1">SUM(L6:L80)</f>
        <v>0</v>
      </c>
      <c r="M3" s="4">
        <f t="shared" si="1"/>
        <v>16</v>
      </c>
      <c r="N3" s="4">
        <f t="shared" si="1"/>
        <v>0</v>
      </c>
      <c r="O3" s="4">
        <f t="shared" si="1"/>
        <v>0</v>
      </c>
      <c r="P3" s="4">
        <f t="shared" si="1"/>
        <v>0</v>
      </c>
      <c r="Q3" s="4">
        <f t="shared" si="1"/>
        <v>0</v>
      </c>
      <c r="R3" s="4">
        <f t="shared" si="1"/>
        <v>0</v>
      </c>
      <c r="S3" s="4">
        <f t="shared" si="1"/>
        <v>0</v>
      </c>
      <c r="T3" s="4">
        <f t="shared" si="1"/>
        <v>0</v>
      </c>
      <c r="U3" s="49">
        <f t="shared" si="1"/>
        <v>16</v>
      </c>
      <c r="V3" s="146"/>
    </row>
    <row r="4" spans="1:22" ht="43.5" customHeight="1" x14ac:dyDescent="0.3">
      <c r="A4" s="160" t="str">
        <f>V81</f>
        <v>OK</v>
      </c>
      <c r="B4" s="160"/>
      <c r="C4" s="160"/>
      <c r="D4" s="161"/>
      <c r="E4" s="162" t="s">
        <v>15</v>
      </c>
      <c r="F4" s="162"/>
      <c r="G4" s="162"/>
      <c r="H4" s="163" t="s">
        <v>16</v>
      </c>
      <c r="I4" s="163"/>
      <c r="J4" s="163"/>
      <c r="K4" s="113"/>
      <c r="L4" s="164" t="s">
        <v>10</v>
      </c>
      <c r="M4" s="142" t="s">
        <v>17</v>
      </c>
      <c r="N4" s="142" t="s">
        <v>11</v>
      </c>
      <c r="O4" s="138" t="s">
        <v>12</v>
      </c>
      <c r="P4" s="142" t="s">
        <v>13</v>
      </c>
      <c r="Q4" s="138" t="s">
        <v>14</v>
      </c>
      <c r="R4" s="140" t="s">
        <v>20</v>
      </c>
      <c r="S4" s="142" t="s">
        <v>21</v>
      </c>
      <c r="T4" s="143" t="s">
        <v>22</v>
      </c>
      <c r="U4" s="147" t="s">
        <v>18</v>
      </c>
      <c r="V4" s="149" t="s">
        <v>19</v>
      </c>
    </row>
    <row r="5" spans="1:22" ht="33.75" thickBot="1" x14ac:dyDescent="0.35">
      <c r="A5" s="29" t="s">
        <v>3</v>
      </c>
      <c r="B5" s="30" t="s">
        <v>32</v>
      </c>
      <c r="C5" s="29" t="s">
        <v>4</v>
      </c>
      <c r="D5" s="29" t="s">
        <v>31</v>
      </c>
      <c r="E5" s="29" t="s">
        <v>5</v>
      </c>
      <c r="F5" s="29" t="s">
        <v>6</v>
      </c>
      <c r="G5" s="30" t="s">
        <v>7</v>
      </c>
      <c r="H5" s="31" t="s">
        <v>0</v>
      </c>
      <c r="I5" s="31" t="s">
        <v>2</v>
      </c>
      <c r="J5" s="31" t="s">
        <v>8</v>
      </c>
      <c r="K5" s="28"/>
      <c r="L5" s="165"/>
      <c r="M5" s="139"/>
      <c r="N5" s="139"/>
      <c r="O5" s="139"/>
      <c r="P5" s="139"/>
      <c r="Q5" s="139"/>
      <c r="R5" s="141"/>
      <c r="S5" s="139"/>
      <c r="T5" s="144"/>
      <c r="U5" s="148"/>
      <c r="V5" s="150"/>
    </row>
    <row r="6" spans="1:22" hidden="1" x14ac:dyDescent="0.3">
      <c r="A6" s="61" t="s">
        <v>33</v>
      </c>
      <c r="B6" s="61">
        <v>8092</v>
      </c>
      <c r="C6" s="6" t="s">
        <v>45</v>
      </c>
      <c r="D6" s="7"/>
      <c r="E6" s="7"/>
      <c r="F6" s="7"/>
      <c r="G6" s="8"/>
      <c r="H6" s="9"/>
      <c r="I6" s="10">
        <f>SUM(L6:T6)</f>
        <v>0</v>
      </c>
      <c r="J6" s="10"/>
      <c r="K6" s="11"/>
      <c r="L6" s="10"/>
      <c r="M6" s="10"/>
      <c r="N6" s="10"/>
      <c r="O6" s="10"/>
      <c r="P6" s="10"/>
      <c r="Q6" s="10"/>
      <c r="R6" s="34"/>
      <c r="S6" s="42"/>
      <c r="T6" s="45"/>
      <c r="U6" s="50">
        <f t="shared" ref="U6:U36" si="2">SUM(L6:T6)</f>
        <v>0</v>
      </c>
      <c r="V6" s="26" t="str">
        <f t="shared" ref="V6:V67" si="3">IF(U6=I6,"OK","NG")</f>
        <v>OK</v>
      </c>
    </row>
    <row r="7" spans="1:22" hidden="1" x14ac:dyDescent="0.3">
      <c r="A7" s="62" t="s">
        <v>95</v>
      </c>
      <c r="B7" s="62">
        <v>8088</v>
      </c>
      <c r="C7" s="12" t="s">
        <v>46</v>
      </c>
      <c r="D7" s="53"/>
      <c r="E7" s="13"/>
      <c r="F7" s="13"/>
      <c r="G7" s="14"/>
      <c r="H7" s="15"/>
      <c r="I7" s="16">
        <f t="shared" ref="I7:I70" si="4">SUM(L7:T7)</f>
        <v>0</v>
      </c>
      <c r="J7" s="16"/>
      <c r="K7" s="11"/>
      <c r="L7" s="16"/>
      <c r="M7" s="16"/>
      <c r="N7" s="16"/>
      <c r="O7" s="16"/>
      <c r="P7" s="16"/>
      <c r="Q7" s="16"/>
      <c r="R7" s="35"/>
      <c r="S7" s="43"/>
      <c r="T7" s="46"/>
      <c r="U7" s="51">
        <f t="shared" si="2"/>
        <v>0</v>
      </c>
      <c r="V7" s="17" t="str">
        <f t="shared" si="3"/>
        <v>OK</v>
      </c>
    </row>
    <row r="8" spans="1:22" hidden="1" x14ac:dyDescent="0.3">
      <c r="A8" s="63" t="s">
        <v>96</v>
      </c>
      <c r="B8" s="63">
        <v>8081</v>
      </c>
      <c r="C8" s="18" t="s">
        <v>46</v>
      </c>
      <c r="D8" s="19"/>
      <c r="E8" s="19"/>
      <c r="F8" s="19"/>
      <c r="G8" s="20"/>
      <c r="H8" s="21"/>
      <c r="I8" s="22">
        <f t="shared" si="4"/>
        <v>0</v>
      </c>
      <c r="J8" s="22"/>
      <c r="K8" s="11"/>
      <c r="L8" s="22"/>
      <c r="M8" s="22"/>
      <c r="N8" s="22"/>
      <c r="O8" s="22"/>
      <c r="P8" s="22"/>
      <c r="Q8" s="22"/>
      <c r="R8" s="36"/>
      <c r="S8" s="44"/>
      <c r="T8" s="47"/>
      <c r="U8" s="52">
        <f t="shared" si="2"/>
        <v>0</v>
      </c>
      <c r="V8" s="23" t="str">
        <f t="shared" si="3"/>
        <v>OK</v>
      </c>
    </row>
    <row r="9" spans="1:22" hidden="1" x14ac:dyDescent="0.3">
      <c r="A9" s="62" t="s">
        <v>97</v>
      </c>
      <c r="B9" s="62">
        <v>18524</v>
      </c>
      <c r="C9" s="12" t="s">
        <v>46</v>
      </c>
      <c r="D9" s="53"/>
      <c r="E9" s="13"/>
      <c r="F9" s="13"/>
      <c r="G9" s="14"/>
      <c r="H9" s="15"/>
      <c r="I9" s="16">
        <f t="shared" si="4"/>
        <v>0</v>
      </c>
      <c r="J9" s="16"/>
      <c r="K9" s="11"/>
      <c r="L9" s="16"/>
      <c r="M9" s="16"/>
      <c r="N9" s="16"/>
      <c r="O9" s="16"/>
      <c r="P9" s="16"/>
      <c r="Q9" s="16"/>
      <c r="R9" s="35"/>
      <c r="S9" s="43"/>
      <c r="T9" s="46"/>
      <c r="U9" s="51">
        <f t="shared" si="2"/>
        <v>0</v>
      </c>
      <c r="V9" s="17" t="str">
        <f t="shared" si="3"/>
        <v>OK</v>
      </c>
    </row>
    <row r="10" spans="1:22" hidden="1" x14ac:dyDescent="0.3">
      <c r="A10" s="63" t="s">
        <v>34</v>
      </c>
      <c r="B10" s="63">
        <v>6234</v>
      </c>
      <c r="C10" s="18" t="s">
        <v>47</v>
      </c>
      <c r="D10" s="19"/>
      <c r="E10" s="19"/>
      <c r="F10" s="19"/>
      <c r="G10" s="20"/>
      <c r="H10" s="21"/>
      <c r="I10" s="22">
        <f t="shared" si="4"/>
        <v>0</v>
      </c>
      <c r="J10" s="22"/>
      <c r="K10" s="11"/>
      <c r="L10" s="22"/>
      <c r="M10" s="22"/>
      <c r="N10" s="22"/>
      <c r="O10" s="22"/>
      <c r="P10" s="22"/>
      <c r="Q10" s="22"/>
      <c r="R10" s="36"/>
      <c r="S10" s="44"/>
      <c r="T10" s="47"/>
      <c r="U10" s="52">
        <f t="shared" si="2"/>
        <v>0</v>
      </c>
      <c r="V10" s="23" t="str">
        <f t="shared" si="3"/>
        <v>OK</v>
      </c>
    </row>
    <row r="11" spans="1:22" hidden="1" x14ac:dyDescent="0.3">
      <c r="A11" s="62" t="s">
        <v>80</v>
      </c>
      <c r="B11" s="62">
        <v>14830</v>
      </c>
      <c r="C11" s="12" t="s">
        <v>47</v>
      </c>
      <c r="D11" s="53"/>
      <c r="E11" s="13"/>
      <c r="F11" s="13"/>
      <c r="G11" s="14"/>
      <c r="H11" s="15"/>
      <c r="I11" s="16">
        <f t="shared" si="4"/>
        <v>0</v>
      </c>
      <c r="J11" s="16"/>
      <c r="K11" s="11"/>
      <c r="L11" s="16"/>
      <c r="M11" s="16"/>
      <c r="N11" s="16"/>
      <c r="O11" s="16"/>
      <c r="P11" s="16"/>
      <c r="Q11" s="16"/>
      <c r="R11" s="35"/>
      <c r="S11" s="43"/>
      <c r="T11" s="46"/>
      <c r="U11" s="51">
        <f t="shared" si="2"/>
        <v>0</v>
      </c>
      <c r="V11" s="17" t="str">
        <f t="shared" si="3"/>
        <v>OK</v>
      </c>
    </row>
    <row r="12" spans="1:22" hidden="1" x14ac:dyDescent="0.3">
      <c r="A12" s="63" t="s">
        <v>35</v>
      </c>
      <c r="B12" s="63">
        <v>6004</v>
      </c>
      <c r="C12" s="18" t="s">
        <v>48</v>
      </c>
      <c r="D12" s="19"/>
      <c r="E12" s="19"/>
      <c r="F12" s="19"/>
      <c r="G12" s="20"/>
      <c r="H12" s="21"/>
      <c r="I12" s="22">
        <f t="shared" si="4"/>
        <v>0</v>
      </c>
      <c r="J12" s="22"/>
      <c r="K12" s="11"/>
      <c r="L12" s="22"/>
      <c r="M12" s="22"/>
      <c r="N12" s="22"/>
      <c r="O12" s="22"/>
      <c r="P12" s="22"/>
      <c r="Q12" s="22"/>
      <c r="R12" s="36"/>
      <c r="S12" s="44"/>
      <c r="T12" s="47"/>
      <c r="U12" s="52">
        <f t="shared" si="2"/>
        <v>0</v>
      </c>
      <c r="V12" s="23" t="str">
        <f t="shared" si="3"/>
        <v>OK</v>
      </c>
    </row>
    <row r="13" spans="1:22" hidden="1" x14ac:dyDescent="0.3">
      <c r="A13" s="62" t="s">
        <v>36</v>
      </c>
      <c r="B13" s="62">
        <v>11857</v>
      </c>
      <c r="C13" s="12" t="s">
        <v>48</v>
      </c>
      <c r="D13" s="53"/>
      <c r="E13" s="13"/>
      <c r="F13" s="13"/>
      <c r="G13" s="14"/>
      <c r="H13" s="15"/>
      <c r="I13" s="16">
        <f t="shared" si="4"/>
        <v>0</v>
      </c>
      <c r="J13" s="16"/>
      <c r="K13" s="11"/>
      <c r="L13" s="16"/>
      <c r="M13" s="16"/>
      <c r="N13" s="16"/>
      <c r="O13" s="16"/>
      <c r="P13" s="16"/>
      <c r="Q13" s="16"/>
      <c r="R13" s="35"/>
      <c r="S13" s="43"/>
      <c r="T13" s="46"/>
      <c r="U13" s="51">
        <f t="shared" si="2"/>
        <v>0</v>
      </c>
      <c r="V13" s="17" t="str">
        <f t="shared" si="3"/>
        <v>OK</v>
      </c>
    </row>
    <row r="14" spans="1:22" hidden="1" x14ac:dyDescent="0.3">
      <c r="A14" s="63" t="s">
        <v>82</v>
      </c>
      <c r="B14" s="63">
        <v>15004</v>
      </c>
      <c r="C14" s="18" t="s">
        <v>48</v>
      </c>
      <c r="D14" s="19"/>
      <c r="E14" s="19"/>
      <c r="F14" s="19"/>
      <c r="G14" s="20"/>
      <c r="H14" s="21"/>
      <c r="I14" s="22">
        <f t="shared" si="4"/>
        <v>0</v>
      </c>
      <c r="J14" s="22"/>
      <c r="K14" s="11"/>
      <c r="L14" s="22"/>
      <c r="M14" s="22"/>
      <c r="N14" s="22"/>
      <c r="O14" s="22"/>
      <c r="P14" s="22"/>
      <c r="Q14" s="22"/>
      <c r="R14" s="36"/>
      <c r="S14" s="44"/>
      <c r="T14" s="47"/>
      <c r="U14" s="52">
        <f t="shared" si="2"/>
        <v>0</v>
      </c>
      <c r="V14" s="23" t="str">
        <f t="shared" si="3"/>
        <v>OK</v>
      </c>
    </row>
    <row r="15" spans="1:22" hidden="1" x14ac:dyDescent="0.3">
      <c r="A15" s="62" t="s">
        <v>86</v>
      </c>
      <c r="B15" s="62">
        <v>15174</v>
      </c>
      <c r="C15" s="12" t="s">
        <v>45</v>
      </c>
      <c r="D15" s="53"/>
      <c r="E15" s="13"/>
      <c r="F15" s="13"/>
      <c r="G15" s="14"/>
      <c r="H15" s="15"/>
      <c r="I15" s="16">
        <f t="shared" si="4"/>
        <v>0</v>
      </c>
      <c r="J15" s="16"/>
      <c r="K15" s="11"/>
      <c r="L15" s="16"/>
      <c r="M15" s="16"/>
      <c r="N15" s="16"/>
      <c r="O15" s="16"/>
      <c r="P15" s="16"/>
      <c r="Q15" s="16"/>
      <c r="R15" s="35"/>
      <c r="S15" s="43"/>
      <c r="T15" s="46"/>
      <c r="U15" s="51">
        <f t="shared" si="2"/>
        <v>0</v>
      </c>
      <c r="V15" s="17" t="str">
        <f t="shared" si="3"/>
        <v>OK</v>
      </c>
    </row>
    <row r="16" spans="1:22" hidden="1" x14ac:dyDescent="0.3">
      <c r="A16" s="63" t="s">
        <v>87</v>
      </c>
      <c r="B16" s="63">
        <v>15520</v>
      </c>
      <c r="C16" s="18" t="s">
        <v>47</v>
      </c>
      <c r="D16" s="19"/>
      <c r="E16" s="19"/>
      <c r="F16" s="19"/>
      <c r="G16" s="20"/>
      <c r="H16" s="21"/>
      <c r="I16" s="22">
        <f t="shared" si="4"/>
        <v>0</v>
      </c>
      <c r="J16" s="22"/>
      <c r="K16" s="11"/>
      <c r="L16" s="22"/>
      <c r="M16" s="22"/>
      <c r="N16" s="22"/>
      <c r="O16" s="22"/>
      <c r="P16" s="22"/>
      <c r="Q16" s="22"/>
      <c r="R16" s="36"/>
      <c r="S16" s="44"/>
      <c r="T16" s="47"/>
      <c r="U16" s="52">
        <f t="shared" si="2"/>
        <v>0</v>
      </c>
      <c r="V16" s="23" t="str">
        <f t="shared" si="3"/>
        <v>OK</v>
      </c>
    </row>
    <row r="17" spans="1:22" hidden="1" x14ac:dyDescent="0.3">
      <c r="A17" s="62" t="s">
        <v>85</v>
      </c>
      <c r="B17" s="62">
        <v>14989</v>
      </c>
      <c r="C17" s="12" t="s">
        <v>45</v>
      </c>
      <c r="D17" s="53"/>
      <c r="E17" s="13"/>
      <c r="F17" s="13"/>
      <c r="G17" s="14"/>
      <c r="H17" s="15"/>
      <c r="I17" s="16">
        <f t="shared" si="4"/>
        <v>0</v>
      </c>
      <c r="J17" s="16"/>
      <c r="K17" s="11"/>
      <c r="L17" s="16"/>
      <c r="M17" s="16"/>
      <c r="N17" s="16"/>
      <c r="O17" s="16"/>
      <c r="P17" s="16"/>
      <c r="Q17" s="16"/>
      <c r="R17" s="35"/>
      <c r="S17" s="43"/>
      <c r="T17" s="46"/>
      <c r="U17" s="51">
        <f t="shared" si="2"/>
        <v>0</v>
      </c>
      <c r="V17" s="17" t="str">
        <f t="shared" si="3"/>
        <v>OK</v>
      </c>
    </row>
    <row r="18" spans="1:22" hidden="1" x14ac:dyDescent="0.3">
      <c r="A18" s="63" t="s">
        <v>84</v>
      </c>
      <c r="B18" s="63">
        <v>14984</v>
      </c>
      <c r="C18" s="18" t="s">
        <v>46</v>
      </c>
      <c r="D18" s="19"/>
      <c r="E18" s="19"/>
      <c r="F18" s="19"/>
      <c r="G18" s="20"/>
      <c r="H18" s="21"/>
      <c r="I18" s="22">
        <f t="shared" si="4"/>
        <v>0</v>
      </c>
      <c r="J18" s="22"/>
      <c r="K18" s="11"/>
      <c r="L18" s="22"/>
      <c r="M18" s="22"/>
      <c r="N18" s="22"/>
      <c r="O18" s="22"/>
      <c r="P18" s="22"/>
      <c r="Q18" s="22"/>
      <c r="R18" s="36"/>
      <c r="S18" s="44"/>
      <c r="T18" s="47"/>
      <c r="U18" s="52">
        <f t="shared" si="2"/>
        <v>0</v>
      </c>
      <c r="V18" s="23" t="str">
        <f t="shared" si="3"/>
        <v>OK</v>
      </c>
    </row>
    <row r="19" spans="1:22" hidden="1" x14ac:dyDescent="0.3">
      <c r="A19" s="62" t="s">
        <v>88</v>
      </c>
      <c r="B19" s="62">
        <v>16270</v>
      </c>
      <c r="C19" s="12" t="s">
        <v>89</v>
      </c>
      <c r="D19" s="53"/>
      <c r="E19" s="13"/>
      <c r="F19" s="13"/>
      <c r="G19" s="14"/>
      <c r="H19" s="15"/>
      <c r="I19" s="16">
        <f t="shared" si="4"/>
        <v>0</v>
      </c>
      <c r="J19" s="16"/>
      <c r="K19" s="11"/>
      <c r="L19" s="16"/>
      <c r="M19" s="16"/>
      <c r="N19" s="16"/>
      <c r="O19" s="16"/>
      <c r="P19" s="16"/>
      <c r="Q19" s="16"/>
      <c r="R19" s="35"/>
      <c r="S19" s="43"/>
      <c r="T19" s="46"/>
      <c r="U19" s="51">
        <f t="shared" si="2"/>
        <v>0</v>
      </c>
      <c r="V19" s="17" t="str">
        <f t="shared" si="3"/>
        <v>OK</v>
      </c>
    </row>
    <row r="20" spans="1:22" hidden="1" x14ac:dyDescent="0.3">
      <c r="A20" s="63" t="s">
        <v>98</v>
      </c>
      <c r="B20" s="63">
        <v>19060</v>
      </c>
      <c r="C20" s="18" t="s">
        <v>47</v>
      </c>
      <c r="D20" s="19"/>
      <c r="E20" s="19"/>
      <c r="F20" s="19"/>
      <c r="G20" s="20"/>
      <c r="H20" s="21"/>
      <c r="I20" s="22">
        <f t="shared" si="4"/>
        <v>0</v>
      </c>
      <c r="J20" s="22"/>
      <c r="K20" s="11"/>
      <c r="L20" s="22"/>
      <c r="M20" s="22"/>
      <c r="N20" s="22"/>
      <c r="O20" s="22"/>
      <c r="P20" s="22"/>
      <c r="Q20" s="22"/>
      <c r="R20" s="36"/>
      <c r="S20" s="44"/>
      <c r="T20" s="47"/>
      <c r="U20" s="52">
        <f t="shared" si="2"/>
        <v>0</v>
      </c>
      <c r="V20" s="23" t="str">
        <f t="shared" si="3"/>
        <v>OK</v>
      </c>
    </row>
    <row r="21" spans="1:22" hidden="1" x14ac:dyDescent="0.3">
      <c r="A21" s="62" t="s">
        <v>99</v>
      </c>
      <c r="B21" s="62">
        <v>18828</v>
      </c>
      <c r="C21" s="12" t="s">
        <v>94</v>
      </c>
      <c r="D21" s="53"/>
      <c r="E21" s="13"/>
      <c r="F21" s="13"/>
      <c r="G21" s="14"/>
      <c r="H21" s="15"/>
      <c r="I21" s="16">
        <f t="shared" si="4"/>
        <v>0</v>
      </c>
      <c r="J21" s="16"/>
      <c r="K21" s="11"/>
      <c r="L21" s="16"/>
      <c r="M21" s="16"/>
      <c r="N21" s="16"/>
      <c r="O21" s="16"/>
      <c r="P21" s="16"/>
      <c r="Q21" s="16"/>
      <c r="R21" s="35"/>
      <c r="S21" s="43"/>
      <c r="T21" s="46"/>
      <c r="U21" s="51">
        <f t="shared" si="2"/>
        <v>0</v>
      </c>
      <c r="V21" s="17" t="str">
        <f t="shared" si="3"/>
        <v>OK</v>
      </c>
    </row>
    <row r="22" spans="1:22" hidden="1" x14ac:dyDescent="0.3">
      <c r="A22" s="63" t="s">
        <v>23</v>
      </c>
      <c r="B22" s="63">
        <v>5695</v>
      </c>
      <c r="C22" s="18" t="s">
        <v>49</v>
      </c>
      <c r="D22" s="19"/>
      <c r="E22" s="19"/>
      <c r="F22" s="19"/>
      <c r="G22" s="20"/>
      <c r="H22" s="21"/>
      <c r="I22" s="22">
        <f t="shared" si="4"/>
        <v>0</v>
      </c>
      <c r="J22" s="22"/>
      <c r="K22" s="11"/>
      <c r="L22" s="22"/>
      <c r="M22" s="22"/>
      <c r="N22" s="22"/>
      <c r="O22" s="22"/>
      <c r="P22" s="22"/>
      <c r="Q22" s="22"/>
      <c r="R22" s="36"/>
      <c r="S22" s="44"/>
      <c r="T22" s="47"/>
      <c r="U22" s="52">
        <f t="shared" si="2"/>
        <v>0</v>
      </c>
      <c r="V22" s="23" t="str">
        <f t="shared" si="3"/>
        <v>OK</v>
      </c>
    </row>
    <row r="23" spans="1:22" hidden="1" x14ac:dyDescent="0.3">
      <c r="A23" s="62" t="s">
        <v>24</v>
      </c>
      <c r="B23" s="62">
        <v>5691</v>
      </c>
      <c r="C23" s="12" t="s">
        <v>50</v>
      </c>
      <c r="D23" s="53"/>
      <c r="E23" s="13"/>
      <c r="F23" s="13"/>
      <c r="G23" s="14"/>
      <c r="H23" s="15"/>
      <c r="I23" s="16">
        <f t="shared" si="4"/>
        <v>0</v>
      </c>
      <c r="J23" s="16"/>
      <c r="K23" s="11"/>
      <c r="L23" s="16"/>
      <c r="M23" s="16"/>
      <c r="N23" s="16"/>
      <c r="O23" s="16"/>
      <c r="P23" s="16"/>
      <c r="Q23" s="16"/>
      <c r="R23" s="35"/>
      <c r="S23" s="43"/>
      <c r="T23" s="46"/>
      <c r="U23" s="51">
        <f t="shared" si="2"/>
        <v>0</v>
      </c>
      <c r="V23" s="17" t="str">
        <f t="shared" si="3"/>
        <v>OK</v>
      </c>
    </row>
    <row r="24" spans="1:22" hidden="1" x14ac:dyDescent="0.3">
      <c r="A24" s="63" t="s">
        <v>37</v>
      </c>
      <c r="B24" s="63">
        <v>5687</v>
      </c>
      <c r="C24" s="18" t="s">
        <v>51</v>
      </c>
      <c r="D24" s="19"/>
      <c r="E24" s="19"/>
      <c r="F24" s="19"/>
      <c r="G24" s="20"/>
      <c r="H24" s="21"/>
      <c r="I24" s="22">
        <f t="shared" si="4"/>
        <v>0</v>
      </c>
      <c r="J24" s="22"/>
      <c r="K24" s="11"/>
      <c r="L24" s="22"/>
      <c r="M24" s="22"/>
      <c r="N24" s="22"/>
      <c r="O24" s="22"/>
      <c r="P24" s="22"/>
      <c r="Q24" s="22"/>
      <c r="R24" s="36"/>
      <c r="S24" s="44"/>
      <c r="T24" s="47"/>
      <c r="U24" s="52">
        <f t="shared" si="2"/>
        <v>0</v>
      </c>
      <c r="V24" s="23" t="str">
        <f t="shared" si="3"/>
        <v>OK</v>
      </c>
    </row>
    <row r="25" spans="1:22" hidden="1" x14ac:dyDescent="0.3">
      <c r="A25" s="62" t="s">
        <v>38</v>
      </c>
      <c r="B25" s="62">
        <v>5683</v>
      </c>
      <c r="C25" s="12" t="s">
        <v>51</v>
      </c>
      <c r="D25" s="53"/>
      <c r="E25" s="13"/>
      <c r="F25" s="13"/>
      <c r="G25" s="14"/>
      <c r="H25" s="15"/>
      <c r="I25" s="16">
        <f t="shared" si="4"/>
        <v>0</v>
      </c>
      <c r="J25" s="16"/>
      <c r="K25" s="11"/>
      <c r="L25" s="16"/>
      <c r="M25" s="16"/>
      <c r="N25" s="16"/>
      <c r="O25" s="16"/>
      <c r="P25" s="16"/>
      <c r="Q25" s="16"/>
      <c r="R25" s="35"/>
      <c r="S25" s="43"/>
      <c r="T25" s="46"/>
      <c r="U25" s="51">
        <f t="shared" si="2"/>
        <v>0</v>
      </c>
      <c r="V25" s="17" t="str">
        <f t="shared" si="3"/>
        <v>OK</v>
      </c>
    </row>
    <row r="26" spans="1:22" hidden="1" x14ac:dyDescent="0.3">
      <c r="A26" s="63" t="s">
        <v>25</v>
      </c>
      <c r="B26" s="63">
        <v>5679</v>
      </c>
      <c r="C26" s="18" t="s">
        <v>52</v>
      </c>
      <c r="D26" s="19"/>
      <c r="E26" s="19"/>
      <c r="F26" s="19"/>
      <c r="G26" s="20"/>
      <c r="H26" s="21"/>
      <c r="I26" s="22">
        <f t="shared" si="4"/>
        <v>0</v>
      </c>
      <c r="J26" s="22"/>
      <c r="K26" s="11"/>
      <c r="L26" s="22"/>
      <c r="M26" s="22"/>
      <c r="N26" s="22"/>
      <c r="O26" s="22"/>
      <c r="P26" s="22"/>
      <c r="Q26" s="22"/>
      <c r="R26" s="36"/>
      <c r="S26" s="44"/>
      <c r="T26" s="47"/>
      <c r="U26" s="52">
        <f t="shared" si="2"/>
        <v>0</v>
      </c>
      <c r="V26" s="23" t="str">
        <f t="shared" si="3"/>
        <v>OK</v>
      </c>
    </row>
    <row r="27" spans="1:22" hidden="1" x14ac:dyDescent="0.3">
      <c r="A27" s="62" t="s">
        <v>39</v>
      </c>
      <c r="B27" s="62">
        <v>5675</v>
      </c>
      <c r="C27" s="12" t="s">
        <v>53</v>
      </c>
      <c r="D27" s="53"/>
      <c r="E27" s="13"/>
      <c r="F27" s="13"/>
      <c r="G27" s="14"/>
      <c r="H27" s="15"/>
      <c r="I27" s="16">
        <f t="shared" si="4"/>
        <v>0</v>
      </c>
      <c r="J27" s="16"/>
      <c r="K27" s="11"/>
      <c r="L27" s="16"/>
      <c r="M27" s="16"/>
      <c r="N27" s="16"/>
      <c r="O27" s="16"/>
      <c r="P27" s="16"/>
      <c r="Q27" s="16"/>
      <c r="R27" s="35"/>
      <c r="S27" s="43"/>
      <c r="T27" s="46"/>
      <c r="U27" s="51">
        <f t="shared" si="2"/>
        <v>0</v>
      </c>
      <c r="V27" s="17" t="str">
        <f t="shared" si="3"/>
        <v>OK</v>
      </c>
    </row>
    <row r="28" spans="1:22" hidden="1" x14ac:dyDescent="0.3">
      <c r="A28" s="63" t="s">
        <v>26</v>
      </c>
      <c r="B28" s="63">
        <v>5671</v>
      </c>
      <c r="C28" s="18" t="s">
        <v>49</v>
      </c>
      <c r="D28" s="19"/>
      <c r="E28" s="19"/>
      <c r="F28" s="19"/>
      <c r="G28" s="20"/>
      <c r="H28" s="21"/>
      <c r="I28" s="22">
        <f t="shared" si="4"/>
        <v>0</v>
      </c>
      <c r="J28" s="22"/>
      <c r="K28" s="11"/>
      <c r="L28" s="22"/>
      <c r="M28" s="22"/>
      <c r="N28" s="22"/>
      <c r="O28" s="22"/>
      <c r="P28" s="22"/>
      <c r="Q28" s="22"/>
      <c r="R28" s="36"/>
      <c r="S28" s="44"/>
      <c r="T28" s="47"/>
      <c r="U28" s="52">
        <f t="shared" si="2"/>
        <v>0</v>
      </c>
      <c r="V28" s="23" t="str">
        <f t="shared" si="3"/>
        <v>OK</v>
      </c>
    </row>
    <row r="29" spans="1:22" hidden="1" x14ac:dyDescent="0.3">
      <c r="A29" s="62" t="s">
        <v>40</v>
      </c>
      <c r="B29" s="62">
        <v>5667</v>
      </c>
      <c r="C29" s="12" t="s">
        <v>50</v>
      </c>
      <c r="D29" s="53"/>
      <c r="E29" s="13"/>
      <c r="F29" s="13"/>
      <c r="G29" s="14"/>
      <c r="H29" s="15"/>
      <c r="I29" s="16">
        <f t="shared" si="4"/>
        <v>0</v>
      </c>
      <c r="J29" s="16"/>
      <c r="K29" s="11"/>
      <c r="L29" s="16"/>
      <c r="M29" s="16"/>
      <c r="N29" s="16"/>
      <c r="O29" s="16"/>
      <c r="P29" s="16"/>
      <c r="Q29" s="16"/>
      <c r="R29" s="35"/>
      <c r="S29" s="43"/>
      <c r="T29" s="46"/>
      <c r="U29" s="51">
        <f t="shared" si="2"/>
        <v>0</v>
      </c>
      <c r="V29" s="17" t="str">
        <f t="shared" si="3"/>
        <v>OK</v>
      </c>
    </row>
    <row r="30" spans="1:22" hidden="1" x14ac:dyDescent="0.3">
      <c r="A30" s="63" t="s">
        <v>41</v>
      </c>
      <c r="B30" s="63">
        <v>5663</v>
      </c>
      <c r="C30" s="18" t="s">
        <v>51</v>
      </c>
      <c r="D30" s="19"/>
      <c r="E30" s="19"/>
      <c r="F30" s="19"/>
      <c r="G30" s="20"/>
      <c r="H30" s="21"/>
      <c r="I30" s="22">
        <f t="shared" si="4"/>
        <v>0</v>
      </c>
      <c r="J30" s="22"/>
      <c r="K30" s="11"/>
      <c r="L30" s="22"/>
      <c r="M30" s="22"/>
      <c r="N30" s="22"/>
      <c r="O30" s="22"/>
      <c r="P30" s="22"/>
      <c r="Q30" s="22"/>
      <c r="R30" s="36"/>
      <c r="S30" s="44"/>
      <c r="T30" s="47"/>
      <c r="U30" s="52">
        <f t="shared" si="2"/>
        <v>0</v>
      </c>
      <c r="V30" s="23" t="str">
        <f t="shared" si="3"/>
        <v>OK</v>
      </c>
    </row>
    <row r="31" spans="1:22" hidden="1" x14ac:dyDescent="0.3">
      <c r="A31" s="62" t="s">
        <v>42</v>
      </c>
      <c r="B31" s="62">
        <v>5659</v>
      </c>
      <c r="C31" s="12" t="s">
        <v>52</v>
      </c>
      <c r="D31" s="53"/>
      <c r="E31" s="13"/>
      <c r="F31" s="13"/>
      <c r="G31" s="14"/>
      <c r="H31" s="15"/>
      <c r="I31" s="16">
        <f t="shared" si="4"/>
        <v>0</v>
      </c>
      <c r="J31" s="16"/>
      <c r="K31" s="11"/>
      <c r="L31" s="16"/>
      <c r="M31" s="16"/>
      <c r="N31" s="16"/>
      <c r="O31" s="16"/>
      <c r="P31" s="16"/>
      <c r="Q31" s="16"/>
      <c r="R31" s="35"/>
      <c r="S31" s="43"/>
      <c r="T31" s="46"/>
      <c r="U31" s="51">
        <f t="shared" si="2"/>
        <v>0</v>
      </c>
      <c r="V31" s="17" t="str">
        <f t="shared" si="3"/>
        <v>OK</v>
      </c>
    </row>
    <row r="32" spans="1:22" hidden="1" x14ac:dyDescent="0.3">
      <c r="A32" s="63" t="s">
        <v>27</v>
      </c>
      <c r="B32" s="63">
        <v>5655</v>
      </c>
      <c r="C32" s="18" t="s">
        <v>54</v>
      </c>
      <c r="D32" s="19"/>
      <c r="E32" s="19"/>
      <c r="F32" s="19"/>
      <c r="G32" s="20"/>
      <c r="H32" s="21"/>
      <c r="I32" s="22">
        <f t="shared" si="4"/>
        <v>0</v>
      </c>
      <c r="J32" s="22"/>
      <c r="K32" s="11"/>
      <c r="L32" s="22"/>
      <c r="M32" s="22"/>
      <c r="N32" s="22"/>
      <c r="O32" s="22"/>
      <c r="P32" s="22"/>
      <c r="Q32" s="22"/>
      <c r="R32" s="36"/>
      <c r="S32" s="44"/>
      <c r="T32" s="47"/>
      <c r="U32" s="52">
        <f t="shared" si="2"/>
        <v>0</v>
      </c>
      <c r="V32" s="23" t="str">
        <f t="shared" si="3"/>
        <v>OK</v>
      </c>
    </row>
    <row r="33" spans="1:22" hidden="1" x14ac:dyDescent="0.3">
      <c r="A33" s="62" t="s">
        <v>70</v>
      </c>
      <c r="B33" s="62">
        <v>5651</v>
      </c>
      <c r="C33" s="12" t="s">
        <v>55</v>
      </c>
      <c r="D33" s="53"/>
      <c r="E33" s="13"/>
      <c r="F33" s="13"/>
      <c r="G33" s="14"/>
      <c r="H33" s="15"/>
      <c r="I33" s="16">
        <f t="shared" si="4"/>
        <v>0</v>
      </c>
      <c r="J33" s="16"/>
      <c r="K33" s="11"/>
      <c r="L33" s="16"/>
      <c r="M33" s="16"/>
      <c r="N33" s="16"/>
      <c r="O33" s="16"/>
      <c r="P33" s="16"/>
      <c r="Q33" s="16"/>
      <c r="R33" s="35"/>
      <c r="S33" s="43"/>
      <c r="T33" s="46"/>
      <c r="U33" s="51">
        <f t="shared" si="2"/>
        <v>0</v>
      </c>
      <c r="V33" s="17" t="str">
        <f t="shared" si="3"/>
        <v>OK</v>
      </c>
    </row>
    <row r="34" spans="1:22" hidden="1" x14ac:dyDescent="0.3">
      <c r="A34" s="63" t="s">
        <v>71</v>
      </c>
      <c r="B34" s="63">
        <v>5643</v>
      </c>
      <c r="C34" s="18" t="s">
        <v>56</v>
      </c>
      <c r="D34" s="19"/>
      <c r="E34" s="19"/>
      <c r="F34" s="19"/>
      <c r="G34" s="20"/>
      <c r="H34" s="21"/>
      <c r="I34" s="22">
        <f t="shared" si="4"/>
        <v>0</v>
      </c>
      <c r="J34" s="22"/>
      <c r="K34" s="11"/>
      <c r="L34" s="22"/>
      <c r="M34" s="22"/>
      <c r="N34" s="22"/>
      <c r="O34" s="22"/>
      <c r="P34" s="22"/>
      <c r="Q34" s="22"/>
      <c r="R34" s="36"/>
      <c r="S34" s="44"/>
      <c r="T34" s="47"/>
      <c r="U34" s="52">
        <f t="shared" si="2"/>
        <v>0</v>
      </c>
      <c r="V34" s="23" t="str">
        <f t="shared" si="3"/>
        <v>OK</v>
      </c>
    </row>
    <row r="35" spans="1:22" hidden="1" x14ac:dyDescent="0.3">
      <c r="A35" s="62" t="s">
        <v>57</v>
      </c>
      <c r="B35" s="62">
        <v>11350</v>
      </c>
      <c r="C35" s="12" t="s">
        <v>56</v>
      </c>
      <c r="D35" s="53"/>
      <c r="E35" s="13"/>
      <c r="F35" s="13"/>
      <c r="G35" s="14"/>
      <c r="H35" s="15"/>
      <c r="I35" s="16">
        <f t="shared" si="4"/>
        <v>0</v>
      </c>
      <c r="J35" s="16"/>
      <c r="K35" s="11"/>
      <c r="L35" s="16"/>
      <c r="M35" s="16"/>
      <c r="N35" s="16"/>
      <c r="O35" s="16"/>
      <c r="P35" s="16"/>
      <c r="Q35" s="16"/>
      <c r="R35" s="35"/>
      <c r="S35" s="43"/>
      <c r="T35" s="46"/>
      <c r="U35" s="51">
        <f t="shared" si="2"/>
        <v>0</v>
      </c>
      <c r="V35" s="17" t="str">
        <f t="shared" si="3"/>
        <v>OK</v>
      </c>
    </row>
    <row r="36" spans="1:22" hidden="1" x14ac:dyDescent="0.3">
      <c r="A36" s="63" t="s">
        <v>72</v>
      </c>
      <c r="B36" s="63">
        <v>5635</v>
      </c>
      <c r="C36" s="18" t="s">
        <v>55</v>
      </c>
      <c r="D36" s="19"/>
      <c r="E36" s="19"/>
      <c r="F36" s="19"/>
      <c r="G36" s="20"/>
      <c r="H36" s="21"/>
      <c r="I36" s="22">
        <f t="shared" si="4"/>
        <v>0</v>
      </c>
      <c r="J36" s="22"/>
      <c r="K36" s="11"/>
      <c r="L36" s="22"/>
      <c r="M36" s="22"/>
      <c r="N36" s="22"/>
      <c r="O36" s="22"/>
      <c r="P36" s="22"/>
      <c r="Q36" s="22"/>
      <c r="R36" s="36"/>
      <c r="S36" s="44"/>
      <c r="T36" s="47"/>
      <c r="U36" s="52">
        <f t="shared" si="2"/>
        <v>0</v>
      </c>
      <c r="V36" s="23" t="str">
        <f t="shared" si="3"/>
        <v>OK</v>
      </c>
    </row>
    <row r="37" spans="1:22" hidden="1" x14ac:dyDescent="0.3">
      <c r="A37" s="62" t="s">
        <v>58</v>
      </c>
      <c r="B37" s="62">
        <v>11349</v>
      </c>
      <c r="C37" s="12" t="s">
        <v>55</v>
      </c>
      <c r="D37" s="53"/>
      <c r="E37" s="13"/>
      <c r="F37" s="13"/>
      <c r="G37" s="14"/>
      <c r="H37" s="15"/>
      <c r="I37" s="16">
        <f t="shared" si="4"/>
        <v>0</v>
      </c>
      <c r="J37" s="16"/>
      <c r="K37" s="11"/>
      <c r="L37" s="16"/>
      <c r="M37" s="16"/>
      <c r="N37" s="16"/>
      <c r="O37" s="16"/>
      <c r="P37" s="16"/>
      <c r="Q37" s="16"/>
      <c r="R37" s="35"/>
      <c r="S37" s="43"/>
      <c r="T37" s="46"/>
      <c r="U37" s="51">
        <f t="shared" ref="U37:U55" si="5">SUM(L37:T37)</f>
        <v>0</v>
      </c>
      <c r="V37" s="17" t="str">
        <f t="shared" si="3"/>
        <v>OK</v>
      </c>
    </row>
    <row r="38" spans="1:22" hidden="1" x14ac:dyDescent="0.3">
      <c r="A38" s="63" t="s">
        <v>73</v>
      </c>
      <c r="B38" s="63">
        <v>5627</v>
      </c>
      <c r="C38" s="18" t="s">
        <v>56</v>
      </c>
      <c r="D38" s="19"/>
      <c r="E38" s="19"/>
      <c r="F38" s="19"/>
      <c r="G38" s="20"/>
      <c r="H38" s="21"/>
      <c r="I38" s="22">
        <f t="shared" si="4"/>
        <v>0</v>
      </c>
      <c r="J38" s="22"/>
      <c r="K38" s="11"/>
      <c r="L38" s="22"/>
      <c r="M38" s="22"/>
      <c r="N38" s="22"/>
      <c r="O38" s="22"/>
      <c r="P38" s="22"/>
      <c r="Q38" s="22"/>
      <c r="R38" s="36"/>
      <c r="S38" s="44"/>
      <c r="T38" s="47"/>
      <c r="U38" s="52">
        <f t="shared" si="5"/>
        <v>0</v>
      </c>
      <c r="V38" s="23" t="str">
        <f t="shared" si="3"/>
        <v>OK</v>
      </c>
    </row>
    <row r="39" spans="1:22" hidden="1" x14ac:dyDescent="0.3">
      <c r="A39" s="62" t="s">
        <v>59</v>
      </c>
      <c r="B39" s="62">
        <v>11348</v>
      </c>
      <c r="C39" s="12" t="s">
        <v>56</v>
      </c>
      <c r="D39" s="53"/>
      <c r="E39" s="13"/>
      <c r="F39" s="13"/>
      <c r="G39" s="14"/>
      <c r="H39" s="15"/>
      <c r="I39" s="16">
        <f t="shared" si="4"/>
        <v>0</v>
      </c>
      <c r="J39" s="16"/>
      <c r="K39" s="11"/>
      <c r="L39" s="16"/>
      <c r="M39" s="16"/>
      <c r="N39" s="16"/>
      <c r="O39" s="16"/>
      <c r="P39" s="16"/>
      <c r="Q39" s="16"/>
      <c r="R39" s="35"/>
      <c r="S39" s="43"/>
      <c r="T39" s="46"/>
      <c r="U39" s="51">
        <f t="shared" si="5"/>
        <v>0</v>
      </c>
      <c r="V39" s="17" t="str">
        <f t="shared" si="3"/>
        <v>OK</v>
      </c>
    </row>
    <row r="40" spans="1:22" hidden="1" x14ac:dyDescent="0.3">
      <c r="A40" s="63" t="s">
        <v>74</v>
      </c>
      <c r="B40" s="63">
        <v>5619</v>
      </c>
      <c r="C40" s="18" t="s">
        <v>60</v>
      </c>
      <c r="D40" s="19"/>
      <c r="E40" s="19"/>
      <c r="F40" s="19"/>
      <c r="G40" s="20"/>
      <c r="H40" s="21"/>
      <c r="I40" s="22">
        <f t="shared" si="4"/>
        <v>0</v>
      </c>
      <c r="J40" s="22"/>
      <c r="K40" s="11"/>
      <c r="L40" s="22"/>
      <c r="M40" s="22"/>
      <c r="N40" s="22"/>
      <c r="O40" s="22"/>
      <c r="P40" s="22"/>
      <c r="Q40" s="22"/>
      <c r="R40" s="36"/>
      <c r="S40" s="44"/>
      <c r="T40" s="47"/>
      <c r="U40" s="52">
        <f t="shared" si="5"/>
        <v>0</v>
      </c>
      <c r="V40" s="23" t="str">
        <f t="shared" si="3"/>
        <v>OK</v>
      </c>
    </row>
    <row r="41" spans="1:22" hidden="1" x14ac:dyDescent="0.3">
      <c r="A41" s="64" t="s">
        <v>61</v>
      </c>
      <c r="B41" s="62">
        <v>11347</v>
      </c>
      <c r="C41" s="12" t="s">
        <v>60</v>
      </c>
      <c r="D41" s="53"/>
      <c r="E41" s="13"/>
      <c r="F41" s="13"/>
      <c r="G41" s="14"/>
      <c r="H41" s="15"/>
      <c r="I41" s="16">
        <f t="shared" si="4"/>
        <v>0</v>
      </c>
      <c r="J41" s="16"/>
      <c r="K41" s="11"/>
      <c r="L41" s="16"/>
      <c r="M41" s="16"/>
      <c r="N41" s="16"/>
      <c r="O41" s="16"/>
      <c r="P41" s="16"/>
      <c r="Q41" s="16"/>
      <c r="R41" s="35"/>
      <c r="S41" s="43"/>
      <c r="T41" s="46"/>
      <c r="U41" s="51">
        <f t="shared" si="5"/>
        <v>0</v>
      </c>
      <c r="V41" s="17" t="str">
        <f t="shared" si="3"/>
        <v>OK</v>
      </c>
    </row>
    <row r="42" spans="1:22" hidden="1" x14ac:dyDescent="0.3">
      <c r="A42" s="54" t="s">
        <v>75</v>
      </c>
      <c r="B42" s="63">
        <v>5611</v>
      </c>
      <c r="C42" s="18" t="s">
        <v>62</v>
      </c>
      <c r="D42" s="19"/>
      <c r="E42" s="19"/>
      <c r="F42" s="19"/>
      <c r="G42" s="20"/>
      <c r="H42" s="21"/>
      <c r="I42" s="22">
        <f t="shared" si="4"/>
        <v>0</v>
      </c>
      <c r="J42" s="22"/>
      <c r="K42" s="11"/>
      <c r="L42" s="22"/>
      <c r="M42" s="22"/>
      <c r="N42" s="22"/>
      <c r="O42" s="22"/>
      <c r="P42" s="22"/>
      <c r="Q42" s="22"/>
      <c r="R42" s="36"/>
      <c r="S42" s="44"/>
      <c r="T42" s="47"/>
      <c r="U42" s="52">
        <f t="shared" si="5"/>
        <v>0</v>
      </c>
      <c r="V42" s="23" t="str">
        <f t="shared" si="3"/>
        <v>OK</v>
      </c>
    </row>
    <row r="43" spans="1:22" hidden="1" x14ac:dyDescent="0.3">
      <c r="A43" s="12" t="s">
        <v>63</v>
      </c>
      <c r="B43" s="62">
        <v>11336</v>
      </c>
      <c r="C43" s="12" t="s">
        <v>62</v>
      </c>
      <c r="D43" s="53"/>
      <c r="E43" s="13"/>
      <c r="F43" s="13"/>
      <c r="G43" s="14"/>
      <c r="H43" s="15"/>
      <c r="I43" s="16">
        <f t="shared" si="4"/>
        <v>0</v>
      </c>
      <c r="J43" s="16"/>
      <c r="K43" s="11"/>
      <c r="L43" s="16"/>
      <c r="M43" s="16"/>
      <c r="N43" s="16"/>
      <c r="O43" s="16"/>
      <c r="P43" s="16"/>
      <c r="Q43" s="16"/>
      <c r="R43" s="35"/>
      <c r="S43" s="43"/>
      <c r="T43" s="46"/>
      <c r="U43" s="51">
        <f t="shared" si="5"/>
        <v>0</v>
      </c>
      <c r="V43" s="17" t="str">
        <f t="shared" si="3"/>
        <v>OK</v>
      </c>
    </row>
    <row r="44" spans="1:22" hidden="1" x14ac:dyDescent="0.3">
      <c r="A44" s="54" t="s">
        <v>100</v>
      </c>
      <c r="B44" s="63">
        <v>14860</v>
      </c>
      <c r="C44" s="18" t="s">
        <v>56</v>
      </c>
      <c r="D44" s="19"/>
      <c r="E44" s="19"/>
      <c r="F44" s="19"/>
      <c r="G44" s="20"/>
      <c r="H44" s="21"/>
      <c r="I44" s="22">
        <f t="shared" si="4"/>
        <v>0</v>
      </c>
      <c r="J44" s="22"/>
      <c r="K44" s="11"/>
      <c r="L44" s="22"/>
      <c r="M44" s="22"/>
      <c r="N44" s="22"/>
      <c r="O44" s="22"/>
      <c r="P44" s="22"/>
      <c r="Q44" s="22"/>
      <c r="R44" s="36"/>
      <c r="S44" s="44"/>
      <c r="T44" s="47"/>
      <c r="U44" s="52">
        <f t="shared" si="5"/>
        <v>0</v>
      </c>
      <c r="V44" s="23" t="str">
        <f t="shared" si="3"/>
        <v>OK</v>
      </c>
    </row>
    <row r="45" spans="1:22" hidden="1" x14ac:dyDescent="0.3">
      <c r="A45" s="64" t="s">
        <v>83</v>
      </c>
      <c r="B45" s="62">
        <v>14861</v>
      </c>
      <c r="C45" s="12" t="s">
        <v>56</v>
      </c>
      <c r="D45" s="53"/>
      <c r="E45" s="13"/>
      <c r="F45" s="13"/>
      <c r="G45" s="14"/>
      <c r="H45" s="15"/>
      <c r="I45" s="16">
        <f t="shared" si="4"/>
        <v>0</v>
      </c>
      <c r="J45" s="16"/>
      <c r="K45" s="11"/>
      <c r="L45" s="16"/>
      <c r="M45" s="16"/>
      <c r="N45" s="16"/>
      <c r="O45" s="16"/>
      <c r="P45" s="16"/>
      <c r="Q45" s="16"/>
      <c r="R45" s="35"/>
      <c r="S45" s="43"/>
      <c r="T45" s="46"/>
      <c r="U45" s="51">
        <f t="shared" si="5"/>
        <v>0</v>
      </c>
      <c r="V45" s="17" t="str">
        <f t="shared" si="3"/>
        <v>OK</v>
      </c>
    </row>
    <row r="46" spans="1:22" hidden="1" x14ac:dyDescent="0.3">
      <c r="A46" s="54" t="s">
        <v>101</v>
      </c>
      <c r="B46" s="63">
        <v>15096</v>
      </c>
      <c r="C46" s="18" t="s">
        <v>56</v>
      </c>
      <c r="D46" s="19"/>
      <c r="E46" s="19"/>
      <c r="F46" s="19"/>
      <c r="G46" s="20"/>
      <c r="H46" s="21"/>
      <c r="I46" s="22">
        <f t="shared" si="4"/>
        <v>0</v>
      </c>
      <c r="J46" s="22"/>
      <c r="K46" s="11"/>
      <c r="L46" s="22"/>
      <c r="M46" s="22"/>
      <c r="N46" s="22"/>
      <c r="O46" s="22"/>
      <c r="P46" s="22"/>
      <c r="Q46" s="22"/>
      <c r="R46" s="36"/>
      <c r="S46" s="44"/>
      <c r="T46" s="47"/>
      <c r="U46" s="52">
        <f t="shared" si="5"/>
        <v>0</v>
      </c>
      <c r="V46" s="23" t="str">
        <f t="shared" si="3"/>
        <v>OK</v>
      </c>
    </row>
    <row r="47" spans="1:22" hidden="1" x14ac:dyDescent="0.3">
      <c r="A47" s="12" t="s">
        <v>81</v>
      </c>
      <c r="B47" s="62">
        <v>15097</v>
      </c>
      <c r="C47" s="12" t="s">
        <v>56</v>
      </c>
      <c r="D47" s="53"/>
      <c r="E47" s="13"/>
      <c r="F47" s="13"/>
      <c r="G47" s="14"/>
      <c r="H47" s="15"/>
      <c r="I47" s="16">
        <f t="shared" si="4"/>
        <v>0</v>
      </c>
      <c r="J47" s="16"/>
      <c r="K47" s="11"/>
      <c r="L47" s="16"/>
      <c r="M47" s="16"/>
      <c r="N47" s="16"/>
      <c r="O47" s="16"/>
      <c r="P47" s="16"/>
      <c r="Q47" s="16"/>
      <c r="R47" s="35"/>
      <c r="S47" s="43"/>
      <c r="T47" s="46"/>
      <c r="U47" s="51">
        <f t="shared" si="5"/>
        <v>0</v>
      </c>
      <c r="V47" s="17" t="str">
        <f t="shared" si="3"/>
        <v>OK</v>
      </c>
    </row>
    <row r="48" spans="1:22" hidden="1" x14ac:dyDescent="0.3">
      <c r="A48" s="54" t="s">
        <v>76</v>
      </c>
      <c r="B48" s="63">
        <v>5585</v>
      </c>
      <c r="C48" s="18" t="s">
        <v>64</v>
      </c>
      <c r="D48" s="19"/>
      <c r="E48" s="19"/>
      <c r="F48" s="19"/>
      <c r="G48" s="20"/>
      <c r="H48" s="21"/>
      <c r="I48" s="22">
        <f t="shared" si="4"/>
        <v>0</v>
      </c>
      <c r="J48" s="22"/>
      <c r="K48" s="11"/>
      <c r="L48" s="22"/>
      <c r="M48" s="22"/>
      <c r="N48" s="22"/>
      <c r="O48" s="22"/>
      <c r="P48" s="22"/>
      <c r="Q48" s="22"/>
      <c r="R48" s="36"/>
      <c r="S48" s="44"/>
      <c r="T48" s="47"/>
      <c r="U48" s="52">
        <f t="shared" si="5"/>
        <v>0</v>
      </c>
      <c r="V48" s="23" t="str">
        <f t="shared" si="3"/>
        <v>OK</v>
      </c>
    </row>
    <row r="49" spans="1:22" hidden="1" x14ac:dyDescent="0.3">
      <c r="A49" s="12" t="s">
        <v>65</v>
      </c>
      <c r="B49" s="62">
        <v>11351</v>
      </c>
      <c r="C49" s="12" t="s">
        <v>64</v>
      </c>
      <c r="D49" s="53"/>
      <c r="E49" s="13"/>
      <c r="F49" s="13"/>
      <c r="G49" s="14"/>
      <c r="H49" s="15"/>
      <c r="I49" s="16">
        <f t="shared" si="4"/>
        <v>0</v>
      </c>
      <c r="J49" s="16"/>
      <c r="K49" s="11"/>
      <c r="L49" s="16"/>
      <c r="M49" s="16"/>
      <c r="N49" s="16"/>
      <c r="O49" s="16"/>
      <c r="P49" s="16"/>
      <c r="Q49" s="16"/>
      <c r="R49" s="35"/>
      <c r="S49" s="43"/>
      <c r="T49" s="46"/>
      <c r="U49" s="51">
        <f t="shared" si="5"/>
        <v>0</v>
      </c>
      <c r="V49" s="17" t="str">
        <f t="shared" si="3"/>
        <v>OK</v>
      </c>
    </row>
    <row r="50" spans="1:22" hidden="1" x14ac:dyDescent="0.3">
      <c r="A50" s="54" t="s">
        <v>66</v>
      </c>
      <c r="B50" s="63">
        <v>11352</v>
      </c>
      <c r="C50" s="18" t="s">
        <v>64</v>
      </c>
      <c r="D50" s="19"/>
      <c r="E50" s="19"/>
      <c r="F50" s="19"/>
      <c r="G50" s="20"/>
      <c r="H50" s="21"/>
      <c r="I50" s="22">
        <f t="shared" si="4"/>
        <v>0</v>
      </c>
      <c r="J50" s="22"/>
      <c r="K50" s="11"/>
      <c r="L50" s="22"/>
      <c r="M50" s="22"/>
      <c r="N50" s="22"/>
      <c r="O50" s="22"/>
      <c r="P50" s="22"/>
      <c r="Q50" s="22"/>
      <c r="R50" s="36"/>
      <c r="S50" s="44"/>
      <c r="T50" s="47"/>
      <c r="U50" s="52">
        <f t="shared" si="5"/>
        <v>0</v>
      </c>
      <c r="V50" s="23" t="str">
        <f t="shared" si="3"/>
        <v>OK</v>
      </c>
    </row>
    <row r="51" spans="1:22" hidden="1" x14ac:dyDescent="0.3">
      <c r="A51" s="90" t="s">
        <v>102</v>
      </c>
      <c r="B51" s="76">
        <v>13515</v>
      </c>
      <c r="C51" s="70" t="s">
        <v>78</v>
      </c>
      <c r="D51" s="70"/>
      <c r="E51" s="70"/>
      <c r="F51" s="70"/>
      <c r="G51" s="91"/>
      <c r="H51" s="82"/>
      <c r="I51" s="82">
        <f t="shared" si="4"/>
        <v>0</v>
      </c>
      <c r="J51" s="74"/>
      <c r="K51" s="11"/>
      <c r="L51" s="16"/>
      <c r="M51" s="16"/>
      <c r="N51" s="16"/>
      <c r="O51" s="16"/>
      <c r="P51" s="16"/>
      <c r="Q51" s="16"/>
      <c r="R51" s="35"/>
      <c r="S51" s="43"/>
      <c r="T51" s="46"/>
      <c r="U51" s="75">
        <f t="shared" si="5"/>
        <v>0</v>
      </c>
      <c r="V51" s="93" t="str">
        <f t="shared" si="3"/>
        <v>OK</v>
      </c>
    </row>
    <row r="52" spans="1:22" hidden="1" x14ac:dyDescent="0.3">
      <c r="A52" s="54" t="s">
        <v>103</v>
      </c>
      <c r="B52" s="63">
        <v>13516</v>
      </c>
      <c r="C52" s="18" t="s">
        <v>78</v>
      </c>
      <c r="D52" s="18"/>
      <c r="E52" s="18"/>
      <c r="F52" s="18"/>
      <c r="G52" s="92"/>
      <c r="H52" s="22"/>
      <c r="I52" s="22">
        <f t="shared" si="4"/>
        <v>0</v>
      </c>
      <c r="J52" s="69"/>
      <c r="K52" s="11"/>
      <c r="L52" s="22"/>
      <c r="M52" s="22"/>
      <c r="N52" s="22"/>
      <c r="O52" s="22"/>
      <c r="P52" s="22"/>
      <c r="Q52" s="22"/>
      <c r="R52" s="36"/>
      <c r="S52" s="44"/>
      <c r="T52" s="47"/>
      <c r="U52" s="52">
        <f t="shared" si="5"/>
        <v>0</v>
      </c>
      <c r="V52" s="23" t="str">
        <f t="shared" si="3"/>
        <v>OK</v>
      </c>
    </row>
    <row r="53" spans="1:22" hidden="1" x14ac:dyDescent="0.3">
      <c r="A53" s="90" t="s">
        <v>104</v>
      </c>
      <c r="B53" s="76">
        <v>13468</v>
      </c>
      <c r="C53" s="70" t="s">
        <v>78</v>
      </c>
      <c r="D53" s="70"/>
      <c r="E53" s="70"/>
      <c r="F53" s="70"/>
      <c r="G53" s="91"/>
      <c r="H53" s="82"/>
      <c r="I53" s="82">
        <f t="shared" si="4"/>
        <v>0</v>
      </c>
      <c r="J53" s="74"/>
      <c r="K53" s="11"/>
      <c r="L53" s="16"/>
      <c r="M53" s="16"/>
      <c r="N53" s="16"/>
      <c r="O53" s="16"/>
      <c r="P53" s="16"/>
      <c r="Q53" s="16"/>
      <c r="R53" s="35"/>
      <c r="S53" s="43"/>
      <c r="T53" s="46"/>
      <c r="U53" s="75">
        <f t="shared" si="5"/>
        <v>0</v>
      </c>
      <c r="V53" s="93" t="str">
        <f t="shared" si="3"/>
        <v>OK</v>
      </c>
    </row>
    <row r="54" spans="1:22" hidden="1" x14ac:dyDescent="0.3">
      <c r="A54" s="54" t="s">
        <v>79</v>
      </c>
      <c r="B54" s="63">
        <v>13469</v>
      </c>
      <c r="C54" s="18" t="s">
        <v>78</v>
      </c>
      <c r="D54" s="18"/>
      <c r="E54" s="18"/>
      <c r="F54" s="18"/>
      <c r="G54" s="92"/>
      <c r="H54" s="22"/>
      <c r="I54" s="22">
        <f t="shared" si="4"/>
        <v>0</v>
      </c>
      <c r="J54" s="69"/>
      <c r="K54" s="11"/>
      <c r="L54" s="22"/>
      <c r="M54" s="22"/>
      <c r="N54" s="22"/>
      <c r="O54" s="22"/>
      <c r="P54" s="22"/>
      <c r="Q54" s="22"/>
      <c r="R54" s="36"/>
      <c r="S54" s="44"/>
      <c r="T54" s="47"/>
      <c r="U54" s="52">
        <f t="shared" si="5"/>
        <v>0</v>
      </c>
      <c r="V54" s="23" t="str">
        <f t="shared" si="3"/>
        <v>OK</v>
      </c>
    </row>
    <row r="55" spans="1:22" hidden="1" x14ac:dyDescent="0.3">
      <c r="A55" s="90" t="s">
        <v>43</v>
      </c>
      <c r="B55" s="76">
        <v>11820</v>
      </c>
      <c r="C55" s="70" t="s">
        <v>67</v>
      </c>
      <c r="D55" s="70"/>
      <c r="E55" s="70"/>
      <c r="F55" s="70"/>
      <c r="G55" s="91"/>
      <c r="H55" s="82"/>
      <c r="I55" s="82">
        <f t="shared" si="4"/>
        <v>0</v>
      </c>
      <c r="J55" s="74"/>
      <c r="K55" s="11"/>
      <c r="L55" s="16"/>
      <c r="M55" s="16"/>
      <c r="N55" s="16"/>
      <c r="O55" s="16"/>
      <c r="P55" s="16"/>
      <c r="Q55" s="16"/>
      <c r="R55" s="35"/>
      <c r="S55" s="43"/>
      <c r="T55" s="46"/>
      <c r="U55" s="75">
        <f t="shared" si="5"/>
        <v>0</v>
      </c>
      <c r="V55" s="93" t="str">
        <f t="shared" si="3"/>
        <v>OK</v>
      </c>
    </row>
    <row r="56" spans="1:22" hidden="1" x14ac:dyDescent="0.3">
      <c r="A56" s="54" t="s">
        <v>44</v>
      </c>
      <c r="B56" s="63">
        <v>11816</v>
      </c>
      <c r="C56" s="18" t="s">
        <v>67</v>
      </c>
      <c r="D56" s="18"/>
      <c r="E56" s="18"/>
      <c r="F56" s="18"/>
      <c r="G56" s="92"/>
      <c r="H56" s="22"/>
      <c r="I56" s="22">
        <f t="shared" si="4"/>
        <v>0</v>
      </c>
      <c r="J56" s="69"/>
      <c r="K56" s="11"/>
      <c r="L56" s="22"/>
      <c r="M56" s="22"/>
      <c r="N56" s="22"/>
      <c r="O56" s="22"/>
      <c r="P56" s="22"/>
      <c r="Q56" s="22"/>
      <c r="R56" s="36"/>
      <c r="S56" s="44"/>
      <c r="T56" s="47"/>
      <c r="U56" s="52">
        <f>SUM(L56:T56)</f>
        <v>0</v>
      </c>
      <c r="V56" s="23" t="str">
        <f t="shared" si="3"/>
        <v>OK</v>
      </c>
    </row>
    <row r="57" spans="1:22" hidden="1" x14ac:dyDescent="0.3">
      <c r="A57" s="76" t="s">
        <v>77</v>
      </c>
      <c r="B57" s="76">
        <v>11381</v>
      </c>
      <c r="C57" s="77" t="s">
        <v>68</v>
      </c>
      <c r="D57" s="70"/>
      <c r="E57" s="70"/>
      <c r="F57" s="70"/>
      <c r="G57" s="91"/>
      <c r="H57" s="82"/>
      <c r="I57" s="82">
        <f t="shared" si="4"/>
        <v>0</v>
      </c>
      <c r="J57" s="74"/>
      <c r="K57" s="11"/>
      <c r="L57" s="16"/>
      <c r="M57" s="16"/>
      <c r="N57" s="16"/>
      <c r="O57" s="16"/>
      <c r="P57" s="16"/>
      <c r="Q57" s="16"/>
      <c r="R57" s="35"/>
      <c r="S57" s="43"/>
      <c r="T57" s="46"/>
      <c r="U57" s="75">
        <f>SUM(L57:T57)</f>
        <v>0</v>
      </c>
      <c r="V57" s="93" t="str">
        <f t="shared" si="3"/>
        <v>OK</v>
      </c>
    </row>
    <row r="58" spans="1:22" hidden="1" x14ac:dyDescent="0.3">
      <c r="A58" s="54" t="s">
        <v>69</v>
      </c>
      <c r="B58" s="63">
        <v>11382</v>
      </c>
      <c r="C58" s="18" t="s">
        <v>68</v>
      </c>
      <c r="D58" s="18"/>
      <c r="E58" s="18"/>
      <c r="F58" s="18"/>
      <c r="G58" s="92"/>
      <c r="H58" s="22"/>
      <c r="I58" s="22">
        <f t="shared" si="4"/>
        <v>0</v>
      </c>
      <c r="J58" s="69"/>
      <c r="K58" s="11"/>
      <c r="L58" s="22"/>
      <c r="M58" s="22"/>
      <c r="N58" s="22"/>
      <c r="O58" s="22"/>
      <c r="P58" s="22"/>
      <c r="Q58" s="22"/>
      <c r="R58" s="36"/>
      <c r="S58" s="44"/>
      <c r="T58" s="47"/>
      <c r="U58" s="52">
        <f>SUM(L58:T58)</f>
        <v>0</v>
      </c>
      <c r="V58" s="23" t="str">
        <f t="shared" si="3"/>
        <v>OK</v>
      </c>
    </row>
    <row r="59" spans="1:22" hidden="1" x14ac:dyDescent="0.3">
      <c r="A59" s="96" t="s">
        <v>105</v>
      </c>
      <c r="B59" s="76">
        <v>16586</v>
      </c>
      <c r="C59" s="70" t="s">
        <v>78</v>
      </c>
      <c r="D59" s="70"/>
      <c r="E59" s="70"/>
      <c r="F59" s="70"/>
      <c r="G59" s="91"/>
      <c r="H59" s="82"/>
      <c r="I59" s="82">
        <f t="shared" si="4"/>
        <v>0</v>
      </c>
      <c r="J59" s="74"/>
      <c r="K59" s="11"/>
      <c r="L59" s="16"/>
      <c r="M59" s="16"/>
      <c r="N59" s="16"/>
      <c r="O59" s="16"/>
      <c r="P59" s="16"/>
      <c r="Q59" s="16"/>
      <c r="R59" s="35"/>
      <c r="S59" s="43"/>
      <c r="T59" s="46"/>
      <c r="U59" s="75">
        <f t="shared" ref="U59:U69" si="6">SUM(L59:T59)</f>
        <v>0</v>
      </c>
      <c r="V59" s="93" t="str">
        <f t="shared" si="3"/>
        <v>OK</v>
      </c>
    </row>
    <row r="60" spans="1:22" hidden="1" x14ac:dyDescent="0.3">
      <c r="A60" s="54" t="s">
        <v>90</v>
      </c>
      <c r="B60" s="63">
        <v>16587</v>
      </c>
      <c r="C60" s="18" t="s">
        <v>78</v>
      </c>
      <c r="D60" s="18"/>
      <c r="E60" s="18"/>
      <c r="F60" s="18"/>
      <c r="G60" s="92"/>
      <c r="H60" s="22"/>
      <c r="I60" s="22">
        <f t="shared" si="4"/>
        <v>0</v>
      </c>
      <c r="J60" s="69"/>
      <c r="K60" s="11"/>
      <c r="L60" s="22"/>
      <c r="M60" s="22"/>
      <c r="N60" s="22"/>
      <c r="O60" s="22"/>
      <c r="P60" s="22"/>
      <c r="Q60" s="22"/>
      <c r="R60" s="36"/>
      <c r="S60" s="44"/>
      <c r="T60" s="47"/>
      <c r="U60" s="52">
        <f t="shared" si="6"/>
        <v>0</v>
      </c>
      <c r="V60" s="23" t="str">
        <f t="shared" si="3"/>
        <v>OK</v>
      </c>
    </row>
    <row r="61" spans="1:22" hidden="1" x14ac:dyDescent="0.3">
      <c r="A61" s="90" t="s">
        <v>91</v>
      </c>
      <c r="B61" s="76">
        <v>17121</v>
      </c>
      <c r="C61" s="70" t="s">
        <v>92</v>
      </c>
      <c r="D61" s="70"/>
      <c r="E61" s="70"/>
      <c r="F61" s="70"/>
      <c r="G61" s="91"/>
      <c r="H61" s="82"/>
      <c r="I61" s="82">
        <f t="shared" si="4"/>
        <v>0</v>
      </c>
      <c r="J61" s="74"/>
      <c r="K61" s="11"/>
      <c r="L61" s="16"/>
      <c r="M61" s="16"/>
      <c r="N61" s="16"/>
      <c r="O61" s="16"/>
      <c r="P61" s="16"/>
      <c r="Q61" s="16"/>
      <c r="R61" s="35"/>
      <c r="S61" s="43"/>
      <c r="T61" s="46"/>
      <c r="U61" s="75">
        <f t="shared" si="6"/>
        <v>0</v>
      </c>
      <c r="V61" s="93" t="str">
        <f t="shared" si="3"/>
        <v>OK</v>
      </c>
    </row>
    <row r="62" spans="1:22" hidden="1" x14ac:dyDescent="0.3">
      <c r="A62" s="54" t="s">
        <v>106</v>
      </c>
      <c r="B62" s="63">
        <v>19270</v>
      </c>
      <c r="C62" s="18" t="s">
        <v>68</v>
      </c>
      <c r="D62" s="18"/>
      <c r="E62" s="18"/>
      <c r="F62" s="18"/>
      <c r="G62" s="92"/>
      <c r="H62" s="22"/>
      <c r="I62" s="22">
        <f t="shared" si="4"/>
        <v>0</v>
      </c>
      <c r="J62" s="69"/>
      <c r="K62" s="11"/>
      <c r="L62" s="22"/>
      <c r="M62" s="22"/>
      <c r="N62" s="22"/>
      <c r="O62" s="22"/>
      <c r="P62" s="22"/>
      <c r="Q62" s="22"/>
      <c r="R62" s="36"/>
      <c r="S62" s="44"/>
      <c r="T62" s="47"/>
      <c r="U62" s="71">
        <f t="shared" si="6"/>
        <v>0</v>
      </c>
      <c r="V62" s="23" t="str">
        <f t="shared" si="3"/>
        <v>OK</v>
      </c>
    </row>
    <row r="63" spans="1:22" hidden="1" x14ac:dyDescent="0.3">
      <c r="A63" s="90" t="s">
        <v>107</v>
      </c>
      <c r="B63" s="76">
        <v>19276</v>
      </c>
      <c r="C63" s="70" t="s">
        <v>68</v>
      </c>
      <c r="D63" s="70"/>
      <c r="E63" s="70"/>
      <c r="F63" s="70"/>
      <c r="G63" s="91"/>
      <c r="H63" s="82"/>
      <c r="I63" s="82">
        <f t="shared" si="4"/>
        <v>0</v>
      </c>
      <c r="J63" s="74"/>
      <c r="K63" s="11"/>
      <c r="L63" s="16"/>
      <c r="M63" s="16"/>
      <c r="N63" s="16"/>
      <c r="O63" s="16"/>
      <c r="P63" s="16"/>
      <c r="Q63" s="16"/>
      <c r="R63" s="35"/>
      <c r="S63" s="43"/>
      <c r="T63" s="46"/>
      <c r="U63" s="75">
        <f t="shared" si="6"/>
        <v>0</v>
      </c>
      <c r="V63" s="93" t="str">
        <f t="shared" si="3"/>
        <v>OK</v>
      </c>
    </row>
    <row r="64" spans="1:22" hidden="1" x14ac:dyDescent="0.3">
      <c r="A64" s="54" t="s">
        <v>108</v>
      </c>
      <c r="B64" s="63">
        <v>19836</v>
      </c>
      <c r="C64" s="18" t="s">
        <v>45</v>
      </c>
      <c r="D64" s="18"/>
      <c r="E64" s="18"/>
      <c r="F64" s="18"/>
      <c r="G64" s="92"/>
      <c r="H64" s="22"/>
      <c r="I64" s="22">
        <f t="shared" si="4"/>
        <v>0</v>
      </c>
      <c r="J64" s="69"/>
      <c r="K64" s="11"/>
      <c r="L64" s="22"/>
      <c r="M64" s="22"/>
      <c r="N64" s="22"/>
      <c r="O64" s="22"/>
      <c r="P64" s="22"/>
      <c r="Q64" s="22"/>
      <c r="R64" s="36"/>
      <c r="S64" s="44"/>
      <c r="T64" s="47"/>
      <c r="U64" s="52">
        <f t="shared" si="6"/>
        <v>0</v>
      </c>
      <c r="V64" s="23" t="str">
        <f t="shared" si="3"/>
        <v>OK</v>
      </c>
    </row>
    <row r="65" spans="1:22" hidden="1" x14ac:dyDescent="0.3">
      <c r="A65" s="90" t="s">
        <v>109</v>
      </c>
      <c r="B65" s="76">
        <v>20278</v>
      </c>
      <c r="C65" s="70" t="s">
        <v>110</v>
      </c>
      <c r="D65" s="70"/>
      <c r="E65" s="70"/>
      <c r="F65" s="70"/>
      <c r="G65" s="91"/>
      <c r="H65" s="82"/>
      <c r="I65" s="82">
        <f t="shared" si="4"/>
        <v>0</v>
      </c>
      <c r="J65" s="74"/>
      <c r="K65" s="11"/>
      <c r="L65" s="16"/>
      <c r="M65" s="16"/>
      <c r="N65" s="16"/>
      <c r="O65" s="16"/>
      <c r="P65" s="16"/>
      <c r="Q65" s="16"/>
      <c r="R65" s="35"/>
      <c r="S65" s="43"/>
      <c r="T65" s="46"/>
      <c r="U65" s="75">
        <f t="shared" si="6"/>
        <v>0</v>
      </c>
      <c r="V65" s="93" t="str">
        <f t="shared" si="3"/>
        <v>OK</v>
      </c>
    </row>
    <row r="66" spans="1:22" hidden="1" x14ac:dyDescent="0.3">
      <c r="A66" s="54" t="s">
        <v>111</v>
      </c>
      <c r="B66" s="63">
        <v>20272</v>
      </c>
      <c r="C66" s="18" t="s">
        <v>110</v>
      </c>
      <c r="D66" s="18"/>
      <c r="E66" s="18"/>
      <c r="F66" s="18"/>
      <c r="G66" s="92"/>
      <c r="H66" s="22"/>
      <c r="I66" s="22">
        <f t="shared" si="4"/>
        <v>0</v>
      </c>
      <c r="J66" s="69"/>
      <c r="K66" s="11"/>
      <c r="L66" s="22"/>
      <c r="M66" s="22"/>
      <c r="N66" s="22"/>
      <c r="O66" s="22"/>
      <c r="P66" s="22"/>
      <c r="Q66" s="22"/>
      <c r="R66" s="36"/>
      <c r="S66" s="44"/>
      <c r="T66" s="47"/>
      <c r="U66" s="52">
        <f t="shared" si="6"/>
        <v>0</v>
      </c>
      <c r="V66" s="23" t="str">
        <f t="shared" si="3"/>
        <v>OK</v>
      </c>
    </row>
    <row r="67" spans="1:22" hidden="1" x14ac:dyDescent="0.3">
      <c r="A67" s="90" t="s">
        <v>112</v>
      </c>
      <c r="B67" s="76">
        <v>20956</v>
      </c>
      <c r="C67" s="70" t="s">
        <v>110</v>
      </c>
      <c r="D67" s="70"/>
      <c r="E67" s="70"/>
      <c r="F67" s="70"/>
      <c r="G67" s="91"/>
      <c r="H67" s="82"/>
      <c r="I67" s="82">
        <f t="shared" si="4"/>
        <v>0</v>
      </c>
      <c r="J67" s="74"/>
      <c r="K67" s="11"/>
      <c r="L67" s="16"/>
      <c r="M67" s="16"/>
      <c r="N67" s="16"/>
      <c r="O67" s="16"/>
      <c r="P67" s="16"/>
      <c r="Q67" s="16"/>
      <c r="R67" s="35"/>
      <c r="S67" s="43"/>
      <c r="T67" s="46"/>
      <c r="U67" s="75">
        <f t="shared" si="6"/>
        <v>0</v>
      </c>
      <c r="V67" s="93" t="str">
        <f t="shared" si="3"/>
        <v>OK</v>
      </c>
    </row>
    <row r="68" spans="1:22" hidden="1" x14ac:dyDescent="0.3">
      <c r="A68" s="54" t="s">
        <v>116</v>
      </c>
      <c r="B68" s="63">
        <v>21299</v>
      </c>
      <c r="C68" s="18" t="s">
        <v>78</v>
      </c>
      <c r="D68" s="18"/>
      <c r="E68" s="18"/>
      <c r="F68" s="18"/>
      <c r="G68" s="92"/>
      <c r="H68" s="22"/>
      <c r="I68" s="22">
        <f t="shared" si="4"/>
        <v>0</v>
      </c>
      <c r="J68" s="69"/>
      <c r="K68" s="11"/>
      <c r="L68" s="22"/>
      <c r="M68" s="22"/>
      <c r="N68" s="22"/>
      <c r="O68" s="22"/>
      <c r="P68" s="22"/>
      <c r="Q68" s="22"/>
      <c r="R68" s="36"/>
      <c r="S68" s="44"/>
      <c r="T68" s="47"/>
      <c r="U68" s="71">
        <f t="shared" si="6"/>
        <v>0</v>
      </c>
      <c r="V68" s="23" t="str">
        <f>IF(U68=I68,"OK","NG")</f>
        <v>OK</v>
      </c>
    </row>
    <row r="69" spans="1:22" hidden="1" x14ac:dyDescent="0.3">
      <c r="A69" s="99" t="s">
        <v>117</v>
      </c>
      <c r="B69" s="76">
        <v>22115</v>
      </c>
      <c r="C69" s="82" t="s">
        <v>118</v>
      </c>
      <c r="D69" s="82"/>
      <c r="E69" s="82"/>
      <c r="F69" s="82"/>
      <c r="G69" s="82"/>
      <c r="H69" s="82"/>
      <c r="I69" s="82">
        <f t="shared" si="4"/>
        <v>0</v>
      </c>
      <c r="J69" s="97"/>
      <c r="K69" s="112"/>
      <c r="L69" s="82"/>
      <c r="M69" s="82"/>
      <c r="N69" s="82"/>
      <c r="O69" s="82"/>
      <c r="P69" s="82"/>
      <c r="Q69" s="82"/>
      <c r="R69" s="83"/>
      <c r="S69" s="84"/>
      <c r="T69" s="100"/>
      <c r="U69" s="75">
        <f t="shared" si="6"/>
        <v>0</v>
      </c>
      <c r="V69" s="93" t="str">
        <f>IF(U69=I69,"OK","NG")</f>
        <v>OK</v>
      </c>
    </row>
    <row r="70" spans="1:22" hidden="1" x14ac:dyDescent="0.3">
      <c r="A70" s="54" t="s">
        <v>120</v>
      </c>
      <c r="B70" s="63">
        <v>22706</v>
      </c>
      <c r="C70" s="18" t="s">
        <v>119</v>
      </c>
      <c r="D70" s="18"/>
      <c r="E70" s="18"/>
      <c r="F70" s="18"/>
      <c r="G70" s="92"/>
      <c r="H70" s="22"/>
      <c r="I70" s="22">
        <f t="shared" si="4"/>
        <v>0</v>
      </c>
      <c r="J70" s="69"/>
      <c r="K70" s="11"/>
      <c r="L70" s="22"/>
      <c r="M70" s="22"/>
      <c r="N70" s="22"/>
      <c r="O70" s="22"/>
      <c r="P70" s="22"/>
      <c r="Q70" s="22"/>
      <c r="R70" s="36"/>
      <c r="S70" s="44"/>
      <c r="T70" s="47"/>
      <c r="U70" s="71">
        <f t="shared" ref="U70" si="7">SUM(L70:T70)</f>
        <v>0</v>
      </c>
      <c r="V70" s="23" t="str">
        <f>IF(U70=I70,"OK","NG")</f>
        <v>OK</v>
      </c>
    </row>
    <row r="71" spans="1:22" hidden="1" x14ac:dyDescent="0.3">
      <c r="A71" s="99" t="s">
        <v>121</v>
      </c>
      <c r="B71" s="76">
        <v>22886</v>
      </c>
      <c r="C71" s="82" t="s">
        <v>46</v>
      </c>
      <c r="D71" s="82"/>
      <c r="E71" s="82"/>
      <c r="F71" s="82"/>
      <c r="G71" s="82"/>
      <c r="H71" s="82"/>
      <c r="I71" s="82">
        <f t="shared" ref="I71:I80" si="8">SUM(L71:T71)</f>
        <v>0</v>
      </c>
      <c r="J71" s="97"/>
      <c r="K71" s="112"/>
      <c r="L71" s="82"/>
      <c r="M71" s="82"/>
      <c r="N71" s="82"/>
      <c r="O71" s="82"/>
      <c r="P71" s="82"/>
      <c r="Q71" s="82"/>
      <c r="R71" s="83"/>
      <c r="S71" s="84"/>
      <c r="T71" s="100"/>
      <c r="U71" s="75">
        <f>SUM(L71:T71)</f>
        <v>0</v>
      </c>
      <c r="V71" s="93" t="str">
        <f>IF(U71=I71,"OK","NG")</f>
        <v>OK</v>
      </c>
    </row>
    <row r="72" spans="1:22" hidden="1" x14ac:dyDescent="0.3">
      <c r="A72" s="54" t="s">
        <v>122</v>
      </c>
      <c r="B72" s="63">
        <v>17528</v>
      </c>
      <c r="C72" s="18" t="s">
        <v>123</v>
      </c>
      <c r="D72" s="18"/>
      <c r="E72" s="18"/>
      <c r="F72" s="18"/>
      <c r="G72" s="92"/>
      <c r="H72" s="22"/>
      <c r="I72" s="22">
        <f t="shared" si="8"/>
        <v>0</v>
      </c>
      <c r="J72" s="69"/>
      <c r="K72" s="11"/>
      <c r="L72" s="22"/>
      <c r="M72" s="22"/>
      <c r="N72" s="22"/>
      <c r="O72" s="22"/>
      <c r="P72" s="22"/>
      <c r="Q72" s="22"/>
      <c r="R72" s="36"/>
      <c r="S72" s="44"/>
      <c r="T72" s="47"/>
      <c r="U72" s="71">
        <f t="shared" ref="U72:U80" si="9">SUM(L72:T72)</f>
        <v>0</v>
      </c>
      <c r="V72" s="95" t="str">
        <f t="shared" ref="V72:V80" si="10">IF(U72=I72,"OK","NG")</f>
        <v>OK</v>
      </c>
    </row>
    <row r="73" spans="1:22" hidden="1" x14ac:dyDescent="0.3">
      <c r="A73" s="99" t="s">
        <v>124</v>
      </c>
      <c r="B73" s="76">
        <v>22380</v>
      </c>
      <c r="C73" s="82" t="s">
        <v>47</v>
      </c>
      <c r="D73" s="82"/>
      <c r="E73" s="82"/>
      <c r="F73" s="82"/>
      <c r="G73" s="82"/>
      <c r="H73" s="82"/>
      <c r="I73" s="82">
        <f t="shared" si="8"/>
        <v>0</v>
      </c>
      <c r="J73" s="97"/>
      <c r="K73" s="112"/>
      <c r="L73" s="82"/>
      <c r="M73" s="82"/>
      <c r="N73" s="82"/>
      <c r="O73" s="82"/>
      <c r="P73" s="82"/>
      <c r="Q73" s="82"/>
      <c r="R73" s="83"/>
      <c r="S73" s="84"/>
      <c r="T73" s="100"/>
      <c r="U73" s="75">
        <f t="shared" si="9"/>
        <v>0</v>
      </c>
      <c r="V73" s="93" t="str">
        <f t="shared" si="10"/>
        <v>OK</v>
      </c>
    </row>
    <row r="74" spans="1:22" hidden="1" x14ac:dyDescent="0.3">
      <c r="A74" s="54" t="s">
        <v>125</v>
      </c>
      <c r="B74" s="63">
        <v>19279</v>
      </c>
      <c r="C74" s="18" t="s">
        <v>126</v>
      </c>
      <c r="D74" s="18"/>
      <c r="E74" s="18"/>
      <c r="F74" s="18"/>
      <c r="G74" s="92"/>
      <c r="H74" s="22"/>
      <c r="I74" s="22">
        <f t="shared" si="8"/>
        <v>0</v>
      </c>
      <c r="J74" s="69"/>
      <c r="K74" s="11"/>
      <c r="L74" s="22"/>
      <c r="M74" s="22"/>
      <c r="N74" s="22"/>
      <c r="O74" s="22"/>
      <c r="P74" s="22"/>
      <c r="Q74" s="22"/>
      <c r="R74" s="36"/>
      <c r="S74" s="44"/>
      <c r="T74" s="47"/>
      <c r="U74" s="71">
        <f t="shared" si="9"/>
        <v>0</v>
      </c>
      <c r="V74" s="95" t="str">
        <f t="shared" si="10"/>
        <v>OK</v>
      </c>
    </row>
    <row r="75" spans="1:22" hidden="1" x14ac:dyDescent="0.3">
      <c r="A75" s="90" t="s">
        <v>131</v>
      </c>
      <c r="B75" s="76">
        <v>22724</v>
      </c>
      <c r="C75" s="70" t="s">
        <v>119</v>
      </c>
      <c r="D75" s="70"/>
      <c r="E75" s="70"/>
      <c r="F75" s="70"/>
      <c r="G75" s="91"/>
      <c r="H75" s="82"/>
      <c r="I75" s="82">
        <f t="shared" si="8"/>
        <v>0</v>
      </c>
      <c r="J75" s="74"/>
      <c r="K75" s="11"/>
      <c r="L75" s="82"/>
      <c r="M75" s="82"/>
      <c r="N75" s="82"/>
      <c r="O75" s="82"/>
      <c r="P75" s="82"/>
      <c r="Q75" s="82"/>
      <c r="R75" s="83"/>
      <c r="S75" s="84"/>
      <c r="T75" s="85"/>
      <c r="U75" s="75">
        <f t="shared" si="9"/>
        <v>0</v>
      </c>
      <c r="V75" s="93" t="s">
        <v>129</v>
      </c>
    </row>
    <row r="76" spans="1:22" ht="17.25" thickBot="1" x14ac:dyDescent="0.35">
      <c r="A76" s="54" t="s">
        <v>133</v>
      </c>
      <c r="B76" s="63">
        <v>22705</v>
      </c>
      <c r="C76" s="18" t="s">
        <v>119</v>
      </c>
      <c r="D76" s="18"/>
      <c r="E76" s="18"/>
      <c r="F76" s="18"/>
      <c r="G76" s="92"/>
      <c r="H76" s="22"/>
      <c r="I76" s="22">
        <f t="shared" si="8"/>
        <v>16</v>
      </c>
      <c r="J76" s="69"/>
      <c r="K76" s="11"/>
      <c r="L76" s="22"/>
      <c r="M76" s="22">
        <v>16</v>
      </c>
      <c r="N76" s="22"/>
      <c r="O76" s="22"/>
      <c r="P76" s="22"/>
      <c r="Q76" s="22"/>
      <c r="R76" s="36"/>
      <c r="S76" s="44"/>
      <c r="T76" s="47"/>
      <c r="U76" s="71">
        <f t="shared" si="9"/>
        <v>16</v>
      </c>
      <c r="V76" s="95" t="str">
        <f t="shared" si="10"/>
        <v>OK</v>
      </c>
    </row>
    <row r="77" spans="1:22" ht="17.25" hidden="1" thickBot="1" x14ac:dyDescent="0.35">
      <c r="A77" s="99" t="s">
        <v>128</v>
      </c>
      <c r="B77" s="76">
        <v>5655</v>
      </c>
      <c r="C77" s="82" t="s">
        <v>54</v>
      </c>
      <c r="D77" s="82"/>
      <c r="E77" s="82"/>
      <c r="F77" s="82"/>
      <c r="G77" s="82"/>
      <c r="H77" s="82"/>
      <c r="I77" s="82">
        <f t="shared" si="8"/>
        <v>0</v>
      </c>
      <c r="J77" s="97"/>
      <c r="K77" s="112"/>
      <c r="L77" s="82"/>
      <c r="M77" s="82"/>
      <c r="N77" s="82"/>
      <c r="O77" s="82"/>
      <c r="P77" s="82"/>
      <c r="Q77" s="82"/>
      <c r="R77" s="83"/>
      <c r="S77" s="84"/>
      <c r="T77" s="100"/>
      <c r="U77" s="75">
        <f t="shared" si="9"/>
        <v>0</v>
      </c>
      <c r="V77" s="93" t="str">
        <f t="shared" si="10"/>
        <v>OK</v>
      </c>
    </row>
    <row r="78" spans="1:22" ht="17.25" hidden="1" thickBot="1" x14ac:dyDescent="0.35">
      <c r="A78" s="120" t="s">
        <v>136</v>
      </c>
      <c r="B78" s="121">
        <v>22704</v>
      </c>
      <c r="C78" s="122" t="s">
        <v>137</v>
      </c>
      <c r="D78" s="122"/>
      <c r="E78" s="122"/>
      <c r="F78" s="122"/>
      <c r="G78" s="122"/>
      <c r="H78" s="122"/>
      <c r="I78" s="22">
        <f t="shared" si="8"/>
        <v>0</v>
      </c>
      <c r="J78" s="45"/>
      <c r="K78" s="112"/>
      <c r="L78" s="22"/>
      <c r="M78" s="22"/>
      <c r="N78" s="22"/>
      <c r="O78" s="22"/>
      <c r="P78" s="22"/>
      <c r="Q78" s="22"/>
      <c r="R78" s="36"/>
      <c r="S78" s="44"/>
      <c r="T78" s="116"/>
      <c r="U78" s="71">
        <f t="shared" si="9"/>
        <v>0</v>
      </c>
      <c r="V78" s="95" t="str">
        <f t="shared" si="10"/>
        <v>OK</v>
      </c>
    </row>
    <row r="79" spans="1:22" ht="17.25" hidden="1" thickBot="1" x14ac:dyDescent="0.35">
      <c r="A79" s="136" t="s">
        <v>139</v>
      </c>
      <c r="B79" s="133">
        <v>22722</v>
      </c>
      <c r="C79" s="137" t="s">
        <v>119</v>
      </c>
      <c r="D79" s="137"/>
      <c r="E79" s="137"/>
      <c r="F79" s="137"/>
      <c r="G79" s="137"/>
      <c r="H79" s="137"/>
      <c r="I79" s="82">
        <f t="shared" si="8"/>
        <v>0</v>
      </c>
      <c r="J79" s="97"/>
      <c r="K79" s="119"/>
      <c r="L79" s="82"/>
      <c r="M79" s="82"/>
      <c r="N79" s="82"/>
      <c r="O79" s="82"/>
      <c r="P79" s="82"/>
      <c r="Q79" s="82"/>
      <c r="R79" s="83"/>
      <c r="S79" s="84"/>
      <c r="T79" s="100"/>
      <c r="U79" s="75">
        <f t="shared" si="9"/>
        <v>0</v>
      </c>
      <c r="V79" s="93" t="str">
        <f t="shared" si="10"/>
        <v>OK</v>
      </c>
    </row>
    <row r="80" spans="1:22" ht="17.25" hidden="1" customHeight="1" thickBot="1" x14ac:dyDescent="0.35">
      <c r="A80" s="126" t="s">
        <v>134</v>
      </c>
      <c r="B80" s="127">
        <v>22723</v>
      </c>
      <c r="C80" s="128" t="s">
        <v>119</v>
      </c>
      <c r="D80" s="128"/>
      <c r="E80" s="128"/>
      <c r="F80" s="128"/>
      <c r="G80" s="128"/>
      <c r="H80" s="128"/>
      <c r="I80" s="128">
        <f t="shared" si="8"/>
        <v>0</v>
      </c>
      <c r="J80" s="45"/>
      <c r="K80" s="112"/>
      <c r="L80" s="22"/>
      <c r="M80" s="22"/>
      <c r="N80" s="22"/>
      <c r="O80" s="22"/>
      <c r="P80" s="22"/>
      <c r="Q80" s="22"/>
      <c r="R80" s="36"/>
      <c r="S80" s="44"/>
      <c r="T80" s="116"/>
      <c r="U80" s="52">
        <f t="shared" si="9"/>
        <v>0</v>
      </c>
      <c r="V80" s="23" t="str">
        <f t="shared" si="10"/>
        <v>OK</v>
      </c>
    </row>
    <row r="81" spans="1:22" x14ac:dyDescent="0.3">
      <c r="A81" s="86"/>
      <c r="B81" s="86"/>
      <c r="C81" s="87" t="s">
        <v>9</v>
      </c>
      <c r="D81" s="87"/>
      <c r="E81" s="87"/>
      <c r="F81" s="87"/>
      <c r="G81" s="88">
        <f>SUM(G6:G49)</f>
        <v>0</v>
      </c>
      <c r="H81" s="89">
        <f>SUM(H6:H49)</f>
        <v>0</v>
      </c>
      <c r="I81" s="88">
        <f>SUM(I6:I80)</f>
        <v>16</v>
      </c>
      <c r="J81" s="40">
        <f>SUM(J6:J49)</f>
        <v>0</v>
      </c>
      <c r="K81" s="115">
        <f>SUM(K6:K51)</f>
        <v>0</v>
      </c>
      <c r="L81" s="38">
        <f>SUM(L6:L80)</f>
        <v>0</v>
      </c>
      <c r="M81" s="38">
        <f t="shared" ref="M81:U81" si="11">SUM(M6:M80)</f>
        <v>16</v>
      </c>
      <c r="N81" s="38">
        <f t="shared" si="11"/>
        <v>0</v>
      </c>
      <c r="O81" s="38">
        <f t="shared" si="11"/>
        <v>0</v>
      </c>
      <c r="P81" s="38">
        <f t="shared" si="11"/>
        <v>0</v>
      </c>
      <c r="Q81" s="38">
        <f t="shared" si="11"/>
        <v>0</v>
      </c>
      <c r="R81" s="38">
        <f t="shared" si="11"/>
        <v>0</v>
      </c>
      <c r="S81" s="38">
        <f t="shared" si="11"/>
        <v>0</v>
      </c>
      <c r="T81" s="38">
        <f t="shared" si="11"/>
        <v>0</v>
      </c>
      <c r="U81" s="38">
        <f t="shared" si="11"/>
        <v>16</v>
      </c>
      <c r="V81" s="41" t="str">
        <f>IF(U81=SUM(I81),"OK","NG")</f>
        <v>OK</v>
      </c>
    </row>
  </sheetData>
  <autoFilter ref="A5:V81" xr:uid="{00000000-0001-0000-1300-000000000000}">
    <filterColumn colId="8">
      <filters>
        <filter val="16"/>
      </filters>
    </filterColumn>
  </autoFilter>
  <mergeCells count="20">
    <mergeCell ref="O4:O5"/>
    <mergeCell ref="P4:P5"/>
    <mergeCell ref="B3:C3"/>
    <mergeCell ref="N4:N5"/>
    <mergeCell ref="B1:C1"/>
    <mergeCell ref="F1:G1"/>
    <mergeCell ref="H1:J3"/>
    <mergeCell ref="B2:C2"/>
    <mergeCell ref="A4:D4"/>
    <mergeCell ref="E4:G4"/>
    <mergeCell ref="H4:J4"/>
    <mergeCell ref="L4:L5"/>
    <mergeCell ref="M4:M5"/>
    <mergeCell ref="Q4:Q5"/>
    <mergeCell ref="R4:R5"/>
    <mergeCell ref="S4:S5"/>
    <mergeCell ref="T4:T5"/>
    <mergeCell ref="V2:V3"/>
    <mergeCell ref="U4:U5"/>
    <mergeCell ref="V4:V5"/>
  </mergeCells>
  <phoneticPr fontId="3" type="noConversion"/>
  <conditionalFormatting sqref="A4 V6:V81">
    <cfRule type="containsText" dxfId="27" priority="9" operator="containsText" text="NG">
      <formula>NOT(ISERROR(SEARCH("NG",A4)))</formula>
    </cfRule>
    <cfRule type="containsText" dxfId="26" priority="10" operator="containsText" text="OK">
      <formula>NOT(ISERROR(SEARCH("OK",A4)))</formula>
    </cfRule>
  </conditionalFormatting>
  <pageMargins left="0.70866141732283472" right="0.70866141732283472" top="0.74803149606299213" bottom="0.74803149606299213" header="0.31496062992125984" footer="0.31496062992125984"/>
  <pageSetup paperSize="8" scale="10"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 filterMode="1">
    <pageSetUpPr fitToPage="1"/>
  </sheetPr>
  <dimension ref="A1:V81"/>
  <sheetViews>
    <sheetView showGridLines="0" zoomScale="85" zoomScaleNormal="85" workbookViewId="0">
      <pane ySplit="5" topLeftCell="A51" activePane="bottomLeft" state="frozen"/>
      <selection activeCell="W73" sqref="W73"/>
      <selection pane="bottomLeft" activeCell="O90" sqref="O90"/>
    </sheetView>
  </sheetViews>
  <sheetFormatPr defaultColWidth="9" defaultRowHeight="16.5" x14ac:dyDescent="0.3"/>
  <cols>
    <col min="1" max="1" width="12.625" bestFit="1" customWidth="1"/>
    <col min="2" max="2" width="14.125" bestFit="1" customWidth="1"/>
    <col min="3" max="3" width="35.125" customWidth="1"/>
    <col min="4" max="4" width="11.75" hidden="1" customWidth="1"/>
    <col min="5" max="6" width="9" hidden="1" customWidth="1"/>
    <col min="7" max="7" width="15.375" hidden="1" customWidth="1"/>
    <col min="8" max="8" width="13.25" hidden="1" customWidth="1"/>
    <col min="9" max="9" width="13.25" customWidth="1"/>
    <col min="10" max="10" width="13.25" hidden="1" customWidth="1"/>
    <col min="11" max="11" width="0.875" customWidth="1"/>
    <col min="20" max="20" width="11" bestFit="1" customWidth="1"/>
  </cols>
  <sheetData>
    <row r="1" spans="1:22" ht="22.5" customHeight="1" thickBot="1" x14ac:dyDescent="0.35">
      <c r="A1" s="32" t="s">
        <v>28</v>
      </c>
      <c r="B1" s="153">
        <f>H69</f>
        <v>0</v>
      </c>
      <c r="C1" s="154"/>
      <c r="D1" s="55"/>
      <c r="E1" s="58" t="s">
        <v>1</v>
      </c>
      <c r="F1" s="155">
        <f>G69</f>
        <v>0</v>
      </c>
      <c r="G1" s="155"/>
      <c r="H1" s="156"/>
      <c r="I1" s="156"/>
      <c r="J1" s="156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22.5" customHeight="1" thickBot="1" x14ac:dyDescent="0.35">
      <c r="A2" s="32" t="s">
        <v>29</v>
      </c>
      <c r="B2" s="158">
        <f>I81</f>
        <v>9</v>
      </c>
      <c r="C2" s="159"/>
      <c r="D2" s="56"/>
      <c r="E2" s="59"/>
      <c r="F2" s="2"/>
      <c r="G2" s="2"/>
      <c r="H2" s="156"/>
      <c r="I2" s="156"/>
      <c r="J2" s="156"/>
      <c r="K2" s="113"/>
      <c r="L2" s="3">
        <f>SUBTOTAL(9,L6:L80)</f>
        <v>0</v>
      </c>
      <c r="M2" s="3">
        <f t="shared" ref="M2:T2" si="0">SUBTOTAL(9,M6:M80)</f>
        <v>9</v>
      </c>
      <c r="N2" s="3">
        <f t="shared" si="0"/>
        <v>0</v>
      </c>
      <c r="O2" s="3">
        <f t="shared" si="0"/>
        <v>0</v>
      </c>
      <c r="P2" s="3">
        <f t="shared" si="0"/>
        <v>0</v>
      </c>
      <c r="Q2" s="3">
        <f t="shared" si="0"/>
        <v>0</v>
      </c>
      <c r="R2" s="3">
        <f t="shared" si="0"/>
        <v>0</v>
      </c>
      <c r="S2" s="3">
        <f t="shared" si="0"/>
        <v>0</v>
      </c>
      <c r="T2" s="3">
        <f t="shared" si="0"/>
        <v>0</v>
      </c>
      <c r="U2" s="48">
        <f>SUBTOTAL(9,U6:U80)</f>
        <v>9</v>
      </c>
      <c r="V2" s="145"/>
    </row>
    <row r="3" spans="1:22" ht="22.5" customHeight="1" thickBot="1" x14ac:dyDescent="0.35">
      <c r="A3" s="33" t="s">
        <v>30</v>
      </c>
      <c r="B3" s="151">
        <f>IF(ISERROR(B2/(B2+B1)*1000000),"",(B2/(B2+B1)*1000000))</f>
        <v>1000000</v>
      </c>
      <c r="C3" s="152"/>
      <c r="D3" s="57"/>
      <c r="E3" s="60"/>
      <c r="F3" s="27"/>
      <c r="G3" s="27"/>
      <c r="H3" s="157"/>
      <c r="I3" s="157"/>
      <c r="J3" s="157"/>
      <c r="K3" s="114"/>
      <c r="L3" s="4">
        <f t="shared" ref="L3:U3" si="1">SUM(L6:L80)</f>
        <v>0</v>
      </c>
      <c r="M3" s="4">
        <f t="shared" si="1"/>
        <v>9</v>
      </c>
      <c r="N3" s="4">
        <f t="shared" si="1"/>
        <v>0</v>
      </c>
      <c r="O3" s="4">
        <f t="shared" si="1"/>
        <v>0</v>
      </c>
      <c r="P3" s="4">
        <f t="shared" si="1"/>
        <v>0</v>
      </c>
      <c r="Q3" s="4">
        <f t="shared" si="1"/>
        <v>0</v>
      </c>
      <c r="R3" s="4">
        <f t="shared" si="1"/>
        <v>0</v>
      </c>
      <c r="S3" s="4">
        <f t="shared" si="1"/>
        <v>0</v>
      </c>
      <c r="T3" s="4">
        <f t="shared" si="1"/>
        <v>0</v>
      </c>
      <c r="U3" s="49">
        <f t="shared" si="1"/>
        <v>9</v>
      </c>
      <c r="V3" s="146"/>
    </row>
    <row r="4" spans="1:22" ht="43.5" customHeight="1" x14ac:dyDescent="0.3">
      <c r="A4" s="160" t="str">
        <f>V81</f>
        <v>OK</v>
      </c>
      <c r="B4" s="160"/>
      <c r="C4" s="160"/>
      <c r="D4" s="161"/>
      <c r="E4" s="162" t="s">
        <v>15</v>
      </c>
      <c r="F4" s="162"/>
      <c r="G4" s="162"/>
      <c r="H4" s="163" t="s">
        <v>16</v>
      </c>
      <c r="I4" s="163"/>
      <c r="J4" s="163"/>
      <c r="K4" s="113"/>
      <c r="L4" s="164" t="s">
        <v>10</v>
      </c>
      <c r="M4" s="142" t="s">
        <v>17</v>
      </c>
      <c r="N4" s="142" t="s">
        <v>11</v>
      </c>
      <c r="O4" s="138" t="s">
        <v>12</v>
      </c>
      <c r="P4" s="142" t="s">
        <v>13</v>
      </c>
      <c r="Q4" s="138" t="s">
        <v>14</v>
      </c>
      <c r="R4" s="140" t="s">
        <v>20</v>
      </c>
      <c r="S4" s="142" t="s">
        <v>21</v>
      </c>
      <c r="T4" s="143" t="s">
        <v>22</v>
      </c>
      <c r="U4" s="147" t="s">
        <v>18</v>
      </c>
      <c r="V4" s="149" t="s">
        <v>19</v>
      </c>
    </row>
    <row r="5" spans="1:22" ht="33.75" thickBot="1" x14ac:dyDescent="0.35">
      <c r="A5" s="29" t="s">
        <v>3</v>
      </c>
      <c r="B5" s="30" t="s">
        <v>32</v>
      </c>
      <c r="C5" s="29" t="s">
        <v>4</v>
      </c>
      <c r="D5" s="29" t="s">
        <v>31</v>
      </c>
      <c r="E5" s="29" t="s">
        <v>5</v>
      </c>
      <c r="F5" s="29" t="s">
        <v>6</v>
      </c>
      <c r="G5" s="30" t="s">
        <v>7</v>
      </c>
      <c r="H5" s="31" t="s">
        <v>0</v>
      </c>
      <c r="I5" s="31" t="s">
        <v>2</v>
      </c>
      <c r="J5" s="31" t="s">
        <v>8</v>
      </c>
      <c r="K5" s="28"/>
      <c r="L5" s="165"/>
      <c r="M5" s="139"/>
      <c r="N5" s="139"/>
      <c r="O5" s="139"/>
      <c r="P5" s="139"/>
      <c r="Q5" s="139"/>
      <c r="R5" s="141"/>
      <c r="S5" s="139"/>
      <c r="T5" s="144"/>
      <c r="U5" s="148"/>
      <c r="V5" s="150"/>
    </row>
    <row r="6" spans="1:22" hidden="1" x14ac:dyDescent="0.3">
      <c r="A6" s="61" t="s">
        <v>33</v>
      </c>
      <c r="B6" s="61">
        <v>8092</v>
      </c>
      <c r="C6" s="6" t="s">
        <v>45</v>
      </c>
      <c r="D6" s="7"/>
      <c r="E6" s="7"/>
      <c r="F6" s="7"/>
      <c r="G6" s="8"/>
      <c r="H6" s="9"/>
      <c r="I6" s="10">
        <f>SUM(L6:T6)</f>
        <v>0</v>
      </c>
      <c r="J6" s="10"/>
      <c r="K6" s="11"/>
      <c r="L6" s="10"/>
      <c r="M6" s="10"/>
      <c r="N6" s="10"/>
      <c r="O6" s="10"/>
      <c r="P6" s="10"/>
      <c r="Q6" s="10"/>
      <c r="R6" s="34"/>
      <c r="S6" s="42"/>
      <c r="T6" s="45"/>
      <c r="U6" s="50">
        <f t="shared" ref="U6:U36" si="2">SUM(L6:T6)</f>
        <v>0</v>
      </c>
      <c r="V6" s="26" t="str">
        <f t="shared" ref="V6:V67" si="3">IF(U6=I6,"OK","NG")</f>
        <v>OK</v>
      </c>
    </row>
    <row r="7" spans="1:22" hidden="1" x14ac:dyDescent="0.3">
      <c r="A7" s="62" t="s">
        <v>95</v>
      </c>
      <c r="B7" s="62">
        <v>8088</v>
      </c>
      <c r="C7" s="12" t="s">
        <v>46</v>
      </c>
      <c r="D7" s="53"/>
      <c r="E7" s="13"/>
      <c r="F7" s="13"/>
      <c r="G7" s="14"/>
      <c r="H7" s="15"/>
      <c r="I7" s="16">
        <f t="shared" ref="I7:I70" si="4">SUM(L7:T7)</f>
        <v>0</v>
      </c>
      <c r="J7" s="16"/>
      <c r="K7" s="11"/>
      <c r="L7" s="16"/>
      <c r="M7" s="16"/>
      <c r="N7" s="16"/>
      <c r="O7" s="16"/>
      <c r="P7" s="16"/>
      <c r="Q7" s="16"/>
      <c r="R7" s="35"/>
      <c r="S7" s="43"/>
      <c r="T7" s="46"/>
      <c r="U7" s="51">
        <f t="shared" si="2"/>
        <v>0</v>
      </c>
      <c r="V7" s="17" t="str">
        <f t="shared" si="3"/>
        <v>OK</v>
      </c>
    </row>
    <row r="8" spans="1:22" hidden="1" x14ac:dyDescent="0.3">
      <c r="A8" s="63" t="s">
        <v>96</v>
      </c>
      <c r="B8" s="63">
        <v>8081</v>
      </c>
      <c r="C8" s="18" t="s">
        <v>46</v>
      </c>
      <c r="D8" s="19"/>
      <c r="E8" s="19"/>
      <c r="F8" s="19"/>
      <c r="G8" s="20"/>
      <c r="H8" s="21"/>
      <c r="I8" s="22">
        <f t="shared" si="4"/>
        <v>0</v>
      </c>
      <c r="J8" s="22"/>
      <c r="K8" s="11"/>
      <c r="L8" s="22"/>
      <c r="M8" s="22"/>
      <c r="N8" s="22"/>
      <c r="O8" s="22"/>
      <c r="P8" s="22"/>
      <c r="Q8" s="22"/>
      <c r="R8" s="36"/>
      <c r="S8" s="44"/>
      <c r="T8" s="47"/>
      <c r="U8" s="52">
        <f t="shared" si="2"/>
        <v>0</v>
      </c>
      <c r="V8" s="23" t="str">
        <f t="shared" si="3"/>
        <v>OK</v>
      </c>
    </row>
    <row r="9" spans="1:22" hidden="1" x14ac:dyDescent="0.3">
      <c r="A9" s="62" t="s">
        <v>97</v>
      </c>
      <c r="B9" s="62">
        <v>18524</v>
      </c>
      <c r="C9" s="12" t="s">
        <v>46</v>
      </c>
      <c r="D9" s="53"/>
      <c r="E9" s="13"/>
      <c r="F9" s="13"/>
      <c r="G9" s="14"/>
      <c r="H9" s="15"/>
      <c r="I9" s="16">
        <f t="shared" si="4"/>
        <v>0</v>
      </c>
      <c r="J9" s="16"/>
      <c r="K9" s="11"/>
      <c r="L9" s="16"/>
      <c r="M9" s="16"/>
      <c r="N9" s="16"/>
      <c r="O9" s="16"/>
      <c r="P9" s="16"/>
      <c r="Q9" s="16"/>
      <c r="R9" s="35"/>
      <c r="S9" s="43"/>
      <c r="T9" s="46"/>
      <c r="U9" s="51">
        <f t="shared" si="2"/>
        <v>0</v>
      </c>
      <c r="V9" s="17" t="str">
        <f t="shared" si="3"/>
        <v>OK</v>
      </c>
    </row>
    <row r="10" spans="1:22" hidden="1" x14ac:dyDescent="0.3">
      <c r="A10" s="63" t="s">
        <v>34</v>
      </c>
      <c r="B10" s="63">
        <v>6234</v>
      </c>
      <c r="C10" s="18" t="s">
        <v>47</v>
      </c>
      <c r="D10" s="19"/>
      <c r="E10" s="19"/>
      <c r="F10" s="19"/>
      <c r="G10" s="20"/>
      <c r="H10" s="21"/>
      <c r="I10" s="22">
        <f t="shared" si="4"/>
        <v>0</v>
      </c>
      <c r="J10" s="22"/>
      <c r="K10" s="11"/>
      <c r="L10" s="22"/>
      <c r="M10" s="22"/>
      <c r="N10" s="22"/>
      <c r="O10" s="22"/>
      <c r="P10" s="22"/>
      <c r="Q10" s="22"/>
      <c r="R10" s="36"/>
      <c r="S10" s="44"/>
      <c r="T10" s="47"/>
      <c r="U10" s="52">
        <f t="shared" si="2"/>
        <v>0</v>
      </c>
      <c r="V10" s="23" t="str">
        <f t="shared" si="3"/>
        <v>OK</v>
      </c>
    </row>
    <row r="11" spans="1:22" hidden="1" x14ac:dyDescent="0.3">
      <c r="A11" s="62" t="s">
        <v>80</v>
      </c>
      <c r="B11" s="62">
        <v>14830</v>
      </c>
      <c r="C11" s="12" t="s">
        <v>47</v>
      </c>
      <c r="D11" s="53"/>
      <c r="E11" s="13"/>
      <c r="F11" s="13"/>
      <c r="G11" s="14"/>
      <c r="H11" s="15"/>
      <c r="I11" s="16">
        <f t="shared" si="4"/>
        <v>0</v>
      </c>
      <c r="J11" s="16"/>
      <c r="K11" s="11"/>
      <c r="L11" s="16"/>
      <c r="M11" s="16"/>
      <c r="N11" s="16"/>
      <c r="O11" s="16"/>
      <c r="P11" s="16"/>
      <c r="Q11" s="16"/>
      <c r="R11" s="35"/>
      <c r="S11" s="43"/>
      <c r="T11" s="46"/>
      <c r="U11" s="51">
        <f t="shared" si="2"/>
        <v>0</v>
      </c>
      <c r="V11" s="17" t="str">
        <f t="shared" si="3"/>
        <v>OK</v>
      </c>
    </row>
    <row r="12" spans="1:22" hidden="1" x14ac:dyDescent="0.3">
      <c r="A12" s="63" t="s">
        <v>35</v>
      </c>
      <c r="B12" s="63">
        <v>6004</v>
      </c>
      <c r="C12" s="18" t="s">
        <v>48</v>
      </c>
      <c r="D12" s="19"/>
      <c r="E12" s="19"/>
      <c r="F12" s="19"/>
      <c r="G12" s="20"/>
      <c r="H12" s="21"/>
      <c r="I12" s="22">
        <f t="shared" si="4"/>
        <v>0</v>
      </c>
      <c r="J12" s="22"/>
      <c r="K12" s="11"/>
      <c r="L12" s="22"/>
      <c r="M12" s="22"/>
      <c r="N12" s="22"/>
      <c r="O12" s="22"/>
      <c r="P12" s="22"/>
      <c r="Q12" s="22"/>
      <c r="R12" s="36"/>
      <c r="S12" s="44"/>
      <c r="T12" s="47"/>
      <c r="U12" s="52">
        <f t="shared" si="2"/>
        <v>0</v>
      </c>
      <c r="V12" s="23" t="str">
        <f t="shared" si="3"/>
        <v>OK</v>
      </c>
    </row>
    <row r="13" spans="1:22" hidden="1" x14ac:dyDescent="0.3">
      <c r="A13" s="62" t="s">
        <v>36</v>
      </c>
      <c r="B13" s="62">
        <v>11857</v>
      </c>
      <c r="C13" s="12" t="s">
        <v>48</v>
      </c>
      <c r="D13" s="53"/>
      <c r="E13" s="13"/>
      <c r="F13" s="13"/>
      <c r="G13" s="14"/>
      <c r="H13" s="15"/>
      <c r="I13" s="16">
        <f t="shared" si="4"/>
        <v>0</v>
      </c>
      <c r="J13" s="16"/>
      <c r="K13" s="11"/>
      <c r="L13" s="16"/>
      <c r="M13" s="16"/>
      <c r="N13" s="16"/>
      <c r="O13" s="16"/>
      <c r="P13" s="16"/>
      <c r="Q13" s="16"/>
      <c r="R13" s="35"/>
      <c r="S13" s="43"/>
      <c r="T13" s="46"/>
      <c r="U13" s="51">
        <f t="shared" si="2"/>
        <v>0</v>
      </c>
      <c r="V13" s="17" t="str">
        <f t="shared" si="3"/>
        <v>OK</v>
      </c>
    </row>
    <row r="14" spans="1:22" hidden="1" x14ac:dyDescent="0.3">
      <c r="A14" s="63" t="s">
        <v>82</v>
      </c>
      <c r="B14" s="63">
        <v>15004</v>
      </c>
      <c r="C14" s="18" t="s">
        <v>48</v>
      </c>
      <c r="D14" s="19"/>
      <c r="E14" s="19"/>
      <c r="F14" s="19"/>
      <c r="G14" s="20"/>
      <c r="H14" s="21"/>
      <c r="I14" s="22">
        <f t="shared" si="4"/>
        <v>0</v>
      </c>
      <c r="J14" s="22"/>
      <c r="K14" s="11"/>
      <c r="L14" s="22"/>
      <c r="M14" s="22"/>
      <c r="N14" s="22"/>
      <c r="O14" s="22"/>
      <c r="P14" s="22"/>
      <c r="Q14" s="22"/>
      <c r="R14" s="36"/>
      <c r="S14" s="44"/>
      <c r="T14" s="47"/>
      <c r="U14" s="52">
        <f t="shared" si="2"/>
        <v>0</v>
      </c>
      <c r="V14" s="23" t="str">
        <f t="shared" si="3"/>
        <v>OK</v>
      </c>
    </row>
    <row r="15" spans="1:22" hidden="1" x14ac:dyDescent="0.3">
      <c r="A15" s="62" t="s">
        <v>86</v>
      </c>
      <c r="B15" s="62">
        <v>15174</v>
      </c>
      <c r="C15" s="12" t="s">
        <v>45</v>
      </c>
      <c r="D15" s="53"/>
      <c r="E15" s="13"/>
      <c r="F15" s="13"/>
      <c r="G15" s="14"/>
      <c r="H15" s="15"/>
      <c r="I15" s="16">
        <f t="shared" si="4"/>
        <v>0</v>
      </c>
      <c r="J15" s="16"/>
      <c r="K15" s="11"/>
      <c r="L15" s="16"/>
      <c r="M15" s="16"/>
      <c r="N15" s="16"/>
      <c r="O15" s="16"/>
      <c r="P15" s="16"/>
      <c r="Q15" s="16"/>
      <c r="R15" s="35"/>
      <c r="S15" s="43"/>
      <c r="T15" s="46"/>
      <c r="U15" s="51">
        <f t="shared" si="2"/>
        <v>0</v>
      </c>
      <c r="V15" s="17" t="str">
        <f t="shared" si="3"/>
        <v>OK</v>
      </c>
    </row>
    <row r="16" spans="1:22" hidden="1" x14ac:dyDescent="0.3">
      <c r="A16" s="63" t="s">
        <v>87</v>
      </c>
      <c r="B16" s="63">
        <v>15520</v>
      </c>
      <c r="C16" s="18" t="s">
        <v>47</v>
      </c>
      <c r="D16" s="19"/>
      <c r="E16" s="19"/>
      <c r="F16" s="19"/>
      <c r="G16" s="20"/>
      <c r="H16" s="21"/>
      <c r="I16" s="22">
        <f t="shared" si="4"/>
        <v>0</v>
      </c>
      <c r="J16" s="22"/>
      <c r="K16" s="11"/>
      <c r="L16" s="22"/>
      <c r="M16" s="22"/>
      <c r="N16" s="22"/>
      <c r="O16" s="22"/>
      <c r="P16" s="22"/>
      <c r="Q16" s="22"/>
      <c r="R16" s="36"/>
      <c r="S16" s="44"/>
      <c r="T16" s="47"/>
      <c r="U16" s="52">
        <f t="shared" si="2"/>
        <v>0</v>
      </c>
      <c r="V16" s="23" t="str">
        <f t="shared" si="3"/>
        <v>OK</v>
      </c>
    </row>
    <row r="17" spans="1:22" hidden="1" x14ac:dyDescent="0.3">
      <c r="A17" s="62" t="s">
        <v>85</v>
      </c>
      <c r="B17" s="62">
        <v>14989</v>
      </c>
      <c r="C17" s="12" t="s">
        <v>45</v>
      </c>
      <c r="D17" s="53"/>
      <c r="E17" s="13"/>
      <c r="F17" s="13"/>
      <c r="G17" s="14"/>
      <c r="H17" s="15"/>
      <c r="I17" s="16">
        <f t="shared" si="4"/>
        <v>0</v>
      </c>
      <c r="J17" s="16"/>
      <c r="K17" s="11"/>
      <c r="L17" s="16"/>
      <c r="M17" s="16"/>
      <c r="N17" s="16"/>
      <c r="O17" s="16"/>
      <c r="P17" s="16"/>
      <c r="Q17" s="16"/>
      <c r="R17" s="35"/>
      <c r="S17" s="43"/>
      <c r="T17" s="46"/>
      <c r="U17" s="51">
        <f t="shared" si="2"/>
        <v>0</v>
      </c>
      <c r="V17" s="17" t="str">
        <f t="shared" si="3"/>
        <v>OK</v>
      </c>
    </row>
    <row r="18" spans="1:22" hidden="1" x14ac:dyDescent="0.3">
      <c r="A18" s="63" t="s">
        <v>84</v>
      </c>
      <c r="B18" s="63">
        <v>14984</v>
      </c>
      <c r="C18" s="18" t="s">
        <v>46</v>
      </c>
      <c r="D18" s="19"/>
      <c r="E18" s="19"/>
      <c r="F18" s="19"/>
      <c r="G18" s="20"/>
      <c r="H18" s="21"/>
      <c r="I18" s="22">
        <f t="shared" si="4"/>
        <v>0</v>
      </c>
      <c r="J18" s="22"/>
      <c r="K18" s="11"/>
      <c r="L18" s="22"/>
      <c r="M18" s="22"/>
      <c r="N18" s="22"/>
      <c r="O18" s="22"/>
      <c r="P18" s="22"/>
      <c r="Q18" s="22"/>
      <c r="R18" s="36"/>
      <c r="S18" s="44"/>
      <c r="T18" s="47"/>
      <c r="U18" s="52">
        <f t="shared" si="2"/>
        <v>0</v>
      </c>
      <c r="V18" s="23" t="str">
        <f t="shared" si="3"/>
        <v>OK</v>
      </c>
    </row>
    <row r="19" spans="1:22" hidden="1" x14ac:dyDescent="0.3">
      <c r="A19" s="62" t="s">
        <v>88</v>
      </c>
      <c r="B19" s="62">
        <v>16270</v>
      </c>
      <c r="C19" s="12" t="s">
        <v>89</v>
      </c>
      <c r="D19" s="53"/>
      <c r="E19" s="13"/>
      <c r="F19" s="13"/>
      <c r="G19" s="14"/>
      <c r="H19" s="15"/>
      <c r="I19" s="16">
        <f t="shared" si="4"/>
        <v>0</v>
      </c>
      <c r="J19" s="16"/>
      <c r="K19" s="11"/>
      <c r="L19" s="16"/>
      <c r="M19" s="16"/>
      <c r="N19" s="16"/>
      <c r="O19" s="16"/>
      <c r="P19" s="16"/>
      <c r="Q19" s="16"/>
      <c r="R19" s="35"/>
      <c r="S19" s="43"/>
      <c r="T19" s="46"/>
      <c r="U19" s="51">
        <f t="shared" si="2"/>
        <v>0</v>
      </c>
      <c r="V19" s="17" t="str">
        <f t="shared" si="3"/>
        <v>OK</v>
      </c>
    </row>
    <row r="20" spans="1:22" hidden="1" x14ac:dyDescent="0.3">
      <c r="A20" s="63" t="s">
        <v>98</v>
      </c>
      <c r="B20" s="63">
        <v>19060</v>
      </c>
      <c r="C20" s="18" t="s">
        <v>47</v>
      </c>
      <c r="D20" s="19"/>
      <c r="E20" s="19"/>
      <c r="F20" s="19"/>
      <c r="G20" s="20"/>
      <c r="H20" s="21"/>
      <c r="I20" s="22">
        <f t="shared" si="4"/>
        <v>0</v>
      </c>
      <c r="J20" s="22"/>
      <c r="K20" s="11"/>
      <c r="L20" s="22"/>
      <c r="M20" s="22"/>
      <c r="N20" s="22"/>
      <c r="O20" s="22"/>
      <c r="P20" s="22"/>
      <c r="Q20" s="22"/>
      <c r="R20" s="36"/>
      <c r="S20" s="44"/>
      <c r="T20" s="47"/>
      <c r="U20" s="52">
        <f t="shared" si="2"/>
        <v>0</v>
      </c>
      <c r="V20" s="23" t="str">
        <f t="shared" si="3"/>
        <v>OK</v>
      </c>
    </row>
    <row r="21" spans="1:22" hidden="1" x14ac:dyDescent="0.3">
      <c r="A21" s="62" t="s">
        <v>99</v>
      </c>
      <c r="B21" s="62">
        <v>18828</v>
      </c>
      <c r="C21" s="12" t="s">
        <v>94</v>
      </c>
      <c r="D21" s="53"/>
      <c r="E21" s="13"/>
      <c r="F21" s="13"/>
      <c r="G21" s="14"/>
      <c r="H21" s="15"/>
      <c r="I21" s="16">
        <f t="shared" si="4"/>
        <v>0</v>
      </c>
      <c r="J21" s="16"/>
      <c r="K21" s="11"/>
      <c r="L21" s="16"/>
      <c r="M21" s="16"/>
      <c r="N21" s="16"/>
      <c r="O21" s="16"/>
      <c r="P21" s="16"/>
      <c r="Q21" s="16"/>
      <c r="R21" s="35"/>
      <c r="S21" s="43"/>
      <c r="T21" s="46"/>
      <c r="U21" s="51">
        <f t="shared" si="2"/>
        <v>0</v>
      </c>
      <c r="V21" s="17" t="str">
        <f t="shared" si="3"/>
        <v>OK</v>
      </c>
    </row>
    <row r="22" spans="1:22" hidden="1" x14ac:dyDescent="0.3">
      <c r="A22" s="63" t="s">
        <v>23</v>
      </c>
      <c r="B22" s="63">
        <v>5695</v>
      </c>
      <c r="C22" s="18" t="s">
        <v>49</v>
      </c>
      <c r="D22" s="19"/>
      <c r="E22" s="19"/>
      <c r="F22" s="19"/>
      <c r="G22" s="20"/>
      <c r="H22" s="21"/>
      <c r="I22" s="22">
        <f t="shared" si="4"/>
        <v>0</v>
      </c>
      <c r="J22" s="22"/>
      <c r="K22" s="11"/>
      <c r="L22" s="22"/>
      <c r="M22" s="22"/>
      <c r="N22" s="22"/>
      <c r="O22" s="22"/>
      <c r="P22" s="22"/>
      <c r="Q22" s="22"/>
      <c r="R22" s="36"/>
      <c r="S22" s="44"/>
      <c r="T22" s="47"/>
      <c r="U22" s="52">
        <f t="shared" si="2"/>
        <v>0</v>
      </c>
      <c r="V22" s="23" t="str">
        <f t="shared" si="3"/>
        <v>OK</v>
      </c>
    </row>
    <row r="23" spans="1:22" hidden="1" x14ac:dyDescent="0.3">
      <c r="A23" s="62" t="s">
        <v>24</v>
      </c>
      <c r="B23" s="62">
        <v>5691</v>
      </c>
      <c r="C23" s="12" t="s">
        <v>50</v>
      </c>
      <c r="D23" s="53"/>
      <c r="E23" s="13"/>
      <c r="F23" s="13"/>
      <c r="G23" s="14"/>
      <c r="H23" s="15"/>
      <c r="I23" s="16">
        <f t="shared" si="4"/>
        <v>0</v>
      </c>
      <c r="J23" s="16"/>
      <c r="K23" s="11"/>
      <c r="L23" s="16"/>
      <c r="M23" s="16"/>
      <c r="N23" s="16"/>
      <c r="O23" s="16"/>
      <c r="P23" s="16"/>
      <c r="Q23" s="16"/>
      <c r="R23" s="35"/>
      <c r="S23" s="43"/>
      <c r="T23" s="46"/>
      <c r="U23" s="51">
        <f t="shared" si="2"/>
        <v>0</v>
      </c>
      <c r="V23" s="17" t="str">
        <f t="shared" si="3"/>
        <v>OK</v>
      </c>
    </row>
    <row r="24" spans="1:22" hidden="1" x14ac:dyDescent="0.3">
      <c r="A24" s="63" t="s">
        <v>37</v>
      </c>
      <c r="B24" s="63">
        <v>5687</v>
      </c>
      <c r="C24" s="18" t="s">
        <v>51</v>
      </c>
      <c r="D24" s="19"/>
      <c r="E24" s="19"/>
      <c r="F24" s="19"/>
      <c r="G24" s="20"/>
      <c r="H24" s="21"/>
      <c r="I24" s="22">
        <f t="shared" si="4"/>
        <v>0</v>
      </c>
      <c r="J24" s="22"/>
      <c r="K24" s="11"/>
      <c r="L24" s="22"/>
      <c r="M24" s="22"/>
      <c r="N24" s="22"/>
      <c r="O24" s="22"/>
      <c r="P24" s="22"/>
      <c r="Q24" s="22"/>
      <c r="R24" s="36"/>
      <c r="S24" s="44"/>
      <c r="T24" s="47"/>
      <c r="U24" s="52">
        <f t="shared" si="2"/>
        <v>0</v>
      </c>
      <c r="V24" s="23" t="str">
        <f t="shared" si="3"/>
        <v>OK</v>
      </c>
    </row>
    <row r="25" spans="1:22" hidden="1" x14ac:dyDescent="0.3">
      <c r="A25" s="62" t="s">
        <v>38</v>
      </c>
      <c r="B25" s="62">
        <v>5683</v>
      </c>
      <c r="C25" s="12" t="s">
        <v>51</v>
      </c>
      <c r="D25" s="53"/>
      <c r="E25" s="13"/>
      <c r="F25" s="13"/>
      <c r="G25" s="14"/>
      <c r="H25" s="15"/>
      <c r="I25" s="16">
        <f t="shared" si="4"/>
        <v>0</v>
      </c>
      <c r="J25" s="16"/>
      <c r="K25" s="11"/>
      <c r="L25" s="16"/>
      <c r="M25" s="16"/>
      <c r="N25" s="16"/>
      <c r="O25" s="16"/>
      <c r="P25" s="16"/>
      <c r="Q25" s="16"/>
      <c r="R25" s="35"/>
      <c r="S25" s="43"/>
      <c r="T25" s="46"/>
      <c r="U25" s="51">
        <f t="shared" si="2"/>
        <v>0</v>
      </c>
      <c r="V25" s="17" t="str">
        <f t="shared" si="3"/>
        <v>OK</v>
      </c>
    </row>
    <row r="26" spans="1:22" hidden="1" x14ac:dyDescent="0.3">
      <c r="A26" s="63" t="s">
        <v>25</v>
      </c>
      <c r="B26" s="63">
        <v>5679</v>
      </c>
      <c r="C26" s="18" t="s">
        <v>52</v>
      </c>
      <c r="D26" s="19"/>
      <c r="E26" s="19"/>
      <c r="F26" s="19"/>
      <c r="G26" s="20"/>
      <c r="H26" s="21"/>
      <c r="I26" s="22">
        <f t="shared" si="4"/>
        <v>0</v>
      </c>
      <c r="J26" s="22"/>
      <c r="K26" s="11"/>
      <c r="L26" s="22"/>
      <c r="M26" s="22"/>
      <c r="N26" s="22"/>
      <c r="O26" s="22"/>
      <c r="P26" s="22"/>
      <c r="Q26" s="22"/>
      <c r="R26" s="36"/>
      <c r="S26" s="44"/>
      <c r="T26" s="47"/>
      <c r="U26" s="52">
        <f t="shared" si="2"/>
        <v>0</v>
      </c>
      <c r="V26" s="23" t="str">
        <f t="shared" si="3"/>
        <v>OK</v>
      </c>
    </row>
    <row r="27" spans="1:22" hidden="1" x14ac:dyDescent="0.3">
      <c r="A27" s="62" t="s">
        <v>39</v>
      </c>
      <c r="B27" s="62">
        <v>5675</v>
      </c>
      <c r="C27" s="12" t="s">
        <v>53</v>
      </c>
      <c r="D27" s="53"/>
      <c r="E27" s="13"/>
      <c r="F27" s="13"/>
      <c r="G27" s="14"/>
      <c r="H27" s="15"/>
      <c r="I27" s="16">
        <f t="shared" si="4"/>
        <v>0</v>
      </c>
      <c r="J27" s="16"/>
      <c r="K27" s="11"/>
      <c r="L27" s="16"/>
      <c r="M27" s="16"/>
      <c r="N27" s="16"/>
      <c r="O27" s="16"/>
      <c r="P27" s="16"/>
      <c r="Q27" s="16"/>
      <c r="R27" s="35"/>
      <c r="S27" s="43"/>
      <c r="T27" s="46"/>
      <c r="U27" s="51">
        <f t="shared" si="2"/>
        <v>0</v>
      </c>
      <c r="V27" s="17" t="str">
        <f t="shared" si="3"/>
        <v>OK</v>
      </c>
    </row>
    <row r="28" spans="1:22" hidden="1" x14ac:dyDescent="0.3">
      <c r="A28" s="63" t="s">
        <v>26</v>
      </c>
      <c r="B28" s="63">
        <v>5671</v>
      </c>
      <c r="C28" s="18" t="s">
        <v>49</v>
      </c>
      <c r="D28" s="19"/>
      <c r="E28" s="19"/>
      <c r="F28" s="19"/>
      <c r="G28" s="20"/>
      <c r="H28" s="21"/>
      <c r="I28" s="22">
        <f t="shared" si="4"/>
        <v>0</v>
      </c>
      <c r="J28" s="22"/>
      <c r="K28" s="11"/>
      <c r="L28" s="22"/>
      <c r="M28" s="22"/>
      <c r="N28" s="22"/>
      <c r="O28" s="22"/>
      <c r="P28" s="22"/>
      <c r="Q28" s="22"/>
      <c r="R28" s="36"/>
      <c r="S28" s="44"/>
      <c r="T28" s="47"/>
      <c r="U28" s="52">
        <f t="shared" si="2"/>
        <v>0</v>
      </c>
      <c r="V28" s="23" t="str">
        <f t="shared" si="3"/>
        <v>OK</v>
      </c>
    </row>
    <row r="29" spans="1:22" hidden="1" x14ac:dyDescent="0.3">
      <c r="A29" s="62" t="s">
        <v>40</v>
      </c>
      <c r="B29" s="62">
        <v>5667</v>
      </c>
      <c r="C29" s="12" t="s">
        <v>50</v>
      </c>
      <c r="D29" s="53"/>
      <c r="E29" s="13"/>
      <c r="F29" s="13"/>
      <c r="G29" s="14"/>
      <c r="H29" s="15"/>
      <c r="I29" s="16">
        <f t="shared" si="4"/>
        <v>0</v>
      </c>
      <c r="J29" s="16"/>
      <c r="K29" s="11"/>
      <c r="L29" s="16"/>
      <c r="M29" s="16"/>
      <c r="N29" s="16"/>
      <c r="O29" s="16"/>
      <c r="P29" s="16"/>
      <c r="Q29" s="16"/>
      <c r="R29" s="35"/>
      <c r="S29" s="43"/>
      <c r="T29" s="46"/>
      <c r="U29" s="51">
        <f t="shared" si="2"/>
        <v>0</v>
      </c>
      <c r="V29" s="17" t="str">
        <f t="shared" si="3"/>
        <v>OK</v>
      </c>
    </row>
    <row r="30" spans="1:22" hidden="1" x14ac:dyDescent="0.3">
      <c r="A30" s="63" t="s">
        <v>41</v>
      </c>
      <c r="B30" s="63">
        <v>5663</v>
      </c>
      <c r="C30" s="18" t="s">
        <v>51</v>
      </c>
      <c r="D30" s="19"/>
      <c r="E30" s="19"/>
      <c r="F30" s="19"/>
      <c r="G30" s="20"/>
      <c r="H30" s="21"/>
      <c r="I30" s="22">
        <f t="shared" si="4"/>
        <v>0</v>
      </c>
      <c r="J30" s="22"/>
      <c r="K30" s="11"/>
      <c r="L30" s="22"/>
      <c r="M30" s="22"/>
      <c r="N30" s="22"/>
      <c r="O30" s="22"/>
      <c r="P30" s="22"/>
      <c r="Q30" s="22"/>
      <c r="R30" s="36"/>
      <c r="S30" s="44"/>
      <c r="T30" s="47"/>
      <c r="U30" s="52">
        <f t="shared" si="2"/>
        <v>0</v>
      </c>
      <c r="V30" s="23" t="str">
        <f t="shared" si="3"/>
        <v>OK</v>
      </c>
    </row>
    <row r="31" spans="1:22" hidden="1" x14ac:dyDescent="0.3">
      <c r="A31" s="62" t="s">
        <v>42</v>
      </c>
      <c r="B31" s="62">
        <v>5659</v>
      </c>
      <c r="C31" s="12" t="s">
        <v>52</v>
      </c>
      <c r="D31" s="53"/>
      <c r="E31" s="13"/>
      <c r="F31" s="13"/>
      <c r="G31" s="14"/>
      <c r="H31" s="15"/>
      <c r="I31" s="16">
        <f t="shared" si="4"/>
        <v>0</v>
      </c>
      <c r="J31" s="16"/>
      <c r="K31" s="11"/>
      <c r="L31" s="16"/>
      <c r="M31" s="16"/>
      <c r="N31" s="16"/>
      <c r="O31" s="16"/>
      <c r="P31" s="16"/>
      <c r="Q31" s="16"/>
      <c r="R31" s="35"/>
      <c r="S31" s="43"/>
      <c r="T31" s="46"/>
      <c r="U31" s="51">
        <f t="shared" si="2"/>
        <v>0</v>
      </c>
      <c r="V31" s="17" t="str">
        <f t="shared" si="3"/>
        <v>OK</v>
      </c>
    </row>
    <row r="32" spans="1:22" hidden="1" x14ac:dyDescent="0.3">
      <c r="A32" s="63" t="s">
        <v>27</v>
      </c>
      <c r="B32" s="63">
        <v>5655</v>
      </c>
      <c r="C32" s="18" t="s">
        <v>54</v>
      </c>
      <c r="D32" s="19"/>
      <c r="E32" s="19"/>
      <c r="F32" s="19"/>
      <c r="G32" s="20"/>
      <c r="H32" s="21"/>
      <c r="I32" s="22">
        <f t="shared" si="4"/>
        <v>0</v>
      </c>
      <c r="J32" s="22"/>
      <c r="K32" s="11"/>
      <c r="L32" s="22"/>
      <c r="M32" s="22"/>
      <c r="N32" s="22"/>
      <c r="O32" s="22"/>
      <c r="P32" s="22"/>
      <c r="Q32" s="22"/>
      <c r="R32" s="36"/>
      <c r="S32" s="44"/>
      <c r="T32" s="47"/>
      <c r="U32" s="52">
        <f t="shared" si="2"/>
        <v>0</v>
      </c>
      <c r="V32" s="23" t="str">
        <f t="shared" si="3"/>
        <v>OK</v>
      </c>
    </row>
    <row r="33" spans="1:22" hidden="1" x14ac:dyDescent="0.3">
      <c r="A33" s="62" t="s">
        <v>70</v>
      </c>
      <c r="B33" s="62">
        <v>5651</v>
      </c>
      <c r="C33" s="12" t="s">
        <v>55</v>
      </c>
      <c r="D33" s="53"/>
      <c r="E33" s="13"/>
      <c r="F33" s="13"/>
      <c r="G33" s="14"/>
      <c r="H33" s="15"/>
      <c r="I33" s="16">
        <f t="shared" si="4"/>
        <v>0</v>
      </c>
      <c r="J33" s="16"/>
      <c r="K33" s="11"/>
      <c r="L33" s="16"/>
      <c r="M33" s="16"/>
      <c r="N33" s="16"/>
      <c r="O33" s="16"/>
      <c r="P33" s="16"/>
      <c r="Q33" s="16"/>
      <c r="R33" s="35"/>
      <c r="S33" s="43"/>
      <c r="T33" s="46"/>
      <c r="U33" s="51">
        <f t="shared" si="2"/>
        <v>0</v>
      </c>
      <c r="V33" s="17" t="str">
        <f t="shared" si="3"/>
        <v>OK</v>
      </c>
    </row>
    <row r="34" spans="1:22" hidden="1" x14ac:dyDescent="0.3">
      <c r="A34" s="63" t="s">
        <v>71</v>
      </c>
      <c r="B34" s="63">
        <v>5643</v>
      </c>
      <c r="C34" s="18" t="s">
        <v>56</v>
      </c>
      <c r="D34" s="19"/>
      <c r="E34" s="19"/>
      <c r="F34" s="19"/>
      <c r="G34" s="20"/>
      <c r="H34" s="21"/>
      <c r="I34" s="22">
        <f t="shared" si="4"/>
        <v>0</v>
      </c>
      <c r="J34" s="22"/>
      <c r="K34" s="11"/>
      <c r="L34" s="22"/>
      <c r="M34" s="22"/>
      <c r="N34" s="22"/>
      <c r="O34" s="22"/>
      <c r="P34" s="22"/>
      <c r="Q34" s="22"/>
      <c r="R34" s="36"/>
      <c r="S34" s="44"/>
      <c r="T34" s="47"/>
      <c r="U34" s="52">
        <f t="shared" si="2"/>
        <v>0</v>
      </c>
      <c r="V34" s="23" t="str">
        <f t="shared" si="3"/>
        <v>OK</v>
      </c>
    </row>
    <row r="35" spans="1:22" hidden="1" x14ac:dyDescent="0.3">
      <c r="A35" s="62" t="s">
        <v>57</v>
      </c>
      <c r="B35" s="62">
        <v>11350</v>
      </c>
      <c r="C35" s="12" t="s">
        <v>56</v>
      </c>
      <c r="D35" s="53"/>
      <c r="E35" s="13"/>
      <c r="F35" s="13"/>
      <c r="G35" s="14"/>
      <c r="H35" s="15"/>
      <c r="I35" s="16">
        <f t="shared" si="4"/>
        <v>0</v>
      </c>
      <c r="J35" s="16"/>
      <c r="K35" s="11"/>
      <c r="L35" s="16"/>
      <c r="M35" s="16"/>
      <c r="N35" s="16"/>
      <c r="O35" s="16"/>
      <c r="P35" s="16"/>
      <c r="Q35" s="16"/>
      <c r="R35" s="35"/>
      <c r="S35" s="43"/>
      <c r="T35" s="46"/>
      <c r="U35" s="51">
        <f t="shared" si="2"/>
        <v>0</v>
      </c>
      <c r="V35" s="17" t="str">
        <f t="shared" si="3"/>
        <v>OK</v>
      </c>
    </row>
    <row r="36" spans="1:22" hidden="1" x14ac:dyDescent="0.3">
      <c r="A36" s="63" t="s">
        <v>72</v>
      </c>
      <c r="B36" s="63">
        <v>5635</v>
      </c>
      <c r="C36" s="18" t="s">
        <v>55</v>
      </c>
      <c r="D36" s="19"/>
      <c r="E36" s="19"/>
      <c r="F36" s="19"/>
      <c r="G36" s="20"/>
      <c r="H36" s="21"/>
      <c r="I36" s="22">
        <f t="shared" si="4"/>
        <v>0</v>
      </c>
      <c r="J36" s="22"/>
      <c r="K36" s="11"/>
      <c r="L36" s="22"/>
      <c r="M36" s="22"/>
      <c r="N36" s="22"/>
      <c r="O36" s="22"/>
      <c r="P36" s="22"/>
      <c r="Q36" s="22"/>
      <c r="R36" s="36"/>
      <c r="S36" s="44"/>
      <c r="T36" s="47"/>
      <c r="U36" s="52">
        <f t="shared" si="2"/>
        <v>0</v>
      </c>
      <c r="V36" s="23" t="str">
        <f t="shared" si="3"/>
        <v>OK</v>
      </c>
    </row>
    <row r="37" spans="1:22" hidden="1" x14ac:dyDescent="0.3">
      <c r="A37" s="62" t="s">
        <v>58</v>
      </c>
      <c r="B37" s="62">
        <v>11349</v>
      </c>
      <c r="C37" s="12" t="s">
        <v>55</v>
      </c>
      <c r="D37" s="53"/>
      <c r="E37" s="13"/>
      <c r="F37" s="13"/>
      <c r="G37" s="14"/>
      <c r="H37" s="15"/>
      <c r="I37" s="16">
        <f t="shared" si="4"/>
        <v>0</v>
      </c>
      <c r="J37" s="16"/>
      <c r="K37" s="11"/>
      <c r="L37" s="16"/>
      <c r="M37" s="16"/>
      <c r="N37" s="16"/>
      <c r="O37" s="16"/>
      <c r="P37" s="16"/>
      <c r="Q37" s="16"/>
      <c r="R37" s="35"/>
      <c r="S37" s="43"/>
      <c r="T37" s="46"/>
      <c r="U37" s="51">
        <f t="shared" ref="U37:U55" si="5">SUM(L37:T37)</f>
        <v>0</v>
      </c>
      <c r="V37" s="17" t="str">
        <f t="shared" si="3"/>
        <v>OK</v>
      </c>
    </row>
    <row r="38" spans="1:22" hidden="1" x14ac:dyDescent="0.3">
      <c r="A38" s="63" t="s">
        <v>73</v>
      </c>
      <c r="B38" s="63">
        <v>5627</v>
      </c>
      <c r="C38" s="18" t="s">
        <v>56</v>
      </c>
      <c r="D38" s="19"/>
      <c r="E38" s="19"/>
      <c r="F38" s="19"/>
      <c r="G38" s="20"/>
      <c r="H38" s="21"/>
      <c r="I38" s="22">
        <f t="shared" si="4"/>
        <v>0</v>
      </c>
      <c r="J38" s="22"/>
      <c r="K38" s="11"/>
      <c r="L38" s="22"/>
      <c r="M38" s="22"/>
      <c r="N38" s="22"/>
      <c r="O38" s="22"/>
      <c r="P38" s="22"/>
      <c r="Q38" s="22"/>
      <c r="R38" s="36"/>
      <c r="S38" s="44"/>
      <c r="T38" s="47"/>
      <c r="U38" s="52">
        <f t="shared" si="5"/>
        <v>0</v>
      </c>
      <c r="V38" s="23" t="str">
        <f t="shared" si="3"/>
        <v>OK</v>
      </c>
    </row>
    <row r="39" spans="1:22" hidden="1" x14ac:dyDescent="0.3">
      <c r="A39" s="62" t="s">
        <v>59</v>
      </c>
      <c r="B39" s="62">
        <v>11348</v>
      </c>
      <c r="C39" s="12" t="s">
        <v>56</v>
      </c>
      <c r="D39" s="53"/>
      <c r="E39" s="13"/>
      <c r="F39" s="13"/>
      <c r="G39" s="14"/>
      <c r="H39" s="15"/>
      <c r="I39" s="16">
        <f t="shared" si="4"/>
        <v>0</v>
      </c>
      <c r="J39" s="16"/>
      <c r="K39" s="11"/>
      <c r="L39" s="16"/>
      <c r="M39" s="16"/>
      <c r="N39" s="16"/>
      <c r="O39" s="16"/>
      <c r="P39" s="16"/>
      <c r="Q39" s="16"/>
      <c r="R39" s="35"/>
      <c r="S39" s="43"/>
      <c r="T39" s="46"/>
      <c r="U39" s="51">
        <f t="shared" si="5"/>
        <v>0</v>
      </c>
      <c r="V39" s="17" t="str">
        <f t="shared" si="3"/>
        <v>OK</v>
      </c>
    </row>
    <row r="40" spans="1:22" hidden="1" x14ac:dyDescent="0.3">
      <c r="A40" s="63" t="s">
        <v>74</v>
      </c>
      <c r="B40" s="63">
        <v>5619</v>
      </c>
      <c r="C40" s="18" t="s">
        <v>60</v>
      </c>
      <c r="D40" s="19"/>
      <c r="E40" s="19"/>
      <c r="F40" s="19"/>
      <c r="G40" s="20"/>
      <c r="H40" s="21"/>
      <c r="I40" s="22">
        <f t="shared" si="4"/>
        <v>0</v>
      </c>
      <c r="J40" s="22"/>
      <c r="K40" s="11"/>
      <c r="L40" s="22"/>
      <c r="M40" s="22"/>
      <c r="N40" s="22"/>
      <c r="O40" s="22"/>
      <c r="P40" s="22"/>
      <c r="Q40" s="22"/>
      <c r="R40" s="36"/>
      <c r="S40" s="44"/>
      <c r="T40" s="47"/>
      <c r="U40" s="52">
        <f t="shared" si="5"/>
        <v>0</v>
      </c>
      <c r="V40" s="23" t="str">
        <f t="shared" si="3"/>
        <v>OK</v>
      </c>
    </row>
    <row r="41" spans="1:22" hidden="1" x14ac:dyDescent="0.3">
      <c r="A41" s="64" t="s">
        <v>61</v>
      </c>
      <c r="B41" s="62">
        <v>11347</v>
      </c>
      <c r="C41" s="12" t="s">
        <v>60</v>
      </c>
      <c r="D41" s="53"/>
      <c r="E41" s="13"/>
      <c r="F41" s="13"/>
      <c r="G41" s="14"/>
      <c r="H41" s="15"/>
      <c r="I41" s="16">
        <f t="shared" si="4"/>
        <v>0</v>
      </c>
      <c r="J41" s="16"/>
      <c r="K41" s="11"/>
      <c r="L41" s="16"/>
      <c r="M41" s="16"/>
      <c r="N41" s="16"/>
      <c r="O41" s="16"/>
      <c r="P41" s="16"/>
      <c r="Q41" s="16"/>
      <c r="R41" s="35"/>
      <c r="S41" s="43"/>
      <c r="T41" s="46"/>
      <c r="U41" s="51">
        <f t="shared" si="5"/>
        <v>0</v>
      </c>
      <c r="V41" s="17" t="str">
        <f t="shared" si="3"/>
        <v>OK</v>
      </c>
    </row>
    <row r="42" spans="1:22" hidden="1" x14ac:dyDescent="0.3">
      <c r="A42" s="54" t="s">
        <v>75</v>
      </c>
      <c r="B42" s="63">
        <v>5611</v>
      </c>
      <c r="C42" s="18" t="s">
        <v>62</v>
      </c>
      <c r="D42" s="19"/>
      <c r="E42" s="19"/>
      <c r="F42" s="19"/>
      <c r="G42" s="20"/>
      <c r="H42" s="21"/>
      <c r="I42" s="22">
        <f t="shared" si="4"/>
        <v>0</v>
      </c>
      <c r="J42" s="22"/>
      <c r="K42" s="11"/>
      <c r="L42" s="22"/>
      <c r="M42" s="22"/>
      <c r="N42" s="22"/>
      <c r="O42" s="22"/>
      <c r="P42" s="22"/>
      <c r="Q42" s="22"/>
      <c r="R42" s="36"/>
      <c r="S42" s="44"/>
      <c r="T42" s="47"/>
      <c r="U42" s="52">
        <f t="shared" si="5"/>
        <v>0</v>
      </c>
      <c r="V42" s="23" t="str">
        <f t="shared" si="3"/>
        <v>OK</v>
      </c>
    </row>
    <row r="43" spans="1:22" hidden="1" x14ac:dyDescent="0.3">
      <c r="A43" s="12" t="s">
        <v>63</v>
      </c>
      <c r="B43" s="62">
        <v>11336</v>
      </c>
      <c r="C43" s="12" t="s">
        <v>62</v>
      </c>
      <c r="D43" s="53"/>
      <c r="E43" s="13"/>
      <c r="F43" s="13"/>
      <c r="G43" s="14"/>
      <c r="H43" s="15"/>
      <c r="I43" s="16">
        <f t="shared" si="4"/>
        <v>0</v>
      </c>
      <c r="J43" s="16"/>
      <c r="K43" s="11"/>
      <c r="L43" s="16"/>
      <c r="M43" s="16"/>
      <c r="N43" s="16"/>
      <c r="O43" s="16"/>
      <c r="P43" s="16"/>
      <c r="Q43" s="16"/>
      <c r="R43" s="35"/>
      <c r="S43" s="43"/>
      <c r="T43" s="46"/>
      <c r="U43" s="51">
        <f t="shared" si="5"/>
        <v>0</v>
      </c>
      <c r="V43" s="17" t="str">
        <f t="shared" si="3"/>
        <v>OK</v>
      </c>
    </row>
    <row r="44" spans="1:22" hidden="1" x14ac:dyDescent="0.3">
      <c r="A44" s="54" t="s">
        <v>100</v>
      </c>
      <c r="B44" s="63">
        <v>14860</v>
      </c>
      <c r="C44" s="18" t="s">
        <v>56</v>
      </c>
      <c r="D44" s="19"/>
      <c r="E44" s="19"/>
      <c r="F44" s="19"/>
      <c r="G44" s="20"/>
      <c r="H44" s="21"/>
      <c r="I44" s="22">
        <f t="shared" si="4"/>
        <v>0</v>
      </c>
      <c r="J44" s="22"/>
      <c r="K44" s="11"/>
      <c r="L44" s="22"/>
      <c r="M44" s="22"/>
      <c r="N44" s="22"/>
      <c r="O44" s="22"/>
      <c r="P44" s="22"/>
      <c r="Q44" s="22"/>
      <c r="R44" s="36"/>
      <c r="S44" s="44"/>
      <c r="T44" s="47"/>
      <c r="U44" s="52">
        <f t="shared" si="5"/>
        <v>0</v>
      </c>
      <c r="V44" s="23" t="str">
        <f t="shared" si="3"/>
        <v>OK</v>
      </c>
    </row>
    <row r="45" spans="1:22" hidden="1" x14ac:dyDescent="0.3">
      <c r="A45" s="64" t="s">
        <v>83</v>
      </c>
      <c r="B45" s="62">
        <v>14861</v>
      </c>
      <c r="C45" s="12" t="s">
        <v>56</v>
      </c>
      <c r="D45" s="53"/>
      <c r="E45" s="13"/>
      <c r="F45" s="13"/>
      <c r="G45" s="14"/>
      <c r="H45" s="15"/>
      <c r="I45" s="16">
        <f t="shared" si="4"/>
        <v>0</v>
      </c>
      <c r="J45" s="16"/>
      <c r="K45" s="11"/>
      <c r="L45" s="16"/>
      <c r="M45" s="16"/>
      <c r="N45" s="16"/>
      <c r="O45" s="16"/>
      <c r="P45" s="16"/>
      <c r="Q45" s="16"/>
      <c r="R45" s="35"/>
      <c r="S45" s="43"/>
      <c r="T45" s="46"/>
      <c r="U45" s="51">
        <f t="shared" si="5"/>
        <v>0</v>
      </c>
      <c r="V45" s="17" t="str">
        <f t="shared" si="3"/>
        <v>OK</v>
      </c>
    </row>
    <row r="46" spans="1:22" hidden="1" x14ac:dyDescent="0.3">
      <c r="A46" s="54" t="s">
        <v>101</v>
      </c>
      <c r="B46" s="63">
        <v>15096</v>
      </c>
      <c r="C46" s="18" t="s">
        <v>56</v>
      </c>
      <c r="D46" s="19"/>
      <c r="E46" s="19"/>
      <c r="F46" s="19"/>
      <c r="G46" s="20"/>
      <c r="H46" s="21"/>
      <c r="I46" s="22">
        <f t="shared" si="4"/>
        <v>0</v>
      </c>
      <c r="J46" s="22"/>
      <c r="K46" s="11"/>
      <c r="L46" s="22"/>
      <c r="M46" s="22"/>
      <c r="N46" s="22"/>
      <c r="O46" s="22"/>
      <c r="P46" s="22"/>
      <c r="Q46" s="22"/>
      <c r="R46" s="36"/>
      <c r="S46" s="44"/>
      <c r="T46" s="47"/>
      <c r="U46" s="52">
        <f t="shared" si="5"/>
        <v>0</v>
      </c>
      <c r="V46" s="23" t="str">
        <f t="shared" si="3"/>
        <v>OK</v>
      </c>
    </row>
    <row r="47" spans="1:22" hidden="1" x14ac:dyDescent="0.3">
      <c r="A47" s="12" t="s">
        <v>81</v>
      </c>
      <c r="B47" s="62">
        <v>15097</v>
      </c>
      <c r="C47" s="12" t="s">
        <v>56</v>
      </c>
      <c r="D47" s="53"/>
      <c r="E47" s="13"/>
      <c r="F47" s="13"/>
      <c r="G47" s="14"/>
      <c r="H47" s="15"/>
      <c r="I47" s="16">
        <f t="shared" si="4"/>
        <v>0</v>
      </c>
      <c r="J47" s="16"/>
      <c r="K47" s="11"/>
      <c r="L47" s="16"/>
      <c r="M47" s="16"/>
      <c r="N47" s="16"/>
      <c r="O47" s="16"/>
      <c r="P47" s="16"/>
      <c r="Q47" s="16"/>
      <c r="R47" s="35"/>
      <c r="S47" s="43"/>
      <c r="T47" s="46"/>
      <c r="U47" s="51">
        <f t="shared" si="5"/>
        <v>0</v>
      </c>
      <c r="V47" s="17" t="str">
        <f t="shared" si="3"/>
        <v>OK</v>
      </c>
    </row>
    <row r="48" spans="1:22" hidden="1" x14ac:dyDescent="0.3">
      <c r="A48" s="54" t="s">
        <v>76</v>
      </c>
      <c r="B48" s="63">
        <v>5585</v>
      </c>
      <c r="C48" s="18" t="s">
        <v>64</v>
      </c>
      <c r="D48" s="19"/>
      <c r="E48" s="19"/>
      <c r="F48" s="19"/>
      <c r="G48" s="20"/>
      <c r="H48" s="21"/>
      <c r="I48" s="22">
        <f t="shared" si="4"/>
        <v>0</v>
      </c>
      <c r="J48" s="22"/>
      <c r="K48" s="11"/>
      <c r="L48" s="22"/>
      <c r="M48" s="22"/>
      <c r="N48" s="22"/>
      <c r="O48" s="22"/>
      <c r="P48" s="22"/>
      <c r="Q48" s="22"/>
      <c r="R48" s="36"/>
      <c r="S48" s="44"/>
      <c r="T48" s="47"/>
      <c r="U48" s="52">
        <f t="shared" si="5"/>
        <v>0</v>
      </c>
      <c r="V48" s="23" t="str">
        <f t="shared" si="3"/>
        <v>OK</v>
      </c>
    </row>
    <row r="49" spans="1:22" hidden="1" x14ac:dyDescent="0.3">
      <c r="A49" s="12" t="s">
        <v>65</v>
      </c>
      <c r="B49" s="62">
        <v>11351</v>
      </c>
      <c r="C49" s="12" t="s">
        <v>64</v>
      </c>
      <c r="D49" s="53"/>
      <c r="E49" s="13"/>
      <c r="F49" s="13"/>
      <c r="G49" s="14"/>
      <c r="H49" s="15"/>
      <c r="I49" s="16">
        <f t="shared" si="4"/>
        <v>0</v>
      </c>
      <c r="J49" s="16"/>
      <c r="K49" s="11"/>
      <c r="L49" s="16"/>
      <c r="M49" s="16"/>
      <c r="N49" s="16"/>
      <c r="O49" s="16"/>
      <c r="P49" s="16"/>
      <c r="Q49" s="16"/>
      <c r="R49" s="35"/>
      <c r="S49" s="43"/>
      <c r="T49" s="46"/>
      <c r="U49" s="51">
        <f t="shared" si="5"/>
        <v>0</v>
      </c>
      <c r="V49" s="17" t="str">
        <f t="shared" si="3"/>
        <v>OK</v>
      </c>
    </row>
    <row r="50" spans="1:22" hidden="1" x14ac:dyDescent="0.3">
      <c r="A50" s="54" t="s">
        <v>66</v>
      </c>
      <c r="B50" s="63">
        <v>11352</v>
      </c>
      <c r="C50" s="18" t="s">
        <v>64</v>
      </c>
      <c r="D50" s="19"/>
      <c r="E50" s="19"/>
      <c r="F50" s="19"/>
      <c r="G50" s="20"/>
      <c r="H50" s="21"/>
      <c r="I50" s="22">
        <f t="shared" si="4"/>
        <v>0</v>
      </c>
      <c r="J50" s="22"/>
      <c r="K50" s="11"/>
      <c r="L50" s="22"/>
      <c r="M50" s="22"/>
      <c r="N50" s="22"/>
      <c r="O50" s="22"/>
      <c r="P50" s="22"/>
      <c r="Q50" s="22"/>
      <c r="R50" s="36"/>
      <c r="S50" s="44"/>
      <c r="T50" s="47"/>
      <c r="U50" s="52">
        <f t="shared" si="5"/>
        <v>0</v>
      </c>
      <c r="V50" s="23" t="str">
        <f t="shared" si="3"/>
        <v>OK</v>
      </c>
    </row>
    <row r="51" spans="1:22" x14ac:dyDescent="0.3">
      <c r="A51" s="90" t="s">
        <v>102</v>
      </c>
      <c r="B51" s="76">
        <v>13515</v>
      </c>
      <c r="C51" s="70" t="s">
        <v>78</v>
      </c>
      <c r="D51" s="70"/>
      <c r="E51" s="70"/>
      <c r="F51" s="70"/>
      <c r="G51" s="91"/>
      <c r="H51" s="82"/>
      <c r="I51" s="82">
        <f t="shared" si="4"/>
        <v>4</v>
      </c>
      <c r="J51" s="74"/>
      <c r="K51" s="11"/>
      <c r="L51" s="16"/>
      <c r="M51" s="16">
        <v>4</v>
      </c>
      <c r="N51" s="16"/>
      <c r="O51" s="16"/>
      <c r="P51" s="16"/>
      <c r="Q51" s="16"/>
      <c r="R51" s="35"/>
      <c r="S51" s="43"/>
      <c r="T51" s="46"/>
      <c r="U51" s="75">
        <f t="shared" si="5"/>
        <v>4</v>
      </c>
      <c r="V51" s="93" t="str">
        <f t="shared" si="3"/>
        <v>OK</v>
      </c>
    </row>
    <row r="52" spans="1:22" hidden="1" x14ac:dyDescent="0.3">
      <c r="A52" s="54" t="s">
        <v>103</v>
      </c>
      <c r="B52" s="63">
        <v>13516</v>
      </c>
      <c r="C52" s="18" t="s">
        <v>78</v>
      </c>
      <c r="D52" s="18"/>
      <c r="E52" s="18"/>
      <c r="F52" s="18"/>
      <c r="G52" s="92"/>
      <c r="H52" s="22"/>
      <c r="I52" s="22">
        <f t="shared" si="4"/>
        <v>0</v>
      </c>
      <c r="J52" s="69"/>
      <c r="K52" s="11"/>
      <c r="L52" s="22"/>
      <c r="M52" s="22"/>
      <c r="N52" s="22"/>
      <c r="O52" s="22"/>
      <c r="P52" s="22"/>
      <c r="Q52" s="22"/>
      <c r="R52" s="36"/>
      <c r="S52" s="44"/>
      <c r="T52" s="47"/>
      <c r="U52" s="52">
        <f t="shared" si="5"/>
        <v>0</v>
      </c>
      <c r="V52" s="23" t="str">
        <f t="shared" si="3"/>
        <v>OK</v>
      </c>
    </row>
    <row r="53" spans="1:22" hidden="1" x14ac:dyDescent="0.3">
      <c r="A53" s="90" t="s">
        <v>104</v>
      </c>
      <c r="B53" s="76">
        <v>13468</v>
      </c>
      <c r="C53" s="70" t="s">
        <v>78</v>
      </c>
      <c r="D53" s="70"/>
      <c r="E53" s="70"/>
      <c r="F53" s="70"/>
      <c r="G53" s="91"/>
      <c r="H53" s="82"/>
      <c r="I53" s="82">
        <f t="shared" si="4"/>
        <v>0</v>
      </c>
      <c r="J53" s="74"/>
      <c r="K53" s="11"/>
      <c r="L53" s="16"/>
      <c r="M53" s="16"/>
      <c r="N53" s="16"/>
      <c r="O53" s="16"/>
      <c r="P53" s="16"/>
      <c r="Q53" s="16"/>
      <c r="R53" s="35"/>
      <c r="S53" s="43"/>
      <c r="T53" s="46"/>
      <c r="U53" s="75">
        <f t="shared" si="5"/>
        <v>0</v>
      </c>
      <c r="V53" s="93" t="str">
        <f t="shared" si="3"/>
        <v>OK</v>
      </c>
    </row>
    <row r="54" spans="1:22" hidden="1" x14ac:dyDescent="0.3">
      <c r="A54" s="54" t="s">
        <v>79</v>
      </c>
      <c r="B54" s="63">
        <v>13469</v>
      </c>
      <c r="C54" s="18" t="s">
        <v>78</v>
      </c>
      <c r="D54" s="18"/>
      <c r="E54" s="18"/>
      <c r="F54" s="18"/>
      <c r="G54" s="92"/>
      <c r="H54" s="22"/>
      <c r="I54" s="22">
        <f t="shared" si="4"/>
        <v>0</v>
      </c>
      <c r="J54" s="69"/>
      <c r="K54" s="11"/>
      <c r="L54" s="22"/>
      <c r="M54" s="22"/>
      <c r="N54" s="22"/>
      <c r="O54" s="22"/>
      <c r="P54" s="22"/>
      <c r="Q54" s="22"/>
      <c r="R54" s="36"/>
      <c r="S54" s="44"/>
      <c r="T54" s="47"/>
      <c r="U54" s="52">
        <f t="shared" si="5"/>
        <v>0</v>
      </c>
      <c r="V54" s="23" t="str">
        <f t="shared" si="3"/>
        <v>OK</v>
      </c>
    </row>
    <row r="55" spans="1:22" hidden="1" x14ac:dyDescent="0.3">
      <c r="A55" s="90" t="s">
        <v>43</v>
      </c>
      <c r="B55" s="76">
        <v>11820</v>
      </c>
      <c r="C55" s="70" t="s">
        <v>67</v>
      </c>
      <c r="D55" s="70"/>
      <c r="E55" s="70"/>
      <c r="F55" s="70"/>
      <c r="G55" s="91"/>
      <c r="H55" s="82"/>
      <c r="I55" s="82">
        <f t="shared" si="4"/>
        <v>0</v>
      </c>
      <c r="J55" s="74"/>
      <c r="K55" s="11"/>
      <c r="L55" s="16"/>
      <c r="M55" s="16"/>
      <c r="N55" s="16"/>
      <c r="O55" s="16"/>
      <c r="P55" s="16"/>
      <c r="Q55" s="16"/>
      <c r="R55" s="35"/>
      <c r="S55" s="43"/>
      <c r="T55" s="46"/>
      <c r="U55" s="75">
        <f t="shared" si="5"/>
        <v>0</v>
      </c>
      <c r="V55" s="93" t="str">
        <f t="shared" si="3"/>
        <v>OK</v>
      </c>
    </row>
    <row r="56" spans="1:22" hidden="1" x14ac:dyDescent="0.3">
      <c r="A56" s="54" t="s">
        <v>44</v>
      </c>
      <c r="B56" s="63">
        <v>11816</v>
      </c>
      <c r="C56" s="18" t="s">
        <v>67</v>
      </c>
      <c r="D56" s="18"/>
      <c r="E56" s="18"/>
      <c r="F56" s="18"/>
      <c r="G56" s="92"/>
      <c r="H56" s="22"/>
      <c r="I56" s="22">
        <f t="shared" si="4"/>
        <v>0</v>
      </c>
      <c r="J56" s="69"/>
      <c r="K56" s="11"/>
      <c r="L56" s="22"/>
      <c r="M56" s="22"/>
      <c r="N56" s="22"/>
      <c r="O56" s="22"/>
      <c r="P56" s="22"/>
      <c r="Q56" s="22"/>
      <c r="R56" s="36"/>
      <c r="S56" s="44"/>
      <c r="T56" s="47"/>
      <c r="U56" s="52">
        <f>SUM(L56:T56)</f>
        <v>0</v>
      </c>
      <c r="V56" s="23" t="str">
        <f t="shared" si="3"/>
        <v>OK</v>
      </c>
    </row>
    <row r="57" spans="1:22" hidden="1" x14ac:dyDescent="0.3">
      <c r="A57" s="76" t="s">
        <v>77</v>
      </c>
      <c r="B57" s="76">
        <v>11381</v>
      </c>
      <c r="C57" s="77" t="s">
        <v>68</v>
      </c>
      <c r="D57" s="70"/>
      <c r="E57" s="70"/>
      <c r="F57" s="70"/>
      <c r="G57" s="91"/>
      <c r="H57" s="82"/>
      <c r="I57" s="82">
        <f t="shared" si="4"/>
        <v>0</v>
      </c>
      <c r="J57" s="74"/>
      <c r="K57" s="11"/>
      <c r="L57" s="16"/>
      <c r="M57" s="16"/>
      <c r="N57" s="16"/>
      <c r="O57" s="16"/>
      <c r="P57" s="16"/>
      <c r="Q57" s="16"/>
      <c r="R57" s="35"/>
      <c r="S57" s="43"/>
      <c r="T57" s="46"/>
      <c r="U57" s="75">
        <f>SUM(L57:T57)</f>
        <v>0</v>
      </c>
      <c r="V57" s="93" t="str">
        <f t="shared" si="3"/>
        <v>OK</v>
      </c>
    </row>
    <row r="58" spans="1:22" hidden="1" x14ac:dyDescent="0.3">
      <c r="A58" s="54" t="s">
        <v>69</v>
      </c>
      <c r="B58" s="63">
        <v>11382</v>
      </c>
      <c r="C58" s="18" t="s">
        <v>68</v>
      </c>
      <c r="D58" s="18"/>
      <c r="E58" s="18"/>
      <c r="F58" s="18"/>
      <c r="G58" s="92"/>
      <c r="H58" s="22"/>
      <c r="I58" s="22">
        <f t="shared" si="4"/>
        <v>0</v>
      </c>
      <c r="J58" s="69"/>
      <c r="K58" s="11"/>
      <c r="L58" s="22"/>
      <c r="M58" s="22"/>
      <c r="N58" s="22"/>
      <c r="O58" s="22"/>
      <c r="P58" s="22"/>
      <c r="Q58" s="22"/>
      <c r="R58" s="36"/>
      <c r="S58" s="44"/>
      <c r="T58" s="47"/>
      <c r="U58" s="52">
        <f>SUM(L58:T58)</f>
        <v>0</v>
      </c>
      <c r="V58" s="23" t="str">
        <f t="shared" si="3"/>
        <v>OK</v>
      </c>
    </row>
    <row r="59" spans="1:22" hidden="1" x14ac:dyDescent="0.3">
      <c r="A59" s="96" t="s">
        <v>105</v>
      </c>
      <c r="B59" s="76">
        <v>16586</v>
      </c>
      <c r="C59" s="70" t="s">
        <v>78</v>
      </c>
      <c r="D59" s="70"/>
      <c r="E59" s="70"/>
      <c r="F59" s="70"/>
      <c r="G59" s="91"/>
      <c r="H59" s="82"/>
      <c r="I59" s="82">
        <f t="shared" si="4"/>
        <v>0</v>
      </c>
      <c r="J59" s="74"/>
      <c r="K59" s="11"/>
      <c r="L59" s="16"/>
      <c r="M59" s="16"/>
      <c r="N59" s="16"/>
      <c r="O59" s="16"/>
      <c r="P59" s="16"/>
      <c r="Q59" s="16"/>
      <c r="R59" s="35"/>
      <c r="S59" s="43"/>
      <c r="T59" s="46"/>
      <c r="U59" s="75">
        <f t="shared" ref="U59:U69" si="6">SUM(L59:T59)</f>
        <v>0</v>
      </c>
      <c r="V59" s="93" t="str">
        <f t="shared" si="3"/>
        <v>OK</v>
      </c>
    </row>
    <row r="60" spans="1:22" hidden="1" x14ac:dyDescent="0.3">
      <c r="A60" s="54" t="s">
        <v>90</v>
      </c>
      <c r="B60" s="63">
        <v>16587</v>
      </c>
      <c r="C60" s="18" t="s">
        <v>78</v>
      </c>
      <c r="D60" s="18"/>
      <c r="E60" s="18"/>
      <c r="F60" s="18"/>
      <c r="G60" s="92"/>
      <c r="H60" s="22"/>
      <c r="I60" s="22">
        <f t="shared" si="4"/>
        <v>0</v>
      </c>
      <c r="J60" s="69"/>
      <c r="K60" s="11"/>
      <c r="L60" s="22"/>
      <c r="M60" s="22"/>
      <c r="N60" s="22"/>
      <c r="O60" s="22"/>
      <c r="P60" s="22"/>
      <c r="Q60" s="22"/>
      <c r="R60" s="36"/>
      <c r="S60" s="44"/>
      <c r="T60" s="47"/>
      <c r="U60" s="52">
        <f t="shared" si="6"/>
        <v>0</v>
      </c>
      <c r="V60" s="23" t="str">
        <f t="shared" si="3"/>
        <v>OK</v>
      </c>
    </row>
    <row r="61" spans="1:22" hidden="1" x14ac:dyDescent="0.3">
      <c r="A61" s="90" t="s">
        <v>91</v>
      </c>
      <c r="B61" s="76">
        <v>17121</v>
      </c>
      <c r="C61" s="70" t="s">
        <v>92</v>
      </c>
      <c r="D61" s="70"/>
      <c r="E61" s="70"/>
      <c r="F61" s="70"/>
      <c r="G61" s="91"/>
      <c r="H61" s="82"/>
      <c r="I61" s="82">
        <f t="shared" si="4"/>
        <v>0</v>
      </c>
      <c r="J61" s="74"/>
      <c r="K61" s="11"/>
      <c r="L61" s="16"/>
      <c r="M61" s="16"/>
      <c r="N61" s="16"/>
      <c r="O61" s="16"/>
      <c r="P61" s="16"/>
      <c r="Q61" s="16"/>
      <c r="R61" s="35"/>
      <c r="S61" s="43"/>
      <c r="T61" s="46"/>
      <c r="U61" s="75">
        <f t="shared" si="6"/>
        <v>0</v>
      </c>
      <c r="V61" s="93" t="str">
        <f t="shared" si="3"/>
        <v>OK</v>
      </c>
    </row>
    <row r="62" spans="1:22" hidden="1" x14ac:dyDescent="0.3">
      <c r="A62" s="54" t="s">
        <v>106</v>
      </c>
      <c r="B62" s="63">
        <v>19270</v>
      </c>
      <c r="C62" s="18" t="s">
        <v>68</v>
      </c>
      <c r="D62" s="18"/>
      <c r="E62" s="18"/>
      <c r="F62" s="18"/>
      <c r="G62" s="92"/>
      <c r="H62" s="22"/>
      <c r="I62" s="22">
        <f t="shared" si="4"/>
        <v>0</v>
      </c>
      <c r="J62" s="69"/>
      <c r="K62" s="11"/>
      <c r="L62" s="22"/>
      <c r="M62" s="22"/>
      <c r="N62" s="22"/>
      <c r="O62" s="22"/>
      <c r="P62" s="22"/>
      <c r="Q62" s="22"/>
      <c r="R62" s="36"/>
      <c r="S62" s="44"/>
      <c r="T62" s="47"/>
      <c r="U62" s="71">
        <f t="shared" si="6"/>
        <v>0</v>
      </c>
      <c r="V62" s="23" t="str">
        <f t="shared" si="3"/>
        <v>OK</v>
      </c>
    </row>
    <row r="63" spans="1:22" hidden="1" x14ac:dyDescent="0.3">
      <c r="A63" s="90" t="s">
        <v>107</v>
      </c>
      <c r="B63" s="76">
        <v>19276</v>
      </c>
      <c r="C63" s="70" t="s">
        <v>68</v>
      </c>
      <c r="D63" s="70"/>
      <c r="E63" s="70"/>
      <c r="F63" s="70"/>
      <c r="G63" s="91"/>
      <c r="H63" s="82"/>
      <c r="I63" s="82">
        <f t="shared" si="4"/>
        <v>0</v>
      </c>
      <c r="J63" s="74"/>
      <c r="K63" s="11"/>
      <c r="L63" s="16"/>
      <c r="M63" s="16"/>
      <c r="N63" s="16"/>
      <c r="O63" s="16"/>
      <c r="P63" s="16"/>
      <c r="Q63" s="16"/>
      <c r="R63" s="35"/>
      <c r="S63" s="43"/>
      <c r="T63" s="46"/>
      <c r="U63" s="75">
        <f t="shared" si="6"/>
        <v>0</v>
      </c>
      <c r="V63" s="93" t="str">
        <f t="shared" si="3"/>
        <v>OK</v>
      </c>
    </row>
    <row r="64" spans="1:22" ht="17.25" thickBot="1" x14ac:dyDescent="0.35">
      <c r="A64" s="54" t="s">
        <v>108</v>
      </c>
      <c r="B64" s="63">
        <v>19836</v>
      </c>
      <c r="C64" s="18" t="s">
        <v>45</v>
      </c>
      <c r="D64" s="18"/>
      <c r="E64" s="18"/>
      <c r="F64" s="18"/>
      <c r="G64" s="92"/>
      <c r="H64" s="22"/>
      <c r="I64" s="22">
        <f t="shared" si="4"/>
        <v>5</v>
      </c>
      <c r="J64" s="69"/>
      <c r="K64" s="11"/>
      <c r="L64" s="22"/>
      <c r="M64" s="22">
        <v>5</v>
      </c>
      <c r="N64" s="22"/>
      <c r="O64" s="22"/>
      <c r="P64" s="22"/>
      <c r="Q64" s="22"/>
      <c r="R64" s="36"/>
      <c r="S64" s="44"/>
      <c r="T64" s="47"/>
      <c r="U64" s="52">
        <f t="shared" si="6"/>
        <v>5</v>
      </c>
      <c r="V64" s="23" t="str">
        <f t="shared" si="3"/>
        <v>OK</v>
      </c>
    </row>
    <row r="65" spans="1:22" ht="17.25" hidden="1" thickBot="1" x14ac:dyDescent="0.35">
      <c r="A65" s="90" t="s">
        <v>109</v>
      </c>
      <c r="B65" s="76">
        <v>20278</v>
      </c>
      <c r="C65" s="70" t="s">
        <v>110</v>
      </c>
      <c r="D65" s="70"/>
      <c r="E65" s="70"/>
      <c r="F65" s="70"/>
      <c r="G65" s="91"/>
      <c r="H65" s="82"/>
      <c r="I65" s="82">
        <f t="shared" si="4"/>
        <v>0</v>
      </c>
      <c r="J65" s="74"/>
      <c r="K65" s="11"/>
      <c r="L65" s="16"/>
      <c r="M65" s="16"/>
      <c r="N65" s="16"/>
      <c r="O65" s="16"/>
      <c r="P65" s="16"/>
      <c r="Q65" s="16"/>
      <c r="R65" s="35"/>
      <c r="S65" s="43"/>
      <c r="T65" s="46"/>
      <c r="U65" s="75">
        <f t="shared" si="6"/>
        <v>0</v>
      </c>
      <c r="V65" s="93" t="str">
        <f t="shared" si="3"/>
        <v>OK</v>
      </c>
    </row>
    <row r="66" spans="1:22" ht="17.25" hidden="1" thickBot="1" x14ac:dyDescent="0.35">
      <c r="A66" s="54" t="s">
        <v>111</v>
      </c>
      <c r="B66" s="63">
        <v>20272</v>
      </c>
      <c r="C66" s="18" t="s">
        <v>110</v>
      </c>
      <c r="D66" s="18"/>
      <c r="E66" s="18"/>
      <c r="F66" s="18"/>
      <c r="G66" s="92"/>
      <c r="H66" s="22"/>
      <c r="I66" s="22">
        <f t="shared" si="4"/>
        <v>0</v>
      </c>
      <c r="J66" s="69"/>
      <c r="K66" s="11"/>
      <c r="L66" s="22"/>
      <c r="M66" s="22"/>
      <c r="N66" s="22"/>
      <c r="O66" s="22"/>
      <c r="P66" s="22"/>
      <c r="Q66" s="22"/>
      <c r="R66" s="36"/>
      <c r="S66" s="44"/>
      <c r="T66" s="47"/>
      <c r="U66" s="52">
        <f t="shared" si="6"/>
        <v>0</v>
      </c>
      <c r="V66" s="23" t="str">
        <f t="shared" si="3"/>
        <v>OK</v>
      </c>
    </row>
    <row r="67" spans="1:22" ht="17.25" hidden="1" thickBot="1" x14ac:dyDescent="0.35">
      <c r="A67" s="90" t="s">
        <v>112</v>
      </c>
      <c r="B67" s="76">
        <v>20956</v>
      </c>
      <c r="C67" s="70" t="s">
        <v>110</v>
      </c>
      <c r="D67" s="70"/>
      <c r="E67" s="70"/>
      <c r="F67" s="70"/>
      <c r="G67" s="91"/>
      <c r="H67" s="82"/>
      <c r="I67" s="82">
        <f t="shared" si="4"/>
        <v>0</v>
      </c>
      <c r="J67" s="74"/>
      <c r="K67" s="11"/>
      <c r="L67" s="16"/>
      <c r="M67" s="16"/>
      <c r="N67" s="16"/>
      <c r="O67" s="16"/>
      <c r="P67" s="16"/>
      <c r="Q67" s="16"/>
      <c r="R67" s="35"/>
      <c r="S67" s="43"/>
      <c r="T67" s="46"/>
      <c r="U67" s="75">
        <f t="shared" si="6"/>
        <v>0</v>
      </c>
      <c r="V67" s="93" t="str">
        <f t="shared" si="3"/>
        <v>OK</v>
      </c>
    </row>
    <row r="68" spans="1:22" ht="17.25" hidden="1" thickBot="1" x14ac:dyDescent="0.35">
      <c r="A68" s="54" t="s">
        <v>116</v>
      </c>
      <c r="B68" s="63">
        <v>21299</v>
      </c>
      <c r="C68" s="18" t="s">
        <v>78</v>
      </c>
      <c r="D68" s="18"/>
      <c r="E68" s="18"/>
      <c r="F68" s="18"/>
      <c r="G68" s="92"/>
      <c r="H68" s="22"/>
      <c r="I68" s="22">
        <f t="shared" si="4"/>
        <v>0</v>
      </c>
      <c r="J68" s="69"/>
      <c r="K68" s="11"/>
      <c r="L68" s="22"/>
      <c r="M68" s="22"/>
      <c r="N68" s="22"/>
      <c r="O68" s="22"/>
      <c r="P68" s="22"/>
      <c r="Q68" s="22"/>
      <c r="R68" s="36"/>
      <c r="S68" s="44"/>
      <c r="T68" s="47"/>
      <c r="U68" s="71">
        <f t="shared" si="6"/>
        <v>0</v>
      </c>
      <c r="V68" s="23" t="str">
        <f>IF(U68=I68,"OK","NG")</f>
        <v>OK</v>
      </c>
    </row>
    <row r="69" spans="1:22" ht="17.25" hidden="1" thickBot="1" x14ac:dyDescent="0.35">
      <c r="A69" s="99" t="s">
        <v>117</v>
      </c>
      <c r="B69" s="76">
        <v>22115</v>
      </c>
      <c r="C69" s="82" t="s">
        <v>118</v>
      </c>
      <c r="D69" s="82"/>
      <c r="E69" s="82"/>
      <c r="F69" s="82"/>
      <c r="G69" s="82"/>
      <c r="H69" s="82"/>
      <c r="I69" s="82">
        <f t="shared" si="4"/>
        <v>0</v>
      </c>
      <c r="J69" s="97"/>
      <c r="K69" s="112"/>
      <c r="L69" s="82"/>
      <c r="M69" s="82"/>
      <c r="N69" s="82"/>
      <c r="O69" s="82"/>
      <c r="P69" s="82"/>
      <c r="Q69" s="82"/>
      <c r="R69" s="83"/>
      <c r="S69" s="84"/>
      <c r="T69" s="100"/>
      <c r="U69" s="75">
        <f t="shared" si="6"/>
        <v>0</v>
      </c>
      <c r="V69" s="93" t="str">
        <f>IF(U69=I69,"OK","NG")</f>
        <v>OK</v>
      </c>
    </row>
    <row r="70" spans="1:22" ht="17.25" hidden="1" thickBot="1" x14ac:dyDescent="0.35">
      <c r="A70" s="54" t="s">
        <v>120</v>
      </c>
      <c r="B70" s="63">
        <v>22706</v>
      </c>
      <c r="C70" s="18" t="s">
        <v>119</v>
      </c>
      <c r="D70" s="18"/>
      <c r="E70" s="18"/>
      <c r="F70" s="18"/>
      <c r="G70" s="92"/>
      <c r="H70" s="22"/>
      <c r="I70" s="22">
        <f t="shared" si="4"/>
        <v>0</v>
      </c>
      <c r="J70" s="69"/>
      <c r="K70" s="11"/>
      <c r="L70" s="22"/>
      <c r="M70" s="22"/>
      <c r="N70" s="22"/>
      <c r="O70" s="22"/>
      <c r="P70" s="22"/>
      <c r="Q70" s="22"/>
      <c r="R70" s="36"/>
      <c r="S70" s="44"/>
      <c r="T70" s="47"/>
      <c r="U70" s="71">
        <f t="shared" ref="U70" si="7">SUM(L70:T70)</f>
        <v>0</v>
      </c>
      <c r="V70" s="23" t="str">
        <f>IF(U70=I70,"OK","NG")</f>
        <v>OK</v>
      </c>
    </row>
    <row r="71" spans="1:22" ht="17.25" hidden="1" thickBot="1" x14ac:dyDescent="0.35">
      <c r="A71" s="99" t="s">
        <v>121</v>
      </c>
      <c r="B71" s="76">
        <v>22886</v>
      </c>
      <c r="C71" s="82" t="s">
        <v>46</v>
      </c>
      <c r="D71" s="82"/>
      <c r="E71" s="82"/>
      <c r="F71" s="82"/>
      <c r="G71" s="82"/>
      <c r="H71" s="82"/>
      <c r="I71" s="82">
        <f t="shared" ref="I71:I80" si="8">SUM(L71:T71)</f>
        <v>0</v>
      </c>
      <c r="J71" s="97"/>
      <c r="K71" s="112"/>
      <c r="L71" s="82"/>
      <c r="M71" s="82"/>
      <c r="N71" s="82"/>
      <c r="O71" s="82"/>
      <c r="P71" s="82"/>
      <c r="Q71" s="82"/>
      <c r="R71" s="83"/>
      <c r="S71" s="84"/>
      <c r="T71" s="100"/>
      <c r="U71" s="75">
        <f>SUM(L71:T71)</f>
        <v>0</v>
      </c>
      <c r="V71" s="93" t="str">
        <f>IF(U71=I71,"OK","NG")</f>
        <v>OK</v>
      </c>
    </row>
    <row r="72" spans="1:22" ht="17.25" hidden="1" thickBot="1" x14ac:dyDescent="0.35">
      <c r="A72" s="54" t="s">
        <v>122</v>
      </c>
      <c r="B72" s="63">
        <v>17528</v>
      </c>
      <c r="C72" s="18" t="s">
        <v>123</v>
      </c>
      <c r="D72" s="18"/>
      <c r="E72" s="18"/>
      <c r="F72" s="18"/>
      <c r="G72" s="92"/>
      <c r="H72" s="22"/>
      <c r="I72" s="22">
        <f t="shared" si="8"/>
        <v>0</v>
      </c>
      <c r="J72" s="69"/>
      <c r="K72" s="11"/>
      <c r="L72" s="22"/>
      <c r="M72" s="22"/>
      <c r="N72" s="22"/>
      <c r="O72" s="22"/>
      <c r="P72" s="22"/>
      <c r="Q72" s="22"/>
      <c r="R72" s="36"/>
      <c r="S72" s="44"/>
      <c r="T72" s="47"/>
      <c r="U72" s="71">
        <f t="shared" ref="U72:U80" si="9">SUM(L72:T72)</f>
        <v>0</v>
      </c>
      <c r="V72" s="95" t="str">
        <f t="shared" ref="V72:V80" si="10">IF(U72=I72,"OK","NG")</f>
        <v>OK</v>
      </c>
    </row>
    <row r="73" spans="1:22" ht="17.25" hidden="1" thickBot="1" x14ac:dyDescent="0.35">
      <c r="A73" s="99" t="s">
        <v>124</v>
      </c>
      <c r="B73" s="76">
        <v>22380</v>
      </c>
      <c r="C73" s="82" t="s">
        <v>47</v>
      </c>
      <c r="D73" s="82"/>
      <c r="E73" s="82"/>
      <c r="F73" s="82"/>
      <c r="G73" s="82"/>
      <c r="H73" s="82"/>
      <c r="I73" s="82">
        <f t="shared" si="8"/>
        <v>0</v>
      </c>
      <c r="J73" s="97"/>
      <c r="K73" s="112"/>
      <c r="L73" s="82"/>
      <c r="M73" s="82"/>
      <c r="N73" s="82"/>
      <c r="O73" s="82"/>
      <c r="P73" s="82"/>
      <c r="Q73" s="82"/>
      <c r="R73" s="83"/>
      <c r="S73" s="84"/>
      <c r="T73" s="100"/>
      <c r="U73" s="75">
        <f t="shared" si="9"/>
        <v>0</v>
      </c>
      <c r="V73" s="93" t="str">
        <f t="shared" si="10"/>
        <v>OK</v>
      </c>
    </row>
    <row r="74" spans="1:22" ht="17.25" hidden="1" thickBot="1" x14ac:dyDescent="0.35">
      <c r="A74" s="54" t="s">
        <v>125</v>
      </c>
      <c r="B74" s="63">
        <v>19279</v>
      </c>
      <c r="C74" s="18" t="s">
        <v>126</v>
      </c>
      <c r="D74" s="18"/>
      <c r="E74" s="18"/>
      <c r="F74" s="18"/>
      <c r="G74" s="92"/>
      <c r="H74" s="22"/>
      <c r="I74" s="22">
        <f t="shared" si="8"/>
        <v>0</v>
      </c>
      <c r="J74" s="69"/>
      <c r="K74" s="11"/>
      <c r="L74" s="22"/>
      <c r="M74" s="22"/>
      <c r="N74" s="22"/>
      <c r="O74" s="22"/>
      <c r="P74" s="22"/>
      <c r="Q74" s="22"/>
      <c r="R74" s="36"/>
      <c r="S74" s="44"/>
      <c r="T74" s="47"/>
      <c r="U74" s="71">
        <f t="shared" si="9"/>
        <v>0</v>
      </c>
      <c r="V74" s="95" t="str">
        <f t="shared" si="10"/>
        <v>OK</v>
      </c>
    </row>
    <row r="75" spans="1:22" ht="17.25" hidden="1" thickBot="1" x14ac:dyDescent="0.35">
      <c r="A75" s="90" t="s">
        <v>131</v>
      </c>
      <c r="B75" s="76">
        <v>22724</v>
      </c>
      <c r="C75" s="70" t="s">
        <v>119</v>
      </c>
      <c r="D75" s="70"/>
      <c r="E75" s="70"/>
      <c r="F75" s="70"/>
      <c r="G75" s="91"/>
      <c r="H75" s="82"/>
      <c r="I75" s="82">
        <f t="shared" si="8"/>
        <v>0</v>
      </c>
      <c r="J75" s="74"/>
      <c r="K75" s="11"/>
      <c r="L75" s="82"/>
      <c r="M75" s="82"/>
      <c r="N75" s="82"/>
      <c r="O75" s="82"/>
      <c r="P75" s="82"/>
      <c r="Q75" s="82"/>
      <c r="R75" s="83"/>
      <c r="S75" s="84"/>
      <c r="T75" s="85"/>
      <c r="U75" s="75">
        <f>SUM(L75:T75)</f>
        <v>0</v>
      </c>
      <c r="V75" s="93" t="s">
        <v>129</v>
      </c>
    </row>
    <row r="76" spans="1:22" ht="17.25" hidden="1" thickBot="1" x14ac:dyDescent="0.35">
      <c r="A76" s="54" t="s">
        <v>133</v>
      </c>
      <c r="B76" s="63">
        <v>22705</v>
      </c>
      <c r="C76" s="18" t="s">
        <v>119</v>
      </c>
      <c r="D76" s="18"/>
      <c r="E76" s="18"/>
      <c r="F76" s="18"/>
      <c r="G76" s="92"/>
      <c r="H76" s="22"/>
      <c r="I76" s="22">
        <f t="shared" si="8"/>
        <v>0</v>
      </c>
      <c r="J76" s="69"/>
      <c r="K76" s="11"/>
      <c r="L76" s="22"/>
      <c r="M76" s="22"/>
      <c r="N76" s="22"/>
      <c r="O76" s="22"/>
      <c r="P76" s="22"/>
      <c r="Q76" s="22"/>
      <c r="R76" s="36"/>
      <c r="S76" s="44"/>
      <c r="T76" s="47"/>
      <c r="U76" s="71">
        <f t="shared" si="9"/>
        <v>0</v>
      </c>
      <c r="V76" s="95" t="str">
        <f t="shared" si="10"/>
        <v>OK</v>
      </c>
    </row>
    <row r="77" spans="1:22" ht="17.25" hidden="1" thickBot="1" x14ac:dyDescent="0.35">
      <c r="A77" s="99" t="s">
        <v>128</v>
      </c>
      <c r="B77" s="76">
        <v>5655</v>
      </c>
      <c r="C77" s="82" t="s">
        <v>54</v>
      </c>
      <c r="D77" s="82"/>
      <c r="E77" s="82"/>
      <c r="F77" s="82"/>
      <c r="G77" s="82"/>
      <c r="H77" s="82"/>
      <c r="I77" s="82">
        <f t="shared" si="8"/>
        <v>0</v>
      </c>
      <c r="J77" s="97"/>
      <c r="K77" s="112"/>
      <c r="L77" s="82"/>
      <c r="M77" s="82"/>
      <c r="N77" s="82"/>
      <c r="O77" s="82"/>
      <c r="P77" s="82"/>
      <c r="Q77" s="82"/>
      <c r="R77" s="83"/>
      <c r="S77" s="84"/>
      <c r="T77" s="100"/>
      <c r="U77" s="75">
        <f t="shared" si="9"/>
        <v>0</v>
      </c>
      <c r="V77" s="93" t="str">
        <f t="shared" si="10"/>
        <v>OK</v>
      </c>
    </row>
    <row r="78" spans="1:22" ht="17.25" hidden="1" thickBot="1" x14ac:dyDescent="0.35">
      <c r="A78" s="120" t="s">
        <v>136</v>
      </c>
      <c r="B78" s="121">
        <v>22704</v>
      </c>
      <c r="C78" s="122" t="s">
        <v>137</v>
      </c>
      <c r="D78" s="122"/>
      <c r="E78" s="122"/>
      <c r="F78" s="122"/>
      <c r="G78" s="122"/>
      <c r="H78" s="122"/>
      <c r="I78" s="22">
        <f t="shared" si="8"/>
        <v>0</v>
      </c>
      <c r="J78" s="45"/>
      <c r="K78" s="112"/>
      <c r="L78" s="22"/>
      <c r="M78" s="22"/>
      <c r="N78" s="22"/>
      <c r="O78" s="22"/>
      <c r="P78" s="22"/>
      <c r="Q78" s="22"/>
      <c r="R78" s="36"/>
      <c r="S78" s="44"/>
      <c r="T78" s="116"/>
      <c r="U78" s="71">
        <f t="shared" si="9"/>
        <v>0</v>
      </c>
      <c r="V78" s="95" t="str">
        <f t="shared" si="10"/>
        <v>OK</v>
      </c>
    </row>
    <row r="79" spans="1:22" ht="17.25" hidden="1" thickBot="1" x14ac:dyDescent="0.35">
      <c r="A79" s="136" t="s">
        <v>139</v>
      </c>
      <c r="B79" s="133">
        <v>22722</v>
      </c>
      <c r="C79" s="137" t="s">
        <v>119</v>
      </c>
      <c r="D79" s="137"/>
      <c r="E79" s="137"/>
      <c r="F79" s="137"/>
      <c r="G79" s="137"/>
      <c r="H79" s="137"/>
      <c r="I79" s="82">
        <f t="shared" si="8"/>
        <v>0</v>
      </c>
      <c r="J79" s="97"/>
      <c r="K79" s="119"/>
      <c r="L79" s="82"/>
      <c r="M79" s="82"/>
      <c r="N79" s="82"/>
      <c r="O79" s="82"/>
      <c r="P79" s="82"/>
      <c r="Q79" s="82"/>
      <c r="R79" s="83"/>
      <c r="S79" s="84"/>
      <c r="T79" s="100"/>
      <c r="U79" s="75">
        <f t="shared" si="9"/>
        <v>0</v>
      </c>
      <c r="V79" s="93" t="str">
        <f t="shared" si="10"/>
        <v>OK</v>
      </c>
    </row>
    <row r="80" spans="1:22" ht="17.25" hidden="1" customHeight="1" thickBot="1" x14ac:dyDescent="0.35">
      <c r="A80" s="126" t="s">
        <v>134</v>
      </c>
      <c r="B80" s="127">
        <v>22723</v>
      </c>
      <c r="C80" s="128" t="s">
        <v>119</v>
      </c>
      <c r="D80" s="128"/>
      <c r="E80" s="128"/>
      <c r="F80" s="128"/>
      <c r="G80" s="128"/>
      <c r="H80" s="128"/>
      <c r="I80" s="128">
        <f t="shared" si="8"/>
        <v>0</v>
      </c>
      <c r="J80" s="45"/>
      <c r="K80" s="112"/>
      <c r="L80" s="22"/>
      <c r="M80" s="22"/>
      <c r="N80" s="22"/>
      <c r="O80" s="22"/>
      <c r="P80" s="22"/>
      <c r="Q80" s="22"/>
      <c r="R80" s="36"/>
      <c r="S80" s="44"/>
      <c r="T80" s="116"/>
      <c r="U80" s="52">
        <f t="shared" si="9"/>
        <v>0</v>
      </c>
      <c r="V80" s="23" t="str">
        <f t="shared" si="10"/>
        <v>OK</v>
      </c>
    </row>
    <row r="81" spans="1:22" x14ac:dyDescent="0.3">
      <c r="A81" s="86"/>
      <c r="B81" s="86"/>
      <c r="C81" s="87" t="s">
        <v>9</v>
      </c>
      <c r="D81" s="87"/>
      <c r="E81" s="87"/>
      <c r="F81" s="87"/>
      <c r="G81" s="88">
        <f>SUM(G6:G49)</f>
        <v>0</v>
      </c>
      <c r="H81" s="89">
        <f>SUM(H6:H49)</f>
        <v>0</v>
      </c>
      <c r="I81" s="88">
        <f>SUM(I6:I80)</f>
        <v>9</v>
      </c>
      <c r="J81" s="40">
        <f>SUM(J6:J49)</f>
        <v>0</v>
      </c>
      <c r="K81" s="115">
        <f>SUM(K6:K51)</f>
        <v>0</v>
      </c>
      <c r="L81" s="38">
        <f>SUM(L6:L80)</f>
        <v>0</v>
      </c>
      <c r="M81" s="38">
        <f t="shared" ref="M81:U81" si="11">SUM(M6:M80)</f>
        <v>9</v>
      </c>
      <c r="N81" s="38">
        <f t="shared" si="11"/>
        <v>0</v>
      </c>
      <c r="O81" s="38">
        <f t="shared" si="11"/>
        <v>0</v>
      </c>
      <c r="P81" s="38">
        <f t="shared" si="11"/>
        <v>0</v>
      </c>
      <c r="Q81" s="38">
        <f t="shared" si="11"/>
        <v>0</v>
      </c>
      <c r="R81" s="38">
        <f t="shared" si="11"/>
        <v>0</v>
      </c>
      <c r="S81" s="38">
        <f t="shared" si="11"/>
        <v>0</v>
      </c>
      <c r="T81" s="38">
        <f t="shared" si="11"/>
        <v>0</v>
      </c>
      <c r="U81" s="38">
        <f t="shared" si="11"/>
        <v>9</v>
      </c>
      <c r="V81" s="41" t="str">
        <f>IF(U81=SUM(I81),"OK","NG")</f>
        <v>OK</v>
      </c>
    </row>
  </sheetData>
  <autoFilter ref="A5:V81" xr:uid="{00000000-0001-0000-1400-000000000000}">
    <filterColumn colId="8">
      <filters>
        <filter val="4"/>
        <filter val="5"/>
        <filter val="9"/>
      </filters>
    </filterColumn>
  </autoFilter>
  <mergeCells count="20">
    <mergeCell ref="O4:O5"/>
    <mergeCell ref="P4:P5"/>
    <mergeCell ref="B3:C3"/>
    <mergeCell ref="N4:N5"/>
    <mergeCell ref="B1:C1"/>
    <mergeCell ref="F1:G1"/>
    <mergeCell ref="H1:J3"/>
    <mergeCell ref="B2:C2"/>
    <mergeCell ref="A4:D4"/>
    <mergeCell ref="E4:G4"/>
    <mergeCell ref="H4:J4"/>
    <mergeCell ref="L4:L5"/>
    <mergeCell ref="M4:M5"/>
    <mergeCell ref="Q4:Q5"/>
    <mergeCell ref="R4:R5"/>
    <mergeCell ref="S4:S5"/>
    <mergeCell ref="T4:T5"/>
    <mergeCell ref="V2:V3"/>
    <mergeCell ref="U4:U5"/>
    <mergeCell ref="V4:V5"/>
  </mergeCells>
  <phoneticPr fontId="3" type="noConversion"/>
  <conditionalFormatting sqref="A4 V6:V81">
    <cfRule type="containsText" dxfId="25" priority="9" operator="containsText" text="NG">
      <formula>NOT(ISERROR(SEARCH("NG",A4)))</formula>
    </cfRule>
    <cfRule type="containsText" dxfId="24" priority="10" operator="containsText" text="OK">
      <formula>NOT(ISERROR(SEARCH("OK",A4)))</formula>
    </cfRule>
  </conditionalFormatting>
  <pageMargins left="0.70866141732283472" right="0.70866141732283472" top="0.74803149606299213" bottom="0.74803149606299213" header="0.31496062992125984" footer="0.31496062992125984"/>
  <pageSetup paperSize="8" scale="10" orientation="landscape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 filterMode="1">
    <pageSetUpPr fitToPage="1"/>
  </sheetPr>
  <dimension ref="A1:V81"/>
  <sheetViews>
    <sheetView showGridLines="0" zoomScale="85" zoomScaleNormal="85" workbookViewId="0">
      <pane ySplit="5" topLeftCell="A61" activePane="bottomLeft" state="frozen"/>
      <selection activeCell="W73" sqref="W73"/>
      <selection pane="bottomLeft" activeCell="O83" sqref="O83"/>
    </sheetView>
  </sheetViews>
  <sheetFormatPr defaultColWidth="9" defaultRowHeight="16.5" x14ac:dyDescent="0.3"/>
  <cols>
    <col min="1" max="1" width="12.625" bestFit="1" customWidth="1"/>
    <col min="2" max="2" width="14.125" bestFit="1" customWidth="1"/>
    <col min="3" max="3" width="35.125" customWidth="1"/>
    <col min="4" max="4" width="11.75" hidden="1" customWidth="1"/>
    <col min="5" max="6" width="9" hidden="1" customWidth="1"/>
    <col min="7" max="7" width="15.375" hidden="1" customWidth="1"/>
    <col min="8" max="8" width="13.25" hidden="1" customWidth="1"/>
    <col min="9" max="9" width="13.25" customWidth="1"/>
    <col min="10" max="10" width="13.25" hidden="1" customWidth="1"/>
    <col min="11" max="11" width="0.875" customWidth="1"/>
    <col min="20" max="20" width="11" bestFit="1" customWidth="1"/>
  </cols>
  <sheetData>
    <row r="1" spans="1:22" ht="22.5" customHeight="1" thickBot="1" x14ac:dyDescent="0.35">
      <c r="A1" s="32" t="s">
        <v>28</v>
      </c>
      <c r="B1" s="153">
        <f>H69</f>
        <v>0</v>
      </c>
      <c r="C1" s="154"/>
      <c r="D1" s="55"/>
      <c r="E1" s="58" t="s">
        <v>1</v>
      </c>
      <c r="F1" s="155">
        <f>G69</f>
        <v>0</v>
      </c>
      <c r="G1" s="155"/>
      <c r="H1" s="156"/>
      <c r="I1" s="156"/>
      <c r="J1" s="156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22.5" customHeight="1" thickBot="1" x14ac:dyDescent="0.35">
      <c r="A2" s="32" t="s">
        <v>29</v>
      </c>
      <c r="B2" s="158">
        <f>I81</f>
        <v>15</v>
      </c>
      <c r="C2" s="159"/>
      <c r="D2" s="56"/>
      <c r="E2" s="59"/>
      <c r="F2" s="2"/>
      <c r="G2" s="2"/>
      <c r="H2" s="156"/>
      <c r="I2" s="156"/>
      <c r="J2" s="156"/>
      <c r="K2" s="113"/>
      <c r="L2" s="3">
        <f>SUBTOTAL(9,L6:L80)</f>
        <v>0</v>
      </c>
      <c r="M2" s="3">
        <f t="shared" ref="M2:T2" si="0">SUBTOTAL(9,M6:M80)</f>
        <v>15</v>
      </c>
      <c r="N2" s="3">
        <f t="shared" si="0"/>
        <v>0</v>
      </c>
      <c r="O2" s="3">
        <f t="shared" si="0"/>
        <v>0</v>
      </c>
      <c r="P2" s="3">
        <f t="shared" si="0"/>
        <v>0</v>
      </c>
      <c r="Q2" s="3">
        <f t="shared" si="0"/>
        <v>0</v>
      </c>
      <c r="R2" s="3">
        <f t="shared" si="0"/>
        <v>0</v>
      </c>
      <c r="S2" s="3">
        <f t="shared" si="0"/>
        <v>0</v>
      </c>
      <c r="T2" s="3">
        <f t="shared" si="0"/>
        <v>0</v>
      </c>
      <c r="U2" s="48">
        <f>SUBTOTAL(9,U6:U80)</f>
        <v>15</v>
      </c>
      <c r="V2" s="145"/>
    </row>
    <row r="3" spans="1:22" ht="22.5" customHeight="1" thickBot="1" x14ac:dyDescent="0.35">
      <c r="A3" s="33" t="s">
        <v>30</v>
      </c>
      <c r="B3" s="151">
        <f>IF(ISERROR(B2/(B2+B1)*1000000),"",(B2/(B2+B1)*1000000))</f>
        <v>1000000</v>
      </c>
      <c r="C3" s="152"/>
      <c r="D3" s="57"/>
      <c r="E3" s="60"/>
      <c r="F3" s="27"/>
      <c r="G3" s="27"/>
      <c r="H3" s="157"/>
      <c r="I3" s="157"/>
      <c r="J3" s="157"/>
      <c r="K3" s="114"/>
      <c r="L3" s="4">
        <f t="shared" ref="L3:U3" si="1">SUM(L6:L80)</f>
        <v>0</v>
      </c>
      <c r="M3" s="4">
        <f t="shared" si="1"/>
        <v>15</v>
      </c>
      <c r="N3" s="4">
        <f t="shared" si="1"/>
        <v>0</v>
      </c>
      <c r="O3" s="4">
        <f t="shared" si="1"/>
        <v>0</v>
      </c>
      <c r="P3" s="4">
        <f t="shared" si="1"/>
        <v>0</v>
      </c>
      <c r="Q3" s="4">
        <f t="shared" si="1"/>
        <v>0</v>
      </c>
      <c r="R3" s="4">
        <f t="shared" si="1"/>
        <v>0</v>
      </c>
      <c r="S3" s="4">
        <f t="shared" si="1"/>
        <v>0</v>
      </c>
      <c r="T3" s="4">
        <f t="shared" si="1"/>
        <v>0</v>
      </c>
      <c r="U3" s="49">
        <f t="shared" si="1"/>
        <v>15</v>
      </c>
      <c r="V3" s="146"/>
    </row>
    <row r="4" spans="1:22" ht="43.5" customHeight="1" x14ac:dyDescent="0.3">
      <c r="A4" s="160" t="str">
        <f>V81</f>
        <v>OK</v>
      </c>
      <c r="B4" s="160"/>
      <c r="C4" s="160"/>
      <c r="D4" s="161"/>
      <c r="E4" s="162" t="s">
        <v>15</v>
      </c>
      <c r="F4" s="162"/>
      <c r="G4" s="162"/>
      <c r="H4" s="163" t="s">
        <v>16</v>
      </c>
      <c r="I4" s="163"/>
      <c r="J4" s="163"/>
      <c r="K4" s="113"/>
      <c r="L4" s="164" t="s">
        <v>10</v>
      </c>
      <c r="M4" s="142" t="s">
        <v>17</v>
      </c>
      <c r="N4" s="142" t="s">
        <v>11</v>
      </c>
      <c r="O4" s="138" t="s">
        <v>12</v>
      </c>
      <c r="P4" s="142" t="s">
        <v>13</v>
      </c>
      <c r="Q4" s="138" t="s">
        <v>14</v>
      </c>
      <c r="R4" s="140" t="s">
        <v>20</v>
      </c>
      <c r="S4" s="142" t="s">
        <v>21</v>
      </c>
      <c r="T4" s="143" t="s">
        <v>22</v>
      </c>
      <c r="U4" s="147" t="s">
        <v>18</v>
      </c>
      <c r="V4" s="149" t="s">
        <v>19</v>
      </c>
    </row>
    <row r="5" spans="1:22" ht="33.75" thickBot="1" x14ac:dyDescent="0.35">
      <c r="A5" s="29" t="s">
        <v>3</v>
      </c>
      <c r="B5" s="30" t="s">
        <v>32</v>
      </c>
      <c r="C5" s="29" t="s">
        <v>4</v>
      </c>
      <c r="D5" s="29" t="s">
        <v>31</v>
      </c>
      <c r="E5" s="29" t="s">
        <v>5</v>
      </c>
      <c r="F5" s="29" t="s">
        <v>6</v>
      </c>
      <c r="G5" s="30" t="s">
        <v>7</v>
      </c>
      <c r="H5" s="31" t="s">
        <v>0</v>
      </c>
      <c r="I5" s="31" t="s">
        <v>2</v>
      </c>
      <c r="J5" s="31" t="s">
        <v>8</v>
      </c>
      <c r="K5" s="28"/>
      <c r="L5" s="165"/>
      <c r="M5" s="139"/>
      <c r="N5" s="139"/>
      <c r="O5" s="139"/>
      <c r="P5" s="139"/>
      <c r="Q5" s="139"/>
      <c r="R5" s="141"/>
      <c r="S5" s="139"/>
      <c r="T5" s="144"/>
      <c r="U5" s="148"/>
      <c r="V5" s="150"/>
    </row>
    <row r="6" spans="1:22" hidden="1" x14ac:dyDescent="0.3">
      <c r="A6" s="61" t="s">
        <v>33</v>
      </c>
      <c r="B6" s="61">
        <v>8092</v>
      </c>
      <c r="C6" s="6" t="s">
        <v>45</v>
      </c>
      <c r="D6" s="7"/>
      <c r="E6" s="7"/>
      <c r="F6" s="7"/>
      <c r="G6" s="8"/>
      <c r="H6" s="9"/>
      <c r="I6" s="10">
        <f>SUM(L6:T6)</f>
        <v>0</v>
      </c>
      <c r="J6" s="10"/>
      <c r="K6" s="11"/>
      <c r="L6" s="10"/>
      <c r="M6" s="10"/>
      <c r="N6" s="10"/>
      <c r="O6" s="10"/>
      <c r="P6" s="10"/>
      <c r="Q6" s="10"/>
      <c r="R6" s="34"/>
      <c r="S6" s="42"/>
      <c r="T6" s="45"/>
      <c r="U6" s="50">
        <f t="shared" ref="U6:U36" si="2">SUM(L6:T6)</f>
        <v>0</v>
      </c>
      <c r="V6" s="26" t="str">
        <f t="shared" ref="V6:V67" si="3">IF(U6=I6,"OK","NG")</f>
        <v>OK</v>
      </c>
    </row>
    <row r="7" spans="1:22" hidden="1" x14ac:dyDescent="0.3">
      <c r="A7" s="62" t="s">
        <v>95</v>
      </c>
      <c r="B7" s="62">
        <v>8088</v>
      </c>
      <c r="C7" s="12" t="s">
        <v>46</v>
      </c>
      <c r="D7" s="53"/>
      <c r="E7" s="13"/>
      <c r="F7" s="13"/>
      <c r="G7" s="14"/>
      <c r="H7" s="15"/>
      <c r="I7" s="16">
        <f t="shared" ref="I7:I70" si="4">SUM(L7:T7)</f>
        <v>0</v>
      </c>
      <c r="J7" s="16"/>
      <c r="K7" s="11"/>
      <c r="L7" s="16"/>
      <c r="M7" s="16"/>
      <c r="N7" s="16"/>
      <c r="O7" s="16"/>
      <c r="P7" s="16"/>
      <c r="Q7" s="16"/>
      <c r="R7" s="35"/>
      <c r="S7" s="43"/>
      <c r="T7" s="46"/>
      <c r="U7" s="51">
        <f t="shared" si="2"/>
        <v>0</v>
      </c>
      <c r="V7" s="17" t="str">
        <f t="shared" si="3"/>
        <v>OK</v>
      </c>
    </row>
    <row r="8" spans="1:22" hidden="1" x14ac:dyDescent="0.3">
      <c r="A8" s="63" t="s">
        <v>96</v>
      </c>
      <c r="B8" s="63">
        <v>8081</v>
      </c>
      <c r="C8" s="18" t="s">
        <v>46</v>
      </c>
      <c r="D8" s="19"/>
      <c r="E8" s="19"/>
      <c r="F8" s="19"/>
      <c r="G8" s="20"/>
      <c r="H8" s="21"/>
      <c r="I8" s="22">
        <f t="shared" si="4"/>
        <v>0</v>
      </c>
      <c r="J8" s="22"/>
      <c r="K8" s="11"/>
      <c r="L8" s="22"/>
      <c r="M8" s="22"/>
      <c r="N8" s="22"/>
      <c r="O8" s="22"/>
      <c r="P8" s="22"/>
      <c r="Q8" s="22"/>
      <c r="R8" s="36"/>
      <c r="S8" s="44"/>
      <c r="T8" s="47"/>
      <c r="U8" s="52">
        <f t="shared" si="2"/>
        <v>0</v>
      </c>
      <c r="V8" s="23" t="str">
        <f t="shared" si="3"/>
        <v>OK</v>
      </c>
    </row>
    <row r="9" spans="1:22" hidden="1" x14ac:dyDescent="0.3">
      <c r="A9" s="62" t="s">
        <v>97</v>
      </c>
      <c r="B9" s="62">
        <v>18524</v>
      </c>
      <c r="C9" s="12" t="s">
        <v>46</v>
      </c>
      <c r="D9" s="53"/>
      <c r="E9" s="13"/>
      <c r="F9" s="13"/>
      <c r="G9" s="14"/>
      <c r="H9" s="15"/>
      <c r="I9" s="16">
        <f t="shared" si="4"/>
        <v>0</v>
      </c>
      <c r="J9" s="16"/>
      <c r="K9" s="11"/>
      <c r="L9" s="16"/>
      <c r="M9" s="16"/>
      <c r="N9" s="16"/>
      <c r="O9" s="16"/>
      <c r="P9" s="16"/>
      <c r="Q9" s="16"/>
      <c r="R9" s="35"/>
      <c r="S9" s="43"/>
      <c r="T9" s="46"/>
      <c r="U9" s="51">
        <f t="shared" si="2"/>
        <v>0</v>
      </c>
      <c r="V9" s="17" t="str">
        <f t="shared" si="3"/>
        <v>OK</v>
      </c>
    </row>
    <row r="10" spans="1:22" hidden="1" x14ac:dyDescent="0.3">
      <c r="A10" s="63" t="s">
        <v>34</v>
      </c>
      <c r="B10" s="63">
        <v>6234</v>
      </c>
      <c r="C10" s="18" t="s">
        <v>47</v>
      </c>
      <c r="D10" s="19"/>
      <c r="E10" s="19"/>
      <c r="F10" s="19"/>
      <c r="G10" s="20"/>
      <c r="H10" s="21"/>
      <c r="I10" s="22">
        <f t="shared" si="4"/>
        <v>0</v>
      </c>
      <c r="J10" s="22"/>
      <c r="K10" s="11"/>
      <c r="L10" s="22"/>
      <c r="M10" s="22"/>
      <c r="N10" s="22"/>
      <c r="O10" s="22"/>
      <c r="P10" s="22"/>
      <c r="Q10" s="22"/>
      <c r="R10" s="36"/>
      <c r="S10" s="44"/>
      <c r="T10" s="47"/>
      <c r="U10" s="52">
        <f t="shared" si="2"/>
        <v>0</v>
      </c>
      <c r="V10" s="23" t="str">
        <f t="shared" si="3"/>
        <v>OK</v>
      </c>
    </row>
    <row r="11" spans="1:22" hidden="1" x14ac:dyDescent="0.3">
      <c r="A11" s="62" t="s">
        <v>80</v>
      </c>
      <c r="B11" s="62">
        <v>14830</v>
      </c>
      <c r="C11" s="12" t="s">
        <v>47</v>
      </c>
      <c r="D11" s="53"/>
      <c r="E11" s="13"/>
      <c r="F11" s="13"/>
      <c r="G11" s="14"/>
      <c r="H11" s="15"/>
      <c r="I11" s="16">
        <f t="shared" si="4"/>
        <v>0</v>
      </c>
      <c r="J11" s="16"/>
      <c r="K11" s="11"/>
      <c r="L11" s="16"/>
      <c r="M11" s="16"/>
      <c r="N11" s="16"/>
      <c r="O11" s="16"/>
      <c r="P11" s="16"/>
      <c r="Q11" s="16"/>
      <c r="R11" s="35"/>
      <c r="S11" s="43"/>
      <c r="T11" s="46"/>
      <c r="U11" s="51">
        <f t="shared" si="2"/>
        <v>0</v>
      </c>
      <c r="V11" s="17" t="str">
        <f t="shared" si="3"/>
        <v>OK</v>
      </c>
    </row>
    <row r="12" spans="1:22" hidden="1" x14ac:dyDescent="0.3">
      <c r="A12" s="63" t="s">
        <v>35</v>
      </c>
      <c r="B12" s="63">
        <v>6004</v>
      </c>
      <c r="C12" s="18" t="s">
        <v>48</v>
      </c>
      <c r="D12" s="19"/>
      <c r="E12" s="19"/>
      <c r="F12" s="19"/>
      <c r="G12" s="20"/>
      <c r="H12" s="21"/>
      <c r="I12" s="22">
        <f t="shared" si="4"/>
        <v>0</v>
      </c>
      <c r="J12" s="22"/>
      <c r="K12" s="11"/>
      <c r="L12" s="22"/>
      <c r="M12" s="22"/>
      <c r="N12" s="22"/>
      <c r="O12" s="22"/>
      <c r="P12" s="22"/>
      <c r="Q12" s="22"/>
      <c r="R12" s="36"/>
      <c r="S12" s="44"/>
      <c r="T12" s="47"/>
      <c r="U12" s="52">
        <f t="shared" si="2"/>
        <v>0</v>
      </c>
      <c r="V12" s="23" t="str">
        <f t="shared" si="3"/>
        <v>OK</v>
      </c>
    </row>
    <row r="13" spans="1:22" hidden="1" x14ac:dyDescent="0.3">
      <c r="A13" s="62" t="s">
        <v>36</v>
      </c>
      <c r="B13" s="62">
        <v>11857</v>
      </c>
      <c r="C13" s="12" t="s">
        <v>48</v>
      </c>
      <c r="D13" s="53"/>
      <c r="E13" s="13"/>
      <c r="F13" s="13"/>
      <c r="G13" s="14"/>
      <c r="H13" s="15"/>
      <c r="I13" s="16">
        <f t="shared" si="4"/>
        <v>0</v>
      </c>
      <c r="J13" s="16"/>
      <c r="K13" s="11"/>
      <c r="L13" s="16"/>
      <c r="M13" s="16"/>
      <c r="N13" s="16"/>
      <c r="O13" s="16"/>
      <c r="P13" s="16"/>
      <c r="Q13" s="16"/>
      <c r="R13" s="35"/>
      <c r="S13" s="43"/>
      <c r="T13" s="46"/>
      <c r="U13" s="51">
        <f t="shared" si="2"/>
        <v>0</v>
      </c>
      <c r="V13" s="17" t="str">
        <f t="shared" si="3"/>
        <v>OK</v>
      </c>
    </row>
    <row r="14" spans="1:22" hidden="1" x14ac:dyDescent="0.3">
      <c r="A14" s="63" t="s">
        <v>82</v>
      </c>
      <c r="B14" s="63">
        <v>15004</v>
      </c>
      <c r="C14" s="18" t="s">
        <v>48</v>
      </c>
      <c r="D14" s="19"/>
      <c r="E14" s="19"/>
      <c r="F14" s="19"/>
      <c r="G14" s="20"/>
      <c r="H14" s="21"/>
      <c r="I14" s="22">
        <f t="shared" si="4"/>
        <v>0</v>
      </c>
      <c r="J14" s="22"/>
      <c r="K14" s="11"/>
      <c r="L14" s="22"/>
      <c r="M14" s="22"/>
      <c r="N14" s="22"/>
      <c r="O14" s="22"/>
      <c r="P14" s="22"/>
      <c r="Q14" s="22"/>
      <c r="R14" s="36"/>
      <c r="S14" s="44"/>
      <c r="T14" s="47"/>
      <c r="U14" s="52">
        <f t="shared" si="2"/>
        <v>0</v>
      </c>
      <c r="V14" s="23" t="str">
        <f t="shared" si="3"/>
        <v>OK</v>
      </c>
    </row>
    <row r="15" spans="1:22" hidden="1" x14ac:dyDescent="0.3">
      <c r="A15" s="62" t="s">
        <v>86</v>
      </c>
      <c r="B15" s="62">
        <v>15174</v>
      </c>
      <c r="C15" s="12" t="s">
        <v>45</v>
      </c>
      <c r="D15" s="53"/>
      <c r="E15" s="13"/>
      <c r="F15" s="13"/>
      <c r="G15" s="14"/>
      <c r="H15" s="15"/>
      <c r="I15" s="16">
        <f t="shared" si="4"/>
        <v>0</v>
      </c>
      <c r="J15" s="16"/>
      <c r="K15" s="11"/>
      <c r="L15" s="16"/>
      <c r="M15" s="16"/>
      <c r="N15" s="16"/>
      <c r="O15" s="16"/>
      <c r="P15" s="16"/>
      <c r="Q15" s="16"/>
      <c r="R15" s="35"/>
      <c r="S15" s="43"/>
      <c r="T15" s="46"/>
      <c r="U15" s="51">
        <f t="shared" si="2"/>
        <v>0</v>
      </c>
      <c r="V15" s="17" t="str">
        <f t="shared" si="3"/>
        <v>OK</v>
      </c>
    </row>
    <row r="16" spans="1:22" hidden="1" x14ac:dyDescent="0.3">
      <c r="A16" s="63" t="s">
        <v>87</v>
      </c>
      <c r="B16" s="63">
        <v>15520</v>
      </c>
      <c r="C16" s="18" t="s">
        <v>47</v>
      </c>
      <c r="D16" s="19"/>
      <c r="E16" s="19"/>
      <c r="F16" s="19"/>
      <c r="G16" s="20"/>
      <c r="H16" s="21"/>
      <c r="I16" s="22">
        <f t="shared" si="4"/>
        <v>0</v>
      </c>
      <c r="J16" s="22"/>
      <c r="K16" s="11"/>
      <c r="L16" s="22"/>
      <c r="M16" s="22"/>
      <c r="N16" s="22"/>
      <c r="O16" s="22"/>
      <c r="P16" s="22"/>
      <c r="Q16" s="22"/>
      <c r="R16" s="36"/>
      <c r="S16" s="44"/>
      <c r="T16" s="47"/>
      <c r="U16" s="52">
        <f t="shared" si="2"/>
        <v>0</v>
      </c>
      <c r="V16" s="23" t="str">
        <f t="shared" si="3"/>
        <v>OK</v>
      </c>
    </row>
    <row r="17" spans="1:22" hidden="1" x14ac:dyDescent="0.3">
      <c r="A17" s="62" t="s">
        <v>85</v>
      </c>
      <c r="B17" s="62">
        <v>14989</v>
      </c>
      <c r="C17" s="12" t="s">
        <v>45</v>
      </c>
      <c r="D17" s="53"/>
      <c r="E17" s="13"/>
      <c r="F17" s="13"/>
      <c r="G17" s="14"/>
      <c r="H17" s="15"/>
      <c r="I17" s="16">
        <f t="shared" si="4"/>
        <v>0</v>
      </c>
      <c r="J17" s="16"/>
      <c r="K17" s="11"/>
      <c r="L17" s="16"/>
      <c r="M17" s="16"/>
      <c r="N17" s="16"/>
      <c r="O17" s="16"/>
      <c r="P17" s="16"/>
      <c r="Q17" s="16"/>
      <c r="R17" s="35"/>
      <c r="S17" s="43"/>
      <c r="T17" s="46"/>
      <c r="U17" s="51">
        <f t="shared" si="2"/>
        <v>0</v>
      </c>
      <c r="V17" s="17" t="str">
        <f t="shared" si="3"/>
        <v>OK</v>
      </c>
    </row>
    <row r="18" spans="1:22" hidden="1" x14ac:dyDescent="0.3">
      <c r="A18" s="63" t="s">
        <v>84</v>
      </c>
      <c r="B18" s="63">
        <v>14984</v>
      </c>
      <c r="C18" s="18" t="s">
        <v>46</v>
      </c>
      <c r="D18" s="19"/>
      <c r="E18" s="19"/>
      <c r="F18" s="19"/>
      <c r="G18" s="20"/>
      <c r="H18" s="21"/>
      <c r="I18" s="22">
        <f t="shared" si="4"/>
        <v>0</v>
      </c>
      <c r="J18" s="22"/>
      <c r="K18" s="11"/>
      <c r="L18" s="22"/>
      <c r="M18" s="22"/>
      <c r="N18" s="22"/>
      <c r="O18" s="22"/>
      <c r="P18" s="22"/>
      <c r="Q18" s="22"/>
      <c r="R18" s="36"/>
      <c r="S18" s="44"/>
      <c r="T18" s="47"/>
      <c r="U18" s="52">
        <f t="shared" si="2"/>
        <v>0</v>
      </c>
      <c r="V18" s="23" t="str">
        <f t="shared" si="3"/>
        <v>OK</v>
      </c>
    </row>
    <row r="19" spans="1:22" hidden="1" x14ac:dyDescent="0.3">
      <c r="A19" s="62" t="s">
        <v>88</v>
      </c>
      <c r="B19" s="62">
        <v>16270</v>
      </c>
      <c r="C19" s="12" t="s">
        <v>89</v>
      </c>
      <c r="D19" s="53"/>
      <c r="E19" s="13"/>
      <c r="F19" s="13"/>
      <c r="G19" s="14"/>
      <c r="H19" s="15"/>
      <c r="I19" s="16">
        <f t="shared" si="4"/>
        <v>0</v>
      </c>
      <c r="J19" s="16"/>
      <c r="K19" s="11"/>
      <c r="L19" s="16"/>
      <c r="M19" s="16"/>
      <c r="N19" s="16"/>
      <c r="O19" s="16"/>
      <c r="P19" s="16"/>
      <c r="Q19" s="16"/>
      <c r="R19" s="35"/>
      <c r="S19" s="43"/>
      <c r="T19" s="46"/>
      <c r="U19" s="51">
        <f t="shared" si="2"/>
        <v>0</v>
      </c>
      <c r="V19" s="17" t="str">
        <f t="shared" si="3"/>
        <v>OK</v>
      </c>
    </row>
    <row r="20" spans="1:22" hidden="1" x14ac:dyDescent="0.3">
      <c r="A20" s="63" t="s">
        <v>98</v>
      </c>
      <c r="B20" s="63">
        <v>19060</v>
      </c>
      <c r="C20" s="18" t="s">
        <v>47</v>
      </c>
      <c r="D20" s="19"/>
      <c r="E20" s="19"/>
      <c r="F20" s="19"/>
      <c r="G20" s="20"/>
      <c r="H20" s="21"/>
      <c r="I20" s="22">
        <f t="shared" si="4"/>
        <v>0</v>
      </c>
      <c r="J20" s="22"/>
      <c r="K20" s="11"/>
      <c r="L20" s="22"/>
      <c r="M20" s="22"/>
      <c r="N20" s="22"/>
      <c r="O20" s="22"/>
      <c r="P20" s="22"/>
      <c r="Q20" s="22"/>
      <c r="R20" s="36"/>
      <c r="S20" s="44"/>
      <c r="T20" s="47"/>
      <c r="U20" s="52">
        <f t="shared" si="2"/>
        <v>0</v>
      </c>
      <c r="V20" s="23" t="str">
        <f t="shared" si="3"/>
        <v>OK</v>
      </c>
    </row>
    <row r="21" spans="1:22" hidden="1" x14ac:dyDescent="0.3">
      <c r="A21" s="62" t="s">
        <v>99</v>
      </c>
      <c r="B21" s="62">
        <v>18828</v>
      </c>
      <c r="C21" s="12" t="s">
        <v>94</v>
      </c>
      <c r="D21" s="53"/>
      <c r="E21" s="13"/>
      <c r="F21" s="13"/>
      <c r="G21" s="14"/>
      <c r="H21" s="15"/>
      <c r="I21" s="16">
        <f t="shared" si="4"/>
        <v>0</v>
      </c>
      <c r="J21" s="16"/>
      <c r="K21" s="11"/>
      <c r="L21" s="16"/>
      <c r="M21" s="16"/>
      <c r="N21" s="16"/>
      <c r="O21" s="16"/>
      <c r="P21" s="16"/>
      <c r="Q21" s="16"/>
      <c r="R21" s="35"/>
      <c r="S21" s="43"/>
      <c r="T21" s="46"/>
      <c r="U21" s="51">
        <f t="shared" si="2"/>
        <v>0</v>
      </c>
      <c r="V21" s="17" t="str">
        <f t="shared" si="3"/>
        <v>OK</v>
      </c>
    </row>
    <row r="22" spans="1:22" hidden="1" x14ac:dyDescent="0.3">
      <c r="A22" s="63" t="s">
        <v>23</v>
      </c>
      <c r="B22" s="63">
        <v>5695</v>
      </c>
      <c r="C22" s="18" t="s">
        <v>49</v>
      </c>
      <c r="D22" s="19"/>
      <c r="E22" s="19"/>
      <c r="F22" s="19"/>
      <c r="G22" s="20"/>
      <c r="H22" s="21"/>
      <c r="I22" s="22">
        <f t="shared" si="4"/>
        <v>0</v>
      </c>
      <c r="J22" s="22"/>
      <c r="K22" s="11"/>
      <c r="L22" s="22"/>
      <c r="M22" s="22"/>
      <c r="N22" s="22"/>
      <c r="O22" s="22"/>
      <c r="P22" s="22"/>
      <c r="Q22" s="22"/>
      <c r="R22" s="36"/>
      <c r="S22" s="44"/>
      <c r="T22" s="47"/>
      <c r="U22" s="52">
        <f t="shared" si="2"/>
        <v>0</v>
      </c>
      <c r="V22" s="23" t="str">
        <f t="shared" si="3"/>
        <v>OK</v>
      </c>
    </row>
    <row r="23" spans="1:22" hidden="1" x14ac:dyDescent="0.3">
      <c r="A23" s="62" t="s">
        <v>24</v>
      </c>
      <c r="B23" s="62">
        <v>5691</v>
      </c>
      <c r="C23" s="12" t="s">
        <v>50</v>
      </c>
      <c r="D23" s="53"/>
      <c r="E23" s="13"/>
      <c r="F23" s="13"/>
      <c r="G23" s="14"/>
      <c r="H23" s="15"/>
      <c r="I23" s="16">
        <f t="shared" si="4"/>
        <v>0</v>
      </c>
      <c r="J23" s="16"/>
      <c r="K23" s="11"/>
      <c r="L23" s="16"/>
      <c r="M23" s="16"/>
      <c r="N23" s="16"/>
      <c r="O23" s="16"/>
      <c r="P23" s="16"/>
      <c r="Q23" s="16"/>
      <c r="R23" s="35"/>
      <c r="S23" s="43"/>
      <c r="T23" s="46"/>
      <c r="U23" s="51">
        <f t="shared" si="2"/>
        <v>0</v>
      </c>
      <c r="V23" s="17" t="str">
        <f t="shared" si="3"/>
        <v>OK</v>
      </c>
    </row>
    <row r="24" spans="1:22" hidden="1" x14ac:dyDescent="0.3">
      <c r="A24" s="63" t="s">
        <v>37</v>
      </c>
      <c r="B24" s="63">
        <v>5687</v>
      </c>
      <c r="C24" s="18" t="s">
        <v>51</v>
      </c>
      <c r="D24" s="19"/>
      <c r="E24" s="19"/>
      <c r="F24" s="19"/>
      <c r="G24" s="20"/>
      <c r="H24" s="21"/>
      <c r="I24" s="22">
        <f t="shared" si="4"/>
        <v>0</v>
      </c>
      <c r="J24" s="22"/>
      <c r="K24" s="11"/>
      <c r="L24" s="22"/>
      <c r="M24" s="22"/>
      <c r="N24" s="22"/>
      <c r="O24" s="22"/>
      <c r="P24" s="22"/>
      <c r="Q24" s="22"/>
      <c r="R24" s="36"/>
      <c r="S24" s="44"/>
      <c r="T24" s="47"/>
      <c r="U24" s="52">
        <f t="shared" si="2"/>
        <v>0</v>
      </c>
      <c r="V24" s="23" t="str">
        <f t="shared" si="3"/>
        <v>OK</v>
      </c>
    </row>
    <row r="25" spans="1:22" hidden="1" x14ac:dyDescent="0.3">
      <c r="A25" s="62" t="s">
        <v>38</v>
      </c>
      <c r="B25" s="62">
        <v>5683</v>
      </c>
      <c r="C25" s="12" t="s">
        <v>51</v>
      </c>
      <c r="D25" s="53"/>
      <c r="E25" s="13"/>
      <c r="F25" s="13"/>
      <c r="G25" s="14"/>
      <c r="H25" s="15"/>
      <c r="I25" s="16">
        <f t="shared" si="4"/>
        <v>0</v>
      </c>
      <c r="J25" s="16"/>
      <c r="K25" s="11"/>
      <c r="L25" s="16"/>
      <c r="M25" s="16"/>
      <c r="N25" s="16"/>
      <c r="O25" s="16"/>
      <c r="P25" s="16"/>
      <c r="Q25" s="16"/>
      <c r="R25" s="35"/>
      <c r="S25" s="43"/>
      <c r="T25" s="46"/>
      <c r="U25" s="51">
        <f t="shared" si="2"/>
        <v>0</v>
      </c>
      <c r="V25" s="17" t="str">
        <f t="shared" si="3"/>
        <v>OK</v>
      </c>
    </row>
    <row r="26" spans="1:22" hidden="1" x14ac:dyDescent="0.3">
      <c r="A26" s="63" t="s">
        <v>25</v>
      </c>
      <c r="B26" s="63">
        <v>5679</v>
      </c>
      <c r="C26" s="18" t="s">
        <v>52</v>
      </c>
      <c r="D26" s="19"/>
      <c r="E26" s="19"/>
      <c r="F26" s="19"/>
      <c r="G26" s="20"/>
      <c r="H26" s="21"/>
      <c r="I26" s="22">
        <f t="shared" si="4"/>
        <v>0</v>
      </c>
      <c r="J26" s="22"/>
      <c r="K26" s="11"/>
      <c r="L26" s="22"/>
      <c r="M26" s="22"/>
      <c r="N26" s="22"/>
      <c r="O26" s="22"/>
      <c r="P26" s="22"/>
      <c r="Q26" s="22"/>
      <c r="R26" s="36"/>
      <c r="S26" s="44"/>
      <c r="T26" s="47"/>
      <c r="U26" s="52">
        <f t="shared" si="2"/>
        <v>0</v>
      </c>
      <c r="V26" s="23" t="str">
        <f t="shared" si="3"/>
        <v>OK</v>
      </c>
    </row>
    <row r="27" spans="1:22" hidden="1" x14ac:dyDescent="0.3">
      <c r="A27" s="62" t="s">
        <v>39</v>
      </c>
      <c r="B27" s="62">
        <v>5675</v>
      </c>
      <c r="C27" s="12" t="s">
        <v>53</v>
      </c>
      <c r="D27" s="53"/>
      <c r="E27" s="13"/>
      <c r="F27" s="13"/>
      <c r="G27" s="14"/>
      <c r="H27" s="15"/>
      <c r="I27" s="16">
        <f t="shared" si="4"/>
        <v>0</v>
      </c>
      <c r="J27" s="16"/>
      <c r="K27" s="11"/>
      <c r="L27" s="16"/>
      <c r="M27" s="16"/>
      <c r="N27" s="16"/>
      <c r="O27" s="16"/>
      <c r="P27" s="16"/>
      <c r="Q27" s="16"/>
      <c r="R27" s="35"/>
      <c r="S27" s="43"/>
      <c r="T27" s="46"/>
      <c r="U27" s="51">
        <f t="shared" si="2"/>
        <v>0</v>
      </c>
      <c r="V27" s="17" t="str">
        <f t="shared" si="3"/>
        <v>OK</v>
      </c>
    </row>
    <row r="28" spans="1:22" hidden="1" x14ac:dyDescent="0.3">
      <c r="A28" s="63" t="s">
        <v>26</v>
      </c>
      <c r="B28" s="63">
        <v>5671</v>
      </c>
      <c r="C28" s="18" t="s">
        <v>49</v>
      </c>
      <c r="D28" s="19"/>
      <c r="E28" s="19"/>
      <c r="F28" s="19"/>
      <c r="G28" s="20"/>
      <c r="H28" s="21"/>
      <c r="I28" s="22">
        <f t="shared" si="4"/>
        <v>0</v>
      </c>
      <c r="J28" s="22"/>
      <c r="K28" s="11"/>
      <c r="L28" s="22"/>
      <c r="M28" s="22"/>
      <c r="N28" s="22"/>
      <c r="O28" s="22"/>
      <c r="P28" s="22"/>
      <c r="Q28" s="22"/>
      <c r="R28" s="36"/>
      <c r="S28" s="44"/>
      <c r="T28" s="47"/>
      <c r="U28" s="52">
        <f t="shared" si="2"/>
        <v>0</v>
      </c>
      <c r="V28" s="23" t="str">
        <f t="shared" si="3"/>
        <v>OK</v>
      </c>
    </row>
    <row r="29" spans="1:22" hidden="1" x14ac:dyDescent="0.3">
      <c r="A29" s="62" t="s">
        <v>40</v>
      </c>
      <c r="B29" s="62">
        <v>5667</v>
      </c>
      <c r="C29" s="12" t="s">
        <v>50</v>
      </c>
      <c r="D29" s="53"/>
      <c r="E29" s="13"/>
      <c r="F29" s="13"/>
      <c r="G29" s="14"/>
      <c r="H29" s="15"/>
      <c r="I29" s="16">
        <f t="shared" si="4"/>
        <v>0</v>
      </c>
      <c r="J29" s="16"/>
      <c r="K29" s="11"/>
      <c r="L29" s="16"/>
      <c r="M29" s="16"/>
      <c r="N29" s="16"/>
      <c r="O29" s="16"/>
      <c r="P29" s="16"/>
      <c r="Q29" s="16"/>
      <c r="R29" s="35"/>
      <c r="S29" s="43"/>
      <c r="T29" s="46"/>
      <c r="U29" s="51">
        <f t="shared" si="2"/>
        <v>0</v>
      </c>
      <c r="V29" s="17" t="str">
        <f t="shared" si="3"/>
        <v>OK</v>
      </c>
    </row>
    <row r="30" spans="1:22" hidden="1" x14ac:dyDescent="0.3">
      <c r="A30" s="63" t="s">
        <v>41</v>
      </c>
      <c r="B30" s="63">
        <v>5663</v>
      </c>
      <c r="C30" s="18" t="s">
        <v>51</v>
      </c>
      <c r="D30" s="19"/>
      <c r="E30" s="19"/>
      <c r="F30" s="19"/>
      <c r="G30" s="20"/>
      <c r="H30" s="21"/>
      <c r="I30" s="22">
        <f t="shared" si="4"/>
        <v>0</v>
      </c>
      <c r="J30" s="22"/>
      <c r="K30" s="11"/>
      <c r="L30" s="22"/>
      <c r="M30" s="22"/>
      <c r="N30" s="22"/>
      <c r="O30" s="22"/>
      <c r="P30" s="22"/>
      <c r="Q30" s="22"/>
      <c r="R30" s="36"/>
      <c r="S30" s="44"/>
      <c r="T30" s="47"/>
      <c r="U30" s="52">
        <f t="shared" si="2"/>
        <v>0</v>
      </c>
      <c r="V30" s="23" t="str">
        <f t="shared" si="3"/>
        <v>OK</v>
      </c>
    </row>
    <row r="31" spans="1:22" hidden="1" x14ac:dyDescent="0.3">
      <c r="A31" s="62" t="s">
        <v>42</v>
      </c>
      <c r="B31" s="62">
        <v>5659</v>
      </c>
      <c r="C31" s="12" t="s">
        <v>52</v>
      </c>
      <c r="D31" s="53"/>
      <c r="E31" s="13"/>
      <c r="F31" s="13"/>
      <c r="G31" s="14"/>
      <c r="H31" s="15"/>
      <c r="I31" s="16">
        <f t="shared" si="4"/>
        <v>0</v>
      </c>
      <c r="J31" s="16"/>
      <c r="K31" s="11"/>
      <c r="L31" s="16"/>
      <c r="M31" s="16"/>
      <c r="N31" s="16"/>
      <c r="O31" s="16"/>
      <c r="P31" s="16"/>
      <c r="Q31" s="16"/>
      <c r="R31" s="35"/>
      <c r="S31" s="43"/>
      <c r="T31" s="46"/>
      <c r="U31" s="51">
        <f t="shared" si="2"/>
        <v>0</v>
      </c>
      <c r="V31" s="17" t="str">
        <f t="shared" si="3"/>
        <v>OK</v>
      </c>
    </row>
    <row r="32" spans="1:22" hidden="1" x14ac:dyDescent="0.3">
      <c r="A32" s="63" t="s">
        <v>27</v>
      </c>
      <c r="B32" s="63">
        <v>5655</v>
      </c>
      <c r="C32" s="18" t="s">
        <v>54</v>
      </c>
      <c r="D32" s="19"/>
      <c r="E32" s="19"/>
      <c r="F32" s="19"/>
      <c r="G32" s="20"/>
      <c r="H32" s="21"/>
      <c r="I32" s="22">
        <f t="shared" si="4"/>
        <v>0</v>
      </c>
      <c r="J32" s="22"/>
      <c r="K32" s="11"/>
      <c r="L32" s="22"/>
      <c r="M32" s="22"/>
      <c r="N32" s="22"/>
      <c r="O32" s="22"/>
      <c r="P32" s="22"/>
      <c r="Q32" s="22"/>
      <c r="R32" s="36"/>
      <c r="S32" s="44"/>
      <c r="T32" s="47"/>
      <c r="U32" s="52">
        <f t="shared" si="2"/>
        <v>0</v>
      </c>
      <c r="V32" s="23" t="str">
        <f t="shared" si="3"/>
        <v>OK</v>
      </c>
    </row>
    <row r="33" spans="1:22" hidden="1" x14ac:dyDescent="0.3">
      <c r="A33" s="62" t="s">
        <v>70</v>
      </c>
      <c r="B33" s="62">
        <v>5651</v>
      </c>
      <c r="C33" s="12" t="s">
        <v>55</v>
      </c>
      <c r="D33" s="53"/>
      <c r="E33" s="13"/>
      <c r="F33" s="13"/>
      <c r="G33" s="14"/>
      <c r="H33" s="15"/>
      <c r="I33" s="16">
        <f t="shared" si="4"/>
        <v>0</v>
      </c>
      <c r="J33" s="16"/>
      <c r="K33" s="11"/>
      <c r="L33" s="16"/>
      <c r="M33" s="16"/>
      <c r="N33" s="16"/>
      <c r="O33" s="16"/>
      <c r="P33" s="16"/>
      <c r="Q33" s="16"/>
      <c r="R33" s="35"/>
      <c r="S33" s="43"/>
      <c r="T33" s="46"/>
      <c r="U33" s="51">
        <f t="shared" si="2"/>
        <v>0</v>
      </c>
      <c r="V33" s="17" t="str">
        <f t="shared" si="3"/>
        <v>OK</v>
      </c>
    </row>
    <row r="34" spans="1:22" hidden="1" x14ac:dyDescent="0.3">
      <c r="A34" s="63" t="s">
        <v>71</v>
      </c>
      <c r="B34" s="63">
        <v>5643</v>
      </c>
      <c r="C34" s="18" t="s">
        <v>56</v>
      </c>
      <c r="D34" s="19"/>
      <c r="E34" s="19"/>
      <c r="F34" s="19"/>
      <c r="G34" s="20"/>
      <c r="H34" s="21"/>
      <c r="I34" s="22">
        <f t="shared" si="4"/>
        <v>0</v>
      </c>
      <c r="J34" s="22"/>
      <c r="K34" s="11"/>
      <c r="L34" s="22"/>
      <c r="M34" s="22"/>
      <c r="N34" s="22"/>
      <c r="O34" s="22"/>
      <c r="P34" s="22"/>
      <c r="Q34" s="22"/>
      <c r="R34" s="36"/>
      <c r="S34" s="44"/>
      <c r="T34" s="47"/>
      <c r="U34" s="52">
        <f t="shared" si="2"/>
        <v>0</v>
      </c>
      <c r="V34" s="23" t="str">
        <f t="shared" si="3"/>
        <v>OK</v>
      </c>
    </row>
    <row r="35" spans="1:22" hidden="1" x14ac:dyDescent="0.3">
      <c r="A35" s="62" t="s">
        <v>57</v>
      </c>
      <c r="B35" s="62">
        <v>11350</v>
      </c>
      <c r="C35" s="12" t="s">
        <v>56</v>
      </c>
      <c r="D35" s="53"/>
      <c r="E35" s="13"/>
      <c r="F35" s="13"/>
      <c r="G35" s="14"/>
      <c r="H35" s="15"/>
      <c r="I35" s="16">
        <f t="shared" si="4"/>
        <v>0</v>
      </c>
      <c r="J35" s="16"/>
      <c r="K35" s="11"/>
      <c r="L35" s="16"/>
      <c r="M35" s="16"/>
      <c r="N35" s="16"/>
      <c r="O35" s="16"/>
      <c r="P35" s="16"/>
      <c r="Q35" s="16"/>
      <c r="R35" s="35"/>
      <c r="S35" s="43"/>
      <c r="T35" s="46"/>
      <c r="U35" s="51">
        <f t="shared" si="2"/>
        <v>0</v>
      </c>
      <c r="V35" s="17" t="str">
        <f t="shared" si="3"/>
        <v>OK</v>
      </c>
    </row>
    <row r="36" spans="1:22" hidden="1" x14ac:dyDescent="0.3">
      <c r="A36" s="63" t="s">
        <v>72</v>
      </c>
      <c r="B36" s="63">
        <v>5635</v>
      </c>
      <c r="C36" s="18" t="s">
        <v>55</v>
      </c>
      <c r="D36" s="19"/>
      <c r="E36" s="19"/>
      <c r="F36" s="19"/>
      <c r="G36" s="20"/>
      <c r="H36" s="21"/>
      <c r="I36" s="22">
        <f t="shared" si="4"/>
        <v>0</v>
      </c>
      <c r="J36" s="22"/>
      <c r="K36" s="11"/>
      <c r="L36" s="22"/>
      <c r="M36" s="22"/>
      <c r="N36" s="22"/>
      <c r="O36" s="22"/>
      <c r="P36" s="22"/>
      <c r="Q36" s="22"/>
      <c r="R36" s="36"/>
      <c r="S36" s="44"/>
      <c r="T36" s="47"/>
      <c r="U36" s="52">
        <f t="shared" si="2"/>
        <v>0</v>
      </c>
      <c r="V36" s="23" t="str">
        <f t="shared" si="3"/>
        <v>OK</v>
      </c>
    </row>
    <row r="37" spans="1:22" hidden="1" x14ac:dyDescent="0.3">
      <c r="A37" s="62" t="s">
        <v>58</v>
      </c>
      <c r="B37" s="62">
        <v>11349</v>
      </c>
      <c r="C37" s="12" t="s">
        <v>55</v>
      </c>
      <c r="D37" s="53"/>
      <c r="E37" s="13"/>
      <c r="F37" s="13"/>
      <c r="G37" s="14"/>
      <c r="H37" s="15"/>
      <c r="I37" s="16">
        <f t="shared" si="4"/>
        <v>0</v>
      </c>
      <c r="J37" s="16"/>
      <c r="K37" s="11"/>
      <c r="L37" s="16"/>
      <c r="M37" s="16"/>
      <c r="N37" s="16"/>
      <c r="O37" s="16"/>
      <c r="P37" s="16"/>
      <c r="Q37" s="16"/>
      <c r="R37" s="35"/>
      <c r="S37" s="43"/>
      <c r="T37" s="46"/>
      <c r="U37" s="51">
        <f t="shared" ref="U37:U55" si="5">SUM(L37:T37)</f>
        <v>0</v>
      </c>
      <c r="V37" s="17" t="str">
        <f t="shared" si="3"/>
        <v>OK</v>
      </c>
    </row>
    <row r="38" spans="1:22" hidden="1" x14ac:dyDescent="0.3">
      <c r="A38" s="63" t="s">
        <v>73</v>
      </c>
      <c r="B38" s="63">
        <v>5627</v>
      </c>
      <c r="C38" s="18" t="s">
        <v>56</v>
      </c>
      <c r="D38" s="19"/>
      <c r="E38" s="19"/>
      <c r="F38" s="19"/>
      <c r="G38" s="20"/>
      <c r="H38" s="21"/>
      <c r="I38" s="22">
        <f t="shared" si="4"/>
        <v>0</v>
      </c>
      <c r="J38" s="22"/>
      <c r="K38" s="11"/>
      <c r="L38" s="22"/>
      <c r="M38" s="22"/>
      <c r="N38" s="22"/>
      <c r="O38" s="22"/>
      <c r="P38" s="22"/>
      <c r="Q38" s="22"/>
      <c r="R38" s="36"/>
      <c r="S38" s="44"/>
      <c r="T38" s="47"/>
      <c r="U38" s="52">
        <f t="shared" si="5"/>
        <v>0</v>
      </c>
      <c r="V38" s="23" t="str">
        <f t="shared" si="3"/>
        <v>OK</v>
      </c>
    </row>
    <row r="39" spans="1:22" hidden="1" x14ac:dyDescent="0.3">
      <c r="A39" s="62" t="s">
        <v>59</v>
      </c>
      <c r="B39" s="62">
        <v>11348</v>
      </c>
      <c r="C39" s="12" t="s">
        <v>56</v>
      </c>
      <c r="D39" s="53"/>
      <c r="E39" s="13"/>
      <c r="F39" s="13"/>
      <c r="G39" s="14"/>
      <c r="H39" s="15"/>
      <c r="I39" s="16">
        <f t="shared" si="4"/>
        <v>0</v>
      </c>
      <c r="J39" s="16"/>
      <c r="K39" s="11"/>
      <c r="L39" s="16"/>
      <c r="M39" s="16"/>
      <c r="N39" s="16"/>
      <c r="O39" s="16"/>
      <c r="P39" s="16"/>
      <c r="Q39" s="16"/>
      <c r="R39" s="35"/>
      <c r="S39" s="43"/>
      <c r="T39" s="46"/>
      <c r="U39" s="51">
        <f t="shared" si="5"/>
        <v>0</v>
      </c>
      <c r="V39" s="17" t="str">
        <f t="shared" si="3"/>
        <v>OK</v>
      </c>
    </row>
    <row r="40" spans="1:22" hidden="1" x14ac:dyDescent="0.3">
      <c r="A40" s="63" t="s">
        <v>74</v>
      </c>
      <c r="B40" s="63">
        <v>5619</v>
      </c>
      <c r="C40" s="18" t="s">
        <v>60</v>
      </c>
      <c r="D40" s="19"/>
      <c r="E40" s="19"/>
      <c r="F40" s="19"/>
      <c r="G40" s="20"/>
      <c r="H40" s="21"/>
      <c r="I40" s="22">
        <f t="shared" si="4"/>
        <v>0</v>
      </c>
      <c r="J40" s="22"/>
      <c r="K40" s="11"/>
      <c r="L40" s="22"/>
      <c r="M40" s="22"/>
      <c r="N40" s="22"/>
      <c r="O40" s="22"/>
      <c r="P40" s="22"/>
      <c r="Q40" s="22"/>
      <c r="R40" s="36"/>
      <c r="S40" s="44"/>
      <c r="T40" s="47"/>
      <c r="U40" s="52">
        <f t="shared" si="5"/>
        <v>0</v>
      </c>
      <c r="V40" s="23" t="str">
        <f t="shared" si="3"/>
        <v>OK</v>
      </c>
    </row>
    <row r="41" spans="1:22" hidden="1" x14ac:dyDescent="0.3">
      <c r="A41" s="64" t="s">
        <v>61</v>
      </c>
      <c r="B41" s="62">
        <v>11347</v>
      </c>
      <c r="C41" s="12" t="s">
        <v>60</v>
      </c>
      <c r="D41" s="53"/>
      <c r="E41" s="13"/>
      <c r="F41" s="13"/>
      <c r="G41" s="14"/>
      <c r="H41" s="15"/>
      <c r="I41" s="16">
        <f t="shared" si="4"/>
        <v>0</v>
      </c>
      <c r="J41" s="16"/>
      <c r="K41" s="11"/>
      <c r="L41" s="16"/>
      <c r="M41" s="16"/>
      <c r="N41" s="16"/>
      <c r="O41" s="16"/>
      <c r="P41" s="16"/>
      <c r="Q41" s="16"/>
      <c r="R41" s="35"/>
      <c r="S41" s="43"/>
      <c r="T41" s="46"/>
      <c r="U41" s="51">
        <f t="shared" si="5"/>
        <v>0</v>
      </c>
      <c r="V41" s="17" t="str">
        <f t="shared" si="3"/>
        <v>OK</v>
      </c>
    </row>
    <row r="42" spans="1:22" hidden="1" x14ac:dyDescent="0.3">
      <c r="A42" s="54" t="s">
        <v>75</v>
      </c>
      <c r="B42" s="63">
        <v>5611</v>
      </c>
      <c r="C42" s="18" t="s">
        <v>62</v>
      </c>
      <c r="D42" s="19"/>
      <c r="E42" s="19"/>
      <c r="F42" s="19"/>
      <c r="G42" s="20"/>
      <c r="H42" s="21"/>
      <c r="I42" s="22">
        <f t="shared" si="4"/>
        <v>0</v>
      </c>
      <c r="J42" s="22"/>
      <c r="K42" s="11"/>
      <c r="L42" s="22"/>
      <c r="M42" s="22"/>
      <c r="N42" s="22"/>
      <c r="O42" s="22"/>
      <c r="P42" s="22"/>
      <c r="Q42" s="22"/>
      <c r="R42" s="36"/>
      <c r="S42" s="44"/>
      <c r="T42" s="47"/>
      <c r="U42" s="52">
        <f t="shared" si="5"/>
        <v>0</v>
      </c>
      <c r="V42" s="23" t="str">
        <f t="shared" si="3"/>
        <v>OK</v>
      </c>
    </row>
    <row r="43" spans="1:22" hidden="1" x14ac:dyDescent="0.3">
      <c r="A43" s="12" t="s">
        <v>63</v>
      </c>
      <c r="B43" s="62">
        <v>11336</v>
      </c>
      <c r="C43" s="12" t="s">
        <v>62</v>
      </c>
      <c r="D43" s="53"/>
      <c r="E43" s="13"/>
      <c r="F43" s="13"/>
      <c r="G43" s="14"/>
      <c r="H43" s="15"/>
      <c r="I43" s="16">
        <f t="shared" si="4"/>
        <v>0</v>
      </c>
      <c r="J43" s="16"/>
      <c r="K43" s="11"/>
      <c r="L43" s="16"/>
      <c r="M43" s="16"/>
      <c r="N43" s="16"/>
      <c r="O43" s="16"/>
      <c r="P43" s="16"/>
      <c r="Q43" s="16"/>
      <c r="R43" s="35"/>
      <c r="S43" s="43"/>
      <c r="T43" s="46"/>
      <c r="U43" s="51">
        <f t="shared" si="5"/>
        <v>0</v>
      </c>
      <c r="V43" s="17" t="str">
        <f t="shared" si="3"/>
        <v>OK</v>
      </c>
    </row>
    <row r="44" spans="1:22" hidden="1" x14ac:dyDescent="0.3">
      <c r="A44" s="54" t="s">
        <v>100</v>
      </c>
      <c r="B44" s="63">
        <v>14860</v>
      </c>
      <c r="C44" s="18" t="s">
        <v>56</v>
      </c>
      <c r="D44" s="19"/>
      <c r="E44" s="19"/>
      <c r="F44" s="19"/>
      <c r="G44" s="20"/>
      <c r="H44" s="21"/>
      <c r="I44" s="22">
        <f t="shared" si="4"/>
        <v>0</v>
      </c>
      <c r="J44" s="22"/>
      <c r="K44" s="11"/>
      <c r="L44" s="22"/>
      <c r="M44" s="22"/>
      <c r="N44" s="22"/>
      <c r="O44" s="22"/>
      <c r="P44" s="22"/>
      <c r="Q44" s="22"/>
      <c r="R44" s="36"/>
      <c r="S44" s="44"/>
      <c r="T44" s="47"/>
      <c r="U44" s="52">
        <f t="shared" si="5"/>
        <v>0</v>
      </c>
      <c r="V44" s="23" t="str">
        <f t="shared" si="3"/>
        <v>OK</v>
      </c>
    </row>
    <row r="45" spans="1:22" hidden="1" x14ac:dyDescent="0.3">
      <c r="A45" s="64" t="s">
        <v>83</v>
      </c>
      <c r="B45" s="62">
        <v>14861</v>
      </c>
      <c r="C45" s="12" t="s">
        <v>56</v>
      </c>
      <c r="D45" s="53"/>
      <c r="E45" s="13"/>
      <c r="F45" s="13"/>
      <c r="G45" s="14"/>
      <c r="H45" s="15"/>
      <c r="I45" s="16">
        <f t="shared" si="4"/>
        <v>0</v>
      </c>
      <c r="J45" s="16"/>
      <c r="K45" s="11"/>
      <c r="L45" s="16"/>
      <c r="M45" s="16"/>
      <c r="N45" s="16"/>
      <c r="O45" s="16"/>
      <c r="P45" s="16"/>
      <c r="Q45" s="16"/>
      <c r="R45" s="35"/>
      <c r="S45" s="43"/>
      <c r="T45" s="46"/>
      <c r="U45" s="51">
        <f t="shared" si="5"/>
        <v>0</v>
      </c>
      <c r="V45" s="17" t="str">
        <f t="shared" si="3"/>
        <v>OK</v>
      </c>
    </row>
    <row r="46" spans="1:22" hidden="1" x14ac:dyDescent="0.3">
      <c r="A46" s="54" t="s">
        <v>101</v>
      </c>
      <c r="B46" s="63">
        <v>15096</v>
      </c>
      <c r="C46" s="18" t="s">
        <v>56</v>
      </c>
      <c r="D46" s="19"/>
      <c r="E46" s="19"/>
      <c r="F46" s="19"/>
      <c r="G46" s="20"/>
      <c r="H46" s="21"/>
      <c r="I46" s="22">
        <f t="shared" si="4"/>
        <v>0</v>
      </c>
      <c r="J46" s="22"/>
      <c r="K46" s="11"/>
      <c r="L46" s="22"/>
      <c r="M46" s="22"/>
      <c r="N46" s="22"/>
      <c r="O46" s="22"/>
      <c r="P46" s="22"/>
      <c r="Q46" s="22"/>
      <c r="R46" s="36"/>
      <c r="S46" s="44"/>
      <c r="T46" s="47"/>
      <c r="U46" s="52">
        <f t="shared" si="5"/>
        <v>0</v>
      </c>
      <c r="V46" s="23" t="str">
        <f t="shared" si="3"/>
        <v>OK</v>
      </c>
    </row>
    <row r="47" spans="1:22" hidden="1" x14ac:dyDescent="0.3">
      <c r="A47" s="12" t="s">
        <v>81</v>
      </c>
      <c r="B47" s="62">
        <v>15097</v>
      </c>
      <c r="C47" s="12" t="s">
        <v>56</v>
      </c>
      <c r="D47" s="53"/>
      <c r="E47" s="13"/>
      <c r="F47" s="13"/>
      <c r="G47" s="14"/>
      <c r="H47" s="15"/>
      <c r="I47" s="16">
        <f t="shared" si="4"/>
        <v>0</v>
      </c>
      <c r="J47" s="16"/>
      <c r="K47" s="11"/>
      <c r="L47" s="16"/>
      <c r="M47" s="16"/>
      <c r="N47" s="16"/>
      <c r="O47" s="16"/>
      <c r="P47" s="16"/>
      <c r="Q47" s="16"/>
      <c r="R47" s="35"/>
      <c r="S47" s="43"/>
      <c r="T47" s="46"/>
      <c r="U47" s="51">
        <f t="shared" si="5"/>
        <v>0</v>
      </c>
      <c r="V47" s="17" t="str">
        <f t="shared" si="3"/>
        <v>OK</v>
      </c>
    </row>
    <row r="48" spans="1:22" hidden="1" x14ac:dyDescent="0.3">
      <c r="A48" s="54" t="s">
        <v>76</v>
      </c>
      <c r="B48" s="63">
        <v>5585</v>
      </c>
      <c r="C48" s="18" t="s">
        <v>64</v>
      </c>
      <c r="D48" s="19"/>
      <c r="E48" s="19"/>
      <c r="F48" s="19"/>
      <c r="G48" s="20"/>
      <c r="H48" s="21"/>
      <c r="I48" s="22">
        <f t="shared" si="4"/>
        <v>0</v>
      </c>
      <c r="J48" s="22"/>
      <c r="K48" s="11"/>
      <c r="L48" s="22"/>
      <c r="M48" s="22"/>
      <c r="N48" s="22"/>
      <c r="O48" s="22"/>
      <c r="P48" s="22"/>
      <c r="Q48" s="22"/>
      <c r="R48" s="36"/>
      <c r="S48" s="44"/>
      <c r="T48" s="47"/>
      <c r="U48" s="52">
        <f t="shared" si="5"/>
        <v>0</v>
      </c>
      <c r="V48" s="23" t="str">
        <f t="shared" si="3"/>
        <v>OK</v>
      </c>
    </row>
    <row r="49" spans="1:22" hidden="1" x14ac:dyDescent="0.3">
      <c r="A49" s="12" t="s">
        <v>65</v>
      </c>
      <c r="B49" s="62">
        <v>11351</v>
      </c>
      <c r="C49" s="12" t="s">
        <v>64</v>
      </c>
      <c r="D49" s="53"/>
      <c r="E49" s="13"/>
      <c r="F49" s="13"/>
      <c r="G49" s="14"/>
      <c r="H49" s="15"/>
      <c r="I49" s="16">
        <f t="shared" si="4"/>
        <v>0</v>
      </c>
      <c r="J49" s="16"/>
      <c r="K49" s="11"/>
      <c r="L49" s="16"/>
      <c r="M49" s="16"/>
      <c r="N49" s="16"/>
      <c r="O49" s="16"/>
      <c r="P49" s="16"/>
      <c r="Q49" s="16"/>
      <c r="R49" s="35"/>
      <c r="S49" s="43"/>
      <c r="T49" s="46"/>
      <c r="U49" s="51">
        <f t="shared" si="5"/>
        <v>0</v>
      </c>
      <c r="V49" s="17" t="str">
        <f t="shared" si="3"/>
        <v>OK</v>
      </c>
    </row>
    <row r="50" spans="1:22" hidden="1" x14ac:dyDescent="0.3">
      <c r="A50" s="54" t="s">
        <v>66</v>
      </c>
      <c r="B50" s="63">
        <v>11352</v>
      </c>
      <c r="C50" s="18" t="s">
        <v>64</v>
      </c>
      <c r="D50" s="19"/>
      <c r="E50" s="19"/>
      <c r="F50" s="19"/>
      <c r="G50" s="20"/>
      <c r="H50" s="21"/>
      <c r="I50" s="22">
        <f t="shared" si="4"/>
        <v>0</v>
      </c>
      <c r="J50" s="22"/>
      <c r="K50" s="11"/>
      <c r="L50" s="22"/>
      <c r="M50" s="22"/>
      <c r="N50" s="22"/>
      <c r="O50" s="22"/>
      <c r="P50" s="22"/>
      <c r="Q50" s="22"/>
      <c r="R50" s="36"/>
      <c r="S50" s="44"/>
      <c r="T50" s="47"/>
      <c r="U50" s="52">
        <f t="shared" si="5"/>
        <v>0</v>
      </c>
      <c r="V50" s="23" t="str">
        <f t="shared" si="3"/>
        <v>OK</v>
      </c>
    </row>
    <row r="51" spans="1:22" hidden="1" x14ac:dyDescent="0.3">
      <c r="A51" s="90" t="s">
        <v>102</v>
      </c>
      <c r="B51" s="76">
        <v>13515</v>
      </c>
      <c r="C51" s="70" t="s">
        <v>78</v>
      </c>
      <c r="D51" s="70"/>
      <c r="E51" s="70"/>
      <c r="F51" s="70"/>
      <c r="G51" s="91"/>
      <c r="H51" s="82"/>
      <c r="I51" s="82">
        <f t="shared" si="4"/>
        <v>0</v>
      </c>
      <c r="J51" s="74"/>
      <c r="K51" s="11"/>
      <c r="L51" s="16"/>
      <c r="M51" s="16"/>
      <c r="N51" s="16"/>
      <c r="O51" s="16"/>
      <c r="P51" s="16"/>
      <c r="Q51" s="16"/>
      <c r="R51" s="35"/>
      <c r="S51" s="43"/>
      <c r="T51" s="46"/>
      <c r="U51" s="75">
        <f t="shared" si="5"/>
        <v>0</v>
      </c>
      <c r="V51" s="93" t="str">
        <f t="shared" si="3"/>
        <v>OK</v>
      </c>
    </row>
    <row r="52" spans="1:22" hidden="1" x14ac:dyDescent="0.3">
      <c r="A52" s="54" t="s">
        <v>103</v>
      </c>
      <c r="B52" s="63">
        <v>13516</v>
      </c>
      <c r="C52" s="18" t="s">
        <v>78</v>
      </c>
      <c r="D52" s="18"/>
      <c r="E52" s="18"/>
      <c r="F52" s="18"/>
      <c r="G52" s="92"/>
      <c r="H52" s="22"/>
      <c r="I52" s="22">
        <f t="shared" si="4"/>
        <v>0</v>
      </c>
      <c r="J52" s="69"/>
      <c r="K52" s="11"/>
      <c r="L52" s="22"/>
      <c r="M52" s="22"/>
      <c r="N52" s="22"/>
      <c r="O52" s="22"/>
      <c r="P52" s="22"/>
      <c r="Q52" s="22"/>
      <c r="R52" s="36"/>
      <c r="S52" s="44"/>
      <c r="T52" s="47"/>
      <c r="U52" s="52">
        <f t="shared" si="5"/>
        <v>0</v>
      </c>
      <c r="V52" s="23" t="str">
        <f t="shared" si="3"/>
        <v>OK</v>
      </c>
    </row>
    <row r="53" spans="1:22" hidden="1" x14ac:dyDescent="0.3">
      <c r="A53" s="90" t="s">
        <v>104</v>
      </c>
      <c r="B53" s="76">
        <v>13468</v>
      </c>
      <c r="C53" s="70" t="s">
        <v>78</v>
      </c>
      <c r="D53" s="70"/>
      <c r="E53" s="70"/>
      <c r="F53" s="70"/>
      <c r="G53" s="91"/>
      <c r="H53" s="82"/>
      <c r="I53" s="82">
        <f t="shared" si="4"/>
        <v>0</v>
      </c>
      <c r="J53" s="74"/>
      <c r="K53" s="11"/>
      <c r="L53" s="16"/>
      <c r="M53" s="16"/>
      <c r="N53" s="16"/>
      <c r="O53" s="16"/>
      <c r="P53" s="16"/>
      <c r="Q53" s="16"/>
      <c r="R53" s="35"/>
      <c r="S53" s="43"/>
      <c r="T53" s="46"/>
      <c r="U53" s="75">
        <f t="shared" si="5"/>
        <v>0</v>
      </c>
      <c r="V53" s="93" t="str">
        <f t="shared" si="3"/>
        <v>OK</v>
      </c>
    </row>
    <row r="54" spans="1:22" hidden="1" x14ac:dyDescent="0.3">
      <c r="A54" s="54" t="s">
        <v>79</v>
      </c>
      <c r="B54" s="63">
        <v>13469</v>
      </c>
      <c r="C54" s="18" t="s">
        <v>78</v>
      </c>
      <c r="D54" s="18"/>
      <c r="E54" s="18"/>
      <c r="F54" s="18"/>
      <c r="G54" s="92"/>
      <c r="H54" s="22"/>
      <c r="I54" s="22">
        <f t="shared" si="4"/>
        <v>0</v>
      </c>
      <c r="J54" s="69"/>
      <c r="K54" s="11"/>
      <c r="L54" s="22"/>
      <c r="M54" s="22"/>
      <c r="N54" s="22"/>
      <c r="O54" s="22"/>
      <c r="P54" s="22"/>
      <c r="Q54" s="22"/>
      <c r="R54" s="36"/>
      <c r="S54" s="44"/>
      <c r="T54" s="47"/>
      <c r="U54" s="52">
        <f t="shared" si="5"/>
        <v>0</v>
      </c>
      <c r="V54" s="23" t="str">
        <f t="shared" si="3"/>
        <v>OK</v>
      </c>
    </row>
    <row r="55" spans="1:22" hidden="1" x14ac:dyDescent="0.3">
      <c r="A55" s="90" t="s">
        <v>43</v>
      </c>
      <c r="B55" s="76">
        <v>11820</v>
      </c>
      <c r="C55" s="70" t="s">
        <v>67</v>
      </c>
      <c r="D55" s="70"/>
      <c r="E55" s="70"/>
      <c r="F55" s="70"/>
      <c r="G55" s="91"/>
      <c r="H55" s="82"/>
      <c r="I55" s="82">
        <f t="shared" si="4"/>
        <v>0</v>
      </c>
      <c r="J55" s="74"/>
      <c r="K55" s="11"/>
      <c r="L55" s="16"/>
      <c r="M55" s="16"/>
      <c r="N55" s="16"/>
      <c r="O55" s="16"/>
      <c r="P55" s="16"/>
      <c r="Q55" s="16"/>
      <c r="R55" s="35"/>
      <c r="S55" s="43"/>
      <c r="T55" s="46"/>
      <c r="U55" s="75">
        <f t="shared" si="5"/>
        <v>0</v>
      </c>
      <c r="V55" s="93" t="str">
        <f t="shared" si="3"/>
        <v>OK</v>
      </c>
    </row>
    <row r="56" spans="1:22" hidden="1" x14ac:dyDescent="0.3">
      <c r="A56" s="54" t="s">
        <v>44</v>
      </c>
      <c r="B56" s="63">
        <v>11816</v>
      </c>
      <c r="C56" s="18" t="s">
        <v>67</v>
      </c>
      <c r="D56" s="18"/>
      <c r="E56" s="18"/>
      <c r="F56" s="18"/>
      <c r="G56" s="92"/>
      <c r="H56" s="22"/>
      <c r="I56" s="22">
        <f t="shared" si="4"/>
        <v>0</v>
      </c>
      <c r="J56" s="69"/>
      <c r="K56" s="11"/>
      <c r="L56" s="22"/>
      <c r="M56" s="22"/>
      <c r="N56" s="22"/>
      <c r="O56" s="22"/>
      <c r="P56" s="22"/>
      <c r="Q56" s="22"/>
      <c r="R56" s="36"/>
      <c r="S56" s="44"/>
      <c r="T56" s="47"/>
      <c r="U56" s="52">
        <f>SUM(L56:T56)</f>
        <v>0</v>
      </c>
      <c r="V56" s="23" t="str">
        <f t="shared" si="3"/>
        <v>OK</v>
      </c>
    </row>
    <row r="57" spans="1:22" hidden="1" x14ac:dyDescent="0.3">
      <c r="A57" s="76" t="s">
        <v>77</v>
      </c>
      <c r="B57" s="76">
        <v>11381</v>
      </c>
      <c r="C57" s="77" t="s">
        <v>68</v>
      </c>
      <c r="D57" s="70"/>
      <c r="E57" s="70"/>
      <c r="F57" s="70"/>
      <c r="G57" s="91"/>
      <c r="H57" s="82"/>
      <c r="I57" s="82">
        <f t="shared" si="4"/>
        <v>0</v>
      </c>
      <c r="J57" s="74"/>
      <c r="K57" s="11"/>
      <c r="L57" s="16"/>
      <c r="M57" s="16"/>
      <c r="N57" s="16"/>
      <c r="O57" s="16"/>
      <c r="P57" s="16"/>
      <c r="Q57" s="16"/>
      <c r="R57" s="35"/>
      <c r="S57" s="43"/>
      <c r="T57" s="46"/>
      <c r="U57" s="75">
        <f>SUM(L57:T57)</f>
        <v>0</v>
      </c>
      <c r="V57" s="93" t="str">
        <f t="shared" si="3"/>
        <v>OK</v>
      </c>
    </row>
    <row r="58" spans="1:22" hidden="1" x14ac:dyDescent="0.3">
      <c r="A58" s="54" t="s">
        <v>69</v>
      </c>
      <c r="B58" s="63">
        <v>11382</v>
      </c>
      <c r="C58" s="18" t="s">
        <v>68</v>
      </c>
      <c r="D58" s="18"/>
      <c r="E58" s="18"/>
      <c r="F58" s="18"/>
      <c r="G58" s="92"/>
      <c r="H58" s="22"/>
      <c r="I58" s="22">
        <f t="shared" si="4"/>
        <v>0</v>
      </c>
      <c r="J58" s="69"/>
      <c r="K58" s="11"/>
      <c r="L58" s="22"/>
      <c r="M58" s="22"/>
      <c r="N58" s="22"/>
      <c r="O58" s="22"/>
      <c r="P58" s="22"/>
      <c r="Q58" s="22"/>
      <c r="R58" s="36"/>
      <c r="S58" s="44"/>
      <c r="T58" s="47"/>
      <c r="U58" s="52">
        <f>SUM(L58:T58)</f>
        <v>0</v>
      </c>
      <c r="V58" s="23" t="str">
        <f t="shared" si="3"/>
        <v>OK</v>
      </c>
    </row>
    <row r="59" spans="1:22" hidden="1" x14ac:dyDescent="0.3">
      <c r="A59" s="96" t="s">
        <v>105</v>
      </c>
      <c r="B59" s="76">
        <v>16586</v>
      </c>
      <c r="C59" s="70" t="s">
        <v>78</v>
      </c>
      <c r="D59" s="70"/>
      <c r="E59" s="70"/>
      <c r="F59" s="70"/>
      <c r="G59" s="91"/>
      <c r="H59" s="82"/>
      <c r="I59" s="82">
        <f t="shared" si="4"/>
        <v>0</v>
      </c>
      <c r="J59" s="74"/>
      <c r="K59" s="11"/>
      <c r="L59" s="16"/>
      <c r="M59" s="16"/>
      <c r="N59" s="16"/>
      <c r="O59" s="16"/>
      <c r="P59" s="16"/>
      <c r="Q59" s="16"/>
      <c r="R59" s="35"/>
      <c r="S59" s="43"/>
      <c r="T59" s="46"/>
      <c r="U59" s="75">
        <f t="shared" ref="U59:U69" si="6">SUM(L59:T59)</f>
        <v>0</v>
      </c>
      <c r="V59" s="93" t="str">
        <f t="shared" si="3"/>
        <v>OK</v>
      </c>
    </row>
    <row r="60" spans="1:22" hidden="1" x14ac:dyDescent="0.3">
      <c r="A60" s="54" t="s">
        <v>90</v>
      </c>
      <c r="B60" s="63">
        <v>16587</v>
      </c>
      <c r="C60" s="18" t="s">
        <v>78</v>
      </c>
      <c r="D60" s="18"/>
      <c r="E60" s="18"/>
      <c r="F60" s="18"/>
      <c r="G60" s="92"/>
      <c r="H60" s="22"/>
      <c r="I60" s="22">
        <f t="shared" si="4"/>
        <v>0</v>
      </c>
      <c r="J60" s="69"/>
      <c r="K60" s="11"/>
      <c r="L60" s="22"/>
      <c r="M60" s="22"/>
      <c r="N60" s="22"/>
      <c r="O60" s="22"/>
      <c r="P60" s="22"/>
      <c r="Q60" s="22"/>
      <c r="R60" s="36"/>
      <c r="S60" s="44"/>
      <c r="T60" s="47"/>
      <c r="U60" s="52">
        <f t="shared" si="6"/>
        <v>0</v>
      </c>
      <c r="V60" s="23" t="str">
        <f t="shared" si="3"/>
        <v>OK</v>
      </c>
    </row>
    <row r="61" spans="1:22" x14ac:dyDescent="0.3">
      <c r="A61" s="90" t="s">
        <v>91</v>
      </c>
      <c r="B61" s="76">
        <v>17121</v>
      </c>
      <c r="C61" s="70" t="s">
        <v>92</v>
      </c>
      <c r="D61" s="70"/>
      <c r="E61" s="70"/>
      <c r="F61" s="70"/>
      <c r="G61" s="91"/>
      <c r="H61" s="82"/>
      <c r="I61" s="82">
        <f t="shared" si="4"/>
        <v>5</v>
      </c>
      <c r="J61" s="74"/>
      <c r="K61" s="11"/>
      <c r="L61" s="16"/>
      <c r="M61" s="16">
        <v>5</v>
      </c>
      <c r="N61" s="16"/>
      <c r="O61" s="16"/>
      <c r="P61" s="16"/>
      <c r="Q61" s="16"/>
      <c r="R61" s="35"/>
      <c r="S61" s="43"/>
      <c r="T61" s="46"/>
      <c r="U61" s="75">
        <f t="shared" si="6"/>
        <v>5</v>
      </c>
      <c r="V61" s="93" t="str">
        <f t="shared" si="3"/>
        <v>OK</v>
      </c>
    </row>
    <row r="62" spans="1:22" hidden="1" x14ac:dyDescent="0.3">
      <c r="A62" s="54" t="s">
        <v>106</v>
      </c>
      <c r="B62" s="63">
        <v>19270</v>
      </c>
      <c r="C62" s="18" t="s">
        <v>68</v>
      </c>
      <c r="D62" s="18"/>
      <c r="E62" s="18"/>
      <c r="F62" s="18"/>
      <c r="G62" s="92"/>
      <c r="H62" s="22"/>
      <c r="I62" s="22">
        <f t="shared" si="4"/>
        <v>0</v>
      </c>
      <c r="J62" s="69"/>
      <c r="K62" s="11"/>
      <c r="L62" s="22"/>
      <c r="M62" s="22"/>
      <c r="N62" s="22"/>
      <c r="O62" s="22"/>
      <c r="P62" s="22"/>
      <c r="Q62" s="22"/>
      <c r="R62" s="36"/>
      <c r="S62" s="44"/>
      <c r="T62" s="47"/>
      <c r="U62" s="71">
        <f t="shared" si="6"/>
        <v>0</v>
      </c>
      <c r="V62" s="23" t="str">
        <f t="shared" si="3"/>
        <v>OK</v>
      </c>
    </row>
    <row r="63" spans="1:22" hidden="1" x14ac:dyDescent="0.3">
      <c r="A63" s="90" t="s">
        <v>107</v>
      </c>
      <c r="B63" s="76">
        <v>19276</v>
      </c>
      <c r="C63" s="70" t="s">
        <v>68</v>
      </c>
      <c r="D63" s="70"/>
      <c r="E63" s="70"/>
      <c r="F63" s="70"/>
      <c r="G63" s="91"/>
      <c r="H63" s="82"/>
      <c r="I63" s="82">
        <f t="shared" si="4"/>
        <v>0</v>
      </c>
      <c r="J63" s="74"/>
      <c r="K63" s="11"/>
      <c r="L63" s="16"/>
      <c r="M63" s="16"/>
      <c r="N63" s="16"/>
      <c r="O63" s="16"/>
      <c r="P63" s="16"/>
      <c r="Q63" s="16"/>
      <c r="R63" s="35"/>
      <c r="S63" s="43"/>
      <c r="T63" s="46"/>
      <c r="U63" s="75">
        <f t="shared" si="6"/>
        <v>0</v>
      </c>
      <c r="V63" s="93" t="str">
        <f t="shared" si="3"/>
        <v>OK</v>
      </c>
    </row>
    <row r="64" spans="1:22" hidden="1" x14ac:dyDescent="0.3">
      <c r="A64" s="54" t="s">
        <v>108</v>
      </c>
      <c r="B64" s="63">
        <v>19836</v>
      </c>
      <c r="C64" s="18" t="s">
        <v>45</v>
      </c>
      <c r="D64" s="18"/>
      <c r="E64" s="18"/>
      <c r="F64" s="18"/>
      <c r="G64" s="92"/>
      <c r="H64" s="22"/>
      <c r="I64" s="22">
        <f t="shared" si="4"/>
        <v>0</v>
      </c>
      <c r="J64" s="69"/>
      <c r="K64" s="11"/>
      <c r="L64" s="22"/>
      <c r="M64" s="22"/>
      <c r="N64" s="22"/>
      <c r="O64" s="22"/>
      <c r="P64" s="22"/>
      <c r="Q64" s="22"/>
      <c r="R64" s="36"/>
      <c r="S64" s="44"/>
      <c r="T64" s="47"/>
      <c r="U64" s="52">
        <f t="shared" si="6"/>
        <v>0</v>
      </c>
      <c r="V64" s="23" t="str">
        <f t="shared" si="3"/>
        <v>OK</v>
      </c>
    </row>
    <row r="65" spans="1:22" hidden="1" x14ac:dyDescent="0.3">
      <c r="A65" s="90" t="s">
        <v>109</v>
      </c>
      <c r="B65" s="76">
        <v>20278</v>
      </c>
      <c r="C65" s="70" t="s">
        <v>110</v>
      </c>
      <c r="D65" s="70"/>
      <c r="E65" s="70"/>
      <c r="F65" s="70"/>
      <c r="G65" s="91"/>
      <c r="H65" s="82"/>
      <c r="I65" s="82">
        <f t="shared" si="4"/>
        <v>0</v>
      </c>
      <c r="J65" s="74"/>
      <c r="K65" s="11"/>
      <c r="L65" s="16"/>
      <c r="M65" s="16"/>
      <c r="N65" s="16"/>
      <c r="O65" s="16"/>
      <c r="P65" s="16"/>
      <c r="Q65" s="16"/>
      <c r="R65" s="35"/>
      <c r="S65" s="43"/>
      <c r="T65" s="46"/>
      <c r="U65" s="75">
        <f t="shared" si="6"/>
        <v>0</v>
      </c>
      <c r="V65" s="93" t="str">
        <f t="shared" si="3"/>
        <v>OK</v>
      </c>
    </row>
    <row r="66" spans="1:22" x14ac:dyDescent="0.3">
      <c r="A66" s="54" t="s">
        <v>111</v>
      </c>
      <c r="B66" s="63">
        <v>20272</v>
      </c>
      <c r="C66" s="18" t="s">
        <v>110</v>
      </c>
      <c r="D66" s="18"/>
      <c r="E66" s="18"/>
      <c r="F66" s="18"/>
      <c r="G66" s="92"/>
      <c r="H66" s="22"/>
      <c r="I66" s="22">
        <f t="shared" si="4"/>
        <v>7</v>
      </c>
      <c r="J66" s="69"/>
      <c r="K66" s="11"/>
      <c r="L66" s="22"/>
      <c r="M66" s="22">
        <v>7</v>
      </c>
      <c r="N66" s="22"/>
      <c r="O66" s="22"/>
      <c r="P66" s="22"/>
      <c r="Q66" s="22"/>
      <c r="R66" s="36"/>
      <c r="S66" s="44"/>
      <c r="T66" s="47"/>
      <c r="U66" s="52">
        <f t="shared" si="6"/>
        <v>7</v>
      </c>
      <c r="V66" s="23" t="str">
        <f t="shared" si="3"/>
        <v>OK</v>
      </c>
    </row>
    <row r="67" spans="1:22" hidden="1" x14ac:dyDescent="0.3">
      <c r="A67" s="90" t="s">
        <v>112</v>
      </c>
      <c r="B67" s="76">
        <v>20956</v>
      </c>
      <c r="C67" s="70" t="s">
        <v>110</v>
      </c>
      <c r="D67" s="70"/>
      <c r="E67" s="70"/>
      <c r="F67" s="70"/>
      <c r="G67" s="91"/>
      <c r="H67" s="82"/>
      <c r="I67" s="82">
        <f t="shared" si="4"/>
        <v>0</v>
      </c>
      <c r="J67" s="74"/>
      <c r="K67" s="11"/>
      <c r="L67" s="16"/>
      <c r="M67" s="16"/>
      <c r="N67" s="16"/>
      <c r="O67" s="16"/>
      <c r="P67" s="16"/>
      <c r="Q67" s="16"/>
      <c r="R67" s="35"/>
      <c r="S67" s="43"/>
      <c r="T67" s="46"/>
      <c r="U67" s="75">
        <f t="shared" si="6"/>
        <v>0</v>
      </c>
      <c r="V67" s="93" t="str">
        <f t="shared" si="3"/>
        <v>OK</v>
      </c>
    </row>
    <row r="68" spans="1:22" hidden="1" x14ac:dyDescent="0.3">
      <c r="A68" s="54" t="s">
        <v>116</v>
      </c>
      <c r="B68" s="63">
        <v>21299</v>
      </c>
      <c r="C68" s="18" t="s">
        <v>78</v>
      </c>
      <c r="D68" s="18"/>
      <c r="E68" s="18"/>
      <c r="F68" s="18"/>
      <c r="G68" s="92"/>
      <c r="H68" s="22"/>
      <c r="I68" s="22">
        <f t="shared" si="4"/>
        <v>0</v>
      </c>
      <c r="J68" s="69"/>
      <c r="K68" s="11"/>
      <c r="L68" s="22"/>
      <c r="M68" s="22"/>
      <c r="N68" s="22"/>
      <c r="O68" s="22"/>
      <c r="P68" s="22"/>
      <c r="Q68" s="22"/>
      <c r="R68" s="36"/>
      <c r="S68" s="44"/>
      <c r="T68" s="47"/>
      <c r="U68" s="71">
        <f t="shared" si="6"/>
        <v>0</v>
      </c>
      <c r="V68" s="23" t="str">
        <f>IF(U68=I68,"OK","NG")</f>
        <v>OK</v>
      </c>
    </row>
    <row r="69" spans="1:22" hidden="1" x14ac:dyDescent="0.3">
      <c r="A69" s="99" t="s">
        <v>117</v>
      </c>
      <c r="B69" s="76">
        <v>22115</v>
      </c>
      <c r="C69" s="82" t="s">
        <v>118</v>
      </c>
      <c r="D69" s="82"/>
      <c r="E69" s="82"/>
      <c r="F69" s="82"/>
      <c r="G69" s="82"/>
      <c r="H69" s="82"/>
      <c r="I69" s="82">
        <f t="shared" si="4"/>
        <v>0</v>
      </c>
      <c r="J69" s="97"/>
      <c r="K69" s="112"/>
      <c r="L69" s="82"/>
      <c r="M69" s="82"/>
      <c r="N69" s="82"/>
      <c r="O69" s="82"/>
      <c r="P69" s="82"/>
      <c r="Q69" s="82"/>
      <c r="R69" s="83"/>
      <c r="S69" s="84"/>
      <c r="T69" s="100"/>
      <c r="U69" s="75">
        <f t="shared" si="6"/>
        <v>0</v>
      </c>
      <c r="V69" s="93" t="str">
        <f>IF(U69=I69,"OK","NG")</f>
        <v>OK</v>
      </c>
    </row>
    <row r="70" spans="1:22" hidden="1" x14ac:dyDescent="0.3">
      <c r="A70" s="54" t="s">
        <v>120</v>
      </c>
      <c r="B70" s="63">
        <v>22706</v>
      </c>
      <c r="C70" s="18" t="s">
        <v>119</v>
      </c>
      <c r="D70" s="18"/>
      <c r="E70" s="18"/>
      <c r="F70" s="18"/>
      <c r="G70" s="92"/>
      <c r="H70" s="22"/>
      <c r="I70" s="22">
        <f t="shared" si="4"/>
        <v>0</v>
      </c>
      <c r="J70" s="69"/>
      <c r="K70" s="11"/>
      <c r="L70" s="22"/>
      <c r="M70" s="22"/>
      <c r="N70" s="22"/>
      <c r="O70" s="22"/>
      <c r="P70" s="22"/>
      <c r="Q70" s="22"/>
      <c r="R70" s="36"/>
      <c r="S70" s="44"/>
      <c r="T70" s="47"/>
      <c r="U70" s="71">
        <f t="shared" ref="U70" si="7">SUM(L70:T70)</f>
        <v>0</v>
      </c>
      <c r="V70" s="23" t="str">
        <f>IF(U70=I70,"OK","NG")</f>
        <v>OK</v>
      </c>
    </row>
    <row r="71" spans="1:22" hidden="1" x14ac:dyDescent="0.3">
      <c r="A71" s="99" t="s">
        <v>121</v>
      </c>
      <c r="B71" s="76">
        <v>22886</v>
      </c>
      <c r="C71" s="82" t="s">
        <v>46</v>
      </c>
      <c r="D71" s="82"/>
      <c r="E71" s="82"/>
      <c r="F71" s="82"/>
      <c r="G71" s="82"/>
      <c r="H71" s="82"/>
      <c r="I71" s="82">
        <f t="shared" ref="I71:I79" si="8">SUM(L71:T71)</f>
        <v>0</v>
      </c>
      <c r="J71" s="97"/>
      <c r="K71" s="112"/>
      <c r="L71" s="82"/>
      <c r="M71" s="82"/>
      <c r="N71" s="82"/>
      <c r="O71" s="82"/>
      <c r="P71" s="82"/>
      <c r="Q71" s="82"/>
      <c r="R71" s="83"/>
      <c r="S71" s="84"/>
      <c r="T71" s="100"/>
      <c r="U71" s="75">
        <f>SUM(L71:T71)</f>
        <v>0</v>
      </c>
      <c r="V71" s="93" t="str">
        <f>IF(U71=I71,"OK","NG")</f>
        <v>OK</v>
      </c>
    </row>
    <row r="72" spans="1:22" hidden="1" x14ac:dyDescent="0.3">
      <c r="A72" s="54" t="s">
        <v>122</v>
      </c>
      <c r="B72" s="63">
        <v>17528</v>
      </c>
      <c r="C72" s="18" t="s">
        <v>123</v>
      </c>
      <c r="D72" s="18"/>
      <c r="E72" s="18"/>
      <c r="F72" s="18"/>
      <c r="G72" s="92"/>
      <c r="H72" s="22"/>
      <c r="I72" s="22">
        <f t="shared" si="8"/>
        <v>0</v>
      </c>
      <c r="J72" s="69"/>
      <c r="K72" s="11"/>
      <c r="L72" s="22"/>
      <c r="M72" s="22"/>
      <c r="N72" s="22"/>
      <c r="O72" s="22"/>
      <c r="P72" s="22"/>
      <c r="Q72" s="22"/>
      <c r="R72" s="36"/>
      <c r="S72" s="44"/>
      <c r="T72" s="47"/>
      <c r="U72" s="71">
        <f t="shared" ref="U72:U79" si="9">SUM(L72:T72)</f>
        <v>0</v>
      </c>
      <c r="V72" s="95" t="str">
        <f t="shared" ref="V72:V80" si="10">IF(U72=I72,"OK","NG")</f>
        <v>OK</v>
      </c>
    </row>
    <row r="73" spans="1:22" hidden="1" x14ac:dyDescent="0.3">
      <c r="A73" s="99" t="s">
        <v>124</v>
      </c>
      <c r="B73" s="76">
        <v>22380</v>
      </c>
      <c r="C73" s="82" t="s">
        <v>47</v>
      </c>
      <c r="D73" s="82"/>
      <c r="E73" s="82"/>
      <c r="F73" s="82"/>
      <c r="G73" s="82"/>
      <c r="H73" s="82"/>
      <c r="I73" s="82">
        <f t="shared" si="8"/>
        <v>0</v>
      </c>
      <c r="J73" s="97"/>
      <c r="K73" s="112"/>
      <c r="L73" s="82"/>
      <c r="M73" s="82"/>
      <c r="N73" s="82"/>
      <c r="O73" s="82"/>
      <c r="P73" s="82"/>
      <c r="Q73" s="82"/>
      <c r="R73" s="83"/>
      <c r="S73" s="84"/>
      <c r="T73" s="100"/>
      <c r="U73" s="75">
        <f t="shared" si="9"/>
        <v>0</v>
      </c>
      <c r="V73" s="93" t="str">
        <f t="shared" si="10"/>
        <v>OK</v>
      </c>
    </row>
    <row r="74" spans="1:22" hidden="1" x14ac:dyDescent="0.3">
      <c r="A74" s="54" t="s">
        <v>125</v>
      </c>
      <c r="B74" s="63">
        <v>19279</v>
      </c>
      <c r="C74" s="18" t="s">
        <v>126</v>
      </c>
      <c r="D74" s="18"/>
      <c r="E74" s="18"/>
      <c r="F74" s="18"/>
      <c r="G74" s="92"/>
      <c r="H74" s="22"/>
      <c r="I74" s="22">
        <f t="shared" si="8"/>
        <v>0</v>
      </c>
      <c r="J74" s="69"/>
      <c r="K74" s="11"/>
      <c r="L74" s="22"/>
      <c r="M74" s="22"/>
      <c r="N74" s="22"/>
      <c r="O74" s="22"/>
      <c r="P74" s="22"/>
      <c r="Q74" s="22"/>
      <c r="R74" s="36"/>
      <c r="S74" s="44"/>
      <c r="T74" s="47"/>
      <c r="U74" s="71">
        <f t="shared" si="9"/>
        <v>0</v>
      </c>
      <c r="V74" s="95" t="str">
        <f t="shared" si="10"/>
        <v>OK</v>
      </c>
    </row>
    <row r="75" spans="1:22" hidden="1" x14ac:dyDescent="0.3">
      <c r="A75" s="90" t="s">
        <v>131</v>
      </c>
      <c r="B75" s="76">
        <v>22724</v>
      </c>
      <c r="C75" s="70" t="s">
        <v>119</v>
      </c>
      <c r="D75" s="70"/>
      <c r="E75" s="70"/>
      <c r="F75" s="70"/>
      <c r="G75" s="91"/>
      <c r="H75" s="82"/>
      <c r="I75" s="82">
        <f t="shared" si="8"/>
        <v>0</v>
      </c>
      <c r="J75" s="74"/>
      <c r="K75" s="11"/>
      <c r="L75" s="82"/>
      <c r="M75" s="82"/>
      <c r="N75" s="82"/>
      <c r="O75" s="82"/>
      <c r="P75" s="82"/>
      <c r="Q75" s="82"/>
      <c r="R75" s="83"/>
      <c r="S75" s="84"/>
      <c r="T75" s="85"/>
      <c r="U75" s="75">
        <f>SUM(L75:T75)</f>
        <v>0</v>
      </c>
      <c r="V75" s="93" t="s">
        <v>129</v>
      </c>
    </row>
    <row r="76" spans="1:22" hidden="1" x14ac:dyDescent="0.3">
      <c r="A76" s="54" t="s">
        <v>133</v>
      </c>
      <c r="B76" s="63">
        <v>22705</v>
      </c>
      <c r="C76" s="18" t="s">
        <v>119</v>
      </c>
      <c r="D76" s="18"/>
      <c r="E76" s="18"/>
      <c r="F76" s="18"/>
      <c r="G76" s="92"/>
      <c r="H76" s="22"/>
      <c r="I76" s="22">
        <f t="shared" si="8"/>
        <v>0</v>
      </c>
      <c r="J76" s="69"/>
      <c r="K76" s="11"/>
      <c r="L76" s="22"/>
      <c r="M76" s="22"/>
      <c r="N76" s="22"/>
      <c r="O76" s="22"/>
      <c r="P76" s="22"/>
      <c r="Q76" s="22"/>
      <c r="R76" s="36"/>
      <c r="S76" s="44"/>
      <c r="T76" s="47"/>
      <c r="U76" s="71">
        <f t="shared" si="9"/>
        <v>0</v>
      </c>
      <c r="V76" s="95" t="str">
        <f t="shared" si="10"/>
        <v>OK</v>
      </c>
    </row>
    <row r="77" spans="1:22" ht="17.25" thickBot="1" x14ac:dyDescent="0.35">
      <c r="A77" s="99" t="s">
        <v>128</v>
      </c>
      <c r="B77" s="76">
        <v>5655</v>
      </c>
      <c r="C77" s="82" t="s">
        <v>54</v>
      </c>
      <c r="D77" s="82"/>
      <c r="E77" s="82"/>
      <c r="F77" s="82"/>
      <c r="G77" s="82"/>
      <c r="H77" s="82"/>
      <c r="I77" s="82">
        <f t="shared" si="8"/>
        <v>3</v>
      </c>
      <c r="J77" s="97"/>
      <c r="K77" s="112"/>
      <c r="L77" s="82"/>
      <c r="M77" s="82">
        <v>3</v>
      </c>
      <c r="N77" s="82"/>
      <c r="O77" s="82"/>
      <c r="P77" s="82"/>
      <c r="Q77" s="82"/>
      <c r="R77" s="83"/>
      <c r="S77" s="84"/>
      <c r="T77" s="100"/>
      <c r="U77" s="75">
        <f t="shared" si="9"/>
        <v>3</v>
      </c>
      <c r="V77" s="93" t="str">
        <f t="shared" si="10"/>
        <v>OK</v>
      </c>
    </row>
    <row r="78" spans="1:22" ht="17.25" hidden="1" thickBot="1" x14ac:dyDescent="0.35">
      <c r="A78" s="120" t="s">
        <v>136</v>
      </c>
      <c r="B78" s="121">
        <v>22704</v>
      </c>
      <c r="C78" s="122" t="s">
        <v>137</v>
      </c>
      <c r="D78" s="122"/>
      <c r="E78" s="122"/>
      <c r="F78" s="122"/>
      <c r="G78" s="122"/>
      <c r="H78" s="122"/>
      <c r="I78" s="22">
        <f t="shared" si="8"/>
        <v>0</v>
      </c>
      <c r="J78" s="45"/>
      <c r="K78" s="112"/>
      <c r="L78" s="22"/>
      <c r="M78" s="22"/>
      <c r="N78" s="22"/>
      <c r="O78" s="22"/>
      <c r="P78" s="22"/>
      <c r="Q78" s="22"/>
      <c r="R78" s="36"/>
      <c r="S78" s="44"/>
      <c r="T78" s="116"/>
      <c r="U78" s="71">
        <f t="shared" si="9"/>
        <v>0</v>
      </c>
      <c r="V78" s="95" t="str">
        <f t="shared" si="10"/>
        <v>OK</v>
      </c>
    </row>
    <row r="79" spans="1:22" ht="17.25" hidden="1" thickBot="1" x14ac:dyDescent="0.35">
      <c r="A79" s="136" t="s">
        <v>139</v>
      </c>
      <c r="B79" s="133">
        <v>22722</v>
      </c>
      <c r="C79" s="137" t="s">
        <v>119</v>
      </c>
      <c r="D79" s="137"/>
      <c r="E79" s="137"/>
      <c r="F79" s="137"/>
      <c r="G79" s="137"/>
      <c r="H79" s="137"/>
      <c r="I79" s="82">
        <f t="shared" si="8"/>
        <v>0</v>
      </c>
      <c r="J79" s="97"/>
      <c r="K79" s="119"/>
      <c r="L79" s="82"/>
      <c r="M79" s="82"/>
      <c r="N79" s="82"/>
      <c r="O79" s="82"/>
      <c r="P79" s="82"/>
      <c r="Q79" s="82"/>
      <c r="R79" s="83"/>
      <c r="S79" s="84"/>
      <c r="T79" s="100"/>
      <c r="U79" s="75">
        <f t="shared" si="9"/>
        <v>0</v>
      </c>
      <c r="V79" s="93" t="str">
        <f t="shared" si="10"/>
        <v>OK</v>
      </c>
    </row>
    <row r="80" spans="1:22" ht="17.25" hidden="1" customHeight="1" thickBot="1" x14ac:dyDescent="0.35">
      <c r="A80" s="126" t="s">
        <v>134</v>
      </c>
      <c r="B80" s="127">
        <v>22723</v>
      </c>
      <c r="C80" s="128" t="s">
        <v>119</v>
      </c>
      <c r="D80" s="128"/>
      <c r="E80" s="128"/>
      <c r="F80" s="128"/>
      <c r="G80" s="128"/>
      <c r="H80" s="22"/>
      <c r="I80" s="22">
        <f t="shared" ref="I80" si="11">SUM(L80:T80)</f>
        <v>0</v>
      </c>
      <c r="J80" s="45"/>
      <c r="K80" s="112"/>
      <c r="L80" s="22"/>
      <c r="M80" s="22"/>
      <c r="N80" s="22"/>
      <c r="O80" s="22"/>
      <c r="P80" s="22"/>
      <c r="Q80" s="22"/>
      <c r="R80" s="36"/>
      <c r="S80" s="44"/>
      <c r="T80" s="116"/>
      <c r="U80" s="52">
        <f t="shared" ref="U80" si="12">SUM(L80:T80)</f>
        <v>0</v>
      </c>
      <c r="V80" s="23" t="str">
        <f t="shared" si="10"/>
        <v>OK</v>
      </c>
    </row>
    <row r="81" spans="1:22" x14ac:dyDescent="0.3">
      <c r="A81" s="86"/>
      <c r="B81" s="86"/>
      <c r="C81" s="87" t="s">
        <v>9</v>
      </c>
      <c r="D81" s="87"/>
      <c r="E81" s="87"/>
      <c r="F81" s="87"/>
      <c r="G81" s="88">
        <f>SUM(G6:G49)</f>
        <v>0</v>
      </c>
      <c r="H81" s="89">
        <f>SUM(H6:H49)</f>
        <v>0</v>
      </c>
      <c r="I81" s="88">
        <f>SUM(I6:I80)</f>
        <v>15</v>
      </c>
      <c r="J81" s="40">
        <f>SUM(J6:J49)</f>
        <v>0</v>
      </c>
      <c r="K81" s="115">
        <f>SUM(K6:K51)</f>
        <v>0</v>
      </c>
      <c r="L81" s="38">
        <f>SUM(L6:L80)</f>
        <v>0</v>
      </c>
      <c r="M81" s="38">
        <f t="shared" ref="M81:U81" si="13">SUM(M6:M80)</f>
        <v>15</v>
      </c>
      <c r="N81" s="38">
        <f t="shared" si="13"/>
        <v>0</v>
      </c>
      <c r="O81" s="38">
        <f t="shared" si="13"/>
        <v>0</v>
      </c>
      <c r="P81" s="38">
        <f t="shared" si="13"/>
        <v>0</v>
      </c>
      <c r="Q81" s="38">
        <f t="shared" si="13"/>
        <v>0</v>
      </c>
      <c r="R81" s="38">
        <f t="shared" si="13"/>
        <v>0</v>
      </c>
      <c r="S81" s="38">
        <f t="shared" si="13"/>
        <v>0</v>
      </c>
      <c r="T81" s="38">
        <f t="shared" si="13"/>
        <v>0</v>
      </c>
      <c r="U81" s="38">
        <f t="shared" si="13"/>
        <v>15</v>
      </c>
      <c r="V81" s="41" t="str">
        <f>IF(U81=SUM(I81),"OK","NG")</f>
        <v>OK</v>
      </c>
    </row>
  </sheetData>
  <autoFilter ref="A5:V81" xr:uid="{00000000-0001-0000-1500-000000000000}">
    <filterColumn colId="8">
      <filters>
        <filter val="15"/>
        <filter val="3"/>
        <filter val="5"/>
        <filter val="7"/>
      </filters>
    </filterColumn>
  </autoFilter>
  <mergeCells count="20">
    <mergeCell ref="O4:O5"/>
    <mergeCell ref="P4:P5"/>
    <mergeCell ref="B3:C3"/>
    <mergeCell ref="N4:N5"/>
    <mergeCell ref="B1:C1"/>
    <mergeCell ref="F1:G1"/>
    <mergeCell ref="H1:J3"/>
    <mergeCell ref="B2:C2"/>
    <mergeCell ref="A4:D4"/>
    <mergeCell ref="E4:G4"/>
    <mergeCell ref="H4:J4"/>
    <mergeCell ref="L4:L5"/>
    <mergeCell ref="M4:M5"/>
    <mergeCell ref="Q4:Q5"/>
    <mergeCell ref="R4:R5"/>
    <mergeCell ref="S4:S5"/>
    <mergeCell ref="T4:T5"/>
    <mergeCell ref="V2:V3"/>
    <mergeCell ref="U4:U5"/>
    <mergeCell ref="V4:V5"/>
  </mergeCells>
  <phoneticPr fontId="3" type="noConversion"/>
  <conditionalFormatting sqref="A4 V6:V81">
    <cfRule type="containsText" dxfId="23" priority="9" operator="containsText" text="NG">
      <formula>NOT(ISERROR(SEARCH("NG",A4)))</formula>
    </cfRule>
    <cfRule type="containsText" dxfId="22" priority="10" operator="containsText" text="OK">
      <formula>NOT(ISERROR(SEARCH("OK",A4)))</formula>
    </cfRule>
  </conditionalFormatting>
  <pageMargins left="0.70866141732283472" right="0.70866141732283472" top="0.74803149606299213" bottom="0.74803149606299213" header="0.31496062992125984" footer="0.31496062992125984"/>
  <pageSetup paperSize="8" scale="10" orientation="landscape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 filterMode="1">
    <pageSetUpPr fitToPage="1"/>
  </sheetPr>
  <dimension ref="A1:V87"/>
  <sheetViews>
    <sheetView showGridLines="0" zoomScale="85" zoomScaleNormal="85" workbookViewId="0">
      <pane ySplit="5" topLeftCell="A17" activePane="bottomLeft" state="frozen"/>
      <selection activeCell="W73" sqref="W73"/>
      <selection pane="bottomLeft" activeCell="O87" sqref="O87"/>
    </sheetView>
  </sheetViews>
  <sheetFormatPr defaultColWidth="9" defaultRowHeight="16.5" x14ac:dyDescent="0.3"/>
  <cols>
    <col min="1" max="1" width="12.625" bestFit="1" customWidth="1"/>
    <col min="2" max="2" width="14.125" bestFit="1" customWidth="1"/>
    <col min="3" max="3" width="35.125" customWidth="1"/>
    <col min="4" max="4" width="11.75" hidden="1" customWidth="1"/>
    <col min="5" max="6" width="9" hidden="1" customWidth="1"/>
    <col min="7" max="7" width="15.375" hidden="1" customWidth="1"/>
    <col min="8" max="8" width="13.25" hidden="1" customWidth="1"/>
    <col min="9" max="9" width="13.25" customWidth="1"/>
    <col min="10" max="10" width="13.25" hidden="1" customWidth="1"/>
    <col min="11" max="11" width="0.875" customWidth="1"/>
    <col min="20" max="20" width="11" bestFit="1" customWidth="1"/>
  </cols>
  <sheetData>
    <row r="1" spans="1:22" ht="22.5" customHeight="1" thickBot="1" x14ac:dyDescent="0.35">
      <c r="A1" s="32" t="s">
        <v>28</v>
      </c>
      <c r="B1" s="153">
        <f>H81</f>
        <v>0</v>
      </c>
      <c r="C1" s="154"/>
      <c r="D1" s="55"/>
      <c r="E1" s="58" t="s">
        <v>1</v>
      </c>
      <c r="F1" s="155">
        <f>G81</f>
        <v>0</v>
      </c>
      <c r="G1" s="155"/>
      <c r="H1" s="156"/>
      <c r="I1" s="156"/>
      <c r="J1" s="156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22.5" customHeight="1" thickBot="1" x14ac:dyDescent="0.35">
      <c r="A2" s="32" t="s">
        <v>29</v>
      </c>
      <c r="B2" s="158">
        <f>I81</f>
        <v>32</v>
      </c>
      <c r="C2" s="159"/>
      <c r="D2" s="56"/>
      <c r="E2" s="59"/>
      <c r="F2" s="2"/>
      <c r="G2" s="2"/>
      <c r="H2" s="156"/>
      <c r="I2" s="156"/>
      <c r="J2" s="156"/>
      <c r="K2" s="113"/>
      <c r="L2" s="3">
        <f>SUBTOTAL(9,L6:L80)</f>
        <v>0</v>
      </c>
      <c r="M2" s="3">
        <f t="shared" ref="M2:T2" si="0">SUBTOTAL(9,M6:M80)</f>
        <v>32</v>
      </c>
      <c r="N2" s="3">
        <f t="shared" si="0"/>
        <v>0</v>
      </c>
      <c r="O2" s="3">
        <f t="shared" si="0"/>
        <v>0</v>
      </c>
      <c r="P2" s="3">
        <f t="shared" si="0"/>
        <v>0</v>
      </c>
      <c r="Q2" s="3">
        <f t="shared" si="0"/>
        <v>0</v>
      </c>
      <c r="R2" s="3">
        <f t="shared" si="0"/>
        <v>0</v>
      </c>
      <c r="S2" s="3">
        <f t="shared" si="0"/>
        <v>0</v>
      </c>
      <c r="T2" s="3">
        <f t="shared" si="0"/>
        <v>0</v>
      </c>
      <c r="U2" s="48">
        <f>SUBTOTAL(9,U6:U80)</f>
        <v>32</v>
      </c>
      <c r="V2" s="145"/>
    </row>
    <row r="3" spans="1:22" ht="22.5" customHeight="1" thickBot="1" x14ac:dyDescent="0.35">
      <c r="A3" s="33" t="s">
        <v>30</v>
      </c>
      <c r="B3" s="151">
        <f>IF(ISERROR(B2/(B2+B1)*1000000),"",(B2/(B2+B1)*1000000))</f>
        <v>1000000</v>
      </c>
      <c r="C3" s="152"/>
      <c r="D3" s="57"/>
      <c r="E3" s="60"/>
      <c r="F3" s="27"/>
      <c r="G3" s="27"/>
      <c r="H3" s="157"/>
      <c r="I3" s="157"/>
      <c r="J3" s="157"/>
      <c r="K3" s="114"/>
      <c r="L3" s="4">
        <f t="shared" ref="L3:U3" si="1">SUM(L6:L80)</f>
        <v>0</v>
      </c>
      <c r="M3" s="4">
        <f t="shared" si="1"/>
        <v>32</v>
      </c>
      <c r="N3" s="4">
        <f t="shared" si="1"/>
        <v>0</v>
      </c>
      <c r="O3" s="4">
        <f t="shared" si="1"/>
        <v>0</v>
      </c>
      <c r="P3" s="4">
        <f t="shared" si="1"/>
        <v>0</v>
      </c>
      <c r="Q3" s="4">
        <f t="shared" si="1"/>
        <v>0</v>
      </c>
      <c r="R3" s="4">
        <f t="shared" si="1"/>
        <v>0</v>
      </c>
      <c r="S3" s="4">
        <f t="shared" si="1"/>
        <v>0</v>
      </c>
      <c r="T3" s="4">
        <f t="shared" si="1"/>
        <v>0</v>
      </c>
      <c r="U3" s="49">
        <f t="shared" si="1"/>
        <v>32</v>
      </c>
      <c r="V3" s="146"/>
    </row>
    <row r="4" spans="1:22" ht="43.5" customHeight="1" x14ac:dyDescent="0.3">
      <c r="A4" s="160" t="str">
        <f>V81</f>
        <v>OK</v>
      </c>
      <c r="B4" s="160"/>
      <c r="C4" s="160"/>
      <c r="D4" s="161"/>
      <c r="E4" s="162" t="s">
        <v>15</v>
      </c>
      <c r="F4" s="162"/>
      <c r="G4" s="162"/>
      <c r="H4" s="163" t="s">
        <v>16</v>
      </c>
      <c r="I4" s="163"/>
      <c r="J4" s="163"/>
      <c r="K4" s="113"/>
      <c r="L4" s="164" t="s">
        <v>10</v>
      </c>
      <c r="M4" s="142" t="s">
        <v>17</v>
      </c>
      <c r="N4" s="142" t="s">
        <v>11</v>
      </c>
      <c r="O4" s="138" t="s">
        <v>12</v>
      </c>
      <c r="P4" s="142" t="s">
        <v>13</v>
      </c>
      <c r="Q4" s="138" t="s">
        <v>14</v>
      </c>
      <c r="R4" s="140" t="s">
        <v>20</v>
      </c>
      <c r="S4" s="142" t="s">
        <v>21</v>
      </c>
      <c r="T4" s="143" t="s">
        <v>22</v>
      </c>
      <c r="U4" s="147" t="s">
        <v>18</v>
      </c>
      <c r="V4" s="149" t="s">
        <v>19</v>
      </c>
    </row>
    <row r="5" spans="1:22" ht="33.75" thickBot="1" x14ac:dyDescent="0.35">
      <c r="A5" s="29" t="s">
        <v>3</v>
      </c>
      <c r="B5" s="30" t="s">
        <v>32</v>
      </c>
      <c r="C5" s="29" t="s">
        <v>4</v>
      </c>
      <c r="D5" s="29" t="s">
        <v>31</v>
      </c>
      <c r="E5" s="29" t="s">
        <v>5</v>
      </c>
      <c r="F5" s="29" t="s">
        <v>6</v>
      </c>
      <c r="G5" s="30" t="s">
        <v>7</v>
      </c>
      <c r="H5" s="31" t="s">
        <v>0</v>
      </c>
      <c r="I5" s="31" t="s">
        <v>2</v>
      </c>
      <c r="J5" s="31" t="s">
        <v>8</v>
      </c>
      <c r="K5" s="28"/>
      <c r="L5" s="165"/>
      <c r="M5" s="139"/>
      <c r="N5" s="139"/>
      <c r="O5" s="139"/>
      <c r="P5" s="139"/>
      <c r="Q5" s="139"/>
      <c r="R5" s="141"/>
      <c r="S5" s="139"/>
      <c r="T5" s="144"/>
      <c r="U5" s="148"/>
      <c r="V5" s="150"/>
    </row>
    <row r="6" spans="1:22" hidden="1" x14ac:dyDescent="0.3">
      <c r="A6" s="61" t="s">
        <v>33</v>
      </c>
      <c r="B6" s="61">
        <v>8092</v>
      </c>
      <c r="C6" s="6" t="s">
        <v>45</v>
      </c>
      <c r="D6" s="7"/>
      <c r="E6" s="7"/>
      <c r="F6" s="7"/>
      <c r="G6" s="8"/>
      <c r="H6" s="9"/>
      <c r="I6" s="10">
        <f>SUM(L6:T6)</f>
        <v>0</v>
      </c>
      <c r="J6" s="10"/>
      <c r="K6" s="11"/>
      <c r="L6" s="10"/>
      <c r="M6" s="10"/>
      <c r="N6" s="10"/>
      <c r="O6" s="10"/>
      <c r="P6" s="10"/>
      <c r="Q6" s="10"/>
      <c r="R6" s="34"/>
      <c r="S6" s="42"/>
      <c r="T6" s="45"/>
      <c r="U6" s="50">
        <f t="shared" ref="U6:U36" si="2">SUM(L6:T6)</f>
        <v>0</v>
      </c>
      <c r="V6" s="26" t="str">
        <f t="shared" ref="V6:V67" si="3">IF(U6=I6,"OK","NG")</f>
        <v>OK</v>
      </c>
    </row>
    <row r="7" spans="1:22" hidden="1" x14ac:dyDescent="0.3">
      <c r="A7" s="62" t="s">
        <v>95</v>
      </c>
      <c r="B7" s="62">
        <v>8088</v>
      </c>
      <c r="C7" s="12" t="s">
        <v>46</v>
      </c>
      <c r="D7" s="53"/>
      <c r="E7" s="13"/>
      <c r="F7" s="13"/>
      <c r="G7" s="14"/>
      <c r="H7" s="15"/>
      <c r="I7" s="16">
        <f t="shared" ref="I7:I70" si="4">SUM(L7:T7)</f>
        <v>0</v>
      </c>
      <c r="J7" s="16"/>
      <c r="K7" s="11"/>
      <c r="L7" s="16"/>
      <c r="M7" s="16"/>
      <c r="N7" s="16"/>
      <c r="O7" s="16"/>
      <c r="P7" s="16"/>
      <c r="Q7" s="16"/>
      <c r="R7" s="35"/>
      <c r="S7" s="43"/>
      <c r="T7" s="46"/>
      <c r="U7" s="51">
        <f t="shared" si="2"/>
        <v>0</v>
      </c>
      <c r="V7" s="17" t="str">
        <f t="shared" si="3"/>
        <v>OK</v>
      </c>
    </row>
    <row r="8" spans="1:22" hidden="1" x14ac:dyDescent="0.3">
      <c r="A8" s="63" t="s">
        <v>96</v>
      </c>
      <c r="B8" s="63">
        <v>8081</v>
      </c>
      <c r="C8" s="18" t="s">
        <v>46</v>
      </c>
      <c r="D8" s="19"/>
      <c r="E8" s="19"/>
      <c r="F8" s="19"/>
      <c r="G8" s="20"/>
      <c r="H8" s="21"/>
      <c r="I8" s="22">
        <f t="shared" si="4"/>
        <v>0</v>
      </c>
      <c r="J8" s="22"/>
      <c r="K8" s="11"/>
      <c r="L8" s="22"/>
      <c r="M8" s="22"/>
      <c r="N8" s="22"/>
      <c r="O8" s="22"/>
      <c r="P8" s="22"/>
      <c r="Q8" s="22"/>
      <c r="R8" s="36"/>
      <c r="S8" s="44"/>
      <c r="T8" s="47"/>
      <c r="U8" s="52">
        <f t="shared" si="2"/>
        <v>0</v>
      </c>
      <c r="V8" s="23" t="str">
        <f t="shared" si="3"/>
        <v>OK</v>
      </c>
    </row>
    <row r="9" spans="1:22" hidden="1" x14ac:dyDescent="0.3">
      <c r="A9" s="62" t="s">
        <v>97</v>
      </c>
      <c r="B9" s="62">
        <v>18524</v>
      </c>
      <c r="C9" s="12" t="s">
        <v>46</v>
      </c>
      <c r="D9" s="53"/>
      <c r="E9" s="13"/>
      <c r="F9" s="13"/>
      <c r="G9" s="14"/>
      <c r="H9" s="15"/>
      <c r="I9" s="16">
        <f t="shared" si="4"/>
        <v>0</v>
      </c>
      <c r="J9" s="16"/>
      <c r="K9" s="11"/>
      <c r="L9" s="16"/>
      <c r="M9" s="16"/>
      <c r="N9" s="16"/>
      <c r="O9" s="16"/>
      <c r="P9" s="16"/>
      <c r="Q9" s="16"/>
      <c r="R9" s="35"/>
      <c r="S9" s="43"/>
      <c r="T9" s="46"/>
      <c r="U9" s="51">
        <f t="shared" si="2"/>
        <v>0</v>
      </c>
      <c r="V9" s="17" t="str">
        <f t="shared" si="3"/>
        <v>OK</v>
      </c>
    </row>
    <row r="10" spans="1:22" hidden="1" x14ac:dyDescent="0.3">
      <c r="A10" s="63" t="s">
        <v>34</v>
      </c>
      <c r="B10" s="63">
        <v>6234</v>
      </c>
      <c r="C10" s="18" t="s">
        <v>47</v>
      </c>
      <c r="D10" s="19"/>
      <c r="E10" s="19"/>
      <c r="F10" s="19"/>
      <c r="G10" s="20"/>
      <c r="H10" s="21"/>
      <c r="I10" s="22">
        <f t="shared" si="4"/>
        <v>0</v>
      </c>
      <c r="J10" s="22"/>
      <c r="K10" s="11"/>
      <c r="L10" s="22"/>
      <c r="M10" s="22"/>
      <c r="N10" s="22"/>
      <c r="O10" s="22"/>
      <c r="P10" s="22"/>
      <c r="Q10" s="22"/>
      <c r="R10" s="36"/>
      <c r="S10" s="44"/>
      <c r="T10" s="47"/>
      <c r="U10" s="52">
        <f t="shared" si="2"/>
        <v>0</v>
      </c>
      <c r="V10" s="23" t="str">
        <f t="shared" si="3"/>
        <v>OK</v>
      </c>
    </row>
    <row r="11" spans="1:22" hidden="1" x14ac:dyDescent="0.3">
      <c r="A11" s="62" t="s">
        <v>80</v>
      </c>
      <c r="B11" s="62">
        <v>14830</v>
      </c>
      <c r="C11" s="12" t="s">
        <v>47</v>
      </c>
      <c r="D11" s="53"/>
      <c r="E11" s="13"/>
      <c r="F11" s="13"/>
      <c r="G11" s="14"/>
      <c r="H11" s="15"/>
      <c r="I11" s="16">
        <f t="shared" si="4"/>
        <v>0</v>
      </c>
      <c r="J11" s="16"/>
      <c r="K11" s="11"/>
      <c r="L11" s="16"/>
      <c r="M11" s="16"/>
      <c r="N11" s="16"/>
      <c r="O11" s="16"/>
      <c r="P11" s="16"/>
      <c r="Q11" s="16"/>
      <c r="R11" s="35"/>
      <c r="S11" s="43"/>
      <c r="T11" s="46"/>
      <c r="U11" s="51">
        <f t="shared" si="2"/>
        <v>0</v>
      </c>
      <c r="V11" s="17" t="str">
        <f t="shared" si="3"/>
        <v>OK</v>
      </c>
    </row>
    <row r="12" spans="1:22" hidden="1" x14ac:dyDescent="0.3">
      <c r="A12" s="63" t="s">
        <v>35</v>
      </c>
      <c r="B12" s="63">
        <v>6004</v>
      </c>
      <c r="C12" s="18" t="s">
        <v>48</v>
      </c>
      <c r="D12" s="19"/>
      <c r="E12" s="19"/>
      <c r="F12" s="19"/>
      <c r="G12" s="20"/>
      <c r="H12" s="21"/>
      <c r="I12" s="22">
        <f t="shared" si="4"/>
        <v>0</v>
      </c>
      <c r="J12" s="22"/>
      <c r="K12" s="11"/>
      <c r="L12" s="22"/>
      <c r="M12" s="22"/>
      <c r="N12" s="22"/>
      <c r="O12" s="22"/>
      <c r="P12" s="22"/>
      <c r="Q12" s="22"/>
      <c r="R12" s="36"/>
      <c r="S12" s="44"/>
      <c r="T12" s="47"/>
      <c r="U12" s="52">
        <f t="shared" si="2"/>
        <v>0</v>
      </c>
      <c r="V12" s="23" t="str">
        <f t="shared" si="3"/>
        <v>OK</v>
      </c>
    </row>
    <row r="13" spans="1:22" hidden="1" x14ac:dyDescent="0.3">
      <c r="A13" s="62" t="s">
        <v>36</v>
      </c>
      <c r="B13" s="62">
        <v>11857</v>
      </c>
      <c r="C13" s="12" t="s">
        <v>48</v>
      </c>
      <c r="D13" s="53"/>
      <c r="E13" s="13"/>
      <c r="F13" s="13"/>
      <c r="G13" s="14"/>
      <c r="H13" s="15"/>
      <c r="I13" s="16">
        <f t="shared" si="4"/>
        <v>0</v>
      </c>
      <c r="J13" s="16"/>
      <c r="K13" s="11"/>
      <c r="L13" s="16"/>
      <c r="M13" s="16"/>
      <c r="N13" s="16"/>
      <c r="O13" s="16"/>
      <c r="P13" s="16"/>
      <c r="Q13" s="16"/>
      <c r="R13" s="35"/>
      <c r="S13" s="43"/>
      <c r="T13" s="46"/>
      <c r="U13" s="51">
        <f t="shared" si="2"/>
        <v>0</v>
      </c>
      <c r="V13" s="17" t="str">
        <f t="shared" si="3"/>
        <v>OK</v>
      </c>
    </row>
    <row r="14" spans="1:22" hidden="1" x14ac:dyDescent="0.3">
      <c r="A14" s="63" t="s">
        <v>82</v>
      </c>
      <c r="B14" s="63">
        <v>15004</v>
      </c>
      <c r="C14" s="18" t="s">
        <v>48</v>
      </c>
      <c r="D14" s="19"/>
      <c r="E14" s="19"/>
      <c r="F14" s="19"/>
      <c r="G14" s="20"/>
      <c r="H14" s="21"/>
      <c r="I14" s="22">
        <f t="shared" si="4"/>
        <v>0</v>
      </c>
      <c r="J14" s="22"/>
      <c r="K14" s="11"/>
      <c r="L14" s="22"/>
      <c r="M14" s="22"/>
      <c r="N14" s="22"/>
      <c r="O14" s="22"/>
      <c r="P14" s="22"/>
      <c r="Q14" s="22"/>
      <c r="R14" s="36"/>
      <c r="S14" s="44"/>
      <c r="T14" s="47"/>
      <c r="U14" s="52">
        <f t="shared" si="2"/>
        <v>0</v>
      </c>
      <c r="V14" s="23" t="str">
        <f t="shared" si="3"/>
        <v>OK</v>
      </c>
    </row>
    <row r="15" spans="1:22" hidden="1" x14ac:dyDescent="0.3">
      <c r="A15" s="62" t="s">
        <v>86</v>
      </c>
      <c r="B15" s="62">
        <v>15174</v>
      </c>
      <c r="C15" s="12" t="s">
        <v>45</v>
      </c>
      <c r="D15" s="53"/>
      <c r="E15" s="13"/>
      <c r="F15" s="13"/>
      <c r="G15" s="14"/>
      <c r="H15" s="15"/>
      <c r="I15" s="16">
        <f t="shared" si="4"/>
        <v>0</v>
      </c>
      <c r="J15" s="16"/>
      <c r="K15" s="11"/>
      <c r="L15" s="16"/>
      <c r="M15" s="16"/>
      <c r="N15" s="16"/>
      <c r="O15" s="16"/>
      <c r="P15" s="16"/>
      <c r="Q15" s="16"/>
      <c r="R15" s="35"/>
      <c r="S15" s="43"/>
      <c r="T15" s="46"/>
      <c r="U15" s="51">
        <f t="shared" si="2"/>
        <v>0</v>
      </c>
      <c r="V15" s="17" t="str">
        <f t="shared" si="3"/>
        <v>OK</v>
      </c>
    </row>
    <row r="16" spans="1:22" hidden="1" x14ac:dyDescent="0.3">
      <c r="A16" s="63" t="s">
        <v>87</v>
      </c>
      <c r="B16" s="63">
        <v>15520</v>
      </c>
      <c r="C16" s="18" t="s">
        <v>47</v>
      </c>
      <c r="D16" s="19"/>
      <c r="E16" s="19"/>
      <c r="F16" s="19"/>
      <c r="G16" s="20"/>
      <c r="H16" s="21"/>
      <c r="I16" s="22">
        <f t="shared" si="4"/>
        <v>0</v>
      </c>
      <c r="J16" s="22"/>
      <c r="K16" s="11"/>
      <c r="L16" s="22"/>
      <c r="M16" s="22"/>
      <c r="N16" s="22"/>
      <c r="O16" s="22"/>
      <c r="P16" s="22"/>
      <c r="Q16" s="22"/>
      <c r="R16" s="36"/>
      <c r="S16" s="44"/>
      <c r="T16" s="47"/>
      <c r="U16" s="52">
        <f t="shared" si="2"/>
        <v>0</v>
      </c>
      <c r="V16" s="23" t="str">
        <f t="shared" si="3"/>
        <v>OK</v>
      </c>
    </row>
    <row r="17" spans="1:22" x14ac:dyDescent="0.3">
      <c r="A17" s="62" t="s">
        <v>85</v>
      </c>
      <c r="B17" s="62">
        <v>14989</v>
      </c>
      <c r="C17" s="12" t="s">
        <v>45</v>
      </c>
      <c r="D17" s="53"/>
      <c r="E17" s="13"/>
      <c r="F17" s="13"/>
      <c r="G17" s="14"/>
      <c r="H17" s="15"/>
      <c r="I17" s="16">
        <f t="shared" si="4"/>
        <v>8</v>
      </c>
      <c r="J17" s="16"/>
      <c r="K17" s="11"/>
      <c r="L17" s="16"/>
      <c r="M17" s="16">
        <v>8</v>
      </c>
      <c r="N17" s="16"/>
      <c r="O17" s="16"/>
      <c r="P17" s="16"/>
      <c r="Q17" s="16"/>
      <c r="R17" s="35"/>
      <c r="S17" s="43"/>
      <c r="T17" s="46"/>
      <c r="U17" s="51">
        <f t="shared" si="2"/>
        <v>8</v>
      </c>
      <c r="V17" s="17" t="str">
        <f t="shared" si="3"/>
        <v>OK</v>
      </c>
    </row>
    <row r="18" spans="1:22" hidden="1" x14ac:dyDescent="0.3">
      <c r="A18" s="63" t="s">
        <v>84</v>
      </c>
      <c r="B18" s="63">
        <v>14984</v>
      </c>
      <c r="C18" s="18" t="s">
        <v>46</v>
      </c>
      <c r="D18" s="19"/>
      <c r="E18" s="19"/>
      <c r="F18" s="19"/>
      <c r="G18" s="20"/>
      <c r="H18" s="21"/>
      <c r="I18" s="22">
        <f t="shared" si="4"/>
        <v>0</v>
      </c>
      <c r="J18" s="22"/>
      <c r="K18" s="11"/>
      <c r="L18" s="22"/>
      <c r="M18" s="22"/>
      <c r="N18" s="22"/>
      <c r="O18" s="22"/>
      <c r="P18" s="22"/>
      <c r="Q18" s="22"/>
      <c r="R18" s="36"/>
      <c r="S18" s="44"/>
      <c r="T18" s="47"/>
      <c r="U18" s="52">
        <f t="shared" si="2"/>
        <v>0</v>
      </c>
      <c r="V18" s="23" t="str">
        <f t="shared" si="3"/>
        <v>OK</v>
      </c>
    </row>
    <row r="19" spans="1:22" hidden="1" x14ac:dyDescent="0.3">
      <c r="A19" s="62" t="s">
        <v>88</v>
      </c>
      <c r="B19" s="62">
        <v>16270</v>
      </c>
      <c r="C19" s="12" t="s">
        <v>89</v>
      </c>
      <c r="D19" s="53"/>
      <c r="E19" s="13"/>
      <c r="F19" s="13"/>
      <c r="G19" s="14"/>
      <c r="H19" s="15"/>
      <c r="I19" s="16">
        <f t="shared" si="4"/>
        <v>0</v>
      </c>
      <c r="J19" s="16"/>
      <c r="K19" s="11"/>
      <c r="L19" s="16"/>
      <c r="M19" s="16"/>
      <c r="N19" s="16"/>
      <c r="O19" s="16"/>
      <c r="P19" s="16"/>
      <c r="Q19" s="16"/>
      <c r="R19" s="35"/>
      <c r="S19" s="43"/>
      <c r="T19" s="46"/>
      <c r="U19" s="51">
        <f t="shared" si="2"/>
        <v>0</v>
      </c>
      <c r="V19" s="17" t="str">
        <f t="shared" si="3"/>
        <v>OK</v>
      </c>
    </row>
    <row r="20" spans="1:22" hidden="1" x14ac:dyDescent="0.3">
      <c r="A20" s="63" t="s">
        <v>98</v>
      </c>
      <c r="B20" s="63">
        <v>19060</v>
      </c>
      <c r="C20" s="18" t="s">
        <v>47</v>
      </c>
      <c r="D20" s="19"/>
      <c r="E20" s="19"/>
      <c r="F20" s="19"/>
      <c r="G20" s="20"/>
      <c r="H20" s="21"/>
      <c r="I20" s="22">
        <f t="shared" si="4"/>
        <v>0</v>
      </c>
      <c r="J20" s="22"/>
      <c r="K20" s="11"/>
      <c r="L20" s="22"/>
      <c r="M20" s="22"/>
      <c r="N20" s="22"/>
      <c r="O20" s="22"/>
      <c r="P20" s="22"/>
      <c r="Q20" s="22"/>
      <c r="R20" s="36"/>
      <c r="S20" s="44"/>
      <c r="T20" s="47"/>
      <c r="U20" s="52">
        <f t="shared" si="2"/>
        <v>0</v>
      </c>
      <c r="V20" s="23" t="str">
        <f t="shared" si="3"/>
        <v>OK</v>
      </c>
    </row>
    <row r="21" spans="1:22" hidden="1" x14ac:dyDescent="0.3">
      <c r="A21" s="62" t="s">
        <v>99</v>
      </c>
      <c r="B21" s="62">
        <v>18828</v>
      </c>
      <c r="C21" s="12" t="s">
        <v>94</v>
      </c>
      <c r="D21" s="53"/>
      <c r="E21" s="13"/>
      <c r="F21" s="13"/>
      <c r="G21" s="14"/>
      <c r="H21" s="15"/>
      <c r="I21" s="16">
        <f t="shared" si="4"/>
        <v>0</v>
      </c>
      <c r="J21" s="16"/>
      <c r="K21" s="11"/>
      <c r="L21" s="16"/>
      <c r="M21" s="16"/>
      <c r="N21" s="16"/>
      <c r="O21" s="16"/>
      <c r="P21" s="16"/>
      <c r="Q21" s="16"/>
      <c r="R21" s="35"/>
      <c r="S21" s="43"/>
      <c r="T21" s="46"/>
      <c r="U21" s="51">
        <f t="shared" si="2"/>
        <v>0</v>
      </c>
      <c r="V21" s="17" t="str">
        <f t="shared" si="3"/>
        <v>OK</v>
      </c>
    </row>
    <row r="22" spans="1:22" hidden="1" x14ac:dyDescent="0.3">
      <c r="A22" s="63" t="s">
        <v>23</v>
      </c>
      <c r="B22" s="63">
        <v>5695</v>
      </c>
      <c r="C22" s="18" t="s">
        <v>49</v>
      </c>
      <c r="D22" s="19"/>
      <c r="E22" s="19"/>
      <c r="F22" s="19"/>
      <c r="G22" s="20"/>
      <c r="H22" s="21"/>
      <c r="I22" s="22">
        <f t="shared" si="4"/>
        <v>0</v>
      </c>
      <c r="J22" s="22"/>
      <c r="K22" s="11"/>
      <c r="L22" s="22"/>
      <c r="M22" s="22"/>
      <c r="N22" s="22"/>
      <c r="O22" s="22"/>
      <c r="P22" s="22"/>
      <c r="Q22" s="22"/>
      <c r="R22" s="36"/>
      <c r="S22" s="44"/>
      <c r="T22" s="47"/>
      <c r="U22" s="52">
        <f t="shared" si="2"/>
        <v>0</v>
      </c>
      <c r="V22" s="23" t="str">
        <f t="shared" si="3"/>
        <v>OK</v>
      </c>
    </row>
    <row r="23" spans="1:22" hidden="1" x14ac:dyDescent="0.3">
      <c r="A23" s="62" t="s">
        <v>24</v>
      </c>
      <c r="B23" s="62">
        <v>5691</v>
      </c>
      <c r="C23" s="12" t="s">
        <v>50</v>
      </c>
      <c r="D23" s="53"/>
      <c r="E23" s="13"/>
      <c r="F23" s="13"/>
      <c r="G23" s="14"/>
      <c r="H23" s="15"/>
      <c r="I23" s="16">
        <f t="shared" si="4"/>
        <v>0</v>
      </c>
      <c r="J23" s="16"/>
      <c r="K23" s="11"/>
      <c r="L23" s="16"/>
      <c r="M23" s="16"/>
      <c r="N23" s="16"/>
      <c r="O23" s="16"/>
      <c r="P23" s="16"/>
      <c r="Q23" s="16"/>
      <c r="R23" s="35"/>
      <c r="S23" s="43"/>
      <c r="T23" s="46"/>
      <c r="U23" s="51">
        <f t="shared" si="2"/>
        <v>0</v>
      </c>
      <c r="V23" s="17" t="str">
        <f t="shared" si="3"/>
        <v>OK</v>
      </c>
    </row>
    <row r="24" spans="1:22" hidden="1" x14ac:dyDescent="0.3">
      <c r="A24" s="63" t="s">
        <v>37</v>
      </c>
      <c r="B24" s="63">
        <v>5687</v>
      </c>
      <c r="C24" s="18" t="s">
        <v>51</v>
      </c>
      <c r="D24" s="19"/>
      <c r="E24" s="19"/>
      <c r="F24" s="19"/>
      <c r="G24" s="20"/>
      <c r="H24" s="21"/>
      <c r="I24" s="22">
        <f t="shared" si="4"/>
        <v>0</v>
      </c>
      <c r="J24" s="22"/>
      <c r="K24" s="11"/>
      <c r="L24" s="22"/>
      <c r="M24" s="22"/>
      <c r="N24" s="22"/>
      <c r="O24" s="22"/>
      <c r="P24" s="22"/>
      <c r="Q24" s="22"/>
      <c r="R24" s="36"/>
      <c r="S24" s="44"/>
      <c r="T24" s="47"/>
      <c r="U24" s="52">
        <f t="shared" si="2"/>
        <v>0</v>
      </c>
      <c r="V24" s="23" t="str">
        <f t="shared" si="3"/>
        <v>OK</v>
      </c>
    </row>
    <row r="25" spans="1:22" hidden="1" x14ac:dyDescent="0.3">
      <c r="A25" s="62" t="s">
        <v>38</v>
      </c>
      <c r="B25" s="62">
        <v>5683</v>
      </c>
      <c r="C25" s="12" t="s">
        <v>51</v>
      </c>
      <c r="D25" s="53"/>
      <c r="E25" s="13"/>
      <c r="F25" s="13"/>
      <c r="G25" s="14"/>
      <c r="H25" s="15"/>
      <c r="I25" s="16">
        <f t="shared" si="4"/>
        <v>0</v>
      </c>
      <c r="J25" s="16"/>
      <c r="K25" s="11"/>
      <c r="L25" s="16"/>
      <c r="M25" s="16"/>
      <c r="N25" s="16"/>
      <c r="O25" s="16"/>
      <c r="P25" s="16"/>
      <c r="Q25" s="16"/>
      <c r="R25" s="35"/>
      <c r="S25" s="43"/>
      <c r="T25" s="46"/>
      <c r="U25" s="51">
        <f t="shared" si="2"/>
        <v>0</v>
      </c>
      <c r="V25" s="17" t="str">
        <f t="shared" si="3"/>
        <v>OK</v>
      </c>
    </row>
    <row r="26" spans="1:22" hidden="1" x14ac:dyDescent="0.3">
      <c r="A26" s="63" t="s">
        <v>25</v>
      </c>
      <c r="B26" s="63">
        <v>5679</v>
      </c>
      <c r="C26" s="18" t="s">
        <v>52</v>
      </c>
      <c r="D26" s="19"/>
      <c r="E26" s="19"/>
      <c r="F26" s="19"/>
      <c r="G26" s="20"/>
      <c r="H26" s="21"/>
      <c r="I26" s="22">
        <f t="shared" si="4"/>
        <v>0</v>
      </c>
      <c r="J26" s="22"/>
      <c r="K26" s="11"/>
      <c r="L26" s="22"/>
      <c r="M26" s="22"/>
      <c r="N26" s="22"/>
      <c r="O26" s="22"/>
      <c r="P26" s="22"/>
      <c r="Q26" s="22"/>
      <c r="R26" s="36"/>
      <c r="S26" s="44"/>
      <c r="T26" s="47"/>
      <c r="U26" s="52">
        <f t="shared" si="2"/>
        <v>0</v>
      </c>
      <c r="V26" s="23" t="str">
        <f t="shared" si="3"/>
        <v>OK</v>
      </c>
    </row>
    <row r="27" spans="1:22" hidden="1" x14ac:dyDescent="0.3">
      <c r="A27" s="62" t="s">
        <v>39</v>
      </c>
      <c r="B27" s="62">
        <v>5675</v>
      </c>
      <c r="C27" s="12" t="s">
        <v>53</v>
      </c>
      <c r="D27" s="53"/>
      <c r="E27" s="13"/>
      <c r="F27" s="13"/>
      <c r="G27" s="14"/>
      <c r="H27" s="15"/>
      <c r="I27" s="16">
        <f t="shared" si="4"/>
        <v>0</v>
      </c>
      <c r="J27" s="16"/>
      <c r="K27" s="11"/>
      <c r="L27" s="16"/>
      <c r="M27" s="16"/>
      <c r="N27" s="16"/>
      <c r="O27" s="16"/>
      <c r="P27" s="16"/>
      <c r="Q27" s="16"/>
      <c r="R27" s="35"/>
      <c r="S27" s="43"/>
      <c r="T27" s="46"/>
      <c r="U27" s="51">
        <f t="shared" si="2"/>
        <v>0</v>
      </c>
      <c r="V27" s="17" t="str">
        <f t="shared" si="3"/>
        <v>OK</v>
      </c>
    </row>
    <row r="28" spans="1:22" hidden="1" x14ac:dyDescent="0.3">
      <c r="A28" s="63" t="s">
        <v>26</v>
      </c>
      <c r="B28" s="63">
        <v>5671</v>
      </c>
      <c r="C28" s="18" t="s">
        <v>49</v>
      </c>
      <c r="D28" s="19"/>
      <c r="E28" s="19"/>
      <c r="F28" s="19"/>
      <c r="G28" s="20"/>
      <c r="H28" s="21"/>
      <c r="I28" s="22">
        <f t="shared" si="4"/>
        <v>0</v>
      </c>
      <c r="J28" s="22"/>
      <c r="K28" s="11"/>
      <c r="L28" s="22"/>
      <c r="M28" s="22"/>
      <c r="N28" s="22"/>
      <c r="O28" s="22"/>
      <c r="P28" s="22"/>
      <c r="Q28" s="22"/>
      <c r="R28" s="36"/>
      <c r="S28" s="44"/>
      <c r="T28" s="47"/>
      <c r="U28" s="52">
        <f t="shared" si="2"/>
        <v>0</v>
      </c>
      <c r="V28" s="23" t="str">
        <f t="shared" si="3"/>
        <v>OK</v>
      </c>
    </row>
    <row r="29" spans="1:22" hidden="1" x14ac:dyDescent="0.3">
      <c r="A29" s="62" t="s">
        <v>40</v>
      </c>
      <c r="B29" s="62">
        <v>5667</v>
      </c>
      <c r="C29" s="12" t="s">
        <v>50</v>
      </c>
      <c r="D29" s="53"/>
      <c r="E29" s="13"/>
      <c r="F29" s="13"/>
      <c r="G29" s="14"/>
      <c r="H29" s="15"/>
      <c r="I29" s="16">
        <f t="shared" si="4"/>
        <v>0</v>
      </c>
      <c r="J29" s="16"/>
      <c r="K29" s="11"/>
      <c r="L29" s="16"/>
      <c r="M29" s="16"/>
      <c r="N29" s="16"/>
      <c r="O29" s="16"/>
      <c r="P29" s="16"/>
      <c r="Q29" s="16"/>
      <c r="R29" s="35"/>
      <c r="S29" s="43"/>
      <c r="T29" s="46"/>
      <c r="U29" s="51">
        <f t="shared" si="2"/>
        <v>0</v>
      </c>
      <c r="V29" s="17" t="str">
        <f t="shared" si="3"/>
        <v>OK</v>
      </c>
    </row>
    <row r="30" spans="1:22" hidden="1" x14ac:dyDescent="0.3">
      <c r="A30" s="63" t="s">
        <v>41</v>
      </c>
      <c r="B30" s="63">
        <v>5663</v>
      </c>
      <c r="C30" s="18" t="s">
        <v>51</v>
      </c>
      <c r="D30" s="19"/>
      <c r="E30" s="19"/>
      <c r="F30" s="19"/>
      <c r="G30" s="20"/>
      <c r="H30" s="21"/>
      <c r="I30" s="22">
        <f t="shared" si="4"/>
        <v>0</v>
      </c>
      <c r="J30" s="22"/>
      <c r="K30" s="11"/>
      <c r="L30" s="22"/>
      <c r="M30" s="22"/>
      <c r="N30" s="22"/>
      <c r="O30" s="22"/>
      <c r="P30" s="22"/>
      <c r="Q30" s="22"/>
      <c r="R30" s="36"/>
      <c r="S30" s="44"/>
      <c r="T30" s="47"/>
      <c r="U30" s="52">
        <f t="shared" si="2"/>
        <v>0</v>
      </c>
      <c r="V30" s="23" t="str">
        <f t="shared" si="3"/>
        <v>OK</v>
      </c>
    </row>
    <row r="31" spans="1:22" hidden="1" x14ac:dyDescent="0.3">
      <c r="A31" s="62" t="s">
        <v>42</v>
      </c>
      <c r="B31" s="62">
        <v>5659</v>
      </c>
      <c r="C31" s="12" t="s">
        <v>52</v>
      </c>
      <c r="D31" s="53"/>
      <c r="E31" s="13"/>
      <c r="F31" s="13"/>
      <c r="G31" s="14"/>
      <c r="H31" s="15"/>
      <c r="I31" s="16">
        <f t="shared" si="4"/>
        <v>0</v>
      </c>
      <c r="J31" s="16"/>
      <c r="K31" s="11"/>
      <c r="L31" s="16"/>
      <c r="M31" s="16"/>
      <c r="N31" s="16"/>
      <c r="O31" s="16"/>
      <c r="P31" s="16"/>
      <c r="Q31" s="16"/>
      <c r="R31" s="35"/>
      <c r="S31" s="43"/>
      <c r="T31" s="46"/>
      <c r="U31" s="51">
        <f t="shared" si="2"/>
        <v>0</v>
      </c>
      <c r="V31" s="17" t="str">
        <f t="shared" si="3"/>
        <v>OK</v>
      </c>
    </row>
    <row r="32" spans="1:22" hidden="1" x14ac:dyDescent="0.3">
      <c r="A32" s="63" t="s">
        <v>27</v>
      </c>
      <c r="B32" s="63">
        <v>5655</v>
      </c>
      <c r="C32" s="18" t="s">
        <v>54</v>
      </c>
      <c r="D32" s="19"/>
      <c r="E32" s="19"/>
      <c r="F32" s="19"/>
      <c r="G32" s="20"/>
      <c r="H32" s="21"/>
      <c r="I32" s="22">
        <f t="shared" si="4"/>
        <v>0</v>
      </c>
      <c r="J32" s="22"/>
      <c r="K32" s="11"/>
      <c r="L32" s="22"/>
      <c r="M32" s="22"/>
      <c r="N32" s="22"/>
      <c r="O32" s="22"/>
      <c r="P32" s="22"/>
      <c r="Q32" s="22"/>
      <c r="R32" s="36"/>
      <c r="S32" s="44"/>
      <c r="T32" s="47"/>
      <c r="U32" s="52">
        <f t="shared" si="2"/>
        <v>0</v>
      </c>
      <c r="V32" s="23" t="str">
        <f t="shared" si="3"/>
        <v>OK</v>
      </c>
    </row>
    <row r="33" spans="1:22" hidden="1" x14ac:dyDescent="0.3">
      <c r="A33" s="62" t="s">
        <v>70</v>
      </c>
      <c r="B33" s="62">
        <v>5651</v>
      </c>
      <c r="C33" s="12" t="s">
        <v>55</v>
      </c>
      <c r="D33" s="53"/>
      <c r="E33" s="13"/>
      <c r="F33" s="13"/>
      <c r="G33" s="14"/>
      <c r="H33" s="15"/>
      <c r="I33" s="16">
        <f t="shared" si="4"/>
        <v>0</v>
      </c>
      <c r="J33" s="16"/>
      <c r="K33" s="11"/>
      <c r="L33" s="16"/>
      <c r="M33" s="16"/>
      <c r="N33" s="16"/>
      <c r="O33" s="16"/>
      <c r="P33" s="16"/>
      <c r="Q33" s="16"/>
      <c r="R33" s="35"/>
      <c r="S33" s="43"/>
      <c r="T33" s="46"/>
      <c r="U33" s="51">
        <f t="shared" si="2"/>
        <v>0</v>
      </c>
      <c r="V33" s="17" t="str">
        <f t="shared" si="3"/>
        <v>OK</v>
      </c>
    </row>
    <row r="34" spans="1:22" hidden="1" x14ac:dyDescent="0.3">
      <c r="A34" s="63" t="s">
        <v>71</v>
      </c>
      <c r="B34" s="63">
        <v>5643</v>
      </c>
      <c r="C34" s="18" t="s">
        <v>56</v>
      </c>
      <c r="D34" s="19"/>
      <c r="E34" s="19"/>
      <c r="F34" s="19"/>
      <c r="G34" s="20"/>
      <c r="H34" s="21"/>
      <c r="I34" s="22">
        <f t="shared" si="4"/>
        <v>0</v>
      </c>
      <c r="J34" s="22"/>
      <c r="K34" s="11"/>
      <c r="L34" s="22"/>
      <c r="M34" s="22"/>
      <c r="N34" s="22"/>
      <c r="O34" s="22"/>
      <c r="P34" s="22"/>
      <c r="Q34" s="22"/>
      <c r="R34" s="36"/>
      <c r="S34" s="44"/>
      <c r="T34" s="47"/>
      <c r="U34" s="52">
        <f t="shared" si="2"/>
        <v>0</v>
      </c>
      <c r="V34" s="23" t="str">
        <f t="shared" si="3"/>
        <v>OK</v>
      </c>
    </row>
    <row r="35" spans="1:22" hidden="1" x14ac:dyDescent="0.3">
      <c r="A35" s="62" t="s">
        <v>57</v>
      </c>
      <c r="B35" s="62">
        <v>11350</v>
      </c>
      <c r="C35" s="12" t="s">
        <v>56</v>
      </c>
      <c r="D35" s="53"/>
      <c r="E35" s="13"/>
      <c r="F35" s="13"/>
      <c r="G35" s="14"/>
      <c r="H35" s="15"/>
      <c r="I35" s="16">
        <f t="shared" si="4"/>
        <v>0</v>
      </c>
      <c r="J35" s="16"/>
      <c r="K35" s="11"/>
      <c r="L35" s="16"/>
      <c r="M35" s="16"/>
      <c r="N35" s="16"/>
      <c r="O35" s="16"/>
      <c r="P35" s="16"/>
      <c r="Q35" s="16"/>
      <c r="R35" s="35"/>
      <c r="S35" s="43"/>
      <c r="T35" s="46"/>
      <c r="U35" s="51">
        <f t="shared" si="2"/>
        <v>0</v>
      </c>
      <c r="V35" s="17" t="str">
        <f t="shared" si="3"/>
        <v>OK</v>
      </c>
    </row>
    <row r="36" spans="1:22" hidden="1" x14ac:dyDescent="0.3">
      <c r="A36" s="63" t="s">
        <v>72</v>
      </c>
      <c r="B36" s="63">
        <v>5635</v>
      </c>
      <c r="C36" s="18" t="s">
        <v>55</v>
      </c>
      <c r="D36" s="19"/>
      <c r="E36" s="19"/>
      <c r="F36" s="19"/>
      <c r="G36" s="20"/>
      <c r="H36" s="21"/>
      <c r="I36" s="22">
        <f t="shared" si="4"/>
        <v>0</v>
      </c>
      <c r="J36" s="22"/>
      <c r="K36" s="11"/>
      <c r="L36" s="22"/>
      <c r="M36" s="22"/>
      <c r="N36" s="22"/>
      <c r="O36" s="22"/>
      <c r="P36" s="22"/>
      <c r="Q36" s="22"/>
      <c r="R36" s="36"/>
      <c r="S36" s="44"/>
      <c r="T36" s="47"/>
      <c r="U36" s="52">
        <f t="shared" si="2"/>
        <v>0</v>
      </c>
      <c r="V36" s="23" t="str">
        <f t="shared" si="3"/>
        <v>OK</v>
      </c>
    </row>
    <row r="37" spans="1:22" hidden="1" x14ac:dyDescent="0.3">
      <c r="A37" s="62" t="s">
        <v>58</v>
      </c>
      <c r="B37" s="62">
        <v>11349</v>
      </c>
      <c r="C37" s="12" t="s">
        <v>55</v>
      </c>
      <c r="D37" s="53"/>
      <c r="E37" s="13"/>
      <c r="F37" s="13"/>
      <c r="G37" s="14"/>
      <c r="H37" s="15"/>
      <c r="I37" s="16">
        <f t="shared" si="4"/>
        <v>0</v>
      </c>
      <c r="J37" s="16"/>
      <c r="K37" s="11"/>
      <c r="L37" s="16"/>
      <c r="M37" s="16"/>
      <c r="N37" s="16"/>
      <c r="O37" s="16"/>
      <c r="P37" s="16"/>
      <c r="Q37" s="16"/>
      <c r="R37" s="35"/>
      <c r="S37" s="43"/>
      <c r="T37" s="46"/>
      <c r="U37" s="51">
        <f t="shared" ref="U37:U55" si="5">SUM(L37:T37)</f>
        <v>0</v>
      </c>
      <c r="V37" s="17" t="str">
        <f t="shared" si="3"/>
        <v>OK</v>
      </c>
    </row>
    <row r="38" spans="1:22" x14ac:dyDescent="0.3">
      <c r="A38" s="63" t="s">
        <v>73</v>
      </c>
      <c r="B38" s="63">
        <v>5627</v>
      </c>
      <c r="C38" s="18" t="s">
        <v>56</v>
      </c>
      <c r="D38" s="19"/>
      <c r="E38" s="19"/>
      <c r="F38" s="19"/>
      <c r="G38" s="20"/>
      <c r="H38" s="21"/>
      <c r="I38" s="22">
        <f t="shared" si="4"/>
        <v>16</v>
      </c>
      <c r="J38" s="22"/>
      <c r="K38" s="11"/>
      <c r="L38" s="22"/>
      <c r="M38" s="22">
        <v>16</v>
      </c>
      <c r="N38" s="22"/>
      <c r="O38" s="22"/>
      <c r="P38" s="22"/>
      <c r="Q38" s="22"/>
      <c r="R38" s="36"/>
      <c r="S38" s="44"/>
      <c r="T38" s="47"/>
      <c r="U38" s="52">
        <f t="shared" si="5"/>
        <v>16</v>
      </c>
      <c r="V38" s="23" t="str">
        <f t="shared" si="3"/>
        <v>OK</v>
      </c>
    </row>
    <row r="39" spans="1:22" ht="17.25" thickBot="1" x14ac:dyDescent="0.35">
      <c r="A39" s="62" t="s">
        <v>59</v>
      </c>
      <c r="B39" s="62">
        <v>11348</v>
      </c>
      <c r="C39" s="12" t="s">
        <v>56</v>
      </c>
      <c r="D39" s="53"/>
      <c r="E39" s="13"/>
      <c r="F39" s="13"/>
      <c r="G39" s="14"/>
      <c r="H39" s="15"/>
      <c r="I39" s="16">
        <f t="shared" si="4"/>
        <v>8</v>
      </c>
      <c r="J39" s="16"/>
      <c r="K39" s="11"/>
      <c r="L39" s="16"/>
      <c r="M39" s="16">
        <v>8</v>
      </c>
      <c r="N39" s="16"/>
      <c r="O39" s="16"/>
      <c r="P39" s="16"/>
      <c r="Q39" s="16"/>
      <c r="R39" s="35"/>
      <c r="S39" s="43"/>
      <c r="T39" s="46"/>
      <c r="U39" s="51">
        <f t="shared" si="5"/>
        <v>8</v>
      </c>
      <c r="V39" s="17" t="str">
        <f t="shared" si="3"/>
        <v>OK</v>
      </c>
    </row>
    <row r="40" spans="1:22" ht="17.25" hidden="1" thickBot="1" x14ac:dyDescent="0.35">
      <c r="A40" s="63" t="s">
        <v>74</v>
      </c>
      <c r="B40" s="63">
        <v>5619</v>
      </c>
      <c r="C40" s="18" t="s">
        <v>60</v>
      </c>
      <c r="D40" s="19"/>
      <c r="E40" s="19"/>
      <c r="F40" s="19"/>
      <c r="G40" s="20"/>
      <c r="H40" s="21"/>
      <c r="I40" s="22">
        <f t="shared" si="4"/>
        <v>0</v>
      </c>
      <c r="J40" s="22"/>
      <c r="K40" s="11"/>
      <c r="L40" s="22"/>
      <c r="M40" s="22"/>
      <c r="N40" s="22"/>
      <c r="O40" s="22"/>
      <c r="P40" s="22"/>
      <c r="Q40" s="22"/>
      <c r="R40" s="36"/>
      <c r="S40" s="44"/>
      <c r="T40" s="47"/>
      <c r="U40" s="52">
        <f t="shared" si="5"/>
        <v>0</v>
      </c>
      <c r="V40" s="23" t="str">
        <f t="shared" si="3"/>
        <v>OK</v>
      </c>
    </row>
    <row r="41" spans="1:22" ht="17.25" hidden="1" thickBot="1" x14ac:dyDescent="0.35">
      <c r="A41" s="64" t="s">
        <v>61</v>
      </c>
      <c r="B41" s="62">
        <v>11347</v>
      </c>
      <c r="C41" s="12" t="s">
        <v>60</v>
      </c>
      <c r="D41" s="53"/>
      <c r="E41" s="13"/>
      <c r="F41" s="13"/>
      <c r="G41" s="14"/>
      <c r="H41" s="15"/>
      <c r="I41" s="16">
        <f t="shared" si="4"/>
        <v>0</v>
      </c>
      <c r="J41" s="16"/>
      <c r="K41" s="11"/>
      <c r="L41" s="16"/>
      <c r="M41" s="16"/>
      <c r="N41" s="16"/>
      <c r="O41" s="16"/>
      <c r="P41" s="16"/>
      <c r="Q41" s="16"/>
      <c r="R41" s="35"/>
      <c r="S41" s="43"/>
      <c r="T41" s="46"/>
      <c r="U41" s="51">
        <f t="shared" si="5"/>
        <v>0</v>
      </c>
      <c r="V41" s="17" t="str">
        <f t="shared" si="3"/>
        <v>OK</v>
      </c>
    </row>
    <row r="42" spans="1:22" ht="17.25" hidden="1" thickBot="1" x14ac:dyDescent="0.35">
      <c r="A42" s="54" t="s">
        <v>75</v>
      </c>
      <c r="B42" s="63">
        <v>5611</v>
      </c>
      <c r="C42" s="18" t="s">
        <v>62</v>
      </c>
      <c r="D42" s="19"/>
      <c r="E42" s="19"/>
      <c r="F42" s="19"/>
      <c r="G42" s="20"/>
      <c r="H42" s="21"/>
      <c r="I42" s="22">
        <f t="shared" si="4"/>
        <v>0</v>
      </c>
      <c r="J42" s="22"/>
      <c r="K42" s="11"/>
      <c r="L42" s="22"/>
      <c r="M42" s="22"/>
      <c r="N42" s="22"/>
      <c r="O42" s="22"/>
      <c r="P42" s="22"/>
      <c r="Q42" s="22"/>
      <c r="R42" s="36"/>
      <c r="S42" s="44"/>
      <c r="T42" s="47"/>
      <c r="U42" s="52">
        <f t="shared" si="5"/>
        <v>0</v>
      </c>
      <c r="V42" s="23" t="str">
        <f t="shared" si="3"/>
        <v>OK</v>
      </c>
    </row>
    <row r="43" spans="1:22" ht="17.25" hidden="1" thickBot="1" x14ac:dyDescent="0.35">
      <c r="A43" s="12" t="s">
        <v>63</v>
      </c>
      <c r="B43" s="62">
        <v>11336</v>
      </c>
      <c r="C43" s="12" t="s">
        <v>62</v>
      </c>
      <c r="D43" s="53"/>
      <c r="E43" s="13"/>
      <c r="F43" s="13"/>
      <c r="G43" s="14"/>
      <c r="H43" s="15"/>
      <c r="I43" s="16">
        <f t="shared" si="4"/>
        <v>0</v>
      </c>
      <c r="J43" s="16"/>
      <c r="K43" s="11"/>
      <c r="L43" s="16"/>
      <c r="M43" s="16"/>
      <c r="N43" s="16"/>
      <c r="O43" s="16"/>
      <c r="P43" s="16"/>
      <c r="Q43" s="16"/>
      <c r="R43" s="35"/>
      <c r="S43" s="43"/>
      <c r="T43" s="46"/>
      <c r="U43" s="51">
        <f t="shared" si="5"/>
        <v>0</v>
      </c>
      <c r="V43" s="17" t="str">
        <f t="shared" si="3"/>
        <v>OK</v>
      </c>
    </row>
    <row r="44" spans="1:22" ht="17.25" hidden="1" thickBot="1" x14ac:dyDescent="0.35">
      <c r="A44" s="54" t="s">
        <v>100</v>
      </c>
      <c r="B44" s="63">
        <v>14860</v>
      </c>
      <c r="C44" s="18" t="s">
        <v>56</v>
      </c>
      <c r="D44" s="19"/>
      <c r="E44" s="19"/>
      <c r="F44" s="19"/>
      <c r="G44" s="20"/>
      <c r="H44" s="21"/>
      <c r="I44" s="22">
        <f t="shared" si="4"/>
        <v>0</v>
      </c>
      <c r="J44" s="22"/>
      <c r="K44" s="11"/>
      <c r="L44" s="22"/>
      <c r="M44" s="22"/>
      <c r="N44" s="22"/>
      <c r="O44" s="22"/>
      <c r="P44" s="22"/>
      <c r="Q44" s="22"/>
      <c r="R44" s="36"/>
      <c r="S44" s="44"/>
      <c r="T44" s="47"/>
      <c r="U44" s="52">
        <f t="shared" si="5"/>
        <v>0</v>
      </c>
      <c r="V44" s="23" t="str">
        <f t="shared" si="3"/>
        <v>OK</v>
      </c>
    </row>
    <row r="45" spans="1:22" ht="17.25" hidden="1" thickBot="1" x14ac:dyDescent="0.35">
      <c r="A45" s="64" t="s">
        <v>83</v>
      </c>
      <c r="B45" s="62">
        <v>14861</v>
      </c>
      <c r="C45" s="12" t="s">
        <v>56</v>
      </c>
      <c r="D45" s="53"/>
      <c r="E45" s="13"/>
      <c r="F45" s="13"/>
      <c r="G45" s="14"/>
      <c r="H45" s="15"/>
      <c r="I45" s="16">
        <f t="shared" si="4"/>
        <v>0</v>
      </c>
      <c r="J45" s="16"/>
      <c r="K45" s="11"/>
      <c r="L45" s="16"/>
      <c r="M45" s="16"/>
      <c r="N45" s="16"/>
      <c r="O45" s="16"/>
      <c r="P45" s="16"/>
      <c r="Q45" s="16"/>
      <c r="R45" s="35"/>
      <c r="S45" s="43"/>
      <c r="T45" s="46"/>
      <c r="U45" s="51">
        <f t="shared" si="5"/>
        <v>0</v>
      </c>
      <c r="V45" s="17" t="str">
        <f t="shared" si="3"/>
        <v>OK</v>
      </c>
    </row>
    <row r="46" spans="1:22" ht="17.25" hidden="1" thickBot="1" x14ac:dyDescent="0.35">
      <c r="A46" s="54" t="s">
        <v>101</v>
      </c>
      <c r="B46" s="63">
        <v>15096</v>
      </c>
      <c r="C46" s="18" t="s">
        <v>56</v>
      </c>
      <c r="D46" s="19"/>
      <c r="E46" s="19"/>
      <c r="F46" s="19"/>
      <c r="G46" s="20"/>
      <c r="H46" s="21"/>
      <c r="I46" s="22">
        <f t="shared" si="4"/>
        <v>0</v>
      </c>
      <c r="J46" s="22"/>
      <c r="K46" s="11"/>
      <c r="L46" s="22"/>
      <c r="M46" s="22"/>
      <c r="N46" s="22"/>
      <c r="O46" s="22"/>
      <c r="P46" s="22"/>
      <c r="Q46" s="22"/>
      <c r="R46" s="36"/>
      <c r="S46" s="44"/>
      <c r="T46" s="47"/>
      <c r="U46" s="52">
        <f t="shared" si="5"/>
        <v>0</v>
      </c>
      <c r="V46" s="23" t="str">
        <f t="shared" si="3"/>
        <v>OK</v>
      </c>
    </row>
    <row r="47" spans="1:22" ht="17.25" hidden="1" thickBot="1" x14ac:dyDescent="0.35">
      <c r="A47" s="12" t="s">
        <v>81</v>
      </c>
      <c r="B47" s="62">
        <v>15097</v>
      </c>
      <c r="C47" s="12" t="s">
        <v>56</v>
      </c>
      <c r="D47" s="53"/>
      <c r="E47" s="13"/>
      <c r="F47" s="13"/>
      <c r="G47" s="14"/>
      <c r="H47" s="15"/>
      <c r="I47" s="16">
        <f t="shared" si="4"/>
        <v>0</v>
      </c>
      <c r="J47" s="16"/>
      <c r="K47" s="11"/>
      <c r="L47" s="16"/>
      <c r="M47" s="16"/>
      <c r="N47" s="16"/>
      <c r="O47" s="16"/>
      <c r="P47" s="16"/>
      <c r="Q47" s="16"/>
      <c r="R47" s="35"/>
      <c r="S47" s="43"/>
      <c r="T47" s="46"/>
      <c r="U47" s="51">
        <f t="shared" si="5"/>
        <v>0</v>
      </c>
      <c r="V47" s="17" t="str">
        <f t="shared" si="3"/>
        <v>OK</v>
      </c>
    </row>
    <row r="48" spans="1:22" ht="17.25" hidden="1" thickBot="1" x14ac:dyDescent="0.35">
      <c r="A48" s="54" t="s">
        <v>76</v>
      </c>
      <c r="B48" s="63">
        <v>5585</v>
      </c>
      <c r="C48" s="18" t="s">
        <v>64</v>
      </c>
      <c r="D48" s="19"/>
      <c r="E48" s="19"/>
      <c r="F48" s="19"/>
      <c r="G48" s="20"/>
      <c r="H48" s="21"/>
      <c r="I48" s="22">
        <f t="shared" si="4"/>
        <v>0</v>
      </c>
      <c r="J48" s="22"/>
      <c r="K48" s="11"/>
      <c r="L48" s="22"/>
      <c r="M48" s="22"/>
      <c r="N48" s="22"/>
      <c r="O48" s="22"/>
      <c r="P48" s="22"/>
      <c r="Q48" s="22"/>
      <c r="R48" s="36"/>
      <c r="S48" s="44"/>
      <c r="T48" s="47"/>
      <c r="U48" s="52">
        <f t="shared" si="5"/>
        <v>0</v>
      </c>
      <c r="V48" s="23" t="str">
        <f t="shared" si="3"/>
        <v>OK</v>
      </c>
    </row>
    <row r="49" spans="1:22" ht="17.25" hidden="1" thickBot="1" x14ac:dyDescent="0.35">
      <c r="A49" s="12" t="s">
        <v>65</v>
      </c>
      <c r="B49" s="62">
        <v>11351</v>
      </c>
      <c r="C49" s="12" t="s">
        <v>64</v>
      </c>
      <c r="D49" s="53"/>
      <c r="E49" s="13"/>
      <c r="F49" s="13"/>
      <c r="G49" s="14"/>
      <c r="H49" s="15"/>
      <c r="I49" s="16">
        <f t="shared" si="4"/>
        <v>0</v>
      </c>
      <c r="J49" s="16"/>
      <c r="K49" s="11"/>
      <c r="L49" s="16"/>
      <c r="M49" s="16"/>
      <c r="N49" s="16"/>
      <c r="O49" s="16"/>
      <c r="P49" s="16"/>
      <c r="Q49" s="16"/>
      <c r="R49" s="35"/>
      <c r="S49" s="43"/>
      <c r="T49" s="46"/>
      <c r="U49" s="51">
        <f t="shared" si="5"/>
        <v>0</v>
      </c>
      <c r="V49" s="17" t="str">
        <f t="shared" si="3"/>
        <v>OK</v>
      </c>
    </row>
    <row r="50" spans="1:22" ht="17.25" hidden="1" thickBot="1" x14ac:dyDescent="0.35">
      <c r="A50" s="54" t="s">
        <v>66</v>
      </c>
      <c r="B50" s="63">
        <v>11352</v>
      </c>
      <c r="C50" s="18" t="s">
        <v>64</v>
      </c>
      <c r="D50" s="19"/>
      <c r="E50" s="19"/>
      <c r="F50" s="19"/>
      <c r="G50" s="20"/>
      <c r="H50" s="21"/>
      <c r="I50" s="22">
        <f t="shared" si="4"/>
        <v>0</v>
      </c>
      <c r="J50" s="22"/>
      <c r="K50" s="11"/>
      <c r="L50" s="22"/>
      <c r="M50" s="22"/>
      <c r="N50" s="22"/>
      <c r="O50" s="22"/>
      <c r="P50" s="22"/>
      <c r="Q50" s="22"/>
      <c r="R50" s="36"/>
      <c r="S50" s="44"/>
      <c r="T50" s="47"/>
      <c r="U50" s="52">
        <f t="shared" si="5"/>
        <v>0</v>
      </c>
      <c r="V50" s="23" t="str">
        <f t="shared" si="3"/>
        <v>OK</v>
      </c>
    </row>
    <row r="51" spans="1:22" ht="17.25" hidden="1" thickBot="1" x14ac:dyDescent="0.35">
      <c r="A51" s="90" t="s">
        <v>102</v>
      </c>
      <c r="B51" s="76">
        <v>13515</v>
      </c>
      <c r="C51" s="70" t="s">
        <v>78</v>
      </c>
      <c r="D51" s="70"/>
      <c r="E51" s="70"/>
      <c r="F51" s="70"/>
      <c r="G51" s="91"/>
      <c r="H51" s="82"/>
      <c r="I51" s="82">
        <f t="shared" si="4"/>
        <v>0</v>
      </c>
      <c r="J51" s="74"/>
      <c r="K51" s="11"/>
      <c r="L51" s="16"/>
      <c r="M51" s="16"/>
      <c r="N51" s="16"/>
      <c r="O51" s="16"/>
      <c r="P51" s="16"/>
      <c r="Q51" s="16"/>
      <c r="R51" s="35"/>
      <c r="S51" s="43"/>
      <c r="T51" s="46"/>
      <c r="U51" s="75">
        <f t="shared" si="5"/>
        <v>0</v>
      </c>
      <c r="V51" s="93" t="str">
        <f t="shared" si="3"/>
        <v>OK</v>
      </c>
    </row>
    <row r="52" spans="1:22" ht="17.25" hidden="1" thickBot="1" x14ac:dyDescent="0.35">
      <c r="A52" s="54" t="s">
        <v>103</v>
      </c>
      <c r="B52" s="63">
        <v>13516</v>
      </c>
      <c r="C52" s="18" t="s">
        <v>78</v>
      </c>
      <c r="D52" s="18"/>
      <c r="E52" s="18"/>
      <c r="F52" s="18"/>
      <c r="G52" s="92"/>
      <c r="H52" s="22"/>
      <c r="I52" s="22">
        <f t="shared" si="4"/>
        <v>0</v>
      </c>
      <c r="J52" s="69"/>
      <c r="K52" s="11"/>
      <c r="L52" s="22"/>
      <c r="M52" s="22"/>
      <c r="N52" s="22"/>
      <c r="O52" s="22"/>
      <c r="P52" s="22"/>
      <c r="Q52" s="22"/>
      <c r="R52" s="36"/>
      <c r="S52" s="44"/>
      <c r="T52" s="47"/>
      <c r="U52" s="52">
        <f t="shared" si="5"/>
        <v>0</v>
      </c>
      <c r="V52" s="23" t="str">
        <f t="shared" si="3"/>
        <v>OK</v>
      </c>
    </row>
    <row r="53" spans="1:22" ht="17.25" hidden="1" thickBot="1" x14ac:dyDescent="0.35">
      <c r="A53" s="90" t="s">
        <v>104</v>
      </c>
      <c r="B53" s="76">
        <v>13468</v>
      </c>
      <c r="C53" s="70" t="s">
        <v>78</v>
      </c>
      <c r="D53" s="70"/>
      <c r="E53" s="70"/>
      <c r="F53" s="70"/>
      <c r="G53" s="91"/>
      <c r="H53" s="82"/>
      <c r="I53" s="82">
        <f t="shared" si="4"/>
        <v>0</v>
      </c>
      <c r="J53" s="74"/>
      <c r="K53" s="11"/>
      <c r="L53" s="16"/>
      <c r="M53" s="16"/>
      <c r="N53" s="16"/>
      <c r="O53" s="16"/>
      <c r="P53" s="16"/>
      <c r="Q53" s="16"/>
      <c r="R53" s="35"/>
      <c r="S53" s="43"/>
      <c r="T53" s="46"/>
      <c r="U53" s="75">
        <f t="shared" si="5"/>
        <v>0</v>
      </c>
      <c r="V53" s="93" t="str">
        <f t="shared" si="3"/>
        <v>OK</v>
      </c>
    </row>
    <row r="54" spans="1:22" ht="17.25" hidden="1" thickBot="1" x14ac:dyDescent="0.35">
      <c r="A54" s="54" t="s">
        <v>79</v>
      </c>
      <c r="B54" s="63">
        <v>13469</v>
      </c>
      <c r="C54" s="18" t="s">
        <v>78</v>
      </c>
      <c r="D54" s="18"/>
      <c r="E54" s="18"/>
      <c r="F54" s="18"/>
      <c r="G54" s="92"/>
      <c r="H54" s="22"/>
      <c r="I54" s="22">
        <f t="shared" si="4"/>
        <v>0</v>
      </c>
      <c r="J54" s="69"/>
      <c r="K54" s="11"/>
      <c r="L54" s="22"/>
      <c r="M54" s="22"/>
      <c r="N54" s="22"/>
      <c r="O54" s="22"/>
      <c r="P54" s="22"/>
      <c r="Q54" s="22"/>
      <c r="R54" s="36"/>
      <c r="S54" s="44"/>
      <c r="T54" s="47"/>
      <c r="U54" s="52">
        <f t="shared" si="5"/>
        <v>0</v>
      </c>
      <c r="V54" s="23" t="str">
        <f t="shared" si="3"/>
        <v>OK</v>
      </c>
    </row>
    <row r="55" spans="1:22" ht="17.25" hidden="1" thickBot="1" x14ac:dyDescent="0.35">
      <c r="A55" s="90" t="s">
        <v>43</v>
      </c>
      <c r="B55" s="76">
        <v>11820</v>
      </c>
      <c r="C55" s="70" t="s">
        <v>67</v>
      </c>
      <c r="D55" s="70"/>
      <c r="E55" s="70"/>
      <c r="F55" s="70"/>
      <c r="G55" s="91"/>
      <c r="H55" s="82"/>
      <c r="I55" s="82">
        <f t="shared" si="4"/>
        <v>0</v>
      </c>
      <c r="J55" s="74"/>
      <c r="K55" s="11"/>
      <c r="L55" s="16"/>
      <c r="M55" s="16"/>
      <c r="N55" s="16"/>
      <c r="O55" s="16"/>
      <c r="P55" s="16"/>
      <c r="Q55" s="16"/>
      <c r="R55" s="35"/>
      <c r="S55" s="43"/>
      <c r="T55" s="46"/>
      <c r="U55" s="75">
        <f t="shared" si="5"/>
        <v>0</v>
      </c>
      <c r="V55" s="93" t="str">
        <f t="shared" si="3"/>
        <v>OK</v>
      </c>
    </row>
    <row r="56" spans="1:22" ht="17.25" hidden="1" thickBot="1" x14ac:dyDescent="0.35">
      <c r="A56" s="54" t="s">
        <v>44</v>
      </c>
      <c r="B56" s="63">
        <v>11816</v>
      </c>
      <c r="C56" s="18" t="s">
        <v>67</v>
      </c>
      <c r="D56" s="18"/>
      <c r="E56" s="18"/>
      <c r="F56" s="18"/>
      <c r="G56" s="92"/>
      <c r="H56" s="22"/>
      <c r="I56" s="22">
        <f t="shared" si="4"/>
        <v>0</v>
      </c>
      <c r="J56" s="69"/>
      <c r="K56" s="11"/>
      <c r="L56" s="22"/>
      <c r="M56" s="22"/>
      <c r="N56" s="22"/>
      <c r="O56" s="22"/>
      <c r="P56" s="22"/>
      <c r="Q56" s="22"/>
      <c r="R56" s="36"/>
      <c r="S56" s="44"/>
      <c r="T56" s="47"/>
      <c r="U56" s="52">
        <f>SUM(L56:T56)</f>
        <v>0</v>
      </c>
      <c r="V56" s="23" t="str">
        <f t="shared" si="3"/>
        <v>OK</v>
      </c>
    </row>
    <row r="57" spans="1:22" ht="17.25" hidden="1" thickBot="1" x14ac:dyDescent="0.35">
      <c r="A57" s="76" t="s">
        <v>77</v>
      </c>
      <c r="B57" s="76">
        <v>11381</v>
      </c>
      <c r="C57" s="77" t="s">
        <v>68</v>
      </c>
      <c r="D57" s="70"/>
      <c r="E57" s="70"/>
      <c r="F57" s="70"/>
      <c r="G57" s="91"/>
      <c r="H57" s="82"/>
      <c r="I57" s="82">
        <f t="shared" si="4"/>
        <v>0</v>
      </c>
      <c r="J57" s="74"/>
      <c r="K57" s="11"/>
      <c r="L57" s="16"/>
      <c r="M57" s="16"/>
      <c r="N57" s="16"/>
      <c r="O57" s="16"/>
      <c r="P57" s="16"/>
      <c r="Q57" s="16"/>
      <c r="R57" s="35"/>
      <c r="S57" s="43"/>
      <c r="T57" s="46"/>
      <c r="U57" s="75">
        <f>SUM(L57:T57)</f>
        <v>0</v>
      </c>
      <c r="V57" s="93" t="str">
        <f t="shared" si="3"/>
        <v>OK</v>
      </c>
    </row>
    <row r="58" spans="1:22" ht="17.25" hidden="1" thickBot="1" x14ac:dyDescent="0.35">
      <c r="A58" s="54" t="s">
        <v>69</v>
      </c>
      <c r="B58" s="63">
        <v>11382</v>
      </c>
      <c r="C58" s="18" t="s">
        <v>68</v>
      </c>
      <c r="D58" s="18"/>
      <c r="E58" s="18"/>
      <c r="F58" s="18"/>
      <c r="G58" s="92"/>
      <c r="H58" s="22"/>
      <c r="I58" s="22">
        <f t="shared" si="4"/>
        <v>0</v>
      </c>
      <c r="J58" s="69"/>
      <c r="K58" s="11"/>
      <c r="L58" s="22"/>
      <c r="M58" s="22"/>
      <c r="N58" s="22"/>
      <c r="O58" s="22"/>
      <c r="P58" s="22"/>
      <c r="Q58" s="22"/>
      <c r="R58" s="36"/>
      <c r="S58" s="44"/>
      <c r="T58" s="47"/>
      <c r="U58" s="52">
        <f>SUM(L58:T58)</f>
        <v>0</v>
      </c>
      <c r="V58" s="23" t="str">
        <f t="shared" si="3"/>
        <v>OK</v>
      </c>
    </row>
    <row r="59" spans="1:22" ht="17.25" hidden="1" thickBot="1" x14ac:dyDescent="0.35">
      <c r="A59" s="96" t="s">
        <v>105</v>
      </c>
      <c r="B59" s="76">
        <v>16586</v>
      </c>
      <c r="C59" s="70" t="s">
        <v>78</v>
      </c>
      <c r="D59" s="70"/>
      <c r="E59" s="70"/>
      <c r="F59" s="70"/>
      <c r="G59" s="91"/>
      <c r="H59" s="82"/>
      <c r="I59" s="82">
        <f t="shared" si="4"/>
        <v>0</v>
      </c>
      <c r="J59" s="74"/>
      <c r="K59" s="11"/>
      <c r="L59" s="16"/>
      <c r="M59" s="16"/>
      <c r="N59" s="16"/>
      <c r="O59" s="16"/>
      <c r="P59" s="16"/>
      <c r="Q59" s="16"/>
      <c r="R59" s="35"/>
      <c r="S59" s="43"/>
      <c r="T59" s="46"/>
      <c r="U59" s="75">
        <f t="shared" ref="U59:U69" si="6">SUM(L59:T59)</f>
        <v>0</v>
      </c>
      <c r="V59" s="93" t="str">
        <f t="shared" si="3"/>
        <v>OK</v>
      </c>
    </row>
    <row r="60" spans="1:22" ht="17.25" hidden="1" thickBot="1" x14ac:dyDescent="0.35">
      <c r="A60" s="54" t="s">
        <v>90</v>
      </c>
      <c r="B60" s="63">
        <v>16587</v>
      </c>
      <c r="C60" s="18" t="s">
        <v>78</v>
      </c>
      <c r="D60" s="18"/>
      <c r="E60" s="18"/>
      <c r="F60" s="18"/>
      <c r="G60" s="92"/>
      <c r="H60" s="22"/>
      <c r="I60" s="22">
        <f t="shared" si="4"/>
        <v>0</v>
      </c>
      <c r="J60" s="69"/>
      <c r="K60" s="11"/>
      <c r="L60" s="22"/>
      <c r="M60" s="22"/>
      <c r="N60" s="22"/>
      <c r="O60" s="22"/>
      <c r="P60" s="22"/>
      <c r="Q60" s="22"/>
      <c r="R60" s="36"/>
      <c r="S60" s="44"/>
      <c r="T60" s="47"/>
      <c r="U60" s="52">
        <f t="shared" si="6"/>
        <v>0</v>
      </c>
      <c r="V60" s="23" t="str">
        <f t="shared" si="3"/>
        <v>OK</v>
      </c>
    </row>
    <row r="61" spans="1:22" ht="17.25" hidden="1" thickBot="1" x14ac:dyDescent="0.35">
      <c r="A61" s="90" t="s">
        <v>91</v>
      </c>
      <c r="B61" s="76">
        <v>17121</v>
      </c>
      <c r="C61" s="70" t="s">
        <v>92</v>
      </c>
      <c r="D61" s="70"/>
      <c r="E61" s="70"/>
      <c r="F61" s="70"/>
      <c r="G61" s="91"/>
      <c r="H61" s="82"/>
      <c r="I61" s="82">
        <f t="shared" si="4"/>
        <v>0</v>
      </c>
      <c r="J61" s="74"/>
      <c r="K61" s="11"/>
      <c r="L61" s="16"/>
      <c r="M61" s="16"/>
      <c r="N61" s="16"/>
      <c r="O61" s="16"/>
      <c r="P61" s="16"/>
      <c r="Q61" s="16"/>
      <c r="R61" s="35"/>
      <c r="S61" s="43"/>
      <c r="T61" s="46"/>
      <c r="U61" s="75">
        <f t="shared" si="6"/>
        <v>0</v>
      </c>
      <c r="V61" s="93" t="str">
        <f t="shared" si="3"/>
        <v>OK</v>
      </c>
    </row>
    <row r="62" spans="1:22" ht="17.25" hidden="1" thickBot="1" x14ac:dyDescent="0.35">
      <c r="A62" s="54" t="s">
        <v>106</v>
      </c>
      <c r="B62" s="63">
        <v>19270</v>
      </c>
      <c r="C62" s="18" t="s">
        <v>68</v>
      </c>
      <c r="D62" s="18"/>
      <c r="E62" s="18"/>
      <c r="F62" s="18"/>
      <c r="G62" s="92"/>
      <c r="H62" s="22"/>
      <c r="I62" s="22">
        <f t="shared" si="4"/>
        <v>0</v>
      </c>
      <c r="J62" s="69"/>
      <c r="K62" s="11"/>
      <c r="L62" s="22"/>
      <c r="M62" s="22"/>
      <c r="N62" s="22"/>
      <c r="O62" s="22"/>
      <c r="P62" s="22"/>
      <c r="Q62" s="22"/>
      <c r="R62" s="36"/>
      <c r="S62" s="44"/>
      <c r="T62" s="47"/>
      <c r="U62" s="71">
        <f t="shared" si="6"/>
        <v>0</v>
      </c>
      <c r="V62" s="23" t="str">
        <f t="shared" si="3"/>
        <v>OK</v>
      </c>
    </row>
    <row r="63" spans="1:22" ht="17.25" hidden="1" thickBot="1" x14ac:dyDescent="0.35">
      <c r="A63" s="90" t="s">
        <v>107</v>
      </c>
      <c r="B63" s="76">
        <v>19276</v>
      </c>
      <c r="C63" s="70" t="s">
        <v>68</v>
      </c>
      <c r="D63" s="70"/>
      <c r="E63" s="70"/>
      <c r="F63" s="70"/>
      <c r="G63" s="91"/>
      <c r="H63" s="82"/>
      <c r="I63" s="82">
        <f t="shared" si="4"/>
        <v>0</v>
      </c>
      <c r="J63" s="74"/>
      <c r="K63" s="11"/>
      <c r="L63" s="16"/>
      <c r="M63" s="16"/>
      <c r="N63" s="16"/>
      <c r="O63" s="16"/>
      <c r="P63" s="16"/>
      <c r="Q63" s="16"/>
      <c r="R63" s="35"/>
      <c r="S63" s="43"/>
      <c r="T63" s="46"/>
      <c r="U63" s="75">
        <f t="shared" si="6"/>
        <v>0</v>
      </c>
      <c r="V63" s="93" t="str">
        <f t="shared" si="3"/>
        <v>OK</v>
      </c>
    </row>
    <row r="64" spans="1:22" ht="17.25" hidden="1" thickBot="1" x14ac:dyDescent="0.35">
      <c r="A64" s="54" t="s">
        <v>108</v>
      </c>
      <c r="B64" s="63">
        <v>19836</v>
      </c>
      <c r="C64" s="18" t="s">
        <v>45</v>
      </c>
      <c r="D64" s="18"/>
      <c r="E64" s="18"/>
      <c r="F64" s="18"/>
      <c r="G64" s="92"/>
      <c r="H64" s="22"/>
      <c r="I64" s="22">
        <f t="shared" si="4"/>
        <v>0</v>
      </c>
      <c r="J64" s="69"/>
      <c r="K64" s="11"/>
      <c r="L64" s="22"/>
      <c r="M64" s="22"/>
      <c r="N64" s="22"/>
      <c r="O64" s="22"/>
      <c r="P64" s="22"/>
      <c r="Q64" s="22"/>
      <c r="R64" s="36"/>
      <c r="S64" s="44"/>
      <c r="T64" s="47"/>
      <c r="U64" s="52">
        <f t="shared" si="6"/>
        <v>0</v>
      </c>
      <c r="V64" s="23" t="str">
        <f t="shared" si="3"/>
        <v>OK</v>
      </c>
    </row>
    <row r="65" spans="1:22" ht="17.25" hidden="1" thickBot="1" x14ac:dyDescent="0.35">
      <c r="A65" s="90" t="s">
        <v>109</v>
      </c>
      <c r="B65" s="76">
        <v>20278</v>
      </c>
      <c r="C65" s="70" t="s">
        <v>110</v>
      </c>
      <c r="D65" s="70"/>
      <c r="E65" s="70"/>
      <c r="F65" s="70"/>
      <c r="G65" s="91"/>
      <c r="H65" s="82"/>
      <c r="I65" s="82">
        <f t="shared" si="4"/>
        <v>0</v>
      </c>
      <c r="J65" s="74"/>
      <c r="K65" s="11"/>
      <c r="L65" s="16"/>
      <c r="M65" s="16"/>
      <c r="N65" s="16"/>
      <c r="O65" s="16"/>
      <c r="P65" s="16"/>
      <c r="Q65" s="16"/>
      <c r="R65" s="35"/>
      <c r="S65" s="43"/>
      <c r="T65" s="46"/>
      <c r="U65" s="75">
        <f t="shared" si="6"/>
        <v>0</v>
      </c>
      <c r="V65" s="93" t="str">
        <f t="shared" si="3"/>
        <v>OK</v>
      </c>
    </row>
    <row r="66" spans="1:22" ht="17.25" hidden="1" thickBot="1" x14ac:dyDescent="0.35">
      <c r="A66" s="54" t="s">
        <v>111</v>
      </c>
      <c r="B66" s="63">
        <v>20272</v>
      </c>
      <c r="C66" s="18" t="s">
        <v>110</v>
      </c>
      <c r="D66" s="18"/>
      <c r="E66" s="18"/>
      <c r="F66" s="18"/>
      <c r="G66" s="92"/>
      <c r="H66" s="22"/>
      <c r="I66" s="22">
        <f t="shared" si="4"/>
        <v>0</v>
      </c>
      <c r="J66" s="69"/>
      <c r="K66" s="11"/>
      <c r="L66" s="22"/>
      <c r="M66" s="22"/>
      <c r="N66" s="22"/>
      <c r="O66" s="22"/>
      <c r="P66" s="22"/>
      <c r="Q66" s="22"/>
      <c r="R66" s="36"/>
      <c r="S66" s="44"/>
      <c r="T66" s="47"/>
      <c r="U66" s="52">
        <f t="shared" si="6"/>
        <v>0</v>
      </c>
      <c r="V66" s="23" t="str">
        <f t="shared" si="3"/>
        <v>OK</v>
      </c>
    </row>
    <row r="67" spans="1:22" ht="17.25" hidden="1" thickBot="1" x14ac:dyDescent="0.35">
      <c r="A67" s="90" t="s">
        <v>112</v>
      </c>
      <c r="B67" s="76">
        <v>20956</v>
      </c>
      <c r="C67" s="70" t="s">
        <v>110</v>
      </c>
      <c r="D67" s="70"/>
      <c r="E67" s="70"/>
      <c r="F67" s="70"/>
      <c r="G67" s="91"/>
      <c r="H67" s="82"/>
      <c r="I67" s="82">
        <f t="shared" si="4"/>
        <v>0</v>
      </c>
      <c r="J67" s="74"/>
      <c r="K67" s="11"/>
      <c r="L67" s="16"/>
      <c r="M67" s="16"/>
      <c r="N67" s="16"/>
      <c r="O67" s="16"/>
      <c r="P67" s="16"/>
      <c r="Q67" s="16"/>
      <c r="R67" s="35"/>
      <c r="S67" s="43"/>
      <c r="T67" s="46"/>
      <c r="U67" s="75">
        <f t="shared" si="6"/>
        <v>0</v>
      </c>
      <c r="V67" s="93" t="str">
        <f t="shared" si="3"/>
        <v>OK</v>
      </c>
    </row>
    <row r="68" spans="1:22" ht="17.25" hidden="1" thickBot="1" x14ac:dyDescent="0.35">
      <c r="A68" s="54" t="s">
        <v>116</v>
      </c>
      <c r="B68" s="63">
        <v>21299</v>
      </c>
      <c r="C68" s="18" t="s">
        <v>78</v>
      </c>
      <c r="D68" s="18"/>
      <c r="E68" s="18"/>
      <c r="F68" s="18"/>
      <c r="G68" s="92"/>
      <c r="H68" s="22"/>
      <c r="I68" s="22">
        <f t="shared" si="4"/>
        <v>0</v>
      </c>
      <c r="J68" s="69"/>
      <c r="K68" s="11"/>
      <c r="L68" s="22"/>
      <c r="M68" s="22"/>
      <c r="N68" s="22"/>
      <c r="O68" s="22"/>
      <c r="P68" s="22"/>
      <c r="Q68" s="22"/>
      <c r="R68" s="36"/>
      <c r="S68" s="44"/>
      <c r="T68" s="47"/>
      <c r="U68" s="71">
        <f t="shared" si="6"/>
        <v>0</v>
      </c>
      <c r="V68" s="23" t="str">
        <f>IF(U68=I68,"OK","NG")</f>
        <v>OK</v>
      </c>
    </row>
    <row r="69" spans="1:22" ht="17.25" hidden="1" thickBot="1" x14ac:dyDescent="0.35">
      <c r="A69" s="99" t="s">
        <v>117</v>
      </c>
      <c r="B69" s="76">
        <v>22115</v>
      </c>
      <c r="C69" s="82" t="s">
        <v>118</v>
      </c>
      <c r="D69" s="82"/>
      <c r="E69" s="82"/>
      <c r="F69" s="82"/>
      <c r="G69" s="82"/>
      <c r="H69" s="82"/>
      <c r="I69" s="82">
        <f t="shared" si="4"/>
        <v>0</v>
      </c>
      <c r="J69" s="97"/>
      <c r="K69" s="112"/>
      <c r="L69" s="82"/>
      <c r="M69" s="82"/>
      <c r="N69" s="82"/>
      <c r="O69" s="82"/>
      <c r="P69" s="82"/>
      <c r="Q69" s="82"/>
      <c r="R69" s="83"/>
      <c r="S69" s="84"/>
      <c r="T69" s="100"/>
      <c r="U69" s="75">
        <f t="shared" si="6"/>
        <v>0</v>
      </c>
      <c r="V69" s="93" t="str">
        <f>IF(U69=I69,"OK","NG")</f>
        <v>OK</v>
      </c>
    </row>
    <row r="70" spans="1:22" ht="17.25" hidden="1" thickBot="1" x14ac:dyDescent="0.35">
      <c r="A70" s="54" t="s">
        <v>120</v>
      </c>
      <c r="B70" s="63">
        <v>22706</v>
      </c>
      <c r="C70" s="18" t="s">
        <v>119</v>
      </c>
      <c r="D70" s="18"/>
      <c r="E70" s="18"/>
      <c r="F70" s="18"/>
      <c r="G70" s="92"/>
      <c r="H70" s="22"/>
      <c r="I70" s="22">
        <f t="shared" si="4"/>
        <v>0</v>
      </c>
      <c r="J70" s="69"/>
      <c r="K70" s="11"/>
      <c r="L70" s="22"/>
      <c r="M70" s="22"/>
      <c r="N70" s="22"/>
      <c r="O70" s="22"/>
      <c r="P70" s="22"/>
      <c r="Q70" s="22"/>
      <c r="R70" s="36"/>
      <c r="S70" s="44"/>
      <c r="T70" s="47"/>
      <c r="U70" s="71">
        <f t="shared" ref="U70" si="7">SUM(L70:T70)</f>
        <v>0</v>
      </c>
      <c r="V70" s="23" t="str">
        <f>IF(U70=I70,"OK","NG")</f>
        <v>OK</v>
      </c>
    </row>
    <row r="71" spans="1:22" ht="17.25" hidden="1" thickBot="1" x14ac:dyDescent="0.35">
      <c r="A71" s="99" t="s">
        <v>121</v>
      </c>
      <c r="B71" s="76">
        <v>22886</v>
      </c>
      <c r="C71" s="82" t="s">
        <v>46</v>
      </c>
      <c r="D71" s="82"/>
      <c r="E71" s="82"/>
      <c r="F71" s="82"/>
      <c r="G71" s="82"/>
      <c r="H71" s="82"/>
      <c r="I71" s="82">
        <f t="shared" ref="I71:I79" si="8">SUM(L71:T71)</f>
        <v>0</v>
      </c>
      <c r="J71" s="97"/>
      <c r="K71" s="112"/>
      <c r="L71" s="82"/>
      <c r="M71" s="82"/>
      <c r="N71" s="82"/>
      <c r="O71" s="82"/>
      <c r="P71" s="82"/>
      <c r="Q71" s="82"/>
      <c r="R71" s="83"/>
      <c r="S71" s="84"/>
      <c r="T71" s="100"/>
      <c r="U71" s="75">
        <f>SUM(L71:T71)</f>
        <v>0</v>
      </c>
      <c r="V71" s="93" t="str">
        <f>IF(U71=I71,"OK","NG")</f>
        <v>OK</v>
      </c>
    </row>
    <row r="72" spans="1:22" ht="17.25" hidden="1" thickBot="1" x14ac:dyDescent="0.35">
      <c r="A72" s="54" t="s">
        <v>122</v>
      </c>
      <c r="B72" s="63">
        <v>17528</v>
      </c>
      <c r="C72" s="18" t="s">
        <v>123</v>
      </c>
      <c r="D72" s="18"/>
      <c r="E72" s="18"/>
      <c r="F72" s="18"/>
      <c r="G72" s="92"/>
      <c r="H72" s="22"/>
      <c r="I72" s="22">
        <f t="shared" si="8"/>
        <v>0</v>
      </c>
      <c r="J72" s="69"/>
      <c r="K72" s="11"/>
      <c r="L72" s="22"/>
      <c r="M72" s="22"/>
      <c r="N72" s="22"/>
      <c r="O72" s="22"/>
      <c r="P72" s="22"/>
      <c r="Q72" s="22"/>
      <c r="R72" s="36"/>
      <c r="S72" s="44"/>
      <c r="T72" s="47"/>
      <c r="U72" s="71">
        <f t="shared" ref="U72:U79" si="9">SUM(L72:T72)</f>
        <v>0</v>
      </c>
      <c r="V72" s="95" t="str">
        <f t="shared" ref="V72:V80" si="10">IF(U72=I72,"OK","NG")</f>
        <v>OK</v>
      </c>
    </row>
    <row r="73" spans="1:22" ht="17.25" hidden="1" thickBot="1" x14ac:dyDescent="0.35">
      <c r="A73" s="99" t="s">
        <v>124</v>
      </c>
      <c r="B73" s="76">
        <v>22380</v>
      </c>
      <c r="C73" s="82" t="s">
        <v>47</v>
      </c>
      <c r="D73" s="82"/>
      <c r="E73" s="82"/>
      <c r="F73" s="82"/>
      <c r="G73" s="82"/>
      <c r="H73" s="82"/>
      <c r="I73" s="82">
        <f t="shared" si="8"/>
        <v>0</v>
      </c>
      <c r="J73" s="97"/>
      <c r="K73" s="112"/>
      <c r="L73" s="82"/>
      <c r="M73" s="82"/>
      <c r="N73" s="82"/>
      <c r="O73" s="82"/>
      <c r="P73" s="82"/>
      <c r="Q73" s="82"/>
      <c r="R73" s="83"/>
      <c r="S73" s="84"/>
      <c r="T73" s="100"/>
      <c r="U73" s="75">
        <f t="shared" si="9"/>
        <v>0</v>
      </c>
      <c r="V73" s="93" t="str">
        <f t="shared" si="10"/>
        <v>OK</v>
      </c>
    </row>
    <row r="74" spans="1:22" ht="17.25" hidden="1" thickBot="1" x14ac:dyDescent="0.35">
      <c r="A74" s="54" t="s">
        <v>125</v>
      </c>
      <c r="B74" s="63">
        <v>19279</v>
      </c>
      <c r="C74" s="18" t="s">
        <v>126</v>
      </c>
      <c r="D74" s="18"/>
      <c r="E74" s="18"/>
      <c r="F74" s="18"/>
      <c r="G74" s="92"/>
      <c r="H74" s="22"/>
      <c r="I74" s="22">
        <f t="shared" si="8"/>
        <v>0</v>
      </c>
      <c r="J74" s="69"/>
      <c r="K74" s="11"/>
      <c r="L74" s="22"/>
      <c r="M74" s="22"/>
      <c r="N74" s="22"/>
      <c r="O74" s="22"/>
      <c r="P74" s="22"/>
      <c r="Q74" s="22"/>
      <c r="R74" s="36"/>
      <c r="S74" s="44"/>
      <c r="T74" s="47"/>
      <c r="U74" s="71">
        <f t="shared" si="9"/>
        <v>0</v>
      </c>
      <c r="V74" s="95" t="str">
        <f t="shared" si="10"/>
        <v>OK</v>
      </c>
    </row>
    <row r="75" spans="1:22" ht="17.25" hidden="1" thickBot="1" x14ac:dyDescent="0.35">
      <c r="A75" s="90" t="s">
        <v>131</v>
      </c>
      <c r="B75" s="76">
        <v>22724</v>
      </c>
      <c r="C75" s="70" t="s">
        <v>119</v>
      </c>
      <c r="D75" s="70"/>
      <c r="E75" s="70"/>
      <c r="F75" s="70"/>
      <c r="G75" s="91"/>
      <c r="H75" s="82"/>
      <c r="I75" s="82">
        <f t="shared" si="8"/>
        <v>0</v>
      </c>
      <c r="J75" s="74"/>
      <c r="K75" s="11"/>
      <c r="L75" s="82"/>
      <c r="M75" s="82"/>
      <c r="N75" s="82"/>
      <c r="O75" s="82"/>
      <c r="P75" s="82"/>
      <c r="Q75" s="82"/>
      <c r="R75" s="83"/>
      <c r="S75" s="84"/>
      <c r="T75" s="85"/>
      <c r="U75" s="75">
        <f>SUM(L75:T75)</f>
        <v>0</v>
      </c>
      <c r="V75" s="93" t="s">
        <v>129</v>
      </c>
    </row>
    <row r="76" spans="1:22" ht="17.25" hidden="1" thickBot="1" x14ac:dyDescent="0.35">
      <c r="A76" s="54" t="s">
        <v>133</v>
      </c>
      <c r="B76" s="63">
        <v>22705</v>
      </c>
      <c r="C76" s="18" t="s">
        <v>119</v>
      </c>
      <c r="D76" s="18"/>
      <c r="E76" s="18"/>
      <c r="F76" s="18"/>
      <c r="G76" s="92"/>
      <c r="H76" s="22"/>
      <c r="I76" s="22">
        <f t="shared" si="8"/>
        <v>0</v>
      </c>
      <c r="J76" s="69"/>
      <c r="K76" s="11"/>
      <c r="L76" s="22"/>
      <c r="M76" s="22"/>
      <c r="N76" s="22"/>
      <c r="O76" s="22"/>
      <c r="P76" s="22"/>
      <c r="Q76" s="22"/>
      <c r="R76" s="36"/>
      <c r="S76" s="44"/>
      <c r="T76" s="47"/>
      <c r="U76" s="71">
        <f t="shared" si="9"/>
        <v>0</v>
      </c>
      <c r="V76" s="95" t="str">
        <f t="shared" si="10"/>
        <v>OK</v>
      </c>
    </row>
    <row r="77" spans="1:22" ht="17.25" hidden="1" thickBot="1" x14ac:dyDescent="0.35">
      <c r="A77" s="99" t="s">
        <v>128</v>
      </c>
      <c r="B77" s="76">
        <v>5655</v>
      </c>
      <c r="C77" s="82" t="s">
        <v>54</v>
      </c>
      <c r="D77" s="82"/>
      <c r="E77" s="82"/>
      <c r="F77" s="82"/>
      <c r="G77" s="82"/>
      <c r="H77" s="82"/>
      <c r="I77" s="82">
        <f t="shared" si="8"/>
        <v>0</v>
      </c>
      <c r="J77" s="97"/>
      <c r="K77" s="112"/>
      <c r="L77" s="82"/>
      <c r="M77" s="82"/>
      <c r="N77" s="82"/>
      <c r="O77" s="82"/>
      <c r="P77" s="82"/>
      <c r="Q77" s="82"/>
      <c r="R77" s="83"/>
      <c r="S77" s="84"/>
      <c r="T77" s="100"/>
      <c r="U77" s="75">
        <f t="shared" si="9"/>
        <v>0</v>
      </c>
      <c r="V77" s="93" t="str">
        <f t="shared" si="10"/>
        <v>OK</v>
      </c>
    </row>
    <row r="78" spans="1:22" ht="17.25" hidden="1" thickBot="1" x14ac:dyDescent="0.35">
      <c r="A78" s="120" t="s">
        <v>136</v>
      </c>
      <c r="B78" s="121">
        <v>22704</v>
      </c>
      <c r="C78" s="122" t="s">
        <v>137</v>
      </c>
      <c r="D78" s="122"/>
      <c r="E78" s="122"/>
      <c r="F78" s="122"/>
      <c r="G78" s="122"/>
      <c r="H78" s="122"/>
      <c r="I78" s="22">
        <f t="shared" si="8"/>
        <v>0</v>
      </c>
      <c r="J78" s="45"/>
      <c r="K78" s="112"/>
      <c r="L78" s="22"/>
      <c r="M78" s="22"/>
      <c r="N78" s="22"/>
      <c r="O78" s="22"/>
      <c r="P78" s="22"/>
      <c r="Q78" s="22"/>
      <c r="R78" s="36"/>
      <c r="S78" s="44"/>
      <c r="T78" s="116"/>
      <c r="U78" s="71">
        <f t="shared" si="9"/>
        <v>0</v>
      </c>
      <c r="V78" s="95" t="str">
        <f t="shared" si="10"/>
        <v>OK</v>
      </c>
    </row>
    <row r="79" spans="1:22" ht="17.25" hidden="1" thickBot="1" x14ac:dyDescent="0.35">
      <c r="A79" s="136" t="s">
        <v>139</v>
      </c>
      <c r="B79" s="133">
        <v>22722</v>
      </c>
      <c r="C79" s="137" t="s">
        <v>119</v>
      </c>
      <c r="D79" s="137"/>
      <c r="E79" s="137"/>
      <c r="F79" s="137"/>
      <c r="G79" s="137"/>
      <c r="H79" s="137"/>
      <c r="I79" s="82">
        <f t="shared" si="8"/>
        <v>0</v>
      </c>
      <c r="J79" s="97"/>
      <c r="K79" s="119"/>
      <c r="L79" s="82"/>
      <c r="M79" s="82"/>
      <c r="N79" s="82"/>
      <c r="O79" s="82"/>
      <c r="P79" s="82"/>
      <c r="Q79" s="82"/>
      <c r="R79" s="83"/>
      <c r="S79" s="84"/>
      <c r="T79" s="100"/>
      <c r="U79" s="75">
        <f t="shared" si="9"/>
        <v>0</v>
      </c>
      <c r="V79" s="93" t="str">
        <f t="shared" si="10"/>
        <v>OK</v>
      </c>
    </row>
    <row r="80" spans="1:22" ht="17.25" hidden="1" customHeight="1" thickBot="1" x14ac:dyDescent="0.35">
      <c r="A80" s="126" t="s">
        <v>134</v>
      </c>
      <c r="B80" s="127">
        <v>22723</v>
      </c>
      <c r="C80" s="128" t="s">
        <v>119</v>
      </c>
      <c r="D80" s="128"/>
      <c r="E80" s="128"/>
      <c r="F80" s="128"/>
      <c r="G80" s="128"/>
      <c r="H80" s="22"/>
      <c r="I80" s="22">
        <f t="shared" ref="I80" si="11">SUM(L80:T80)</f>
        <v>0</v>
      </c>
      <c r="J80" s="45"/>
      <c r="K80" s="112"/>
      <c r="L80" s="22"/>
      <c r="M80" s="22"/>
      <c r="N80" s="22"/>
      <c r="O80" s="22"/>
      <c r="P80" s="22"/>
      <c r="Q80" s="22"/>
      <c r="R80" s="36"/>
      <c r="S80" s="44"/>
      <c r="T80" s="116"/>
      <c r="U80" s="52">
        <f t="shared" ref="U80" si="12">SUM(L80:T80)</f>
        <v>0</v>
      </c>
      <c r="V80" s="23" t="str">
        <f t="shared" si="10"/>
        <v>OK</v>
      </c>
    </row>
    <row r="81" spans="1:22" x14ac:dyDescent="0.3">
      <c r="A81" s="86"/>
      <c r="B81" s="86"/>
      <c r="C81" s="87" t="s">
        <v>9</v>
      </c>
      <c r="D81" s="87"/>
      <c r="E81" s="87"/>
      <c r="F81" s="87"/>
      <c r="G81" s="88">
        <f>SUM(G6:G49)</f>
        <v>0</v>
      </c>
      <c r="H81" s="89">
        <f>SUM(H6:H49)</f>
        <v>0</v>
      </c>
      <c r="I81" s="88">
        <f>SUM(I6:I80)</f>
        <v>32</v>
      </c>
      <c r="J81" s="40">
        <f>SUM(J6:J49)</f>
        <v>0</v>
      </c>
      <c r="K81" s="115">
        <f>SUM(K6:K51)</f>
        <v>0</v>
      </c>
      <c r="L81" s="38">
        <f>SUM(L6:L80)</f>
        <v>0</v>
      </c>
      <c r="M81" s="38">
        <f>SUM(M6:M80)</f>
        <v>32</v>
      </c>
      <c r="N81" s="38">
        <f t="shared" ref="N81:U81" si="13">SUM(N6:N80)</f>
        <v>0</v>
      </c>
      <c r="O81" s="38">
        <f t="shared" si="13"/>
        <v>0</v>
      </c>
      <c r="P81" s="38">
        <f t="shared" si="13"/>
        <v>0</v>
      </c>
      <c r="Q81" s="38">
        <f t="shared" si="13"/>
        <v>0</v>
      </c>
      <c r="R81" s="38">
        <f t="shared" si="13"/>
        <v>0</v>
      </c>
      <c r="S81" s="38">
        <f t="shared" si="13"/>
        <v>0</v>
      </c>
      <c r="T81" s="38">
        <f t="shared" si="13"/>
        <v>0</v>
      </c>
      <c r="U81" s="38">
        <f t="shared" si="13"/>
        <v>32</v>
      </c>
      <c r="V81" s="41" t="str">
        <f>IF(U81=SUM(I81),"OK","NG")</f>
        <v>OK</v>
      </c>
    </row>
    <row r="87" spans="1:22" x14ac:dyDescent="0.3">
      <c r="M87">
        <v>3</v>
      </c>
    </row>
  </sheetData>
  <autoFilter ref="A5:V81" xr:uid="{00000000-0001-0000-1600-000000000000}">
    <filterColumn colId="8">
      <filters>
        <filter val="16"/>
        <filter val="32"/>
        <filter val="8"/>
      </filters>
    </filterColumn>
  </autoFilter>
  <mergeCells count="20">
    <mergeCell ref="O4:O5"/>
    <mergeCell ref="P4:P5"/>
    <mergeCell ref="B3:C3"/>
    <mergeCell ref="N4:N5"/>
    <mergeCell ref="B1:C1"/>
    <mergeCell ref="F1:G1"/>
    <mergeCell ref="H1:J3"/>
    <mergeCell ref="B2:C2"/>
    <mergeCell ref="A4:D4"/>
    <mergeCell ref="E4:G4"/>
    <mergeCell ref="H4:J4"/>
    <mergeCell ref="L4:L5"/>
    <mergeCell ref="M4:M5"/>
    <mergeCell ref="Q4:Q5"/>
    <mergeCell ref="R4:R5"/>
    <mergeCell ref="S4:S5"/>
    <mergeCell ref="T4:T5"/>
    <mergeCell ref="V2:V3"/>
    <mergeCell ref="U4:U5"/>
    <mergeCell ref="V4:V5"/>
  </mergeCells>
  <phoneticPr fontId="3" type="noConversion"/>
  <conditionalFormatting sqref="A4">
    <cfRule type="containsText" dxfId="21" priority="11" operator="containsText" text="NG">
      <formula>NOT(ISERROR(SEARCH("NG",A4)))</formula>
    </cfRule>
    <cfRule type="containsText" dxfId="20" priority="12" operator="containsText" text="OK">
      <formula>NOT(ISERROR(SEARCH("OK",A4)))</formula>
    </cfRule>
  </conditionalFormatting>
  <conditionalFormatting sqref="V6:V81">
    <cfRule type="containsText" dxfId="19" priority="1" operator="containsText" text="NG">
      <formula>NOT(ISERROR(SEARCH("NG",V6)))</formula>
    </cfRule>
    <cfRule type="containsText" dxfId="18" priority="2" operator="containsText" text="OK">
      <formula>NOT(ISERROR(SEARCH("OK",V6)))</formula>
    </cfRule>
  </conditionalFormatting>
  <pageMargins left="0.70866141732283472" right="0.70866141732283472" top="0.74803149606299213" bottom="0.74803149606299213" header="0.31496062992125984" footer="0.31496062992125984"/>
  <pageSetup paperSize="8" scale="10"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 filterMode="1">
    <pageSetUpPr fitToPage="1"/>
  </sheetPr>
  <dimension ref="A1:V81"/>
  <sheetViews>
    <sheetView showGridLines="0" zoomScale="85" zoomScaleNormal="85" workbookViewId="0">
      <pane ySplit="5" topLeftCell="A28" activePane="bottomLeft" state="frozen"/>
      <selection activeCell="W73" sqref="W73"/>
      <selection pane="bottomLeft" activeCell="L28" sqref="L28:N68"/>
    </sheetView>
  </sheetViews>
  <sheetFormatPr defaultColWidth="9" defaultRowHeight="16.5" x14ac:dyDescent="0.3"/>
  <cols>
    <col min="1" max="1" width="12.625" bestFit="1" customWidth="1"/>
    <col min="2" max="2" width="14.125" bestFit="1" customWidth="1"/>
    <col min="3" max="3" width="35.125" customWidth="1"/>
    <col min="4" max="4" width="11.75" hidden="1" customWidth="1"/>
    <col min="5" max="6" width="9" hidden="1" customWidth="1"/>
    <col min="7" max="7" width="15.375" hidden="1" customWidth="1"/>
    <col min="8" max="8" width="13.25" hidden="1" customWidth="1"/>
    <col min="9" max="9" width="13.25" customWidth="1"/>
    <col min="10" max="10" width="13.25" hidden="1" customWidth="1"/>
    <col min="11" max="11" width="0.875" customWidth="1"/>
    <col min="20" max="20" width="11" bestFit="1" customWidth="1"/>
  </cols>
  <sheetData>
    <row r="1" spans="1:22" ht="22.5" customHeight="1" thickBot="1" x14ac:dyDescent="0.35">
      <c r="A1" s="32" t="s">
        <v>28</v>
      </c>
      <c r="B1" s="153">
        <f>H81</f>
        <v>0</v>
      </c>
      <c r="C1" s="154"/>
      <c r="D1" s="55"/>
      <c r="E1" s="58" t="s">
        <v>1</v>
      </c>
      <c r="F1" s="155">
        <f>G81</f>
        <v>0</v>
      </c>
      <c r="G1" s="155"/>
      <c r="H1" s="156"/>
      <c r="I1" s="156"/>
      <c r="J1" s="156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22.5" customHeight="1" thickBot="1" x14ac:dyDescent="0.35">
      <c r="A2" s="32" t="s">
        <v>29</v>
      </c>
      <c r="B2" s="158">
        <f>I81</f>
        <v>28</v>
      </c>
      <c r="C2" s="159"/>
      <c r="D2" s="56"/>
      <c r="E2" s="59"/>
      <c r="F2" s="2"/>
      <c r="G2" s="2"/>
      <c r="H2" s="156"/>
      <c r="I2" s="156"/>
      <c r="J2" s="156"/>
      <c r="K2" s="113"/>
      <c r="L2" s="3">
        <f>SUBTOTAL(9,L6:L80)</f>
        <v>0</v>
      </c>
      <c r="M2" s="3">
        <f t="shared" ref="M2:T2" si="0">SUBTOTAL(9,M6:M80)</f>
        <v>28</v>
      </c>
      <c r="N2" s="3">
        <f t="shared" si="0"/>
        <v>0</v>
      </c>
      <c r="O2" s="3">
        <f t="shared" si="0"/>
        <v>0</v>
      </c>
      <c r="P2" s="3">
        <f t="shared" si="0"/>
        <v>0</v>
      </c>
      <c r="Q2" s="3">
        <f t="shared" si="0"/>
        <v>0</v>
      </c>
      <c r="R2" s="3">
        <f t="shared" si="0"/>
        <v>0</v>
      </c>
      <c r="S2" s="3">
        <f t="shared" si="0"/>
        <v>0</v>
      </c>
      <c r="T2" s="3">
        <f t="shared" si="0"/>
        <v>0</v>
      </c>
      <c r="U2" s="48">
        <f>SUBTOTAL(9,U6:U80)</f>
        <v>28</v>
      </c>
      <c r="V2" s="145"/>
    </row>
    <row r="3" spans="1:22" ht="22.5" customHeight="1" thickBot="1" x14ac:dyDescent="0.35">
      <c r="A3" s="33" t="s">
        <v>30</v>
      </c>
      <c r="B3" s="151">
        <f>IF(ISERROR(B2/(B2+B1)*1000000),"",(B2/(B2+B1)*1000000))</f>
        <v>1000000</v>
      </c>
      <c r="C3" s="152"/>
      <c r="D3" s="57"/>
      <c r="E3" s="60"/>
      <c r="F3" s="27"/>
      <c r="G3" s="27"/>
      <c r="H3" s="157"/>
      <c r="I3" s="157"/>
      <c r="J3" s="157"/>
      <c r="K3" s="114"/>
      <c r="L3" s="4">
        <f t="shared" ref="L3:U3" si="1">SUM(L6:L80)</f>
        <v>0</v>
      </c>
      <c r="M3" s="4">
        <f t="shared" si="1"/>
        <v>28</v>
      </c>
      <c r="N3" s="4">
        <f t="shared" si="1"/>
        <v>0</v>
      </c>
      <c r="O3" s="4">
        <f t="shared" si="1"/>
        <v>0</v>
      </c>
      <c r="P3" s="4">
        <f t="shared" si="1"/>
        <v>0</v>
      </c>
      <c r="Q3" s="4">
        <f t="shared" si="1"/>
        <v>0</v>
      </c>
      <c r="R3" s="4">
        <f t="shared" si="1"/>
        <v>0</v>
      </c>
      <c r="S3" s="4">
        <f t="shared" si="1"/>
        <v>0</v>
      </c>
      <c r="T3" s="4">
        <f t="shared" si="1"/>
        <v>0</v>
      </c>
      <c r="U3" s="49">
        <f t="shared" si="1"/>
        <v>28</v>
      </c>
      <c r="V3" s="146"/>
    </row>
    <row r="4" spans="1:22" ht="43.5" customHeight="1" x14ac:dyDescent="0.3">
      <c r="A4" s="160" t="str">
        <f>V81</f>
        <v>OK</v>
      </c>
      <c r="B4" s="160"/>
      <c r="C4" s="160"/>
      <c r="D4" s="161"/>
      <c r="E4" s="162" t="s">
        <v>15</v>
      </c>
      <c r="F4" s="162"/>
      <c r="G4" s="162"/>
      <c r="H4" s="163" t="s">
        <v>16</v>
      </c>
      <c r="I4" s="163"/>
      <c r="J4" s="163"/>
      <c r="K4" s="113"/>
      <c r="L4" s="164" t="s">
        <v>10</v>
      </c>
      <c r="M4" s="142" t="s">
        <v>17</v>
      </c>
      <c r="N4" s="142" t="s">
        <v>11</v>
      </c>
      <c r="O4" s="138" t="s">
        <v>12</v>
      </c>
      <c r="P4" s="142" t="s">
        <v>13</v>
      </c>
      <c r="Q4" s="138" t="s">
        <v>14</v>
      </c>
      <c r="R4" s="140" t="s">
        <v>20</v>
      </c>
      <c r="S4" s="142" t="s">
        <v>21</v>
      </c>
      <c r="T4" s="143" t="s">
        <v>22</v>
      </c>
      <c r="U4" s="147" t="s">
        <v>18</v>
      </c>
      <c r="V4" s="149" t="s">
        <v>19</v>
      </c>
    </row>
    <row r="5" spans="1:22" ht="33.75" thickBot="1" x14ac:dyDescent="0.35">
      <c r="A5" s="29" t="s">
        <v>3</v>
      </c>
      <c r="B5" s="30" t="s">
        <v>32</v>
      </c>
      <c r="C5" s="29" t="s">
        <v>4</v>
      </c>
      <c r="D5" s="29" t="s">
        <v>31</v>
      </c>
      <c r="E5" s="29" t="s">
        <v>5</v>
      </c>
      <c r="F5" s="29" t="s">
        <v>6</v>
      </c>
      <c r="G5" s="30" t="s">
        <v>7</v>
      </c>
      <c r="H5" s="31" t="s">
        <v>0</v>
      </c>
      <c r="I5" s="31" t="s">
        <v>2</v>
      </c>
      <c r="J5" s="31" t="s">
        <v>8</v>
      </c>
      <c r="K5" s="28"/>
      <c r="L5" s="165"/>
      <c r="M5" s="139"/>
      <c r="N5" s="139"/>
      <c r="O5" s="139"/>
      <c r="P5" s="139"/>
      <c r="Q5" s="139"/>
      <c r="R5" s="141"/>
      <c r="S5" s="139"/>
      <c r="T5" s="144"/>
      <c r="U5" s="148"/>
      <c r="V5" s="150"/>
    </row>
    <row r="6" spans="1:22" hidden="1" x14ac:dyDescent="0.3">
      <c r="A6" s="61" t="s">
        <v>33</v>
      </c>
      <c r="B6" s="61">
        <v>8092</v>
      </c>
      <c r="C6" s="6" t="s">
        <v>45</v>
      </c>
      <c r="D6" s="7"/>
      <c r="E6" s="7"/>
      <c r="F6" s="7"/>
      <c r="G6" s="8"/>
      <c r="H6" s="9"/>
      <c r="I6" s="10">
        <f>SUM(L6:T6)</f>
        <v>0</v>
      </c>
      <c r="J6" s="10"/>
      <c r="K6" s="11"/>
      <c r="L6" s="10"/>
      <c r="M6" s="10"/>
      <c r="N6" s="10"/>
      <c r="O6" s="10"/>
      <c r="P6" s="10"/>
      <c r="Q6" s="10"/>
      <c r="R6" s="34"/>
      <c r="S6" s="42"/>
      <c r="T6" s="45"/>
      <c r="U6" s="50">
        <f t="shared" ref="U6:U36" si="2">SUM(L6:T6)</f>
        <v>0</v>
      </c>
      <c r="V6" s="26" t="str">
        <f t="shared" ref="V6:V67" si="3">IF(U6=I6,"OK","NG")</f>
        <v>OK</v>
      </c>
    </row>
    <row r="7" spans="1:22" hidden="1" x14ac:dyDescent="0.3">
      <c r="A7" s="62" t="s">
        <v>95</v>
      </c>
      <c r="B7" s="62">
        <v>8088</v>
      </c>
      <c r="C7" s="12" t="s">
        <v>46</v>
      </c>
      <c r="D7" s="53"/>
      <c r="E7" s="13"/>
      <c r="F7" s="13"/>
      <c r="G7" s="14"/>
      <c r="H7" s="15"/>
      <c r="I7" s="16">
        <f t="shared" ref="I7:I70" si="4">SUM(L7:T7)</f>
        <v>0</v>
      </c>
      <c r="J7" s="16"/>
      <c r="K7" s="11"/>
      <c r="L7" s="16"/>
      <c r="M7" s="16"/>
      <c r="N7" s="16"/>
      <c r="O7" s="16"/>
      <c r="P7" s="16"/>
      <c r="Q7" s="16"/>
      <c r="R7" s="35"/>
      <c r="S7" s="43"/>
      <c r="T7" s="46"/>
      <c r="U7" s="51">
        <f t="shared" si="2"/>
        <v>0</v>
      </c>
      <c r="V7" s="17" t="str">
        <f t="shared" si="3"/>
        <v>OK</v>
      </c>
    </row>
    <row r="8" spans="1:22" hidden="1" x14ac:dyDescent="0.3">
      <c r="A8" s="63" t="s">
        <v>96</v>
      </c>
      <c r="B8" s="63">
        <v>8081</v>
      </c>
      <c r="C8" s="18" t="s">
        <v>46</v>
      </c>
      <c r="D8" s="19"/>
      <c r="E8" s="19"/>
      <c r="F8" s="19"/>
      <c r="G8" s="20"/>
      <c r="H8" s="21"/>
      <c r="I8" s="22">
        <f t="shared" si="4"/>
        <v>0</v>
      </c>
      <c r="J8" s="22"/>
      <c r="K8" s="11"/>
      <c r="L8" s="22"/>
      <c r="M8" s="22"/>
      <c r="N8" s="22"/>
      <c r="O8" s="22"/>
      <c r="P8" s="22"/>
      <c r="Q8" s="22"/>
      <c r="R8" s="36"/>
      <c r="S8" s="44"/>
      <c r="T8" s="47"/>
      <c r="U8" s="52">
        <f t="shared" si="2"/>
        <v>0</v>
      </c>
      <c r="V8" s="23" t="str">
        <f t="shared" si="3"/>
        <v>OK</v>
      </c>
    </row>
    <row r="9" spans="1:22" hidden="1" x14ac:dyDescent="0.3">
      <c r="A9" s="62" t="s">
        <v>97</v>
      </c>
      <c r="B9" s="62">
        <v>18524</v>
      </c>
      <c r="C9" s="12" t="s">
        <v>46</v>
      </c>
      <c r="D9" s="53"/>
      <c r="E9" s="13"/>
      <c r="F9" s="13"/>
      <c r="G9" s="14"/>
      <c r="H9" s="15"/>
      <c r="I9" s="16">
        <f t="shared" si="4"/>
        <v>0</v>
      </c>
      <c r="J9" s="16"/>
      <c r="K9" s="11"/>
      <c r="L9" s="16"/>
      <c r="M9" s="16"/>
      <c r="N9" s="16"/>
      <c r="O9" s="16"/>
      <c r="P9" s="16"/>
      <c r="Q9" s="16"/>
      <c r="R9" s="35"/>
      <c r="S9" s="43"/>
      <c r="T9" s="46"/>
      <c r="U9" s="51">
        <f t="shared" si="2"/>
        <v>0</v>
      </c>
      <c r="V9" s="17" t="str">
        <f t="shared" si="3"/>
        <v>OK</v>
      </c>
    </row>
    <row r="10" spans="1:22" hidden="1" x14ac:dyDescent="0.3">
      <c r="A10" s="63" t="s">
        <v>34</v>
      </c>
      <c r="B10" s="63">
        <v>6234</v>
      </c>
      <c r="C10" s="18" t="s">
        <v>47</v>
      </c>
      <c r="D10" s="19"/>
      <c r="E10" s="19"/>
      <c r="F10" s="19"/>
      <c r="G10" s="20"/>
      <c r="H10" s="21"/>
      <c r="I10" s="22">
        <f t="shared" si="4"/>
        <v>0</v>
      </c>
      <c r="J10" s="22"/>
      <c r="K10" s="11"/>
      <c r="L10" s="22"/>
      <c r="M10" s="22"/>
      <c r="N10" s="22"/>
      <c r="O10" s="22"/>
      <c r="P10" s="22"/>
      <c r="Q10" s="22"/>
      <c r="R10" s="36"/>
      <c r="S10" s="44"/>
      <c r="T10" s="47"/>
      <c r="U10" s="52">
        <f t="shared" si="2"/>
        <v>0</v>
      </c>
      <c r="V10" s="23" t="str">
        <f t="shared" si="3"/>
        <v>OK</v>
      </c>
    </row>
    <row r="11" spans="1:22" hidden="1" x14ac:dyDescent="0.3">
      <c r="A11" s="62" t="s">
        <v>80</v>
      </c>
      <c r="B11" s="62">
        <v>14830</v>
      </c>
      <c r="C11" s="12" t="s">
        <v>47</v>
      </c>
      <c r="D11" s="53"/>
      <c r="E11" s="13"/>
      <c r="F11" s="13"/>
      <c r="G11" s="14"/>
      <c r="H11" s="15"/>
      <c r="I11" s="16">
        <f t="shared" si="4"/>
        <v>0</v>
      </c>
      <c r="J11" s="16"/>
      <c r="K11" s="11"/>
      <c r="L11" s="16"/>
      <c r="M11" s="16"/>
      <c r="N11" s="16"/>
      <c r="O11" s="16"/>
      <c r="P11" s="16"/>
      <c r="Q11" s="16"/>
      <c r="R11" s="35"/>
      <c r="S11" s="43"/>
      <c r="T11" s="46"/>
      <c r="U11" s="51">
        <f t="shared" si="2"/>
        <v>0</v>
      </c>
      <c r="V11" s="17" t="str">
        <f t="shared" si="3"/>
        <v>OK</v>
      </c>
    </row>
    <row r="12" spans="1:22" hidden="1" x14ac:dyDescent="0.3">
      <c r="A12" s="63" t="s">
        <v>35</v>
      </c>
      <c r="B12" s="63">
        <v>6004</v>
      </c>
      <c r="C12" s="18" t="s">
        <v>48</v>
      </c>
      <c r="D12" s="19"/>
      <c r="E12" s="19"/>
      <c r="F12" s="19"/>
      <c r="G12" s="20"/>
      <c r="H12" s="21"/>
      <c r="I12" s="22">
        <f t="shared" si="4"/>
        <v>0</v>
      </c>
      <c r="J12" s="22"/>
      <c r="K12" s="11"/>
      <c r="L12" s="22"/>
      <c r="M12" s="22"/>
      <c r="N12" s="22"/>
      <c r="O12" s="22"/>
      <c r="P12" s="22"/>
      <c r="Q12" s="22"/>
      <c r="R12" s="36"/>
      <c r="S12" s="44"/>
      <c r="T12" s="47"/>
      <c r="U12" s="52">
        <f t="shared" si="2"/>
        <v>0</v>
      </c>
      <c r="V12" s="23" t="str">
        <f t="shared" si="3"/>
        <v>OK</v>
      </c>
    </row>
    <row r="13" spans="1:22" hidden="1" x14ac:dyDescent="0.3">
      <c r="A13" s="62" t="s">
        <v>36</v>
      </c>
      <c r="B13" s="62">
        <v>11857</v>
      </c>
      <c r="C13" s="12" t="s">
        <v>48</v>
      </c>
      <c r="D13" s="53"/>
      <c r="E13" s="13"/>
      <c r="F13" s="13"/>
      <c r="G13" s="14"/>
      <c r="H13" s="15"/>
      <c r="I13" s="16">
        <f t="shared" si="4"/>
        <v>0</v>
      </c>
      <c r="J13" s="16"/>
      <c r="K13" s="11"/>
      <c r="L13" s="16"/>
      <c r="M13" s="16"/>
      <c r="N13" s="16"/>
      <c r="O13" s="16"/>
      <c r="P13" s="16"/>
      <c r="Q13" s="16"/>
      <c r="R13" s="35"/>
      <c r="S13" s="43"/>
      <c r="T13" s="46"/>
      <c r="U13" s="51">
        <f t="shared" si="2"/>
        <v>0</v>
      </c>
      <c r="V13" s="17" t="str">
        <f t="shared" si="3"/>
        <v>OK</v>
      </c>
    </row>
    <row r="14" spans="1:22" hidden="1" x14ac:dyDescent="0.3">
      <c r="A14" s="63" t="s">
        <v>82</v>
      </c>
      <c r="B14" s="63">
        <v>15004</v>
      </c>
      <c r="C14" s="18" t="s">
        <v>48</v>
      </c>
      <c r="D14" s="19"/>
      <c r="E14" s="19"/>
      <c r="F14" s="19"/>
      <c r="G14" s="20"/>
      <c r="H14" s="21"/>
      <c r="I14" s="22">
        <f t="shared" si="4"/>
        <v>0</v>
      </c>
      <c r="J14" s="22"/>
      <c r="K14" s="11"/>
      <c r="L14" s="22"/>
      <c r="M14" s="22"/>
      <c r="N14" s="22"/>
      <c r="O14" s="22"/>
      <c r="P14" s="22"/>
      <c r="Q14" s="22"/>
      <c r="R14" s="36"/>
      <c r="S14" s="44"/>
      <c r="T14" s="47"/>
      <c r="U14" s="52">
        <f t="shared" si="2"/>
        <v>0</v>
      </c>
      <c r="V14" s="23" t="str">
        <f t="shared" si="3"/>
        <v>OK</v>
      </c>
    </row>
    <row r="15" spans="1:22" hidden="1" x14ac:dyDescent="0.3">
      <c r="A15" s="62" t="s">
        <v>86</v>
      </c>
      <c r="B15" s="62">
        <v>15174</v>
      </c>
      <c r="C15" s="12" t="s">
        <v>45</v>
      </c>
      <c r="D15" s="53"/>
      <c r="E15" s="13"/>
      <c r="F15" s="13"/>
      <c r="G15" s="14"/>
      <c r="H15" s="15"/>
      <c r="I15" s="16">
        <f t="shared" si="4"/>
        <v>0</v>
      </c>
      <c r="J15" s="16"/>
      <c r="K15" s="11"/>
      <c r="L15" s="16"/>
      <c r="M15" s="16"/>
      <c r="N15" s="16"/>
      <c r="O15" s="16"/>
      <c r="P15" s="16"/>
      <c r="Q15" s="16"/>
      <c r="R15" s="35"/>
      <c r="S15" s="43"/>
      <c r="T15" s="46"/>
      <c r="U15" s="51">
        <f t="shared" si="2"/>
        <v>0</v>
      </c>
      <c r="V15" s="17" t="str">
        <f t="shared" si="3"/>
        <v>OK</v>
      </c>
    </row>
    <row r="16" spans="1:22" hidden="1" x14ac:dyDescent="0.3">
      <c r="A16" s="63" t="s">
        <v>87</v>
      </c>
      <c r="B16" s="63">
        <v>15520</v>
      </c>
      <c r="C16" s="18" t="s">
        <v>47</v>
      </c>
      <c r="D16" s="19"/>
      <c r="E16" s="19"/>
      <c r="F16" s="19"/>
      <c r="G16" s="20"/>
      <c r="H16" s="21"/>
      <c r="I16" s="22">
        <f t="shared" si="4"/>
        <v>0</v>
      </c>
      <c r="J16" s="22"/>
      <c r="K16" s="11"/>
      <c r="L16" s="22"/>
      <c r="M16" s="22"/>
      <c r="N16" s="22"/>
      <c r="O16" s="22"/>
      <c r="P16" s="22"/>
      <c r="Q16" s="22"/>
      <c r="R16" s="36"/>
      <c r="S16" s="44"/>
      <c r="T16" s="47"/>
      <c r="U16" s="52">
        <f t="shared" si="2"/>
        <v>0</v>
      </c>
      <c r="V16" s="23" t="str">
        <f t="shared" si="3"/>
        <v>OK</v>
      </c>
    </row>
    <row r="17" spans="1:22" hidden="1" x14ac:dyDescent="0.3">
      <c r="A17" s="62" t="s">
        <v>85</v>
      </c>
      <c r="B17" s="62">
        <v>14989</v>
      </c>
      <c r="C17" s="12" t="s">
        <v>45</v>
      </c>
      <c r="D17" s="53"/>
      <c r="E17" s="13"/>
      <c r="F17" s="13"/>
      <c r="G17" s="14"/>
      <c r="H17" s="15"/>
      <c r="I17" s="16">
        <f t="shared" si="4"/>
        <v>0</v>
      </c>
      <c r="J17" s="16"/>
      <c r="K17" s="11"/>
      <c r="L17" s="16"/>
      <c r="M17" s="16"/>
      <c r="N17" s="16"/>
      <c r="O17" s="16"/>
      <c r="P17" s="16"/>
      <c r="Q17" s="16"/>
      <c r="R17" s="35"/>
      <c r="S17" s="43"/>
      <c r="T17" s="46"/>
      <c r="U17" s="51">
        <f t="shared" si="2"/>
        <v>0</v>
      </c>
      <c r="V17" s="17" t="str">
        <f t="shared" si="3"/>
        <v>OK</v>
      </c>
    </row>
    <row r="18" spans="1:22" hidden="1" x14ac:dyDescent="0.3">
      <c r="A18" s="63" t="s">
        <v>84</v>
      </c>
      <c r="B18" s="63">
        <v>14984</v>
      </c>
      <c r="C18" s="18" t="s">
        <v>46</v>
      </c>
      <c r="D18" s="19"/>
      <c r="E18" s="19"/>
      <c r="F18" s="19"/>
      <c r="G18" s="20"/>
      <c r="H18" s="21"/>
      <c r="I18" s="22">
        <f t="shared" si="4"/>
        <v>0</v>
      </c>
      <c r="J18" s="22"/>
      <c r="K18" s="11"/>
      <c r="L18" s="22"/>
      <c r="M18" s="22"/>
      <c r="N18" s="22"/>
      <c r="O18" s="22"/>
      <c r="P18" s="22"/>
      <c r="Q18" s="22"/>
      <c r="R18" s="36"/>
      <c r="S18" s="44"/>
      <c r="T18" s="47"/>
      <c r="U18" s="52">
        <f t="shared" si="2"/>
        <v>0</v>
      </c>
      <c r="V18" s="23" t="str">
        <f t="shared" si="3"/>
        <v>OK</v>
      </c>
    </row>
    <row r="19" spans="1:22" hidden="1" x14ac:dyDescent="0.3">
      <c r="A19" s="62" t="s">
        <v>88</v>
      </c>
      <c r="B19" s="62">
        <v>16270</v>
      </c>
      <c r="C19" s="12" t="s">
        <v>89</v>
      </c>
      <c r="D19" s="53"/>
      <c r="E19" s="13"/>
      <c r="F19" s="13"/>
      <c r="G19" s="14"/>
      <c r="H19" s="15"/>
      <c r="I19" s="16">
        <f t="shared" si="4"/>
        <v>0</v>
      </c>
      <c r="J19" s="16"/>
      <c r="K19" s="11"/>
      <c r="L19" s="16"/>
      <c r="M19" s="16"/>
      <c r="N19" s="16"/>
      <c r="O19" s="16"/>
      <c r="P19" s="16"/>
      <c r="Q19" s="16"/>
      <c r="R19" s="35"/>
      <c r="S19" s="43"/>
      <c r="T19" s="46"/>
      <c r="U19" s="51">
        <f t="shared" si="2"/>
        <v>0</v>
      </c>
      <c r="V19" s="17" t="str">
        <f t="shared" si="3"/>
        <v>OK</v>
      </c>
    </row>
    <row r="20" spans="1:22" hidden="1" x14ac:dyDescent="0.3">
      <c r="A20" s="63" t="s">
        <v>98</v>
      </c>
      <c r="B20" s="63">
        <v>19060</v>
      </c>
      <c r="C20" s="18" t="s">
        <v>47</v>
      </c>
      <c r="D20" s="19"/>
      <c r="E20" s="19"/>
      <c r="F20" s="19"/>
      <c r="G20" s="20"/>
      <c r="H20" s="21"/>
      <c r="I20" s="22">
        <f t="shared" si="4"/>
        <v>0</v>
      </c>
      <c r="J20" s="22"/>
      <c r="K20" s="11"/>
      <c r="L20" s="22"/>
      <c r="M20" s="22"/>
      <c r="N20" s="22"/>
      <c r="O20" s="22"/>
      <c r="P20" s="22"/>
      <c r="Q20" s="22"/>
      <c r="R20" s="36"/>
      <c r="S20" s="44"/>
      <c r="T20" s="47"/>
      <c r="U20" s="52">
        <f t="shared" si="2"/>
        <v>0</v>
      </c>
      <c r="V20" s="23" t="str">
        <f t="shared" si="3"/>
        <v>OK</v>
      </c>
    </row>
    <row r="21" spans="1:22" hidden="1" x14ac:dyDescent="0.3">
      <c r="A21" s="62" t="s">
        <v>99</v>
      </c>
      <c r="B21" s="62">
        <v>18828</v>
      </c>
      <c r="C21" s="12" t="s">
        <v>94</v>
      </c>
      <c r="D21" s="53"/>
      <c r="E21" s="13"/>
      <c r="F21" s="13"/>
      <c r="G21" s="14"/>
      <c r="H21" s="15"/>
      <c r="I21" s="16">
        <f t="shared" si="4"/>
        <v>0</v>
      </c>
      <c r="J21" s="16"/>
      <c r="K21" s="11"/>
      <c r="L21" s="16"/>
      <c r="M21" s="16"/>
      <c r="N21" s="16"/>
      <c r="O21" s="16"/>
      <c r="P21" s="16"/>
      <c r="Q21" s="16"/>
      <c r="R21" s="35"/>
      <c r="S21" s="43"/>
      <c r="T21" s="46"/>
      <c r="U21" s="51">
        <f t="shared" si="2"/>
        <v>0</v>
      </c>
      <c r="V21" s="17" t="str">
        <f t="shared" si="3"/>
        <v>OK</v>
      </c>
    </row>
    <row r="22" spans="1:22" hidden="1" x14ac:dyDescent="0.3">
      <c r="A22" s="63" t="s">
        <v>23</v>
      </c>
      <c r="B22" s="63">
        <v>5695</v>
      </c>
      <c r="C22" s="18" t="s">
        <v>49</v>
      </c>
      <c r="D22" s="19"/>
      <c r="E22" s="19"/>
      <c r="F22" s="19"/>
      <c r="G22" s="20"/>
      <c r="H22" s="21"/>
      <c r="I22" s="22">
        <f t="shared" si="4"/>
        <v>0</v>
      </c>
      <c r="J22" s="22"/>
      <c r="K22" s="11"/>
      <c r="L22" s="22"/>
      <c r="M22" s="22"/>
      <c r="N22" s="22"/>
      <c r="O22" s="22"/>
      <c r="P22" s="22"/>
      <c r="Q22" s="22"/>
      <c r="R22" s="36"/>
      <c r="S22" s="44"/>
      <c r="T22" s="47"/>
      <c r="U22" s="52">
        <f t="shared" si="2"/>
        <v>0</v>
      </c>
      <c r="V22" s="23" t="str">
        <f t="shared" si="3"/>
        <v>OK</v>
      </c>
    </row>
    <row r="23" spans="1:22" hidden="1" x14ac:dyDescent="0.3">
      <c r="A23" s="62" t="s">
        <v>24</v>
      </c>
      <c r="B23" s="62">
        <v>5691</v>
      </c>
      <c r="C23" s="12" t="s">
        <v>50</v>
      </c>
      <c r="D23" s="53"/>
      <c r="E23" s="13"/>
      <c r="F23" s="13"/>
      <c r="G23" s="14"/>
      <c r="H23" s="15"/>
      <c r="I23" s="16">
        <f t="shared" si="4"/>
        <v>0</v>
      </c>
      <c r="J23" s="16"/>
      <c r="K23" s="11"/>
      <c r="L23" s="16"/>
      <c r="M23" s="16"/>
      <c r="N23" s="16"/>
      <c r="O23" s="16"/>
      <c r="P23" s="16"/>
      <c r="Q23" s="16"/>
      <c r="R23" s="35"/>
      <c r="S23" s="43"/>
      <c r="T23" s="46"/>
      <c r="U23" s="51">
        <f t="shared" si="2"/>
        <v>0</v>
      </c>
      <c r="V23" s="17" t="str">
        <f t="shared" si="3"/>
        <v>OK</v>
      </c>
    </row>
    <row r="24" spans="1:22" hidden="1" x14ac:dyDescent="0.3">
      <c r="A24" s="63" t="s">
        <v>37</v>
      </c>
      <c r="B24" s="63">
        <v>5687</v>
      </c>
      <c r="C24" s="18" t="s">
        <v>51</v>
      </c>
      <c r="D24" s="19"/>
      <c r="E24" s="19"/>
      <c r="F24" s="19"/>
      <c r="G24" s="20"/>
      <c r="H24" s="21"/>
      <c r="I24" s="22">
        <f t="shared" si="4"/>
        <v>0</v>
      </c>
      <c r="J24" s="22"/>
      <c r="K24" s="11"/>
      <c r="L24" s="22"/>
      <c r="M24" s="22"/>
      <c r="N24" s="22"/>
      <c r="O24" s="22"/>
      <c r="P24" s="22"/>
      <c r="Q24" s="22"/>
      <c r="R24" s="36"/>
      <c r="S24" s="44"/>
      <c r="T24" s="47"/>
      <c r="U24" s="52">
        <f t="shared" si="2"/>
        <v>0</v>
      </c>
      <c r="V24" s="23" t="str">
        <f t="shared" si="3"/>
        <v>OK</v>
      </c>
    </row>
    <row r="25" spans="1:22" hidden="1" x14ac:dyDescent="0.3">
      <c r="A25" s="62" t="s">
        <v>38</v>
      </c>
      <c r="B25" s="62">
        <v>5683</v>
      </c>
      <c r="C25" s="12" t="s">
        <v>51</v>
      </c>
      <c r="D25" s="53"/>
      <c r="E25" s="13"/>
      <c r="F25" s="13"/>
      <c r="G25" s="14"/>
      <c r="H25" s="15"/>
      <c r="I25" s="16">
        <f t="shared" si="4"/>
        <v>0</v>
      </c>
      <c r="J25" s="16"/>
      <c r="K25" s="11"/>
      <c r="L25" s="16"/>
      <c r="M25" s="16"/>
      <c r="N25" s="16"/>
      <c r="O25" s="16"/>
      <c r="P25" s="16"/>
      <c r="Q25" s="16"/>
      <c r="R25" s="35"/>
      <c r="S25" s="43"/>
      <c r="T25" s="46"/>
      <c r="U25" s="51">
        <f t="shared" si="2"/>
        <v>0</v>
      </c>
      <c r="V25" s="17" t="str">
        <f t="shared" si="3"/>
        <v>OK</v>
      </c>
    </row>
    <row r="26" spans="1:22" hidden="1" x14ac:dyDescent="0.3">
      <c r="A26" s="63" t="s">
        <v>25</v>
      </c>
      <c r="B26" s="63">
        <v>5679</v>
      </c>
      <c r="C26" s="18" t="s">
        <v>52</v>
      </c>
      <c r="D26" s="19"/>
      <c r="E26" s="19"/>
      <c r="F26" s="19"/>
      <c r="G26" s="20"/>
      <c r="H26" s="21"/>
      <c r="I26" s="22">
        <f t="shared" si="4"/>
        <v>0</v>
      </c>
      <c r="J26" s="22"/>
      <c r="K26" s="11"/>
      <c r="L26" s="22"/>
      <c r="M26" s="22"/>
      <c r="N26" s="22"/>
      <c r="O26" s="22"/>
      <c r="P26" s="22"/>
      <c r="Q26" s="22"/>
      <c r="R26" s="36"/>
      <c r="S26" s="44"/>
      <c r="T26" s="47"/>
      <c r="U26" s="52">
        <f t="shared" si="2"/>
        <v>0</v>
      </c>
      <c r="V26" s="23" t="str">
        <f t="shared" si="3"/>
        <v>OK</v>
      </c>
    </row>
    <row r="27" spans="1:22" hidden="1" x14ac:dyDescent="0.3">
      <c r="A27" s="62" t="s">
        <v>39</v>
      </c>
      <c r="B27" s="62">
        <v>5675</v>
      </c>
      <c r="C27" s="12" t="s">
        <v>53</v>
      </c>
      <c r="D27" s="53"/>
      <c r="E27" s="13"/>
      <c r="F27" s="13"/>
      <c r="G27" s="14"/>
      <c r="H27" s="15"/>
      <c r="I27" s="16">
        <f t="shared" si="4"/>
        <v>0</v>
      </c>
      <c r="J27" s="16"/>
      <c r="K27" s="11"/>
      <c r="L27" s="16"/>
      <c r="M27" s="16"/>
      <c r="N27" s="16"/>
      <c r="O27" s="16"/>
      <c r="P27" s="16"/>
      <c r="Q27" s="16"/>
      <c r="R27" s="35"/>
      <c r="S27" s="43"/>
      <c r="T27" s="46"/>
      <c r="U27" s="51">
        <f t="shared" si="2"/>
        <v>0</v>
      </c>
      <c r="V27" s="17" t="str">
        <f t="shared" si="3"/>
        <v>OK</v>
      </c>
    </row>
    <row r="28" spans="1:22" x14ac:dyDescent="0.3">
      <c r="A28" s="63" t="s">
        <v>26</v>
      </c>
      <c r="B28" s="63">
        <v>5671</v>
      </c>
      <c r="C28" s="18" t="s">
        <v>49</v>
      </c>
      <c r="D28" s="19"/>
      <c r="E28" s="19"/>
      <c r="F28" s="19"/>
      <c r="G28" s="20"/>
      <c r="H28" s="21"/>
      <c r="I28" s="22">
        <f t="shared" si="4"/>
        <v>4</v>
      </c>
      <c r="J28" s="22"/>
      <c r="K28" s="11"/>
      <c r="L28" s="22"/>
      <c r="M28" s="22">
        <v>4</v>
      </c>
      <c r="N28" s="22"/>
      <c r="O28" s="22"/>
      <c r="P28" s="22"/>
      <c r="Q28" s="22"/>
      <c r="R28" s="36"/>
      <c r="S28" s="44"/>
      <c r="T28" s="47"/>
      <c r="U28" s="52">
        <f t="shared" si="2"/>
        <v>4</v>
      </c>
      <c r="V28" s="23" t="str">
        <f t="shared" si="3"/>
        <v>OK</v>
      </c>
    </row>
    <row r="29" spans="1:22" hidden="1" x14ac:dyDescent="0.3">
      <c r="A29" s="62" t="s">
        <v>40</v>
      </c>
      <c r="B29" s="62">
        <v>5667</v>
      </c>
      <c r="C29" s="12" t="s">
        <v>50</v>
      </c>
      <c r="D29" s="53"/>
      <c r="E29" s="13"/>
      <c r="F29" s="13"/>
      <c r="G29" s="14"/>
      <c r="H29" s="15"/>
      <c r="I29" s="16">
        <f t="shared" si="4"/>
        <v>0</v>
      </c>
      <c r="J29" s="16"/>
      <c r="K29" s="11"/>
      <c r="L29" s="16"/>
      <c r="M29" s="16"/>
      <c r="N29" s="16"/>
      <c r="O29" s="16"/>
      <c r="P29" s="16"/>
      <c r="Q29" s="16"/>
      <c r="R29" s="35"/>
      <c r="S29" s="43"/>
      <c r="T29" s="46"/>
      <c r="U29" s="51">
        <f t="shared" si="2"/>
        <v>0</v>
      </c>
      <c r="V29" s="17" t="str">
        <f t="shared" si="3"/>
        <v>OK</v>
      </c>
    </row>
    <row r="30" spans="1:22" hidden="1" x14ac:dyDescent="0.3">
      <c r="A30" s="63" t="s">
        <v>41</v>
      </c>
      <c r="B30" s="63">
        <v>5663</v>
      </c>
      <c r="C30" s="18" t="s">
        <v>51</v>
      </c>
      <c r="D30" s="19"/>
      <c r="E30" s="19"/>
      <c r="F30" s="19"/>
      <c r="G30" s="20"/>
      <c r="H30" s="21"/>
      <c r="I30" s="22">
        <f t="shared" si="4"/>
        <v>0</v>
      </c>
      <c r="J30" s="22"/>
      <c r="K30" s="11"/>
      <c r="L30" s="22"/>
      <c r="M30" s="22"/>
      <c r="N30" s="22"/>
      <c r="O30" s="22"/>
      <c r="P30" s="22"/>
      <c r="Q30" s="22"/>
      <c r="R30" s="36"/>
      <c r="S30" s="44"/>
      <c r="T30" s="47"/>
      <c r="U30" s="52">
        <f t="shared" si="2"/>
        <v>0</v>
      </c>
      <c r="V30" s="23" t="str">
        <f t="shared" si="3"/>
        <v>OK</v>
      </c>
    </row>
    <row r="31" spans="1:22" hidden="1" x14ac:dyDescent="0.3">
      <c r="A31" s="62" t="s">
        <v>42</v>
      </c>
      <c r="B31" s="62">
        <v>5659</v>
      </c>
      <c r="C31" s="12" t="s">
        <v>52</v>
      </c>
      <c r="D31" s="53"/>
      <c r="E31" s="13"/>
      <c r="F31" s="13"/>
      <c r="G31" s="14"/>
      <c r="H31" s="15"/>
      <c r="I31" s="16">
        <f t="shared" si="4"/>
        <v>0</v>
      </c>
      <c r="J31" s="16"/>
      <c r="K31" s="11"/>
      <c r="L31" s="16"/>
      <c r="M31" s="16"/>
      <c r="N31" s="16"/>
      <c r="O31" s="16"/>
      <c r="P31" s="16"/>
      <c r="Q31" s="16"/>
      <c r="R31" s="35"/>
      <c r="S31" s="43"/>
      <c r="T31" s="46"/>
      <c r="U31" s="51">
        <f t="shared" si="2"/>
        <v>0</v>
      </c>
      <c r="V31" s="17" t="str">
        <f t="shared" si="3"/>
        <v>OK</v>
      </c>
    </row>
    <row r="32" spans="1:22" hidden="1" x14ac:dyDescent="0.3">
      <c r="A32" s="63" t="s">
        <v>27</v>
      </c>
      <c r="B32" s="63">
        <v>5655</v>
      </c>
      <c r="C32" s="18" t="s">
        <v>54</v>
      </c>
      <c r="D32" s="19"/>
      <c r="E32" s="19"/>
      <c r="F32" s="19"/>
      <c r="G32" s="20"/>
      <c r="H32" s="21"/>
      <c r="I32" s="22">
        <f t="shared" si="4"/>
        <v>0</v>
      </c>
      <c r="J32" s="22"/>
      <c r="K32" s="11"/>
      <c r="L32" s="22"/>
      <c r="M32" s="22"/>
      <c r="N32" s="22"/>
      <c r="O32" s="22"/>
      <c r="P32" s="22"/>
      <c r="Q32" s="22"/>
      <c r="R32" s="36"/>
      <c r="S32" s="44"/>
      <c r="T32" s="47"/>
      <c r="U32" s="52">
        <f t="shared" si="2"/>
        <v>0</v>
      </c>
      <c r="V32" s="23" t="str">
        <f t="shared" si="3"/>
        <v>OK</v>
      </c>
    </row>
    <row r="33" spans="1:22" hidden="1" x14ac:dyDescent="0.3">
      <c r="A33" s="62" t="s">
        <v>70</v>
      </c>
      <c r="B33" s="62">
        <v>5651</v>
      </c>
      <c r="C33" s="12" t="s">
        <v>55</v>
      </c>
      <c r="D33" s="53"/>
      <c r="E33" s="13"/>
      <c r="F33" s="13"/>
      <c r="G33" s="14"/>
      <c r="H33" s="15"/>
      <c r="I33" s="16">
        <f t="shared" si="4"/>
        <v>0</v>
      </c>
      <c r="J33" s="16"/>
      <c r="K33" s="11"/>
      <c r="L33" s="16"/>
      <c r="M33" s="16"/>
      <c r="N33" s="16"/>
      <c r="O33" s="16"/>
      <c r="P33" s="16"/>
      <c r="Q33" s="16"/>
      <c r="R33" s="35"/>
      <c r="S33" s="43"/>
      <c r="T33" s="46"/>
      <c r="U33" s="51">
        <f t="shared" si="2"/>
        <v>0</v>
      </c>
      <c r="V33" s="17" t="str">
        <f t="shared" si="3"/>
        <v>OK</v>
      </c>
    </row>
    <row r="34" spans="1:22" hidden="1" x14ac:dyDescent="0.3">
      <c r="A34" s="63" t="s">
        <v>71</v>
      </c>
      <c r="B34" s="63">
        <v>5643</v>
      </c>
      <c r="C34" s="18" t="s">
        <v>56</v>
      </c>
      <c r="D34" s="19"/>
      <c r="E34" s="19"/>
      <c r="F34" s="19"/>
      <c r="G34" s="20"/>
      <c r="H34" s="21"/>
      <c r="I34" s="22">
        <f t="shared" si="4"/>
        <v>0</v>
      </c>
      <c r="J34" s="22"/>
      <c r="K34" s="11"/>
      <c r="L34" s="22"/>
      <c r="M34" s="22"/>
      <c r="N34" s="22"/>
      <c r="O34" s="22"/>
      <c r="P34" s="22"/>
      <c r="Q34" s="22"/>
      <c r="R34" s="36"/>
      <c r="S34" s="44"/>
      <c r="T34" s="47"/>
      <c r="U34" s="52">
        <f t="shared" si="2"/>
        <v>0</v>
      </c>
      <c r="V34" s="23" t="str">
        <f t="shared" si="3"/>
        <v>OK</v>
      </c>
    </row>
    <row r="35" spans="1:22" hidden="1" x14ac:dyDescent="0.3">
      <c r="A35" s="62" t="s">
        <v>57</v>
      </c>
      <c r="B35" s="62">
        <v>11350</v>
      </c>
      <c r="C35" s="12" t="s">
        <v>56</v>
      </c>
      <c r="D35" s="53"/>
      <c r="E35" s="13"/>
      <c r="F35" s="13"/>
      <c r="G35" s="14"/>
      <c r="H35" s="15"/>
      <c r="I35" s="16">
        <f t="shared" si="4"/>
        <v>0</v>
      </c>
      <c r="J35" s="16"/>
      <c r="K35" s="11"/>
      <c r="L35" s="16"/>
      <c r="M35" s="16"/>
      <c r="N35" s="16"/>
      <c r="O35" s="16"/>
      <c r="P35" s="16"/>
      <c r="Q35" s="16"/>
      <c r="R35" s="35"/>
      <c r="S35" s="43"/>
      <c r="T35" s="46"/>
      <c r="U35" s="51">
        <f t="shared" si="2"/>
        <v>0</v>
      </c>
      <c r="V35" s="17" t="str">
        <f t="shared" si="3"/>
        <v>OK</v>
      </c>
    </row>
    <row r="36" spans="1:22" hidden="1" x14ac:dyDescent="0.3">
      <c r="A36" s="63" t="s">
        <v>72</v>
      </c>
      <c r="B36" s="63">
        <v>5635</v>
      </c>
      <c r="C36" s="18" t="s">
        <v>55</v>
      </c>
      <c r="D36" s="19"/>
      <c r="E36" s="19"/>
      <c r="F36" s="19"/>
      <c r="G36" s="20"/>
      <c r="H36" s="21"/>
      <c r="I36" s="22">
        <f t="shared" si="4"/>
        <v>0</v>
      </c>
      <c r="J36" s="22"/>
      <c r="K36" s="11"/>
      <c r="L36" s="22"/>
      <c r="M36" s="22"/>
      <c r="N36" s="22"/>
      <c r="O36" s="22"/>
      <c r="P36" s="22"/>
      <c r="Q36" s="22"/>
      <c r="R36" s="36"/>
      <c r="S36" s="44"/>
      <c r="T36" s="47"/>
      <c r="U36" s="52">
        <f t="shared" si="2"/>
        <v>0</v>
      </c>
      <c r="V36" s="23" t="str">
        <f t="shared" si="3"/>
        <v>OK</v>
      </c>
    </row>
    <row r="37" spans="1:22" hidden="1" x14ac:dyDescent="0.3">
      <c r="A37" s="62" t="s">
        <v>58</v>
      </c>
      <c r="B37" s="62">
        <v>11349</v>
      </c>
      <c r="C37" s="12" t="s">
        <v>55</v>
      </c>
      <c r="D37" s="53"/>
      <c r="E37" s="13"/>
      <c r="F37" s="13"/>
      <c r="G37" s="14"/>
      <c r="H37" s="15"/>
      <c r="I37" s="16">
        <f t="shared" si="4"/>
        <v>0</v>
      </c>
      <c r="J37" s="16"/>
      <c r="K37" s="11"/>
      <c r="L37" s="16"/>
      <c r="M37" s="16"/>
      <c r="N37" s="16"/>
      <c r="O37" s="16"/>
      <c r="P37" s="16"/>
      <c r="Q37" s="16"/>
      <c r="R37" s="35"/>
      <c r="S37" s="43"/>
      <c r="T37" s="46"/>
      <c r="U37" s="51">
        <f t="shared" ref="U37:U55" si="5">SUM(L37:T37)</f>
        <v>0</v>
      </c>
      <c r="V37" s="17" t="str">
        <f t="shared" si="3"/>
        <v>OK</v>
      </c>
    </row>
    <row r="38" spans="1:22" hidden="1" x14ac:dyDescent="0.3">
      <c r="A38" s="63" t="s">
        <v>73</v>
      </c>
      <c r="B38" s="63">
        <v>5627</v>
      </c>
      <c r="C38" s="18" t="s">
        <v>56</v>
      </c>
      <c r="D38" s="19"/>
      <c r="E38" s="19"/>
      <c r="F38" s="19"/>
      <c r="G38" s="20"/>
      <c r="H38" s="21"/>
      <c r="I38" s="22">
        <f t="shared" si="4"/>
        <v>0</v>
      </c>
      <c r="J38" s="22"/>
      <c r="K38" s="11"/>
      <c r="L38" s="22"/>
      <c r="M38" s="22"/>
      <c r="N38" s="22"/>
      <c r="O38" s="22"/>
      <c r="P38" s="22"/>
      <c r="Q38" s="22"/>
      <c r="R38" s="36"/>
      <c r="S38" s="44"/>
      <c r="T38" s="47"/>
      <c r="U38" s="52">
        <f t="shared" si="5"/>
        <v>0</v>
      </c>
      <c r="V38" s="23" t="str">
        <f t="shared" si="3"/>
        <v>OK</v>
      </c>
    </row>
    <row r="39" spans="1:22" x14ac:dyDescent="0.3">
      <c r="A39" s="62" t="s">
        <v>59</v>
      </c>
      <c r="B39" s="62">
        <v>11348</v>
      </c>
      <c r="C39" s="12" t="s">
        <v>56</v>
      </c>
      <c r="D39" s="53"/>
      <c r="E39" s="13"/>
      <c r="F39" s="13"/>
      <c r="G39" s="14"/>
      <c r="H39" s="15"/>
      <c r="I39" s="16">
        <f t="shared" si="4"/>
        <v>10</v>
      </c>
      <c r="J39" s="16"/>
      <c r="K39" s="11"/>
      <c r="L39" s="16"/>
      <c r="M39" s="16">
        <v>10</v>
      </c>
      <c r="N39" s="16"/>
      <c r="O39" s="16"/>
      <c r="P39" s="16"/>
      <c r="Q39" s="16"/>
      <c r="R39" s="35"/>
      <c r="S39" s="43"/>
      <c r="T39" s="46"/>
      <c r="U39" s="51">
        <f t="shared" si="5"/>
        <v>10</v>
      </c>
      <c r="V39" s="17" t="str">
        <f t="shared" si="3"/>
        <v>OK</v>
      </c>
    </row>
    <row r="40" spans="1:22" hidden="1" x14ac:dyDescent="0.3">
      <c r="A40" s="63" t="s">
        <v>74</v>
      </c>
      <c r="B40" s="63">
        <v>5619</v>
      </c>
      <c r="C40" s="18" t="s">
        <v>60</v>
      </c>
      <c r="D40" s="19"/>
      <c r="E40" s="19"/>
      <c r="F40" s="19"/>
      <c r="G40" s="20"/>
      <c r="H40" s="21"/>
      <c r="I40" s="22">
        <f t="shared" si="4"/>
        <v>0</v>
      </c>
      <c r="J40" s="22"/>
      <c r="K40" s="11"/>
      <c r="L40" s="22"/>
      <c r="M40" s="22"/>
      <c r="N40" s="22"/>
      <c r="O40" s="22"/>
      <c r="P40" s="22"/>
      <c r="Q40" s="22"/>
      <c r="R40" s="36"/>
      <c r="S40" s="44"/>
      <c r="T40" s="47"/>
      <c r="U40" s="52">
        <f t="shared" si="5"/>
        <v>0</v>
      </c>
      <c r="V40" s="23" t="str">
        <f t="shared" si="3"/>
        <v>OK</v>
      </c>
    </row>
    <row r="41" spans="1:22" hidden="1" x14ac:dyDescent="0.3">
      <c r="A41" s="64" t="s">
        <v>61</v>
      </c>
      <c r="B41" s="62">
        <v>11347</v>
      </c>
      <c r="C41" s="12" t="s">
        <v>60</v>
      </c>
      <c r="D41" s="53"/>
      <c r="E41" s="13"/>
      <c r="F41" s="13"/>
      <c r="G41" s="14"/>
      <c r="H41" s="15"/>
      <c r="I41" s="16">
        <f t="shared" si="4"/>
        <v>0</v>
      </c>
      <c r="J41" s="16"/>
      <c r="K41" s="11"/>
      <c r="L41" s="16"/>
      <c r="M41" s="16"/>
      <c r="N41" s="16"/>
      <c r="O41" s="16"/>
      <c r="P41" s="16"/>
      <c r="Q41" s="16"/>
      <c r="R41" s="35"/>
      <c r="S41" s="43"/>
      <c r="T41" s="46"/>
      <c r="U41" s="51">
        <f t="shared" si="5"/>
        <v>0</v>
      </c>
      <c r="V41" s="17" t="str">
        <f t="shared" si="3"/>
        <v>OK</v>
      </c>
    </row>
    <row r="42" spans="1:22" hidden="1" x14ac:dyDescent="0.3">
      <c r="A42" s="54" t="s">
        <v>75</v>
      </c>
      <c r="B42" s="63">
        <v>5611</v>
      </c>
      <c r="C42" s="18" t="s">
        <v>62</v>
      </c>
      <c r="D42" s="19"/>
      <c r="E42" s="19"/>
      <c r="F42" s="19"/>
      <c r="G42" s="20"/>
      <c r="H42" s="21"/>
      <c r="I42" s="22">
        <f t="shared" si="4"/>
        <v>0</v>
      </c>
      <c r="J42" s="22"/>
      <c r="K42" s="11"/>
      <c r="L42" s="22"/>
      <c r="M42" s="22"/>
      <c r="N42" s="22"/>
      <c r="O42" s="22"/>
      <c r="P42" s="22"/>
      <c r="Q42" s="22"/>
      <c r="R42" s="36"/>
      <c r="S42" s="44"/>
      <c r="T42" s="47"/>
      <c r="U42" s="52">
        <f t="shared" si="5"/>
        <v>0</v>
      </c>
      <c r="V42" s="23" t="str">
        <f t="shared" si="3"/>
        <v>OK</v>
      </c>
    </row>
    <row r="43" spans="1:22" hidden="1" x14ac:dyDescent="0.3">
      <c r="A43" s="12" t="s">
        <v>63</v>
      </c>
      <c r="B43" s="62">
        <v>11336</v>
      </c>
      <c r="C43" s="12" t="s">
        <v>62</v>
      </c>
      <c r="D43" s="53"/>
      <c r="E43" s="13"/>
      <c r="F43" s="13"/>
      <c r="G43" s="14"/>
      <c r="H43" s="15"/>
      <c r="I43" s="16">
        <f t="shared" si="4"/>
        <v>0</v>
      </c>
      <c r="J43" s="16"/>
      <c r="K43" s="11"/>
      <c r="L43" s="16"/>
      <c r="M43" s="16"/>
      <c r="N43" s="16"/>
      <c r="O43" s="16"/>
      <c r="P43" s="16"/>
      <c r="Q43" s="16"/>
      <c r="R43" s="35"/>
      <c r="S43" s="43"/>
      <c r="T43" s="46"/>
      <c r="U43" s="51">
        <f t="shared" si="5"/>
        <v>0</v>
      </c>
      <c r="V43" s="17" t="str">
        <f t="shared" si="3"/>
        <v>OK</v>
      </c>
    </row>
    <row r="44" spans="1:22" hidden="1" x14ac:dyDescent="0.3">
      <c r="A44" s="54" t="s">
        <v>100</v>
      </c>
      <c r="B44" s="63">
        <v>14860</v>
      </c>
      <c r="C44" s="18" t="s">
        <v>56</v>
      </c>
      <c r="D44" s="19"/>
      <c r="E44" s="19"/>
      <c r="F44" s="19"/>
      <c r="G44" s="20"/>
      <c r="H44" s="21"/>
      <c r="I44" s="22">
        <f t="shared" si="4"/>
        <v>0</v>
      </c>
      <c r="J44" s="22"/>
      <c r="K44" s="11"/>
      <c r="L44" s="22"/>
      <c r="M44" s="22"/>
      <c r="N44" s="22"/>
      <c r="O44" s="22"/>
      <c r="P44" s="22"/>
      <c r="Q44" s="22"/>
      <c r="R44" s="36"/>
      <c r="S44" s="44"/>
      <c r="T44" s="47"/>
      <c r="U44" s="52">
        <f t="shared" si="5"/>
        <v>0</v>
      </c>
      <c r="V44" s="23" t="str">
        <f t="shared" si="3"/>
        <v>OK</v>
      </c>
    </row>
    <row r="45" spans="1:22" hidden="1" x14ac:dyDescent="0.3">
      <c r="A45" s="64" t="s">
        <v>83</v>
      </c>
      <c r="B45" s="62">
        <v>14861</v>
      </c>
      <c r="C45" s="12" t="s">
        <v>56</v>
      </c>
      <c r="D45" s="53"/>
      <c r="E45" s="13"/>
      <c r="F45" s="13"/>
      <c r="G45" s="14"/>
      <c r="H45" s="15"/>
      <c r="I45" s="16">
        <f t="shared" si="4"/>
        <v>0</v>
      </c>
      <c r="J45" s="16"/>
      <c r="K45" s="11"/>
      <c r="L45" s="16"/>
      <c r="M45" s="16"/>
      <c r="N45" s="16"/>
      <c r="O45" s="16"/>
      <c r="P45" s="16"/>
      <c r="Q45" s="16"/>
      <c r="R45" s="35"/>
      <c r="S45" s="43"/>
      <c r="T45" s="46"/>
      <c r="U45" s="51">
        <f t="shared" si="5"/>
        <v>0</v>
      </c>
      <c r="V45" s="17" t="str">
        <f t="shared" si="3"/>
        <v>OK</v>
      </c>
    </row>
    <row r="46" spans="1:22" hidden="1" x14ac:dyDescent="0.3">
      <c r="A46" s="54" t="s">
        <v>101</v>
      </c>
      <c r="B46" s="63">
        <v>15096</v>
      </c>
      <c r="C46" s="18" t="s">
        <v>56</v>
      </c>
      <c r="D46" s="19"/>
      <c r="E46" s="19"/>
      <c r="F46" s="19"/>
      <c r="G46" s="20"/>
      <c r="H46" s="21"/>
      <c r="I46" s="22">
        <f t="shared" si="4"/>
        <v>0</v>
      </c>
      <c r="J46" s="22"/>
      <c r="K46" s="11"/>
      <c r="L46" s="22"/>
      <c r="M46" s="22"/>
      <c r="N46" s="22"/>
      <c r="O46" s="22"/>
      <c r="P46" s="22"/>
      <c r="Q46" s="22"/>
      <c r="R46" s="36"/>
      <c r="S46" s="44"/>
      <c r="T46" s="47"/>
      <c r="U46" s="52">
        <f t="shared" si="5"/>
        <v>0</v>
      </c>
      <c r="V46" s="23" t="str">
        <f t="shared" si="3"/>
        <v>OK</v>
      </c>
    </row>
    <row r="47" spans="1:22" hidden="1" x14ac:dyDescent="0.3">
      <c r="A47" s="12" t="s">
        <v>81</v>
      </c>
      <c r="B47" s="62">
        <v>15097</v>
      </c>
      <c r="C47" s="12" t="s">
        <v>56</v>
      </c>
      <c r="D47" s="53"/>
      <c r="E47" s="13"/>
      <c r="F47" s="13"/>
      <c r="G47" s="14"/>
      <c r="H47" s="15"/>
      <c r="I47" s="16">
        <f t="shared" si="4"/>
        <v>0</v>
      </c>
      <c r="J47" s="16"/>
      <c r="K47" s="11"/>
      <c r="L47" s="16"/>
      <c r="M47" s="16"/>
      <c r="N47" s="16"/>
      <c r="O47" s="16"/>
      <c r="P47" s="16"/>
      <c r="Q47" s="16"/>
      <c r="R47" s="35"/>
      <c r="S47" s="43"/>
      <c r="T47" s="46"/>
      <c r="U47" s="51">
        <f t="shared" si="5"/>
        <v>0</v>
      </c>
      <c r="V47" s="17" t="str">
        <f t="shared" si="3"/>
        <v>OK</v>
      </c>
    </row>
    <row r="48" spans="1:22" hidden="1" x14ac:dyDescent="0.3">
      <c r="A48" s="54" t="s">
        <v>76</v>
      </c>
      <c r="B48" s="63">
        <v>5585</v>
      </c>
      <c r="C48" s="18" t="s">
        <v>64</v>
      </c>
      <c r="D48" s="19"/>
      <c r="E48" s="19"/>
      <c r="F48" s="19"/>
      <c r="G48" s="20"/>
      <c r="H48" s="21"/>
      <c r="I48" s="22">
        <f t="shared" si="4"/>
        <v>0</v>
      </c>
      <c r="J48" s="22"/>
      <c r="K48" s="11"/>
      <c r="L48" s="22"/>
      <c r="M48" s="22"/>
      <c r="N48" s="22"/>
      <c r="O48" s="22"/>
      <c r="P48" s="22"/>
      <c r="Q48" s="22"/>
      <c r="R48" s="36"/>
      <c r="S48" s="44"/>
      <c r="T48" s="47"/>
      <c r="U48" s="52">
        <f t="shared" si="5"/>
        <v>0</v>
      </c>
      <c r="V48" s="23" t="str">
        <f t="shared" si="3"/>
        <v>OK</v>
      </c>
    </row>
    <row r="49" spans="1:22" hidden="1" x14ac:dyDescent="0.3">
      <c r="A49" s="12" t="s">
        <v>65</v>
      </c>
      <c r="B49" s="62">
        <v>11351</v>
      </c>
      <c r="C49" s="12" t="s">
        <v>64</v>
      </c>
      <c r="D49" s="53"/>
      <c r="E49" s="13"/>
      <c r="F49" s="13"/>
      <c r="G49" s="14"/>
      <c r="H49" s="15"/>
      <c r="I49" s="16">
        <f t="shared" si="4"/>
        <v>0</v>
      </c>
      <c r="J49" s="16"/>
      <c r="K49" s="11"/>
      <c r="L49" s="16"/>
      <c r="M49" s="16"/>
      <c r="N49" s="16"/>
      <c r="O49" s="16"/>
      <c r="P49" s="16"/>
      <c r="Q49" s="16"/>
      <c r="R49" s="35"/>
      <c r="S49" s="43"/>
      <c r="T49" s="46"/>
      <c r="U49" s="51">
        <f t="shared" si="5"/>
        <v>0</v>
      </c>
      <c r="V49" s="17" t="str">
        <f t="shared" si="3"/>
        <v>OK</v>
      </c>
    </row>
    <row r="50" spans="1:22" hidden="1" x14ac:dyDescent="0.3">
      <c r="A50" s="54" t="s">
        <v>66</v>
      </c>
      <c r="B50" s="63">
        <v>11352</v>
      </c>
      <c r="C50" s="18" t="s">
        <v>64</v>
      </c>
      <c r="D50" s="19"/>
      <c r="E50" s="19"/>
      <c r="F50" s="19"/>
      <c r="G50" s="20"/>
      <c r="H50" s="21"/>
      <c r="I50" s="22">
        <f t="shared" si="4"/>
        <v>0</v>
      </c>
      <c r="J50" s="22"/>
      <c r="K50" s="11"/>
      <c r="L50" s="22"/>
      <c r="M50" s="22"/>
      <c r="N50" s="22"/>
      <c r="O50" s="22"/>
      <c r="P50" s="22"/>
      <c r="Q50" s="22"/>
      <c r="R50" s="36"/>
      <c r="S50" s="44"/>
      <c r="T50" s="47"/>
      <c r="U50" s="52">
        <f t="shared" si="5"/>
        <v>0</v>
      </c>
      <c r="V50" s="23" t="str">
        <f t="shared" si="3"/>
        <v>OK</v>
      </c>
    </row>
    <row r="51" spans="1:22" hidden="1" x14ac:dyDescent="0.3">
      <c r="A51" s="90" t="s">
        <v>102</v>
      </c>
      <c r="B51" s="76">
        <v>13515</v>
      </c>
      <c r="C51" s="70" t="s">
        <v>78</v>
      </c>
      <c r="D51" s="70"/>
      <c r="E51" s="70"/>
      <c r="F51" s="70"/>
      <c r="G51" s="91"/>
      <c r="H51" s="82"/>
      <c r="I51" s="82">
        <f t="shared" si="4"/>
        <v>0</v>
      </c>
      <c r="J51" s="74"/>
      <c r="K51" s="11"/>
      <c r="L51" s="16"/>
      <c r="M51" s="16"/>
      <c r="N51" s="16"/>
      <c r="O51" s="16"/>
      <c r="P51" s="16"/>
      <c r="Q51" s="16"/>
      <c r="R51" s="35"/>
      <c r="S51" s="43"/>
      <c r="T51" s="46"/>
      <c r="U51" s="75">
        <f t="shared" si="5"/>
        <v>0</v>
      </c>
      <c r="V51" s="93" t="str">
        <f t="shared" si="3"/>
        <v>OK</v>
      </c>
    </row>
    <row r="52" spans="1:22" hidden="1" x14ac:dyDescent="0.3">
      <c r="A52" s="54" t="s">
        <v>103</v>
      </c>
      <c r="B52" s="63">
        <v>13516</v>
      </c>
      <c r="C52" s="18" t="s">
        <v>78</v>
      </c>
      <c r="D52" s="18"/>
      <c r="E52" s="18"/>
      <c r="F52" s="18"/>
      <c r="G52" s="92"/>
      <c r="H52" s="22"/>
      <c r="I52" s="22">
        <f t="shared" si="4"/>
        <v>0</v>
      </c>
      <c r="J52" s="69"/>
      <c r="K52" s="11"/>
      <c r="L52" s="22"/>
      <c r="M52" s="22"/>
      <c r="N52" s="22"/>
      <c r="O52" s="22"/>
      <c r="P52" s="22"/>
      <c r="Q52" s="22"/>
      <c r="R52" s="36"/>
      <c r="S52" s="44"/>
      <c r="T52" s="47"/>
      <c r="U52" s="52">
        <f t="shared" si="5"/>
        <v>0</v>
      </c>
      <c r="V52" s="23" t="str">
        <f t="shared" si="3"/>
        <v>OK</v>
      </c>
    </row>
    <row r="53" spans="1:22" hidden="1" x14ac:dyDescent="0.3">
      <c r="A53" s="90" t="s">
        <v>104</v>
      </c>
      <c r="B53" s="76">
        <v>13468</v>
      </c>
      <c r="C53" s="70" t="s">
        <v>78</v>
      </c>
      <c r="D53" s="70"/>
      <c r="E53" s="70"/>
      <c r="F53" s="70"/>
      <c r="G53" s="91"/>
      <c r="H53" s="82"/>
      <c r="I53" s="82">
        <f t="shared" si="4"/>
        <v>0</v>
      </c>
      <c r="J53" s="74"/>
      <c r="K53" s="11"/>
      <c r="L53" s="16"/>
      <c r="M53" s="16"/>
      <c r="N53" s="16"/>
      <c r="O53" s="16"/>
      <c r="P53" s="16"/>
      <c r="Q53" s="16"/>
      <c r="R53" s="35"/>
      <c r="S53" s="43"/>
      <c r="T53" s="46"/>
      <c r="U53" s="75">
        <f t="shared" si="5"/>
        <v>0</v>
      </c>
      <c r="V53" s="93" t="str">
        <f t="shared" si="3"/>
        <v>OK</v>
      </c>
    </row>
    <row r="54" spans="1:22" hidden="1" x14ac:dyDescent="0.3">
      <c r="A54" s="54" t="s">
        <v>79</v>
      </c>
      <c r="B54" s="63">
        <v>13469</v>
      </c>
      <c r="C54" s="18" t="s">
        <v>78</v>
      </c>
      <c r="D54" s="18"/>
      <c r="E54" s="18"/>
      <c r="F54" s="18"/>
      <c r="G54" s="92"/>
      <c r="H54" s="22"/>
      <c r="I54" s="22">
        <f t="shared" si="4"/>
        <v>0</v>
      </c>
      <c r="J54" s="69"/>
      <c r="K54" s="11"/>
      <c r="L54" s="22"/>
      <c r="M54" s="22"/>
      <c r="N54" s="22"/>
      <c r="O54" s="22"/>
      <c r="P54" s="22"/>
      <c r="Q54" s="22"/>
      <c r="R54" s="36"/>
      <c r="S54" s="44"/>
      <c r="T54" s="47"/>
      <c r="U54" s="52">
        <f t="shared" si="5"/>
        <v>0</v>
      </c>
      <c r="V54" s="23" t="str">
        <f t="shared" si="3"/>
        <v>OK</v>
      </c>
    </row>
    <row r="55" spans="1:22" hidden="1" x14ac:dyDescent="0.3">
      <c r="A55" s="90" t="s">
        <v>43</v>
      </c>
      <c r="B55" s="76">
        <v>11820</v>
      </c>
      <c r="C55" s="70" t="s">
        <v>67</v>
      </c>
      <c r="D55" s="70"/>
      <c r="E55" s="70"/>
      <c r="F55" s="70"/>
      <c r="G55" s="91"/>
      <c r="H55" s="82"/>
      <c r="I55" s="82">
        <f t="shared" si="4"/>
        <v>0</v>
      </c>
      <c r="J55" s="74"/>
      <c r="K55" s="11"/>
      <c r="L55" s="16"/>
      <c r="M55" s="16"/>
      <c r="N55" s="16"/>
      <c r="O55" s="16"/>
      <c r="P55" s="16"/>
      <c r="Q55" s="16"/>
      <c r="R55" s="35"/>
      <c r="S55" s="43"/>
      <c r="T55" s="46"/>
      <c r="U55" s="75">
        <f t="shared" si="5"/>
        <v>0</v>
      </c>
      <c r="V55" s="93" t="str">
        <f t="shared" si="3"/>
        <v>OK</v>
      </c>
    </row>
    <row r="56" spans="1:22" hidden="1" x14ac:dyDescent="0.3">
      <c r="A56" s="54" t="s">
        <v>44</v>
      </c>
      <c r="B56" s="63">
        <v>11816</v>
      </c>
      <c r="C56" s="18" t="s">
        <v>67</v>
      </c>
      <c r="D56" s="18"/>
      <c r="E56" s="18"/>
      <c r="F56" s="18"/>
      <c r="G56" s="92"/>
      <c r="H56" s="22"/>
      <c r="I56" s="22">
        <f t="shared" si="4"/>
        <v>0</v>
      </c>
      <c r="J56" s="69"/>
      <c r="K56" s="11"/>
      <c r="L56" s="22"/>
      <c r="M56" s="22"/>
      <c r="N56" s="22"/>
      <c r="O56" s="22"/>
      <c r="P56" s="22"/>
      <c r="Q56" s="22"/>
      <c r="R56" s="36"/>
      <c r="S56" s="44"/>
      <c r="T56" s="47"/>
      <c r="U56" s="52">
        <f>SUM(L56:T56)</f>
        <v>0</v>
      </c>
      <c r="V56" s="23" t="str">
        <f t="shared" si="3"/>
        <v>OK</v>
      </c>
    </row>
    <row r="57" spans="1:22" hidden="1" x14ac:dyDescent="0.3">
      <c r="A57" s="76" t="s">
        <v>77</v>
      </c>
      <c r="B57" s="76">
        <v>11381</v>
      </c>
      <c r="C57" s="77" t="s">
        <v>68</v>
      </c>
      <c r="D57" s="70"/>
      <c r="E57" s="70"/>
      <c r="F57" s="70"/>
      <c r="G57" s="91"/>
      <c r="H57" s="82"/>
      <c r="I57" s="82">
        <f t="shared" si="4"/>
        <v>0</v>
      </c>
      <c r="J57" s="74"/>
      <c r="K57" s="11"/>
      <c r="L57" s="16"/>
      <c r="M57" s="16"/>
      <c r="N57" s="16"/>
      <c r="O57" s="16"/>
      <c r="P57" s="16"/>
      <c r="Q57" s="16"/>
      <c r="R57" s="35"/>
      <c r="S57" s="43"/>
      <c r="T57" s="46"/>
      <c r="U57" s="75">
        <f>SUM(L57:T57)</f>
        <v>0</v>
      </c>
      <c r="V57" s="93" t="str">
        <f t="shared" si="3"/>
        <v>OK</v>
      </c>
    </row>
    <row r="58" spans="1:22" hidden="1" x14ac:dyDescent="0.3">
      <c r="A58" s="54" t="s">
        <v>69</v>
      </c>
      <c r="B58" s="63">
        <v>11382</v>
      </c>
      <c r="C58" s="18" t="s">
        <v>68</v>
      </c>
      <c r="D58" s="18"/>
      <c r="E58" s="18"/>
      <c r="F58" s="18"/>
      <c r="G58" s="92"/>
      <c r="H58" s="22"/>
      <c r="I58" s="22">
        <f t="shared" si="4"/>
        <v>0</v>
      </c>
      <c r="J58" s="69"/>
      <c r="K58" s="11"/>
      <c r="L58" s="22"/>
      <c r="M58" s="22"/>
      <c r="N58" s="22"/>
      <c r="O58" s="22"/>
      <c r="P58" s="22"/>
      <c r="Q58" s="22"/>
      <c r="R58" s="36"/>
      <c r="S58" s="44"/>
      <c r="T58" s="47"/>
      <c r="U58" s="52">
        <f>SUM(L58:T58)</f>
        <v>0</v>
      </c>
      <c r="V58" s="23" t="str">
        <f t="shared" si="3"/>
        <v>OK</v>
      </c>
    </row>
    <row r="59" spans="1:22" hidden="1" x14ac:dyDescent="0.3">
      <c r="A59" s="96" t="s">
        <v>105</v>
      </c>
      <c r="B59" s="76">
        <v>16586</v>
      </c>
      <c r="C59" s="70" t="s">
        <v>78</v>
      </c>
      <c r="D59" s="70"/>
      <c r="E59" s="70"/>
      <c r="F59" s="70"/>
      <c r="G59" s="91"/>
      <c r="H59" s="82"/>
      <c r="I59" s="82">
        <f t="shared" si="4"/>
        <v>0</v>
      </c>
      <c r="J59" s="74"/>
      <c r="K59" s="11"/>
      <c r="L59" s="16"/>
      <c r="M59" s="16"/>
      <c r="N59" s="16"/>
      <c r="O59" s="16"/>
      <c r="P59" s="16"/>
      <c r="Q59" s="16"/>
      <c r="R59" s="35"/>
      <c r="S59" s="43"/>
      <c r="T59" s="46"/>
      <c r="U59" s="75">
        <f t="shared" ref="U59:U69" si="6">SUM(L59:T59)</f>
        <v>0</v>
      </c>
      <c r="V59" s="93" t="str">
        <f t="shared" si="3"/>
        <v>OK</v>
      </c>
    </row>
    <row r="60" spans="1:22" hidden="1" x14ac:dyDescent="0.3">
      <c r="A60" s="54" t="s">
        <v>90</v>
      </c>
      <c r="B60" s="63">
        <v>16587</v>
      </c>
      <c r="C60" s="18" t="s">
        <v>78</v>
      </c>
      <c r="D60" s="18"/>
      <c r="E60" s="18"/>
      <c r="F60" s="18"/>
      <c r="G60" s="92"/>
      <c r="H60" s="22"/>
      <c r="I60" s="22">
        <f t="shared" si="4"/>
        <v>0</v>
      </c>
      <c r="J60" s="69"/>
      <c r="K60" s="11"/>
      <c r="L60" s="22"/>
      <c r="M60" s="22"/>
      <c r="N60" s="22"/>
      <c r="O60" s="22"/>
      <c r="P60" s="22"/>
      <c r="Q60" s="22"/>
      <c r="R60" s="36"/>
      <c r="S60" s="44"/>
      <c r="T60" s="47"/>
      <c r="U60" s="52">
        <f t="shared" si="6"/>
        <v>0</v>
      </c>
      <c r="V60" s="23" t="str">
        <f t="shared" si="3"/>
        <v>OK</v>
      </c>
    </row>
    <row r="61" spans="1:22" hidden="1" x14ac:dyDescent="0.3">
      <c r="A61" s="90" t="s">
        <v>91</v>
      </c>
      <c r="B61" s="76">
        <v>17121</v>
      </c>
      <c r="C61" s="70" t="s">
        <v>92</v>
      </c>
      <c r="D61" s="70"/>
      <c r="E61" s="70"/>
      <c r="F61" s="70"/>
      <c r="G61" s="91"/>
      <c r="H61" s="82"/>
      <c r="I61" s="82">
        <f t="shared" si="4"/>
        <v>0</v>
      </c>
      <c r="J61" s="74"/>
      <c r="K61" s="11"/>
      <c r="L61" s="16"/>
      <c r="M61" s="16"/>
      <c r="N61" s="16"/>
      <c r="O61" s="16"/>
      <c r="P61" s="16"/>
      <c r="Q61" s="16"/>
      <c r="R61" s="35"/>
      <c r="S61" s="43"/>
      <c r="T61" s="46"/>
      <c r="U61" s="75">
        <f t="shared" si="6"/>
        <v>0</v>
      </c>
      <c r="V61" s="93" t="str">
        <f t="shared" si="3"/>
        <v>OK</v>
      </c>
    </row>
    <row r="62" spans="1:22" hidden="1" x14ac:dyDescent="0.3">
      <c r="A62" s="54" t="s">
        <v>106</v>
      </c>
      <c r="B62" s="63">
        <v>19270</v>
      </c>
      <c r="C62" s="18" t="s">
        <v>68</v>
      </c>
      <c r="D62" s="18"/>
      <c r="E62" s="18"/>
      <c r="F62" s="18"/>
      <c r="G62" s="92"/>
      <c r="H62" s="22"/>
      <c r="I62" s="22">
        <f t="shared" si="4"/>
        <v>0</v>
      </c>
      <c r="J62" s="69"/>
      <c r="K62" s="11"/>
      <c r="L62" s="22"/>
      <c r="M62" s="22"/>
      <c r="N62" s="22"/>
      <c r="O62" s="22"/>
      <c r="P62" s="22"/>
      <c r="Q62" s="22"/>
      <c r="R62" s="36"/>
      <c r="S62" s="44"/>
      <c r="T62" s="47"/>
      <c r="U62" s="71">
        <f t="shared" si="6"/>
        <v>0</v>
      </c>
      <c r="V62" s="23" t="str">
        <f t="shared" si="3"/>
        <v>OK</v>
      </c>
    </row>
    <row r="63" spans="1:22" hidden="1" x14ac:dyDescent="0.3">
      <c r="A63" s="90" t="s">
        <v>107</v>
      </c>
      <c r="B63" s="76">
        <v>19276</v>
      </c>
      <c r="C63" s="70" t="s">
        <v>68</v>
      </c>
      <c r="D63" s="70"/>
      <c r="E63" s="70"/>
      <c r="F63" s="70"/>
      <c r="G63" s="91"/>
      <c r="H63" s="82"/>
      <c r="I63" s="82">
        <f t="shared" si="4"/>
        <v>0</v>
      </c>
      <c r="J63" s="74"/>
      <c r="K63" s="11"/>
      <c r="L63" s="16"/>
      <c r="M63" s="16"/>
      <c r="N63" s="16"/>
      <c r="O63" s="16"/>
      <c r="P63" s="16"/>
      <c r="Q63" s="16"/>
      <c r="R63" s="35"/>
      <c r="S63" s="43"/>
      <c r="T63" s="46"/>
      <c r="U63" s="75">
        <f t="shared" si="6"/>
        <v>0</v>
      </c>
      <c r="V63" s="93" t="str">
        <f t="shared" si="3"/>
        <v>OK</v>
      </c>
    </row>
    <row r="64" spans="1:22" hidden="1" x14ac:dyDescent="0.3">
      <c r="A64" s="54" t="s">
        <v>108</v>
      </c>
      <c r="B64" s="63">
        <v>19836</v>
      </c>
      <c r="C64" s="18" t="s">
        <v>45</v>
      </c>
      <c r="D64" s="18"/>
      <c r="E64" s="18"/>
      <c r="F64" s="18"/>
      <c r="G64" s="92"/>
      <c r="H64" s="22"/>
      <c r="I64" s="22">
        <f t="shared" si="4"/>
        <v>0</v>
      </c>
      <c r="J64" s="69"/>
      <c r="K64" s="11"/>
      <c r="L64" s="22"/>
      <c r="M64" s="22"/>
      <c r="N64" s="22"/>
      <c r="O64" s="22"/>
      <c r="P64" s="22"/>
      <c r="Q64" s="22"/>
      <c r="R64" s="36"/>
      <c r="S64" s="44"/>
      <c r="T64" s="47"/>
      <c r="U64" s="52">
        <f t="shared" si="6"/>
        <v>0</v>
      </c>
      <c r="V64" s="23" t="str">
        <f t="shared" si="3"/>
        <v>OK</v>
      </c>
    </row>
    <row r="65" spans="1:22" x14ac:dyDescent="0.3">
      <c r="A65" s="90" t="s">
        <v>109</v>
      </c>
      <c r="B65" s="76">
        <v>20278</v>
      </c>
      <c r="C65" s="70" t="s">
        <v>110</v>
      </c>
      <c r="D65" s="70"/>
      <c r="E65" s="70"/>
      <c r="F65" s="70"/>
      <c r="G65" s="91"/>
      <c r="H65" s="82"/>
      <c r="I65" s="82">
        <f t="shared" si="4"/>
        <v>9</v>
      </c>
      <c r="J65" s="74"/>
      <c r="K65" s="11"/>
      <c r="L65" s="16"/>
      <c r="M65" s="16">
        <v>9</v>
      </c>
      <c r="N65" s="16"/>
      <c r="O65" s="16"/>
      <c r="P65" s="16"/>
      <c r="Q65" s="16"/>
      <c r="R65" s="35"/>
      <c r="S65" s="43"/>
      <c r="T65" s="46"/>
      <c r="U65" s="75">
        <f t="shared" si="6"/>
        <v>9</v>
      </c>
      <c r="V65" s="93" t="str">
        <f t="shared" si="3"/>
        <v>OK</v>
      </c>
    </row>
    <row r="66" spans="1:22" hidden="1" x14ac:dyDescent="0.3">
      <c r="A66" s="54" t="s">
        <v>111</v>
      </c>
      <c r="B66" s="63">
        <v>20272</v>
      </c>
      <c r="C66" s="18" t="s">
        <v>110</v>
      </c>
      <c r="D66" s="18"/>
      <c r="E66" s="18"/>
      <c r="F66" s="18"/>
      <c r="G66" s="92"/>
      <c r="H66" s="22"/>
      <c r="I66" s="22">
        <f t="shared" si="4"/>
        <v>0</v>
      </c>
      <c r="J66" s="69"/>
      <c r="K66" s="11"/>
      <c r="L66" s="22"/>
      <c r="M66" s="22"/>
      <c r="N66" s="22"/>
      <c r="O66" s="22"/>
      <c r="P66" s="22"/>
      <c r="Q66" s="22"/>
      <c r="R66" s="36"/>
      <c r="S66" s="44"/>
      <c r="T66" s="47"/>
      <c r="U66" s="52">
        <f t="shared" si="6"/>
        <v>0</v>
      </c>
      <c r="V66" s="23" t="str">
        <f t="shared" si="3"/>
        <v>OK</v>
      </c>
    </row>
    <row r="67" spans="1:22" hidden="1" x14ac:dyDescent="0.3">
      <c r="A67" s="90" t="s">
        <v>112</v>
      </c>
      <c r="B67" s="76">
        <v>20956</v>
      </c>
      <c r="C67" s="70" t="s">
        <v>110</v>
      </c>
      <c r="D67" s="70"/>
      <c r="E67" s="70"/>
      <c r="F67" s="70"/>
      <c r="G67" s="91"/>
      <c r="H67" s="82"/>
      <c r="I67" s="82">
        <f t="shared" si="4"/>
        <v>0</v>
      </c>
      <c r="J67" s="74"/>
      <c r="K67" s="11"/>
      <c r="L67" s="16"/>
      <c r="M67" s="16"/>
      <c r="N67" s="16"/>
      <c r="O67" s="16"/>
      <c r="P67" s="16"/>
      <c r="Q67" s="16"/>
      <c r="R67" s="35"/>
      <c r="S67" s="43"/>
      <c r="T67" s="46"/>
      <c r="U67" s="75">
        <f t="shared" si="6"/>
        <v>0</v>
      </c>
      <c r="V67" s="93" t="str">
        <f t="shared" si="3"/>
        <v>OK</v>
      </c>
    </row>
    <row r="68" spans="1:22" ht="17.25" thickBot="1" x14ac:dyDescent="0.35">
      <c r="A68" s="54" t="s">
        <v>116</v>
      </c>
      <c r="B68" s="63">
        <v>21299</v>
      </c>
      <c r="C68" s="18" t="s">
        <v>78</v>
      </c>
      <c r="D68" s="18"/>
      <c r="E68" s="18"/>
      <c r="F68" s="18"/>
      <c r="G68" s="92"/>
      <c r="H68" s="22"/>
      <c r="I68" s="22">
        <f t="shared" si="4"/>
        <v>5</v>
      </c>
      <c r="J68" s="69"/>
      <c r="K68" s="11"/>
      <c r="L68" s="22"/>
      <c r="M68" s="22">
        <v>5</v>
      </c>
      <c r="N68" s="22"/>
      <c r="O68" s="22"/>
      <c r="P68" s="22"/>
      <c r="Q68" s="22"/>
      <c r="R68" s="36"/>
      <c r="S68" s="44"/>
      <c r="T68" s="47"/>
      <c r="U68" s="71">
        <f t="shared" si="6"/>
        <v>5</v>
      </c>
      <c r="V68" s="23" t="str">
        <f>IF(U68=I68,"OK","NG")</f>
        <v>OK</v>
      </c>
    </row>
    <row r="69" spans="1:22" ht="17.25" hidden="1" thickBot="1" x14ac:dyDescent="0.35">
      <c r="A69" s="99" t="s">
        <v>117</v>
      </c>
      <c r="B69" s="76">
        <v>22115</v>
      </c>
      <c r="C69" s="82" t="s">
        <v>118</v>
      </c>
      <c r="D69" s="82"/>
      <c r="E69" s="82"/>
      <c r="F69" s="82"/>
      <c r="G69" s="82"/>
      <c r="H69" s="82"/>
      <c r="I69" s="82">
        <f t="shared" si="4"/>
        <v>0</v>
      </c>
      <c r="J69" s="97"/>
      <c r="K69" s="112"/>
      <c r="L69" s="82"/>
      <c r="M69" s="82"/>
      <c r="N69" s="82"/>
      <c r="O69" s="82"/>
      <c r="P69" s="82"/>
      <c r="Q69" s="82"/>
      <c r="R69" s="83"/>
      <c r="S69" s="84"/>
      <c r="T69" s="100"/>
      <c r="U69" s="75">
        <f t="shared" si="6"/>
        <v>0</v>
      </c>
      <c r="V69" s="93" t="str">
        <f>IF(U69=I69,"OK","NG")</f>
        <v>OK</v>
      </c>
    </row>
    <row r="70" spans="1:22" ht="17.25" hidden="1" thickBot="1" x14ac:dyDescent="0.35">
      <c r="A70" s="54" t="s">
        <v>120</v>
      </c>
      <c r="B70" s="63">
        <v>22706</v>
      </c>
      <c r="C70" s="18" t="s">
        <v>119</v>
      </c>
      <c r="D70" s="18"/>
      <c r="E70" s="18"/>
      <c r="F70" s="18"/>
      <c r="G70" s="92"/>
      <c r="H70" s="22"/>
      <c r="I70" s="22">
        <f t="shared" si="4"/>
        <v>0</v>
      </c>
      <c r="J70" s="69"/>
      <c r="K70" s="11"/>
      <c r="L70" s="22"/>
      <c r="M70" s="22"/>
      <c r="N70" s="22"/>
      <c r="O70" s="22"/>
      <c r="P70" s="22"/>
      <c r="Q70" s="22"/>
      <c r="R70" s="36"/>
      <c r="S70" s="44"/>
      <c r="T70" s="47"/>
      <c r="U70" s="71">
        <f t="shared" ref="U70" si="7">SUM(L70:T70)</f>
        <v>0</v>
      </c>
      <c r="V70" s="23" t="str">
        <f>IF(U70=I70,"OK","NG")</f>
        <v>OK</v>
      </c>
    </row>
    <row r="71" spans="1:22" ht="17.25" hidden="1" thickBot="1" x14ac:dyDescent="0.35">
      <c r="A71" s="99" t="s">
        <v>121</v>
      </c>
      <c r="B71" s="76">
        <v>22886</v>
      </c>
      <c r="C71" s="82" t="s">
        <v>46</v>
      </c>
      <c r="D71" s="82"/>
      <c r="E71" s="82"/>
      <c r="F71" s="82"/>
      <c r="G71" s="82"/>
      <c r="H71" s="82"/>
      <c r="I71" s="82">
        <f t="shared" ref="I71:I79" si="8">SUM(L71:T71)</f>
        <v>0</v>
      </c>
      <c r="J71" s="97"/>
      <c r="K71" s="112"/>
      <c r="L71" s="82"/>
      <c r="M71" s="82"/>
      <c r="N71" s="82"/>
      <c r="O71" s="82"/>
      <c r="P71" s="82"/>
      <c r="Q71" s="82"/>
      <c r="R71" s="83"/>
      <c r="S71" s="84"/>
      <c r="T71" s="100"/>
      <c r="U71" s="75">
        <f>SUM(L71:T71)</f>
        <v>0</v>
      </c>
      <c r="V71" s="93" t="str">
        <f>IF(U71=I71,"OK","NG")</f>
        <v>OK</v>
      </c>
    </row>
    <row r="72" spans="1:22" ht="17.25" hidden="1" thickBot="1" x14ac:dyDescent="0.35">
      <c r="A72" s="54" t="s">
        <v>122</v>
      </c>
      <c r="B72" s="63">
        <v>17528</v>
      </c>
      <c r="C72" s="18" t="s">
        <v>123</v>
      </c>
      <c r="D72" s="18"/>
      <c r="E72" s="18"/>
      <c r="F72" s="18"/>
      <c r="G72" s="92"/>
      <c r="H72" s="22"/>
      <c r="I72" s="22">
        <f t="shared" si="8"/>
        <v>0</v>
      </c>
      <c r="J72" s="69"/>
      <c r="K72" s="11"/>
      <c r="L72" s="22"/>
      <c r="M72" s="22"/>
      <c r="N72" s="22"/>
      <c r="O72" s="22"/>
      <c r="P72" s="22"/>
      <c r="Q72" s="22"/>
      <c r="R72" s="36"/>
      <c r="S72" s="44"/>
      <c r="T72" s="47"/>
      <c r="U72" s="71">
        <f t="shared" ref="U72:U79" si="9">SUM(L72:T72)</f>
        <v>0</v>
      </c>
      <c r="V72" s="95" t="str">
        <f t="shared" ref="V72:V80" si="10">IF(U72=I72,"OK","NG")</f>
        <v>OK</v>
      </c>
    </row>
    <row r="73" spans="1:22" ht="17.25" hidden="1" thickBot="1" x14ac:dyDescent="0.35">
      <c r="A73" s="99" t="s">
        <v>124</v>
      </c>
      <c r="B73" s="76">
        <v>22380</v>
      </c>
      <c r="C73" s="82" t="s">
        <v>47</v>
      </c>
      <c r="D73" s="82"/>
      <c r="E73" s="82"/>
      <c r="F73" s="82"/>
      <c r="G73" s="82"/>
      <c r="H73" s="82"/>
      <c r="I73" s="82">
        <f t="shared" si="8"/>
        <v>0</v>
      </c>
      <c r="J73" s="97"/>
      <c r="K73" s="112"/>
      <c r="L73" s="82"/>
      <c r="M73" s="82"/>
      <c r="N73" s="82"/>
      <c r="O73" s="82"/>
      <c r="P73" s="82"/>
      <c r="Q73" s="82"/>
      <c r="R73" s="83"/>
      <c r="S73" s="84"/>
      <c r="T73" s="100"/>
      <c r="U73" s="75">
        <f t="shared" si="9"/>
        <v>0</v>
      </c>
      <c r="V73" s="93" t="str">
        <f t="shared" si="10"/>
        <v>OK</v>
      </c>
    </row>
    <row r="74" spans="1:22" ht="17.25" hidden="1" thickBot="1" x14ac:dyDescent="0.35">
      <c r="A74" s="54" t="s">
        <v>125</v>
      </c>
      <c r="B74" s="63">
        <v>19279</v>
      </c>
      <c r="C74" s="18" t="s">
        <v>126</v>
      </c>
      <c r="D74" s="18"/>
      <c r="E74" s="18"/>
      <c r="F74" s="18"/>
      <c r="G74" s="92"/>
      <c r="H74" s="22"/>
      <c r="I74" s="22">
        <f t="shared" si="8"/>
        <v>0</v>
      </c>
      <c r="J74" s="69"/>
      <c r="K74" s="11"/>
      <c r="L74" s="22"/>
      <c r="M74" s="22"/>
      <c r="N74" s="22"/>
      <c r="O74" s="22"/>
      <c r="P74" s="22"/>
      <c r="Q74" s="22"/>
      <c r="R74" s="36"/>
      <c r="S74" s="44"/>
      <c r="T74" s="47"/>
      <c r="U74" s="71">
        <f t="shared" si="9"/>
        <v>0</v>
      </c>
      <c r="V74" s="95" t="str">
        <f t="shared" si="10"/>
        <v>OK</v>
      </c>
    </row>
    <row r="75" spans="1:22" ht="17.25" hidden="1" thickBot="1" x14ac:dyDescent="0.35">
      <c r="A75" s="90" t="s">
        <v>131</v>
      </c>
      <c r="B75" s="76">
        <v>22724</v>
      </c>
      <c r="C75" s="70" t="s">
        <v>119</v>
      </c>
      <c r="D75" s="70"/>
      <c r="E75" s="70"/>
      <c r="F75" s="70"/>
      <c r="G75" s="91"/>
      <c r="H75" s="82"/>
      <c r="I75" s="82">
        <f t="shared" si="8"/>
        <v>0</v>
      </c>
      <c r="J75" s="74"/>
      <c r="K75" s="11"/>
      <c r="L75" s="82"/>
      <c r="M75" s="82"/>
      <c r="N75" s="82"/>
      <c r="O75" s="82"/>
      <c r="P75" s="82"/>
      <c r="Q75" s="82"/>
      <c r="R75" s="83"/>
      <c r="S75" s="84"/>
      <c r="T75" s="85"/>
      <c r="U75" s="75">
        <f>SUM(L75:T75)</f>
        <v>0</v>
      </c>
      <c r="V75" s="93" t="s">
        <v>129</v>
      </c>
    </row>
    <row r="76" spans="1:22" ht="17.25" hidden="1" thickBot="1" x14ac:dyDescent="0.35">
      <c r="A76" s="54" t="s">
        <v>133</v>
      </c>
      <c r="B76" s="63">
        <v>22705</v>
      </c>
      <c r="C76" s="18" t="s">
        <v>119</v>
      </c>
      <c r="D76" s="18"/>
      <c r="E76" s="18"/>
      <c r="F76" s="18"/>
      <c r="G76" s="92"/>
      <c r="H76" s="22"/>
      <c r="I76" s="22">
        <f t="shared" si="8"/>
        <v>0</v>
      </c>
      <c r="J76" s="69"/>
      <c r="K76" s="11"/>
      <c r="L76" s="22"/>
      <c r="M76" s="22"/>
      <c r="N76" s="22"/>
      <c r="O76" s="22"/>
      <c r="P76" s="22"/>
      <c r="Q76" s="22"/>
      <c r="R76" s="36"/>
      <c r="S76" s="44"/>
      <c r="T76" s="47"/>
      <c r="U76" s="71">
        <f t="shared" si="9"/>
        <v>0</v>
      </c>
      <c r="V76" s="95" t="str">
        <f t="shared" si="10"/>
        <v>OK</v>
      </c>
    </row>
    <row r="77" spans="1:22" ht="17.25" hidden="1" thickBot="1" x14ac:dyDescent="0.35">
      <c r="A77" s="99" t="s">
        <v>128</v>
      </c>
      <c r="B77" s="76">
        <v>5655</v>
      </c>
      <c r="C77" s="82" t="s">
        <v>54</v>
      </c>
      <c r="D77" s="82"/>
      <c r="E77" s="82"/>
      <c r="F77" s="82"/>
      <c r="G77" s="82"/>
      <c r="H77" s="82"/>
      <c r="I77" s="82">
        <f t="shared" si="8"/>
        <v>0</v>
      </c>
      <c r="J77" s="97"/>
      <c r="K77" s="112"/>
      <c r="L77" s="82"/>
      <c r="M77" s="82"/>
      <c r="N77" s="82"/>
      <c r="O77" s="82"/>
      <c r="P77" s="82"/>
      <c r="Q77" s="82"/>
      <c r="R77" s="83"/>
      <c r="S77" s="84"/>
      <c r="T77" s="100"/>
      <c r="U77" s="75">
        <f t="shared" si="9"/>
        <v>0</v>
      </c>
      <c r="V77" s="93" t="str">
        <f t="shared" si="10"/>
        <v>OK</v>
      </c>
    </row>
    <row r="78" spans="1:22" ht="17.25" hidden="1" thickBot="1" x14ac:dyDescent="0.35">
      <c r="A78" s="120" t="s">
        <v>136</v>
      </c>
      <c r="B78" s="121">
        <v>22704</v>
      </c>
      <c r="C78" s="122" t="s">
        <v>137</v>
      </c>
      <c r="D78" s="122"/>
      <c r="E78" s="122"/>
      <c r="F78" s="122"/>
      <c r="G78" s="122"/>
      <c r="H78" s="122"/>
      <c r="I78" s="22">
        <f t="shared" si="8"/>
        <v>0</v>
      </c>
      <c r="J78" s="45"/>
      <c r="K78" s="112"/>
      <c r="L78" s="22"/>
      <c r="M78" s="22"/>
      <c r="N78" s="22"/>
      <c r="O78" s="22"/>
      <c r="P78" s="22"/>
      <c r="Q78" s="22"/>
      <c r="R78" s="36"/>
      <c r="S78" s="44"/>
      <c r="T78" s="116"/>
      <c r="U78" s="71">
        <f t="shared" si="9"/>
        <v>0</v>
      </c>
      <c r="V78" s="95" t="str">
        <f t="shared" si="10"/>
        <v>OK</v>
      </c>
    </row>
    <row r="79" spans="1:22" ht="17.25" hidden="1" thickBot="1" x14ac:dyDescent="0.35">
      <c r="A79" s="136" t="s">
        <v>139</v>
      </c>
      <c r="B79" s="133">
        <v>22722</v>
      </c>
      <c r="C79" s="137" t="s">
        <v>119</v>
      </c>
      <c r="D79" s="137"/>
      <c r="E79" s="137"/>
      <c r="F79" s="137"/>
      <c r="G79" s="137"/>
      <c r="H79" s="137"/>
      <c r="I79" s="82">
        <f t="shared" si="8"/>
        <v>0</v>
      </c>
      <c r="J79" s="97"/>
      <c r="K79" s="119"/>
      <c r="L79" s="82"/>
      <c r="M79" s="82"/>
      <c r="N79" s="82"/>
      <c r="O79" s="82"/>
      <c r="P79" s="82"/>
      <c r="Q79" s="82"/>
      <c r="R79" s="83"/>
      <c r="S79" s="84"/>
      <c r="T79" s="100"/>
      <c r="U79" s="75">
        <f t="shared" si="9"/>
        <v>0</v>
      </c>
      <c r="V79" s="93" t="str">
        <f t="shared" si="10"/>
        <v>OK</v>
      </c>
    </row>
    <row r="80" spans="1:22" ht="17.25" hidden="1" thickBot="1" x14ac:dyDescent="0.35">
      <c r="A80" s="126" t="s">
        <v>134</v>
      </c>
      <c r="B80" s="127">
        <v>22723</v>
      </c>
      <c r="C80" s="128" t="s">
        <v>119</v>
      </c>
      <c r="D80" s="128"/>
      <c r="E80" s="128"/>
      <c r="F80" s="128"/>
      <c r="G80" s="128"/>
      <c r="H80" s="22"/>
      <c r="I80" s="22">
        <f t="shared" ref="I80" si="11">SUM(L80:T80)</f>
        <v>0</v>
      </c>
      <c r="J80" s="45"/>
      <c r="K80" s="112"/>
      <c r="L80" s="22"/>
      <c r="M80" s="22"/>
      <c r="N80" s="22"/>
      <c r="O80" s="22"/>
      <c r="P80" s="22"/>
      <c r="Q80" s="22"/>
      <c r="R80" s="36"/>
      <c r="S80" s="44"/>
      <c r="T80" s="116"/>
      <c r="U80" s="52">
        <f t="shared" ref="U80" si="12">SUM(L80:T80)</f>
        <v>0</v>
      </c>
      <c r="V80" s="23" t="str">
        <f t="shared" si="10"/>
        <v>OK</v>
      </c>
    </row>
    <row r="81" spans="1:22" x14ac:dyDescent="0.3">
      <c r="A81" s="86"/>
      <c r="B81" s="86"/>
      <c r="C81" s="87" t="s">
        <v>9</v>
      </c>
      <c r="D81" s="87"/>
      <c r="E81" s="87"/>
      <c r="F81" s="87"/>
      <c r="G81" s="88">
        <f>SUM(G6:G49)</f>
        <v>0</v>
      </c>
      <c r="H81" s="89">
        <f>SUM(H6:H49)</f>
        <v>0</v>
      </c>
      <c r="I81" s="88">
        <f>SUM(I6:I80)</f>
        <v>28</v>
      </c>
      <c r="J81" s="40">
        <f>SUM(J6:J49)</f>
        <v>0</v>
      </c>
      <c r="K81" s="115">
        <f>SUM(K6:K51)</f>
        <v>0</v>
      </c>
      <c r="L81" s="38">
        <f>SUM(L6:L80)</f>
        <v>0</v>
      </c>
      <c r="M81" s="38">
        <f t="shared" ref="M81:U81" si="13">SUM(M6:M80)</f>
        <v>28</v>
      </c>
      <c r="N81" s="38">
        <f t="shared" si="13"/>
        <v>0</v>
      </c>
      <c r="O81" s="38">
        <f t="shared" si="13"/>
        <v>0</v>
      </c>
      <c r="P81" s="38">
        <f t="shared" si="13"/>
        <v>0</v>
      </c>
      <c r="Q81" s="38">
        <f t="shared" si="13"/>
        <v>0</v>
      </c>
      <c r="R81" s="38">
        <f t="shared" si="13"/>
        <v>0</v>
      </c>
      <c r="S81" s="38">
        <f t="shared" si="13"/>
        <v>0</v>
      </c>
      <c r="T81" s="38">
        <f t="shared" si="13"/>
        <v>0</v>
      </c>
      <c r="U81" s="38">
        <f t="shared" si="13"/>
        <v>28</v>
      </c>
      <c r="V81" s="41" t="str">
        <f>IF(U81=SUM(I81),"OK","NG")</f>
        <v>OK</v>
      </c>
    </row>
  </sheetData>
  <autoFilter ref="A5:V81" xr:uid="{00000000-0001-0000-1700-000000000000}">
    <filterColumn colId="8">
      <filters>
        <filter val="10"/>
        <filter val="28"/>
        <filter val="4"/>
        <filter val="5"/>
        <filter val="9"/>
      </filters>
    </filterColumn>
  </autoFilter>
  <mergeCells count="20">
    <mergeCell ref="O4:O5"/>
    <mergeCell ref="P4:P5"/>
    <mergeCell ref="B3:C3"/>
    <mergeCell ref="N4:N5"/>
    <mergeCell ref="B1:C1"/>
    <mergeCell ref="F1:G1"/>
    <mergeCell ref="H1:J3"/>
    <mergeCell ref="B2:C2"/>
    <mergeCell ref="A4:D4"/>
    <mergeCell ref="E4:G4"/>
    <mergeCell ref="H4:J4"/>
    <mergeCell ref="L4:L5"/>
    <mergeCell ref="M4:M5"/>
    <mergeCell ref="Q4:Q5"/>
    <mergeCell ref="R4:R5"/>
    <mergeCell ref="S4:S5"/>
    <mergeCell ref="T4:T5"/>
    <mergeCell ref="V2:V3"/>
    <mergeCell ref="U4:U5"/>
    <mergeCell ref="V4:V5"/>
  </mergeCells>
  <phoneticPr fontId="3" type="noConversion"/>
  <conditionalFormatting sqref="A4 V6:V81">
    <cfRule type="containsText" dxfId="17" priority="11" operator="containsText" text="NG">
      <formula>NOT(ISERROR(SEARCH("NG",A4)))</formula>
    </cfRule>
    <cfRule type="containsText" dxfId="16" priority="12" operator="containsText" text="OK">
      <formula>NOT(ISERROR(SEARCH("OK",A4)))</formula>
    </cfRule>
  </conditionalFormatting>
  <pageMargins left="0.70866141732283472" right="0.70866141732283472" top="0.74803149606299213" bottom="0.74803149606299213" header="0.31496062992125984" footer="0.31496062992125984"/>
  <pageSetup paperSize="8" scale="10" orientation="landscape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 filterMode="1">
    <pageSetUpPr fitToPage="1"/>
  </sheetPr>
  <dimension ref="A1:V81"/>
  <sheetViews>
    <sheetView showGridLines="0" topLeftCell="A2" zoomScale="85" zoomScaleNormal="85" workbookViewId="0">
      <pane ySplit="4" topLeftCell="A57" activePane="bottomLeft" state="frozen"/>
      <selection activeCell="W73" sqref="W73"/>
      <selection pane="bottomLeft" activeCell="O91" sqref="O90:O91"/>
    </sheetView>
  </sheetViews>
  <sheetFormatPr defaultColWidth="9" defaultRowHeight="16.5" x14ac:dyDescent="0.3"/>
  <cols>
    <col min="1" max="1" width="12.625" bestFit="1" customWidth="1"/>
    <col min="2" max="2" width="14.125" bestFit="1" customWidth="1"/>
    <col min="3" max="3" width="35.125" customWidth="1"/>
    <col min="4" max="4" width="11.75" hidden="1" customWidth="1"/>
    <col min="5" max="6" width="9" hidden="1" customWidth="1"/>
    <col min="7" max="7" width="15.375" hidden="1" customWidth="1"/>
    <col min="8" max="8" width="13.25" hidden="1" customWidth="1"/>
    <col min="9" max="9" width="13.25" customWidth="1"/>
    <col min="10" max="10" width="13.25" hidden="1" customWidth="1"/>
    <col min="11" max="11" width="0.875" customWidth="1"/>
    <col min="20" max="20" width="11" bestFit="1" customWidth="1"/>
  </cols>
  <sheetData>
    <row r="1" spans="1:22" ht="22.5" customHeight="1" thickBot="1" x14ac:dyDescent="0.35">
      <c r="A1" s="32" t="s">
        <v>28</v>
      </c>
      <c r="B1" s="153">
        <f>H81</f>
        <v>0</v>
      </c>
      <c r="C1" s="154"/>
      <c r="D1" s="55"/>
      <c r="E1" s="58" t="s">
        <v>1</v>
      </c>
      <c r="F1" s="155">
        <f>G81</f>
        <v>0</v>
      </c>
      <c r="G1" s="155"/>
      <c r="H1" s="156"/>
      <c r="I1" s="156"/>
      <c r="J1" s="156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22.5" customHeight="1" thickBot="1" x14ac:dyDescent="0.35">
      <c r="A2" s="32" t="s">
        <v>29</v>
      </c>
      <c r="B2" s="158">
        <f>I81</f>
        <v>4</v>
      </c>
      <c r="C2" s="159"/>
      <c r="D2" s="56"/>
      <c r="E2" s="59"/>
      <c r="F2" s="2"/>
      <c r="G2" s="2"/>
      <c r="H2" s="156"/>
      <c r="I2" s="156"/>
      <c r="J2" s="156"/>
      <c r="K2" s="113"/>
      <c r="L2" s="3">
        <f>SUBTOTAL(9,L6:L80)</f>
        <v>0</v>
      </c>
      <c r="M2" s="3">
        <f t="shared" ref="M2:T2" si="0">SUBTOTAL(9,M6:M80)</f>
        <v>4</v>
      </c>
      <c r="N2" s="3">
        <f t="shared" si="0"/>
        <v>0</v>
      </c>
      <c r="O2" s="3">
        <f t="shared" si="0"/>
        <v>0</v>
      </c>
      <c r="P2" s="3">
        <f t="shared" si="0"/>
        <v>0</v>
      </c>
      <c r="Q2" s="3">
        <f t="shared" si="0"/>
        <v>0</v>
      </c>
      <c r="R2" s="3">
        <f t="shared" si="0"/>
        <v>0</v>
      </c>
      <c r="S2" s="3">
        <f t="shared" si="0"/>
        <v>0</v>
      </c>
      <c r="T2" s="3">
        <f t="shared" si="0"/>
        <v>0</v>
      </c>
      <c r="U2" s="48">
        <f>SUBTOTAL(9,U6:U80)</f>
        <v>4</v>
      </c>
      <c r="V2" s="145"/>
    </row>
    <row r="3" spans="1:22" ht="22.5" customHeight="1" thickBot="1" x14ac:dyDescent="0.35">
      <c r="A3" s="33" t="s">
        <v>30</v>
      </c>
      <c r="B3" s="151">
        <f>IF(ISERROR(B2/(B2+B1)*1000000),"",(B2/(B2+B1)*1000000))</f>
        <v>1000000</v>
      </c>
      <c r="C3" s="152"/>
      <c r="D3" s="57"/>
      <c r="E3" s="60"/>
      <c r="F3" s="27"/>
      <c r="G3" s="27"/>
      <c r="H3" s="157"/>
      <c r="I3" s="157"/>
      <c r="J3" s="157"/>
      <c r="K3" s="114"/>
      <c r="L3" s="4">
        <f t="shared" ref="L3:U3" si="1">SUM(L6:L80)</f>
        <v>0</v>
      </c>
      <c r="M3" s="4">
        <f t="shared" si="1"/>
        <v>4</v>
      </c>
      <c r="N3" s="4">
        <f t="shared" si="1"/>
        <v>0</v>
      </c>
      <c r="O3" s="4">
        <f t="shared" si="1"/>
        <v>0</v>
      </c>
      <c r="P3" s="4">
        <f t="shared" si="1"/>
        <v>0</v>
      </c>
      <c r="Q3" s="4">
        <f t="shared" si="1"/>
        <v>0</v>
      </c>
      <c r="R3" s="4">
        <f t="shared" si="1"/>
        <v>0</v>
      </c>
      <c r="S3" s="4">
        <f t="shared" si="1"/>
        <v>0</v>
      </c>
      <c r="T3" s="4">
        <f t="shared" si="1"/>
        <v>0</v>
      </c>
      <c r="U3" s="49">
        <f t="shared" si="1"/>
        <v>4</v>
      </c>
      <c r="V3" s="146"/>
    </row>
    <row r="4" spans="1:22" ht="43.5" customHeight="1" x14ac:dyDescent="0.3">
      <c r="A4" s="160" t="str">
        <f>V81</f>
        <v>OK</v>
      </c>
      <c r="B4" s="160"/>
      <c r="C4" s="160"/>
      <c r="D4" s="161"/>
      <c r="E4" s="162" t="s">
        <v>15</v>
      </c>
      <c r="F4" s="162"/>
      <c r="G4" s="162"/>
      <c r="H4" s="163" t="s">
        <v>16</v>
      </c>
      <c r="I4" s="163"/>
      <c r="J4" s="163"/>
      <c r="K4" s="113"/>
      <c r="L4" s="164" t="s">
        <v>10</v>
      </c>
      <c r="M4" s="142" t="s">
        <v>17</v>
      </c>
      <c r="N4" s="142" t="s">
        <v>11</v>
      </c>
      <c r="O4" s="138" t="s">
        <v>12</v>
      </c>
      <c r="P4" s="142" t="s">
        <v>13</v>
      </c>
      <c r="Q4" s="138" t="s">
        <v>14</v>
      </c>
      <c r="R4" s="140" t="s">
        <v>20</v>
      </c>
      <c r="S4" s="142" t="s">
        <v>21</v>
      </c>
      <c r="T4" s="143" t="s">
        <v>22</v>
      </c>
      <c r="U4" s="147" t="s">
        <v>18</v>
      </c>
      <c r="V4" s="149" t="s">
        <v>19</v>
      </c>
    </row>
    <row r="5" spans="1:22" ht="33.75" thickBot="1" x14ac:dyDescent="0.35">
      <c r="A5" s="29" t="s">
        <v>3</v>
      </c>
      <c r="B5" s="30" t="s">
        <v>32</v>
      </c>
      <c r="C5" s="29" t="s">
        <v>4</v>
      </c>
      <c r="D5" s="29" t="s">
        <v>31</v>
      </c>
      <c r="E5" s="29" t="s">
        <v>5</v>
      </c>
      <c r="F5" s="29" t="s">
        <v>6</v>
      </c>
      <c r="G5" s="30" t="s">
        <v>7</v>
      </c>
      <c r="H5" s="31" t="s">
        <v>0</v>
      </c>
      <c r="I5" s="31" t="s">
        <v>2</v>
      </c>
      <c r="J5" s="31" t="s">
        <v>8</v>
      </c>
      <c r="K5" s="28"/>
      <c r="L5" s="165"/>
      <c r="M5" s="139"/>
      <c r="N5" s="139"/>
      <c r="O5" s="139"/>
      <c r="P5" s="139"/>
      <c r="Q5" s="139"/>
      <c r="R5" s="141"/>
      <c r="S5" s="139"/>
      <c r="T5" s="144"/>
      <c r="U5" s="148"/>
      <c r="V5" s="150"/>
    </row>
    <row r="6" spans="1:22" hidden="1" x14ac:dyDescent="0.3">
      <c r="A6" s="61" t="s">
        <v>33</v>
      </c>
      <c r="B6" s="61">
        <v>8092</v>
      </c>
      <c r="C6" s="6" t="s">
        <v>45</v>
      </c>
      <c r="D6" s="7"/>
      <c r="E6" s="7"/>
      <c r="F6" s="7"/>
      <c r="G6" s="8"/>
      <c r="H6" s="9"/>
      <c r="I6" s="10">
        <f>SUM(L6:T6)</f>
        <v>0</v>
      </c>
      <c r="J6" s="10"/>
      <c r="K6" s="11"/>
      <c r="L6" s="10"/>
      <c r="M6" s="10"/>
      <c r="N6" s="10"/>
      <c r="O6" s="10"/>
      <c r="P6" s="10"/>
      <c r="Q6" s="10"/>
      <c r="R6" s="34"/>
      <c r="S6" s="42"/>
      <c r="T6" s="45"/>
      <c r="U6" s="50">
        <f t="shared" ref="U6:U36" si="2">SUM(L6:T6)</f>
        <v>0</v>
      </c>
      <c r="V6" s="26" t="str">
        <f t="shared" ref="V6:V67" si="3">IF(U6=I6,"OK","NG")</f>
        <v>OK</v>
      </c>
    </row>
    <row r="7" spans="1:22" hidden="1" x14ac:dyDescent="0.3">
      <c r="A7" s="62" t="s">
        <v>95</v>
      </c>
      <c r="B7" s="62">
        <v>8088</v>
      </c>
      <c r="C7" s="12" t="s">
        <v>46</v>
      </c>
      <c r="D7" s="53"/>
      <c r="E7" s="13"/>
      <c r="F7" s="13"/>
      <c r="G7" s="14"/>
      <c r="H7" s="15"/>
      <c r="I7" s="16">
        <f t="shared" ref="I7:I70" si="4">SUM(L7:T7)</f>
        <v>0</v>
      </c>
      <c r="J7" s="16"/>
      <c r="K7" s="11"/>
      <c r="L7" s="16"/>
      <c r="M7" s="16"/>
      <c r="N7" s="16"/>
      <c r="O7" s="16"/>
      <c r="P7" s="16"/>
      <c r="Q7" s="16"/>
      <c r="R7" s="35"/>
      <c r="S7" s="43"/>
      <c r="T7" s="46"/>
      <c r="U7" s="51">
        <f t="shared" si="2"/>
        <v>0</v>
      </c>
      <c r="V7" s="17" t="str">
        <f t="shared" si="3"/>
        <v>OK</v>
      </c>
    </row>
    <row r="8" spans="1:22" hidden="1" x14ac:dyDescent="0.3">
      <c r="A8" s="63" t="s">
        <v>96</v>
      </c>
      <c r="B8" s="63">
        <v>8081</v>
      </c>
      <c r="C8" s="18" t="s">
        <v>46</v>
      </c>
      <c r="D8" s="19"/>
      <c r="E8" s="19"/>
      <c r="F8" s="19"/>
      <c r="G8" s="20"/>
      <c r="H8" s="21"/>
      <c r="I8" s="22">
        <f t="shared" si="4"/>
        <v>0</v>
      </c>
      <c r="J8" s="22"/>
      <c r="K8" s="11"/>
      <c r="L8" s="22"/>
      <c r="M8" s="22"/>
      <c r="N8" s="22"/>
      <c r="O8" s="22"/>
      <c r="P8" s="22"/>
      <c r="Q8" s="22"/>
      <c r="R8" s="36"/>
      <c r="S8" s="44"/>
      <c r="T8" s="47"/>
      <c r="U8" s="52">
        <f t="shared" si="2"/>
        <v>0</v>
      </c>
      <c r="V8" s="23" t="str">
        <f t="shared" si="3"/>
        <v>OK</v>
      </c>
    </row>
    <row r="9" spans="1:22" hidden="1" x14ac:dyDescent="0.3">
      <c r="A9" s="62" t="s">
        <v>97</v>
      </c>
      <c r="B9" s="62">
        <v>18524</v>
      </c>
      <c r="C9" s="12" t="s">
        <v>46</v>
      </c>
      <c r="D9" s="53"/>
      <c r="E9" s="13"/>
      <c r="F9" s="13"/>
      <c r="G9" s="14"/>
      <c r="H9" s="15"/>
      <c r="I9" s="16">
        <f t="shared" si="4"/>
        <v>0</v>
      </c>
      <c r="J9" s="16"/>
      <c r="K9" s="11"/>
      <c r="L9" s="16"/>
      <c r="M9" s="16"/>
      <c r="N9" s="16"/>
      <c r="O9" s="16"/>
      <c r="P9" s="16"/>
      <c r="Q9" s="16"/>
      <c r="R9" s="35"/>
      <c r="S9" s="43"/>
      <c r="T9" s="46"/>
      <c r="U9" s="51">
        <f t="shared" si="2"/>
        <v>0</v>
      </c>
      <c r="V9" s="17" t="str">
        <f t="shared" si="3"/>
        <v>OK</v>
      </c>
    </row>
    <row r="10" spans="1:22" hidden="1" x14ac:dyDescent="0.3">
      <c r="A10" s="63" t="s">
        <v>34</v>
      </c>
      <c r="B10" s="63">
        <v>6234</v>
      </c>
      <c r="C10" s="18" t="s">
        <v>47</v>
      </c>
      <c r="D10" s="19"/>
      <c r="E10" s="19"/>
      <c r="F10" s="19"/>
      <c r="G10" s="20"/>
      <c r="H10" s="21"/>
      <c r="I10" s="22">
        <f t="shared" si="4"/>
        <v>0</v>
      </c>
      <c r="J10" s="22"/>
      <c r="K10" s="11"/>
      <c r="L10" s="22"/>
      <c r="M10" s="22"/>
      <c r="N10" s="22"/>
      <c r="O10" s="22"/>
      <c r="P10" s="22"/>
      <c r="Q10" s="22"/>
      <c r="R10" s="36"/>
      <c r="S10" s="44"/>
      <c r="T10" s="47"/>
      <c r="U10" s="52">
        <f t="shared" si="2"/>
        <v>0</v>
      </c>
      <c r="V10" s="23" t="str">
        <f t="shared" si="3"/>
        <v>OK</v>
      </c>
    </row>
    <row r="11" spans="1:22" hidden="1" x14ac:dyDescent="0.3">
      <c r="A11" s="62" t="s">
        <v>80</v>
      </c>
      <c r="B11" s="62">
        <v>14830</v>
      </c>
      <c r="C11" s="12" t="s">
        <v>47</v>
      </c>
      <c r="D11" s="53"/>
      <c r="E11" s="13"/>
      <c r="F11" s="13"/>
      <c r="G11" s="14"/>
      <c r="H11" s="15"/>
      <c r="I11" s="16">
        <f t="shared" si="4"/>
        <v>0</v>
      </c>
      <c r="J11" s="16"/>
      <c r="K11" s="11"/>
      <c r="L11" s="16"/>
      <c r="M11" s="16"/>
      <c r="N11" s="16"/>
      <c r="O11" s="16"/>
      <c r="P11" s="16"/>
      <c r="Q11" s="16"/>
      <c r="R11" s="35"/>
      <c r="S11" s="43"/>
      <c r="T11" s="46"/>
      <c r="U11" s="51">
        <f t="shared" si="2"/>
        <v>0</v>
      </c>
      <c r="V11" s="17" t="str">
        <f t="shared" si="3"/>
        <v>OK</v>
      </c>
    </row>
    <row r="12" spans="1:22" hidden="1" x14ac:dyDescent="0.3">
      <c r="A12" s="63" t="s">
        <v>35</v>
      </c>
      <c r="B12" s="63">
        <v>6004</v>
      </c>
      <c r="C12" s="18" t="s">
        <v>48</v>
      </c>
      <c r="D12" s="19"/>
      <c r="E12" s="19"/>
      <c r="F12" s="19"/>
      <c r="G12" s="20"/>
      <c r="H12" s="21"/>
      <c r="I12" s="22">
        <f t="shared" si="4"/>
        <v>0</v>
      </c>
      <c r="J12" s="22"/>
      <c r="K12" s="11"/>
      <c r="L12" s="22"/>
      <c r="M12" s="22"/>
      <c r="N12" s="22"/>
      <c r="O12" s="22"/>
      <c r="P12" s="22"/>
      <c r="Q12" s="22"/>
      <c r="R12" s="36"/>
      <c r="S12" s="44"/>
      <c r="T12" s="47"/>
      <c r="U12" s="52">
        <f t="shared" si="2"/>
        <v>0</v>
      </c>
      <c r="V12" s="23" t="str">
        <f t="shared" si="3"/>
        <v>OK</v>
      </c>
    </row>
    <row r="13" spans="1:22" hidden="1" x14ac:dyDescent="0.3">
      <c r="A13" s="62" t="s">
        <v>36</v>
      </c>
      <c r="B13" s="62">
        <v>11857</v>
      </c>
      <c r="C13" s="12" t="s">
        <v>48</v>
      </c>
      <c r="D13" s="53"/>
      <c r="E13" s="13"/>
      <c r="F13" s="13"/>
      <c r="G13" s="14"/>
      <c r="H13" s="15"/>
      <c r="I13" s="16">
        <f t="shared" si="4"/>
        <v>0</v>
      </c>
      <c r="J13" s="16"/>
      <c r="K13" s="11"/>
      <c r="L13" s="16"/>
      <c r="M13" s="16"/>
      <c r="N13" s="16"/>
      <c r="O13" s="16"/>
      <c r="P13" s="16"/>
      <c r="Q13" s="16"/>
      <c r="R13" s="35"/>
      <c r="S13" s="43"/>
      <c r="T13" s="46"/>
      <c r="U13" s="51">
        <f t="shared" si="2"/>
        <v>0</v>
      </c>
      <c r="V13" s="17" t="str">
        <f t="shared" si="3"/>
        <v>OK</v>
      </c>
    </row>
    <row r="14" spans="1:22" hidden="1" x14ac:dyDescent="0.3">
      <c r="A14" s="63" t="s">
        <v>82</v>
      </c>
      <c r="B14" s="63">
        <v>15004</v>
      </c>
      <c r="C14" s="18" t="s">
        <v>48</v>
      </c>
      <c r="D14" s="19"/>
      <c r="E14" s="19"/>
      <c r="F14" s="19"/>
      <c r="G14" s="20"/>
      <c r="H14" s="21"/>
      <c r="I14" s="22">
        <f t="shared" si="4"/>
        <v>0</v>
      </c>
      <c r="J14" s="22"/>
      <c r="K14" s="11"/>
      <c r="L14" s="22"/>
      <c r="M14" s="22"/>
      <c r="N14" s="22"/>
      <c r="O14" s="22"/>
      <c r="P14" s="22"/>
      <c r="Q14" s="22"/>
      <c r="R14" s="36"/>
      <c r="S14" s="44"/>
      <c r="T14" s="47"/>
      <c r="U14" s="52">
        <f t="shared" si="2"/>
        <v>0</v>
      </c>
      <c r="V14" s="23" t="str">
        <f t="shared" si="3"/>
        <v>OK</v>
      </c>
    </row>
    <row r="15" spans="1:22" hidden="1" x14ac:dyDescent="0.3">
      <c r="A15" s="62" t="s">
        <v>86</v>
      </c>
      <c r="B15" s="62">
        <v>15174</v>
      </c>
      <c r="C15" s="12" t="s">
        <v>45</v>
      </c>
      <c r="D15" s="53"/>
      <c r="E15" s="13"/>
      <c r="F15" s="13"/>
      <c r="G15" s="14"/>
      <c r="H15" s="15"/>
      <c r="I15" s="16">
        <f t="shared" si="4"/>
        <v>0</v>
      </c>
      <c r="J15" s="16"/>
      <c r="K15" s="11"/>
      <c r="L15" s="16"/>
      <c r="M15" s="16"/>
      <c r="N15" s="16"/>
      <c r="O15" s="16"/>
      <c r="P15" s="16"/>
      <c r="Q15" s="16"/>
      <c r="R15" s="35"/>
      <c r="S15" s="43"/>
      <c r="T15" s="46"/>
      <c r="U15" s="51">
        <f t="shared" si="2"/>
        <v>0</v>
      </c>
      <c r="V15" s="17" t="str">
        <f t="shared" si="3"/>
        <v>OK</v>
      </c>
    </row>
    <row r="16" spans="1:22" hidden="1" x14ac:dyDescent="0.3">
      <c r="A16" s="63" t="s">
        <v>87</v>
      </c>
      <c r="B16" s="63">
        <v>15520</v>
      </c>
      <c r="C16" s="18" t="s">
        <v>47</v>
      </c>
      <c r="D16" s="19"/>
      <c r="E16" s="19"/>
      <c r="F16" s="19"/>
      <c r="G16" s="20"/>
      <c r="H16" s="21"/>
      <c r="I16" s="22">
        <f t="shared" si="4"/>
        <v>0</v>
      </c>
      <c r="J16" s="22"/>
      <c r="K16" s="11"/>
      <c r="L16" s="22"/>
      <c r="M16" s="22"/>
      <c r="N16" s="22"/>
      <c r="O16" s="22"/>
      <c r="P16" s="22"/>
      <c r="Q16" s="22"/>
      <c r="R16" s="36"/>
      <c r="S16" s="44"/>
      <c r="T16" s="47"/>
      <c r="U16" s="52">
        <f t="shared" si="2"/>
        <v>0</v>
      </c>
      <c r="V16" s="23" t="str">
        <f t="shared" si="3"/>
        <v>OK</v>
      </c>
    </row>
    <row r="17" spans="1:22" hidden="1" x14ac:dyDescent="0.3">
      <c r="A17" s="62" t="s">
        <v>85</v>
      </c>
      <c r="B17" s="62">
        <v>14989</v>
      </c>
      <c r="C17" s="12" t="s">
        <v>45</v>
      </c>
      <c r="D17" s="53"/>
      <c r="E17" s="13"/>
      <c r="F17" s="13"/>
      <c r="G17" s="14"/>
      <c r="H17" s="15"/>
      <c r="I17" s="16">
        <f t="shared" si="4"/>
        <v>0</v>
      </c>
      <c r="J17" s="16"/>
      <c r="K17" s="11"/>
      <c r="L17" s="16"/>
      <c r="M17" s="16"/>
      <c r="N17" s="16"/>
      <c r="O17" s="16"/>
      <c r="P17" s="16"/>
      <c r="Q17" s="16"/>
      <c r="R17" s="35"/>
      <c r="S17" s="43"/>
      <c r="T17" s="46"/>
      <c r="U17" s="51">
        <f t="shared" si="2"/>
        <v>0</v>
      </c>
      <c r="V17" s="17" t="str">
        <f t="shared" si="3"/>
        <v>OK</v>
      </c>
    </row>
    <row r="18" spans="1:22" hidden="1" x14ac:dyDescent="0.3">
      <c r="A18" s="63" t="s">
        <v>84</v>
      </c>
      <c r="B18" s="63">
        <v>14984</v>
      </c>
      <c r="C18" s="18" t="s">
        <v>46</v>
      </c>
      <c r="D18" s="19"/>
      <c r="E18" s="19"/>
      <c r="F18" s="19"/>
      <c r="G18" s="20"/>
      <c r="H18" s="21"/>
      <c r="I18" s="22">
        <f t="shared" si="4"/>
        <v>0</v>
      </c>
      <c r="J18" s="22"/>
      <c r="K18" s="11"/>
      <c r="L18" s="22"/>
      <c r="M18" s="22"/>
      <c r="N18" s="22"/>
      <c r="O18" s="22"/>
      <c r="P18" s="22"/>
      <c r="Q18" s="22"/>
      <c r="R18" s="36"/>
      <c r="S18" s="44"/>
      <c r="T18" s="47"/>
      <c r="U18" s="52">
        <f t="shared" si="2"/>
        <v>0</v>
      </c>
      <c r="V18" s="23" t="str">
        <f t="shared" si="3"/>
        <v>OK</v>
      </c>
    </row>
    <row r="19" spans="1:22" hidden="1" x14ac:dyDescent="0.3">
      <c r="A19" s="62" t="s">
        <v>88</v>
      </c>
      <c r="B19" s="62">
        <v>16270</v>
      </c>
      <c r="C19" s="12" t="s">
        <v>89</v>
      </c>
      <c r="D19" s="53"/>
      <c r="E19" s="13"/>
      <c r="F19" s="13"/>
      <c r="G19" s="14"/>
      <c r="H19" s="15"/>
      <c r="I19" s="16">
        <f t="shared" si="4"/>
        <v>0</v>
      </c>
      <c r="J19" s="16"/>
      <c r="K19" s="11"/>
      <c r="L19" s="16"/>
      <c r="M19" s="16"/>
      <c r="N19" s="16"/>
      <c r="O19" s="16"/>
      <c r="P19" s="16"/>
      <c r="Q19" s="16"/>
      <c r="R19" s="35"/>
      <c r="S19" s="43"/>
      <c r="T19" s="46"/>
      <c r="U19" s="51">
        <f t="shared" si="2"/>
        <v>0</v>
      </c>
      <c r="V19" s="17" t="str">
        <f t="shared" si="3"/>
        <v>OK</v>
      </c>
    </row>
    <row r="20" spans="1:22" hidden="1" x14ac:dyDescent="0.3">
      <c r="A20" s="63" t="s">
        <v>98</v>
      </c>
      <c r="B20" s="63">
        <v>19060</v>
      </c>
      <c r="C20" s="18" t="s">
        <v>47</v>
      </c>
      <c r="D20" s="19"/>
      <c r="E20" s="19"/>
      <c r="F20" s="19"/>
      <c r="G20" s="20"/>
      <c r="H20" s="21"/>
      <c r="I20" s="22">
        <f t="shared" si="4"/>
        <v>0</v>
      </c>
      <c r="J20" s="22"/>
      <c r="K20" s="11"/>
      <c r="L20" s="22"/>
      <c r="M20" s="22"/>
      <c r="N20" s="22"/>
      <c r="O20" s="22"/>
      <c r="P20" s="22"/>
      <c r="Q20" s="22"/>
      <c r="R20" s="36"/>
      <c r="S20" s="44"/>
      <c r="T20" s="47"/>
      <c r="U20" s="52">
        <f t="shared" si="2"/>
        <v>0</v>
      </c>
      <c r="V20" s="23" t="str">
        <f t="shared" si="3"/>
        <v>OK</v>
      </c>
    </row>
    <row r="21" spans="1:22" hidden="1" x14ac:dyDescent="0.3">
      <c r="A21" s="62" t="s">
        <v>99</v>
      </c>
      <c r="B21" s="62">
        <v>18828</v>
      </c>
      <c r="C21" s="12" t="s">
        <v>94</v>
      </c>
      <c r="D21" s="53"/>
      <c r="E21" s="13"/>
      <c r="F21" s="13"/>
      <c r="G21" s="14"/>
      <c r="H21" s="15"/>
      <c r="I21" s="16">
        <f t="shared" si="4"/>
        <v>0</v>
      </c>
      <c r="J21" s="16"/>
      <c r="K21" s="11"/>
      <c r="L21" s="16"/>
      <c r="M21" s="16"/>
      <c r="N21" s="16"/>
      <c r="O21" s="16"/>
      <c r="P21" s="16"/>
      <c r="Q21" s="16"/>
      <c r="R21" s="35"/>
      <c r="S21" s="43"/>
      <c r="T21" s="46"/>
      <c r="U21" s="51">
        <f t="shared" si="2"/>
        <v>0</v>
      </c>
      <c r="V21" s="17" t="str">
        <f t="shared" si="3"/>
        <v>OK</v>
      </c>
    </row>
    <row r="22" spans="1:22" hidden="1" x14ac:dyDescent="0.3">
      <c r="A22" s="63" t="s">
        <v>23</v>
      </c>
      <c r="B22" s="63">
        <v>5695</v>
      </c>
      <c r="C22" s="18" t="s">
        <v>49</v>
      </c>
      <c r="D22" s="19"/>
      <c r="E22" s="19"/>
      <c r="F22" s="19"/>
      <c r="G22" s="20"/>
      <c r="H22" s="21"/>
      <c r="I22" s="22">
        <f t="shared" si="4"/>
        <v>0</v>
      </c>
      <c r="J22" s="22"/>
      <c r="K22" s="11"/>
      <c r="L22" s="22"/>
      <c r="M22" s="22"/>
      <c r="N22" s="22"/>
      <c r="O22" s="22"/>
      <c r="P22" s="22"/>
      <c r="Q22" s="22"/>
      <c r="R22" s="36"/>
      <c r="S22" s="44"/>
      <c r="T22" s="47"/>
      <c r="U22" s="52">
        <f t="shared" si="2"/>
        <v>0</v>
      </c>
      <c r="V22" s="23" t="str">
        <f t="shared" si="3"/>
        <v>OK</v>
      </c>
    </row>
    <row r="23" spans="1:22" hidden="1" x14ac:dyDescent="0.3">
      <c r="A23" s="62" t="s">
        <v>24</v>
      </c>
      <c r="B23" s="62">
        <v>5691</v>
      </c>
      <c r="C23" s="12" t="s">
        <v>50</v>
      </c>
      <c r="D23" s="53"/>
      <c r="E23" s="13"/>
      <c r="F23" s="13"/>
      <c r="G23" s="14"/>
      <c r="H23" s="15"/>
      <c r="I23" s="16">
        <f t="shared" si="4"/>
        <v>0</v>
      </c>
      <c r="J23" s="16"/>
      <c r="K23" s="11"/>
      <c r="L23" s="16"/>
      <c r="M23" s="16"/>
      <c r="N23" s="16"/>
      <c r="O23" s="16"/>
      <c r="P23" s="16"/>
      <c r="Q23" s="16"/>
      <c r="R23" s="35"/>
      <c r="S23" s="43"/>
      <c r="T23" s="46"/>
      <c r="U23" s="51">
        <f t="shared" si="2"/>
        <v>0</v>
      </c>
      <c r="V23" s="17" t="str">
        <f t="shared" si="3"/>
        <v>OK</v>
      </c>
    </row>
    <row r="24" spans="1:22" hidden="1" x14ac:dyDescent="0.3">
      <c r="A24" s="63" t="s">
        <v>37</v>
      </c>
      <c r="B24" s="63">
        <v>5687</v>
      </c>
      <c r="C24" s="18" t="s">
        <v>51</v>
      </c>
      <c r="D24" s="19"/>
      <c r="E24" s="19"/>
      <c r="F24" s="19"/>
      <c r="G24" s="20"/>
      <c r="H24" s="21"/>
      <c r="I24" s="22">
        <f t="shared" si="4"/>
        <v>0</v>
      </c>
      <c r="J24" s="22"/>
      <c r="K24" s="11"/>
      <c r="L24" s="22"/>
      <c r="M24" s="22"/>
      <c r="N24" s="22"/>
      <c r="O24" s="22"/>
      <c r="P24" s="22"/>
      <c r="Q24" s="22"/>
      <c r="R24" s="36"/>
      <c r="S24" s="44"/>
      <c r="T24" s="47"/>
      <c r="U24" s="52">
        <f t="shared" si="2"/>
        <v>0</v>
      </c>
      <c r="V24" s="23" t="str">
        <f t="shared" si="3"/>
        <v>OK</v>
      </c>
    </row>
    <row r="25" spans="1:22" hidden="1" x14ac:dyDescent="0.3">
      <c r="A25" s="62" t="s">
        <v>38</v>
      </c>
      <c r="B25" s="62">
        <v>5683</v>
      </c>
      <c r="C25" s="12" t="s">
        <v>51</v>
      </c>
      <c r="D25" s="53"/>
      <c r="E25" s="13"/>
      <c r="F25" s="13"/>
      <c r="G25" s="14"/>
      <c r="H25" s="15"/>
      <c r="I25" s="16">
        <f t="shared" si="4"/>
        <v>0</v>
      </c>
      <c r="J25" s="16"/>
      <c r="K25" s="11"/>
      <c r="L25" s="16"/>
      <c r="M25" s="16"/>
      <c r="N25" s="16"/>
      <c r="O25" s="16"/>
      <c r="P25" s="16"/>
      <c r="Q25" s="16"/>
      <c r="R25" s="35"/>
      <c r="S25" s="43"/>
      <c r="T25" s="46"/>
      <c r="U25" s="51">
        <f t="shared" si="2"/>
        <v>0</v>
      </c>
      <c r="V25" s="17" t="str">
        <f t="shared" si="3"/>
        <v>OK</v>
      </c>
    </row>
    <row r="26" spans="1:22" hidden="1" x14ac:dyDescent="0.3">
      <c r="A26" s="63" t="s">
        <v>25</v>
      </c>
      <c r="B26" s="63">
        <v>5679</v>
      </c>
      <c r="C26" s="18" t="s">
        <v>52</v>
      </c>
      <c r="D26" s="19"/>
      <c r="E26" s="19"/>
      <c r="F26" s="19"/>
      <c r="G26" s="20"/>
      <c r="H26" s="21"/>
      <c r="I26" s="22">
        <f t="shared" si="4"/>
        <v>0</v>
      </c>
      <c r="J26" s="22"/>
      <c r="K26" s="11"/>
      <c r="L26" s="22"/>
      <c r="M26" s="22"/>
      <c r="N26" s="22"/>
      <c r="O26" s="22"/>
      <c r="P26" s="22"/>
      <c r="Q26" s="22"/>
      <c r="R26" s="36"/>
      <c r="S26" s="44"/>
      <c r="T26" s="47"/>
      <c r="U26" s="52">
        <f t="shared" si="2"/>
        <v>0</v>
      </c>
      <c r="V26" s="23" t="str">
        <f t="shared" si="3"/>
        <v>OK</v>
      </c>
    </row>
    <row r="27" spans="1:22" hidden="1" x14ac:dyDescent="0.3">
      <c r="A27" s="62" t="s">
        <v>39</v>
      </c>
      <c r="B27" s="62">
        <v>5675</v>
      </c>
      <c r="C27" s="12" t="s">
        <v>53</v>
      </c>
      <c r="D27" s="53"/>
      <c r="E27" s="13"/>
      <c r="F27" s="13"/>
      <c r="G27" s="14"/>
      <c r="H27" s="15"/>
      <c r="I27" s="16">
        <f t="shared" si="4"/>
        <v>0</v>
      </c>
      <c r="J27" s="16"/>
      <c r="K27" s="11"/>
      <c r="L27" s="16"/>
      <c r="M27" s="16"/>
      <c r="N27" s="16"/>
      <c r="O27" s="16"/>
      <c r="P27" s="16"/>
      <c r="Q27" s="16"/>
      <c r="R27" s="35"/>
      <c r="S27" s="43"/>
      <c r="T27" s="46"/>
      <c r="U27" s="51">
        <f t="shared" si="2"/>
        <v>0</v>
      </c>
      <c r="V27" s="17" t="str">
        <f t="shared" si="3"/>
        <v>OK</v>
      </c>
    </row>
    <row r="28" spans="1:22" hidden="1" x14ac:dyDescent="0.3">
      <c r="A28" s="63" t="s">
        <v>26</v>
      </c>
      <c r="B28" s="63">
        <v>5671</v>
      </c>
      <c r="C28" s="18" t="s">
        <v>49</v>
      </c>
      <c r="D28" s="19"/>
      <c r="E28" s="19"/>
      <c r="F28" s="19"/>
      <c r="G28" s="20"/>
      <c r="H28" s="21"/>
      <c r="I28" s="22">
        <f t="shared" si="4"/>
        <v>0</v>
      </c>
      <c r="J28" s="22"/>
      <c r="K28" s="11"/>
      <c r="L28" s="22"/>
      <c r="M28" s="22"/>
      <c r="N28" s="22"/>
      <c r="O28" s="22"/>
      <c r="P28" s="22"/>
      <c r="Q28" s="22"/>
      <c r="R28" s="36"/>
      <c r="S28" s="44"/>
      <c r="T28" s="47"/>
      <c r="U28" s="52">
        <f t="shared" si="2"/>
        <v>0</v>
      </c>
      <c r="V28" s="23" t="str">
        <f t="shared" si="3"/>
        <v>OK</v>
      </c>
    </row>
    <row r="29" spans="1:22" hidden="1" x14ac:dyDescent="0.3">
      <c r="A29" s="62" t="s">
        <v>40</v>
      </c>
      <c r="B29" s="62">
        <v>5667</v>
      </c>
      <c r="C29" s="12" t="s">
        <v>50</v>
      </c>
      <c r="D29" s="53"/>
      <c r="E29" s="13"/>
      <c r="F29" s="13"/>
      <c r="G29" s="14"/>
      <c r="H29" s="15"/>
      <c r="I29" s="16">
        <f t="shared" si="4"/>
        <v>0</v>
      </c>
      <c r="J29" s="16"/>
      <c r="K29" s="11"/>
      <c r="L29" s="16"/>
      <c r="M29" s="16"/>
      <c r="N29" s="16"/>
      <c r="O29" s="16"/>
      <c r="P29" s="16"/>
      <c r="Q29" s="16"/>
      <c r="R29" s="35"/>
      <c r="S29" s="43"/>
      <c r="T29" s="46"/>
      <c r="U29" s="51">
        <f t="shared" si="2"/>
        <v>0</v>
      </c>
      <c r="V29" s="17" t="str">
        <f t="shared" si="3"/>
        <v>OK</v>
      </c>
    </row>
    <row r="30" spans="1:22" hidden="1" x14ac:dyDescent="0.3">
      <c r="A30" s="63" t="s">
        <v>41</v>
      </c>
      <c r="B30" s="63">
        <v>5663</v>
      </c>
      <c r="C30" s="18" t="s">
        <v>51</v>
      </c>
      <c r="D30" s="19"/>
      <c r="E30" s="19"/>
      <c r="F30" s="19"/>
      <c r="G30" s="20"/>
      <c r="H30" s="21"/>
      <c r="I30" s="22">
        <f t="shared" si="4"/>
        <v>0</v>
      </c>
      <c r="J30" s="22"/>
      <c r="K30" s="11"/>
      <c r="L30" s="22"/>
      <c r="M30" s="22"/>
      <c r="N30" s="22"/>
      <c r="O30" s="22"/>
      <c r="P30" s="22"/>
      <c r="Q30" s="22"/>
      <c r="R30" s="36"/>
      <c r="S30" s="44"/>
      <c r="T30" s="47"/>
      <c r="U30" s="52">
        <f t="shared" si="2"/>
        <v>0</v>
      </c>
      <c r="V30" s="23" t="str">
        <f t="shared" si="3"/>
        <v>OK</v>
      </c>
    </row>
    <row r="31" spans="1:22" hidden="1" x14ac:dyDescent="0.3">
      <c r="A31" s="62" t="s">
        <v>42</v>
      </c>
      <c r="B31" s="62">
        <v>5659</v>
      </c>
      <c r="C31" s="12" t="s">
        <v>52</v>
      </c>
      <c r="D31" s="53"/>
      <c r="E31" s="13"/>
      <c r="F31" s="13"/>
      <c r="G31" s="14"/>
      <c r="H31" s="15"/>
      <c r="I31" s="16">
        <f t="shared" si="4"/>
        <v>0</v>
      </c>
      <c r="J31" s="16"/>
      <c r="K31" s="11"/>
      <c r="L31" s="16"/>
      <c r="M31" s="16"/>
      <c r="N31" s="16"/>
      <c r="O31" s="16"/>
      <c r="P31" s="16"/>
      <c r="Q31" s="16"/>
      <c r="R31" s="35"/>
      <c r="S31" s="43"/>
      <c r="T31" s="46"/>
      <c r="U31" s="51">
        <f t="shared" si="2"/>
        <v>0</v>
      </c>
      <c r="V31" s="17" t="str">
        <f t="shared" si="3"/>
        <v>OK</v>
      </c>
    </row>
    <row r="32" spans="1:22" hidden="1" x14ac:dyDescent="0.3">
      <c r="A32" s="63" t="s">
        <v>27</v>
      </c>
      <c r="B32" s="63">
        <v>5655</v>
      </c>
      <c r="C32" s="18" t="s">
        <v>54</v>
      </c>
      <c r="D32" s="19"/>
      <c r="E32" s="19"/>
      <c r="F32" s="19"/>
      <c r="G32" s="20"/>
      <c r="H32" s="21"/>
      <c r="I32" s="22">
        <f t="shared" si="4"/>
        <v>0</v>
      </c>
      <c r="J32" s="22"/>
      <c r="K32" s="11"/>
      <c r="L32" s="22"/>
      <c r="M32" s="22"/>
      <c r="N32" s="22"/>
      <c r="O32" s="22"/>
      <c r="P32" s="22"/>
      <c r="Q32" s="22"/>
      <c r="R32" s="36"/>
      <c r="S32" s="44"/>
      <c r="T32" s="47"/>
      <c r="U32" s="52">
        <f t="shared" si="2"/>
        <v>0</v>
      </c>
      <c r="V32" s="23" t="str">
        <f t="shared" si="3"/>
        <v>OK</v>
      </c>
    </row>
    <row r="33" spans="1:22" hidden="1" x14ac:dyDescent="0.3">
      <c r="A33" s="62" t="s">
        <v>70</v>
      </c>
      <c r="B33" s="62">
        <v>5651</v>
      </c>
      <c r="C33" s="12" t="s">
        <v>55</v>
      </c>
      <c r="D33" s="53"/>
      <c r="E33" s="13"/>
      <c r="F33" s="13"/>
      <c r="G33" s="14"/>
      <c r="H33" s="15"/>
      <c r="I33" s="16">
        <f t="shared" si="4"/>
        <v>0</v>
      </c>
      <c r="J33" s="16"/>
      <c r="K33" s="11"/>
      <c r="L33" s="16"/>
      <c r="M33" s="16"/>
      <c r="N33" s="16"/>
      <c r="O33" s="16"/>
      <c r="P33" s="16"/>
      <c r="Q33" s="16"/>
      <c r="R33" s="35"/>
      <c r="S33" s="43"/>
      <c r="T33" s="46"/>
      <c r="U33" s="51">
        <f t="shared" si="2"/>
        <v>0</v>
      </c>
      <c r="V33" s="17" t="str">
        <f t="shared" si="3"/>
        <v>OK</v>
      </c>
    </row>
    <row r="34" spans="1:22" hidden="1" x14ac:dyDescent="0.3">
      <c r="A34" s="63" t="s">
        <v>71</v>
      </c>
      <c r="B34" s="63">
        <v>5643</v>
      </c>
      <c r="C34" s="18" t="s">
        <v>56</v>
      </c>
      <c r="D34" s="19"/>
      <c r="E34" s="19"/>
      <c r="F34" s="19"/>
      <c r="G34" s="20"/>
      <c r="H34" s="21"/>
      <c r="I34" s="22">
        <f t="shared" si="4"/>
        <v>0</v>
      </c>
      <c r="J34" s="22"/>
      <c r="K34" s="11"/>
      <c r="L34" s="22"/>
      <c r="M34" s="22"/>
      <c r="N34" s="22"/>
      <c r="O34" s="22"/>
      <c r="P34" s="22"/>
      <c r="Q34" s="22"/>
      <c r="R34" s="36"/>
      <c r="S34" s="44"/>
      <c r="T34" s="47"/>
      <c r="U34" s="52">
        <f t="shared" si="2"/>
        <v>0</v>
      </c>
      <c r="V34" s="23" t="str">
        <f t="shared" si="3"/>
        <v>OK</v>
      </c>
    </row>
    <row r="35" spans="1:22" hidden="1" x14ac:dyDescent="0.3">
      <c r="A35" s="62" t="s">
        <v>57</v>
      </c>
      <c r="B35" s="62">
        <v>11350</v>
      </c>
      <c r="C35" s="12" t="s">
        <v>56</v>
      </c>
      <c r="D35" s="53"/>
      <c r="E35" s="13"/>
      <c r="F35" s="13"/>
      <c r="G35" s="14"/>
      <c r="H35" s="15"/>
      <c r="I35" s="16">
        <f t="shared" si="4"/>
        <v>0</v>
      </c>
      <c r="J35" s="16"/>
      <c r="K35" s="11"/>
      <c r="L35" s="16"/>
      <c r="M35" s="16"/>
      <c r="N35" s="16"/>
      <c r="O35" s="16"/>
      <c r="P35" s="16"/>
      <c r="Q35" s="16"/>
      <c r="R35" s="35"/>
      <c r="S35" s="43"/>
      <c r="T35" s="46"/>
      <c r="U35" s="51">
        <f t="shared" si="2"/>
        <v>0</v>
      </c>
      <c r="V35" s="17" t="str">
        <f t="shared" si="3"/>
        <v>OK</v>
      </c>
    </row>
    <row r="36" spans="1:22" hidden="1" x14ac:dyDescent="0.3">
      <c r="A36" s="63" t="s">
        <v>72</v>
      </c>
      <c r="B36" s="63">
        <v>5635</v>
      </c>
      <c r="C36" s="18" t="s">
        <v>55</v>
      </c>
      <c r="D36" s="19"/>
      <c r="E36" s="19"/>
      <c r="F36" s="19"/>
      <c r="G36" s="20"/>
      <c r="H36" s="21"/>
      <c r="I36" s="22">
        <f t="shared" si="4"/>
        <v>0</v>
      </c>
      <c r="J36" s="22"/>
      <c r="K36" s="11"/>
      <c r="L36" s="22"/>
      <c r="M36" s="22"/>
      <c r="N36" s="22"/>
      <c r="O36" s="22"/>
      <c r="P36" s="22"/>
      <c r="Q36" s="22"/>
      <c r="R36" s="36"/>
      <c r="S36" s="44"/>
      <c r="T36" s="47"/>
      <c r="U36" s="52">
        <f t="shared" si="2"/>
        <v>0</v>
      </c>
      <c r="V36" s="23" t="str">
        <f t="shared" si="3"/>
        <v>OK</v>
      </c>
    </row>
    <row r="37" spans="1:22" hidden="1" x14ac:dyDescent="0.3">
      <c r="A37" s="62" t="s">
        <v>58</v>
      </c>
      <c r="B37" s="62">
        <v>11349</v>
      </c>
      <c r="C37" s="12" t="s">
        <v>55</v>
      </c>
      <c r="D37" s="53"/>
      <c r="E37" s="13"/>
      <c r="F37" s="13"/>
      <c r="G37" s="14"/>
      <c r="H37" s="15"/>
      <c r="I37" s="16">
        <f t="shared" si="4"/>
        <v>0</v>
      </c>
      <c r="J37" s="16"/>
      <c r="K37" s="11"/>
      <c r="L37" s="16"/>
      <c r="M37" s="16"/>
      <c r="N37" s="16"/>
      <c r="O37" s="16"/>
      <c r="P37" s="16"/>
      <c r="Q37" s="16"/>
      <c r="R37" s="35"/>
      <c r="S37" s="43"/>
      <c r="T37" s="46"/>
      <c r="U37" s="51">
        <f t="shared" ref="U37:U55" si="5">SUM(L37:T37)</f>
        <v>0</v>
      </c>
      <c r="V37" s="17" t="str">
        <f t="shared" si="3"/>
        <v>OK</v>
      </c>
    </row>
    <row r="38" spans="1:22" hidden="1" x14ac:dyDescent="0.3">
      <c r="A38" s="63" t="s">
        <v>73</v>
      </c>
      <c r="B38" s="63">
        <v>5627</v>
      </c>
      <c r="C38" s="18" t="s">
        <v>56</v>
      </c>
      <c r="D38" s="19"/>
      <c r="E38" s="19"/>
      <c r="F38" s="19"/>
      <c r="G38" s="20"/>
      <c r="H38" s="21"/>
      <c r="I38" s="22">
        <f t="shared" si="4"/>
        <v>0</v>
      </c>
      <c r="J38" s="22"/>
      <c r="K38" s="11"/>
      <c r="L38" s="22"/>
      <c r="M38" s="22"/>
      <c r="N38" s="22"/>
      <c r="O38" s="22"/>
      <c r="P38" s="22"/>
      <c r="Q38" s="22"/>
      <c r="R38" s="36"/>
      <c r="S38" s="44"/>
      <c r="T38" s="47"/>
      <c r="U38" s="52">
        <f t="shared" si="5"/>
        <v>0</v>
      </c>
      <c r="V38" s="23" t="str">
        <f t="shared" si="3"/>
        <v>OK</v>
      </c>
    </row>
    <row r="39" spans="1:22" hidden="1" x14ac:dyDescent="0.3">
      <c r="A39" s="62" t="s">
        <v>59</v>
      </c>
      <c r="B39" s="62">
        <v>11348</v>
      </c>
      <c r="C39" s="12" t="s">
        <v>56</v>
      </c>
      <c r="D39" s="53"/>
      <c r="E39" s="13"/>
      <c r="F39" s="13"/>
      <c r="G39" s="14"/>
      <c r="H39" s="15"/>
      <c r="I39" s="16">
        <f t="shared" si="4"/>
        <v>0</v>
      </c>
      <c r="J39" s="16"/>
      <c r="K39" s="11"/>
      <c r="L39" s="16"/>
      <c r="M39" s="16"/>
      <c r="N39" s="16"/>
      <c r="O39" s="16"/>
      <c r="P39" s="16"/>
      <c r="Q39" s="16"/>
      <c r="R39" s="35"/>
      <c r="S39" s="43"/>
      <c r="T39" s="46"/>
      <c r="U39" s="51">
        <f t="shared" si="5"/>
        <v>0</v>
      </c>
      <c r="V39" s="17" t="str">
        <f t="shared" si="3"/>
        <v>OK</v>
      </c>
    </row>
    <row r="40" spans="1:22" hidden="1" x14ac:dyDescent="0.3">
      <c r="A40" s="63" t="s">
        <v>74</v>
      </c>
      <c r="B40" s="63">
        <v>5619</v>
      </c>
      <c r="C40" s="18" t="s">
        <v>60</v>
      </c>
      <c r="D40" s="19"/>
      <c r="E40" s="19"/>
      <c r="F40" s="19"/>
      <c r="G40" s="20"/>
      <c r="H40" s="21"/>
      <c r="I40" s="22">
        <f t="shared" si="4"/>
        <v>0</v>
      </c>
      <c r="J40" s="22"/>
      <c r="K40" s="11"/>
      <c r="L40" s="22"/>
      <c r="M40" s="22"/>
      <c r="N40" s="22"/>
      <c r="O40" s="22"/>
      <c r="P40" s="22"/>
      <c r="Q40" s="22"/>
      <c r="R40" s="36"/>
      <c r="S40" s="44"/>
      <c r="T40" s="47"/>
      <c r="U40" s="52">
        <f t="shared" si="5"/>
        <v>0</v>
      </c>
      <c r="V40" s="23" t="str">
        <f t="shared" si="3"/>
        <v>OK</v>
      </c>
    </row>
    <row r="41" spans="1:22" hidden="1" x14ac:dyDescent="0.3">
      <c r="A41" s="64" t="s">
        <v>61</v>
      </c>
      <c r="B41" s="62">
        <v>11347</v>
      </c>
      <c r="C41" s="12" t="s">
        <v>60</v>
      </c>
      <c r="D41" s="53"/>
      <c r="E41" s="13"/>
      <c r="F41" s="13"/>
      <c r="G41" s="14"/>
      <c r="H41" s="15"/>
      <c r="I41" s="16">
        <f t="shared" si="4"/>
        <v>0</v>
      </c>
      <c r="J41" s="16"/>
      <c r="K41" s="11"/>
      <c r="L41" s="16"/>
      <c r="M41" s="16"/>
      <c r="N41" s="16"/>
      <c r="O41" s="16"/>
      <c r="P41" s="16"/>
      <c r="Q41" s="16"/>
      <c r="R41" s="35"/>
      <c r="S41" s="43"/>
      <c r="T41" s="46"/>
      <c r="U41" s="51">
        <f t="shared" si="5"/>
        <v>0</v>
      </c>
      <c r="V41" s="17" t="str">
        <f t="shared" si="3"/>
        <v>OK</v>
      </c>
    </row>
    <row r="42" spans="1:22" hidden="1" x14ac:dyDescent="0.3">
      <c r="A42" s="54" t="s">
        <v>75</v>
      </c>
      <c r="B42" s="63">
        <v>5611</v>
      </c>
      <c r="C42" s="18" t="s">
        <v>62</v>
      </c>
      <c r="D42" s="19"/>
      <c r="E42" s="19"/>
      <c r="F42" s="19"/>
      <c r="G42" s="20"/>
      <c r="H42" s="21"/>
      <c r="I42" s="22">
        <f t="shared" si="4"/>
        <v>0</v>
      </c>
      <c r="J42" s="22"/>
      <c r="K42" s="11"/>
      <c r="L42" s="22"/>
      <c r="M42" s="22"/>
      <c r="N42" s="22"/>
      <c r="O42" s="22"/>
      <c r="P42" s="22"/>
      <c r="Q42" s="22"/>
      <c r="R42" s="36"/>
      <c r="S42" s="44"/>
      <c r="T42" s="47"/>
      <c r="U42" s="52">
        <f t="shared" si="5"/>
        <v>0</v>
      </c>
      <c r="V42" s="23" t="str">
        <f t="shared" si="3"/>
        <v>OK</v>
      </c>
    </row>
    <row r="43" spans="1:22" hidden="1" x14ac:dyDescent="0.3">
      <c r="A43" s="12" t="s">
        <v>63</v>
      </c>
      <c r="B43" s="62">
        <v>11336</v>
      </c>
      <c r="C43" s="12" t="s">
        <v>62</v>
      </c>
      <c r="D43" s="53"/>
      <c r="E43" s="13"/>
      <c r="F43" s="13"/>
      <c r="G43" s="14"/>
      <c r="H43" s="15"/>
      <c r="I43" s="16">
        <f t="shared" si="4"/>
        <v>0</v>
      </c>
      <c r="J43" s="16"/>
      <c r="K43" s="11"/>
      <c r="L43" s="16"/>
      <c r="M43" s="16"/>
      <c r="N43" s="16"/>
      <c r="O43" s="16"/>
      <c r="P43" s="16"/>
      <c r="Q43" s="16"/>
      <c r="R43" s="35"/>
      <c r="S43" s="43"/>
      <c r="T43" s="46"/>
      <c r="U43" s="51">
        <f t="shared" si="5"/>
        <v>0</v>
      </c>
      <c r="V43" s="17" t="str">
        <f t="shared" si="3"/>
        <v>OK</v>
      </c>
    </row>
    <row r="44" spans="1:22" hidden="1" x14ac:dyDescent="0.3">
      <c r="A44" s="54" t="s">
        <v>100</v>
      </c>
      <c r="B44" s="63">
        <v>14860</v>
      </c>
      <c r="C44" s="18" t="s">
        <v>56</v>
      </c>
      <c r="D44" s="19"/>
      <c r="E44" s="19"/>
      <c r="F44" s="19"/>
      <c r="G44" s="20"/>
      <c r="H44" s="21"/>
      <c r="I44" s="22">
        <f t="shared" si="4"/>
        <v>0</v>
      </c>
      <c r="J44" s="22"/>
      <c r="K44" s="11"/>
      <c r="L44" s="22"/>
      <c r="M44" s="22"/>
      <c r="N44" s="22"/>
      <c r="O44" s="22"/>
      <c r="P44" s="22"/>
      <c r="Q44" s="22"/>
      <c r="R44" s="36"/>
      <c r="S44" s="44"/>
      <c r="T44" s="47"/>
      <c r="U44" s="52">
        <f t="shared" si="5"/>
        <v>0</v>
      </c>
      <c r="V44" s="23" t="str">
        <f t="shared" si="3"/>
        <v>OK</v>
      </c>
    </row>
    <row r="45" spans="1:22" hidden="1" x14ac:dyDescent="0.3">
      <c r="A45" s="64" t="s">
        <v>83</v>
      </c>
      <c r="B45" s="62">
        <v>14861</v>
      </c>
      <c r="C45" s="12" t="s">
        <v>56</v>
      </c>
      <c r="D45" s="53"/>
      <c r="E45" s="13"/>
      <c r="F45" s="13"/>
      <c r="G45" s="14"/>
      <c r="H45" s="15"/>
      <c r="I45" s="16">
        <f t="shared" si="4"/>
        <v>0</v>
      </c>
      <c r="J45" s="16"/>
      <c r="K45" s="11"/>
      <c r="L45" s="16"/>
      <c r="M45" s="16"/>
      <c r="N45" s="16"/>
      <c r="O45" s="16"/>
      <c r="P45" s="16"/>
      <c r="Q45" s="16"/>
      <c r="R45" s="35"/>
      <c r="S45" s="43"/>
      <c r="T45" s="46"/>
      <c r="U45" s="51">
        <f t="shared" si="5"/>
        <v>0</v>
      </c>
      <c r="V45" s="17" t="str">
        <f t="shared" si="3"/>
        <v>OK</v>
      </c>
    </row>
    <row r="46" spans="1:22" hidden="1" x14ac:dyDescent="0.3">
      <c r="A46" s="54" t="s">
        <v>101</v>
      </c>
      <c r="B46" s="63">
        <v>15096</v>
      </c>
      <c r="C46" s="18" t="s">
        <v>56</v>
      </c>
      <c r="D46" s="19"/>
      <c r="E46" s="19"/>
      <c r="F46" s="19"/>
      <c r="G46" s="20"/>
      <c r="H46" s="21"/>
      <c r="I46" s="22">
        <f t="shared" si="4"/>
        <v>0</v>
      </c>
      <c r="J46" s="22"/>
      <c r="K46" s="11"/>
      <c r="L46" s="22"/>
      <c r="M46" s="22"/>
      <c r="N46" s="22"/>
      <c r="O46" s="22"/>
      <c r="P46" s="22"/>
      <c r="Q46" s="22"/>
      <c r="R46" s="36"/>
      <c r="S46" s="44"/>
      <c r="T46" s="47"/>
      <c r="U46" s="52">
        <f t="shared" si="5"/>
        <v>0</v>
      </c>
      <c r="V46" s="23" t="str">
        <f t="shared" si="3"/>
        <v>OK</v>
      </c>
    </row>
    <row r="47" spans="1:22" hidden="1" x14ac:dyDescent="0.3">
      <c r="A47" s="12" t="s">
        <v>81</v>
      </c>
      <c r="B47" s="62">
        <v>15097</v>
      </c>
      <c r="C47" s="12" t="s">
        <v>56</v>
      </c>
      <c r="D47" s="53"/>
      <c r="E47" s="13"/>
      <c r="F47" s="13"/>
      <c r="G47" s="14"/>
      <c r="H47" s="15"/>
      <c r="I47" s="16">
        <f t="shared" si="4"/>
        <v>0</v>
      </c>
      <c r="J47" s="16"/>
      <c r="K47" s="11"/>
      <c r="L47" s="16"/>
      <c r="M47" s="16"/>
      <c r="N47" s="16"/>
      <c r="O47" s="16"/>
      <c r="P47" s="16"/>
      <c r="Q47" s="16"/>
      <c r="R47" s="35"/>
      <c r="S47" s="43"/>
      <c r="T47" s="46"/>
      <c r="U47" s="51">
        <f t="shared" si="5"/>
        <v>0</v>
      </c>
      <c r="V47" s="17" t="str">
        <f t="shared" si="3"/>
        <v>OK</v>
      </c>
    </row>
    <row r="48" spans="1:22" hidden="1" x14ac:dyDescent="0.3">
      <c r="A48" s="54" t="s">
        <v>76</v>
      </c>
      <c r="B48" s="63">
        <v>5585</v>
      </c>
      <c r="C48" s="18" t="s">
        <v>64</v>
      </c>
      <c r="D48" s="19"/>
      <c r="E48" s="19"/>
      <c r="F48" s="19"/>
      <c r="G48" s="20"/>
      <c r="H48" s="21"/>
      <c r="I48" s="22">
        <f t="shared" si="4"/>
        <v>0</v>
      </c>
      <c r="J48" s="22"/>
      <c r="K48" s="11"/>
      <c r="L48" s="22"/>
      <c r="M48" s="22"/>
      <c r="N48" s="22"/>
      <c r="O48" s="22"/>
      <c r="P48" s="22"/>
      <c r="Q48" s="22"/>
      <c r="R48" s="36"/>
      <c r="S48" s="44"/>
      <c r="T48" s="47"/>
      <c r="U48" s="52">
        <f t="shared" si="5"/>
        <v>0</v>
      </c>
      <c r="V48" s="23" t="str">
        <f t="shared" si="3"/>
        <v>OK</v>
      </c>
    </row>
    <row r="49" spans="1:22" hidden="1" x14ac:dyDescent="0.3">
      <c r="A49" s="12" t="s">
        <v>65</v>
      </c>
      <c r="B49" s="62">
        <v>11351</v>
      </c>
      <c r="C49" s="12" t="s">
        <v>64</v>
      </c>
      <c r="D49" s="53"/>
      <c r="E49" s="13"/>
      <c r="F49" s="13"/>
      <c r="G49" s="14"/>
      <c r="H49" s="15"/>
      <c r="I49" s="16">
        <f t="shared" si="4"/>
        <v>0</v>
      </c>
      <c r="J49" s="16"/>
      <c r="K49" s="11"/>
      <c r="L49" s="16"/>
      <c r="M49" s="16"/>
      <c r="N49" s="16"/>
      <c r="O49" s="16"/>
      <c r="P49" s="16"/>
      <c r="Q49" s="16"/>
      <c r="R49" s="35"/>
      <c r="S49" s="43"/>
      <c r="T49" s="46"/>
      <c r="U49" s="51">
        <f t="shared" si="5"/>
        <v>0</v>
      </c>
      <c r="V49" s="17" t="str">
        <f t="shared" si="3"/>
        <v>OK</v>
      </c>
    </row>
    <row r="50" spans="1:22" hidden="1" x14ac:dyDescent="0.3">
      <c r="A50" s="54" t="s">
        <v>66</v>
      </c>
      <c r="B50" s="63">
        <v>11352</v>
      </c>
      <c r="C50" s="18" t="s">
        <v>64</v>
      </c>
      <c r="D50" s="19"/>
      <c r="E50" s="19"/>
      <c r="F50" s="19"/>
      <c r="G50" s="20"/>
      <c r="H50" s="21"/>
      <c r="I50" s="22">
        <f t="shared" si="4"/>
        <v>0</v>
      </c>
      <c r="J50" s="22"/>
      <c r="K50" s="11"/>
      <c r="L50" s="22"/>
      <c r="M50" s="22"/>
      <c r="N50" s="22"/>
      <c r="O50" s="22"/>
      <c r="P50" s="22"/>
      <c r="Q50" s="22"/>
      <c r="R50" s="36"/>
      <c r="S50" s="44"/>
      <c r="T50" s="47"/>
      <c r="U50" s="52">
        <f t="shared" si="5"/>
        <v>0</v>
      </c>
      <c r="V50" s="23" t="str">
        <f t="shared" si="3"/>
        <v>OK</v>
      </c>
    </row>
    <row r="51" spans="1:22" hidden="1" x14ac:dyDescent="0.3">
      <c r="A51" s="90" t="s">
        <v>102</v>
      </c>
      <c r="B51" s="76">
        <v>13515</v>
      </c>
      <c r="C51" s="70" t="s">
        <v>78</v>
      </c>
      <c r="D51" s="70"/>
      <c r="E51" s="70"/>
      <c r="F51" s="70"/>
      <c r="G51" s="91"/>
      <c r="H51" s="82"/>
      <c r="I51" s="82">
        <f t="shared" si="4"/>
        <v>0</v>
      </c>
      <c r="J51" s="74"/>
      <c r="K51" s="11"/>
      <c r="L51" s="16"/>
      <c r="M51" s="16"/>
      <c r="N51" s="16"/>
      <c r="O51" s="16"/>
      <c r="P51" s="16"/>
      <c r="Q51" s="16"/>
      <c r="R51" s="35"/>
      <c r="S51" s="43"/>
      <c r="T51" s="46"/>
      <c r="U51" s="75">
        <f t="shared" si="5"/>
        <v>0</v>
      </c>
      <c r="V51" s="93" t="str">
        <f t="shared" si="3"/>
        <v>OK</v>
      </c>
    </row>
    <row r="52" spans="1:22" hidden="1" x14ac:dyDescent="0.3">
      <c r="A52" s="54" t="s">
        <v>103</v>
      </c>
      <c r="B52" s="63">
        <v>13516</v>
      </c>
      <c r="C52" s="18" t="s">
        <v>78</v>
      </c>
      <c r="D52" s="18"/>
      <c r="E52" s="18"/>
      <c r="F52" s="18"/>
      <c r="G52" s="92"/>
      <c r="H52" s="22"/>
      <c r="I52" s="22">
        <f t="shared" si="4"/>
        <v>0</v>
      </c>
      <c r="J52" s="69"/>
      <c r="K52" s="11"/>
      <c r="L52" s="22"/>
      <c r="M52" s="22"/>
      <c r="N52" s="22"/>
      <c r="O52" s="22"/>
      <c r="P52" s="22"/>
      <c r="Q52" s="22"/>
      <c r="R52" s="36"/>
      <c r="S52" s="44"/>
      <c r="T52" s="47"/>
      <c r="U52" s="52">
        <f t="shared" si="5"/>
        <v>0</v>
      </c>
      <c r="V52" s="23" t="str">
        <f t="shared" si="3"/>
        <v>OK</v>
      </c>
    </row>
    <row r="53" spans="1:22" hidden="1" x14ac:dyDescent="0.3">
      <c r="A53" s="90" t="s">
        <v>104</v>
      </c>
      <c r="B53" s="76">
        <v>13468</v>
      </c>
      <c r="C53" s="70" t="s">
        <v>78</v>
      </c>
      <c r="D53" s="70"/>
      <c r="E53" s="70"/>
      <c r="F53" s="70"/>
      <c r="G53" s="91"/>
      <c r="H53" s="82"/>
      <c r="I53" s="82">
        <f t="shared" si="4"/>
        <v>0</v>
      </c>
      <c r="J53" s="74"/>
      <c r="K53" s="11"/>
      <c r="L53" s="16"/>
      <c r="M53" s="16"/>
      <c r="N53" s="16"/>
      <c r="O53" s="16"/>
      <c r="P53" s="16"/>
      <c r="Q53" s="16"/>
      <c r="R53" s="35"/>
      <c r="S53" s="43"/>
      <c r="T53" s="46"/>
      <c r="U53" s="75">
        <f t="shared" si="5"/>
        <v>0</v>
      </c>
      <c r="V53" s="93" t="str">
        <f t="shared" si="3"/>
        <v>OK</v>
      </c>
    </row>
    <row r="54" spans="1:22" hidden="1" x14ac:dyDescent="0.3">
      <c r="A54" s="54" t="s">
        <v>79</v>
      </c>
      <c r="B54" s="63">
        <v>13469</v>
      </c>
      <c r="C54" s="18" t="s">
        <v>78</v>
      </c>
      <c r="D54" s="18"/>
      <c r="E54" s="18"/>
      <c r="F54" s="18"/>
      <c r="G54" s="92"/>
      <c r="H54" s="22"/>
      <c r="I54" s="22">
        <f t="shared" si="4"/>
        <v>0</v>
      </c>
      <c r="J54" s="69"/>
      <c r="K54" s="11"/>
      <c r="L54" s="22"/>
      <c r="M54" s="22"/>
      <c r="N54" s="22"/>
      <c r="O54" s="22"/>
      <c r="P54" s="22"/>
      <c r="Q54" s="22"/>
      <c r="R54" s="36"/>
      <c r="S54" s="44"/>
      <c r="T54" s="47"/>
      <c r="U54" s="52">
        <f t="shared" si="5"/>
        <v>0</v>
      </c>
      <c r="V54" s="23" t="str">
        <f t="shared" si="3"/>
        <v>OK</v>
      </c>
    </row>
    <row r="55" spans="1:22" hidden="1" x14ac:dyDescent="0.3">
      <c r="A55" s="90" t="s">
        <v>43</v>
      </c>
      <c r="B55" s="76">
        <v>11820</v>
      </c>
      <c r="C55" s="70" t="s">
        <v>67</v>
      </c>
      <c r="D55" s="70"/>
      <c r="E55" s="70"/>
      <c r="F55" s="70"/>
      <c r="G55" s="91"/>
      <c r="H55" s="82"/>
      <c r="I55" s="82">
        <f t="shared" si="4"/>
        <v>0</v>
      </c>
      <c r="J55" s="74"/>
      <c r="K55" s="11"/>
      <c r="L55" s="16"/>
      <c r="M55" s="16"/>
      <c r="N55" s="16"/>
      <c r="O55" s="16"/>
      <c r="P55" s="16"/>
      <c r="Q55" s="16"/>
      <c r="R55" s="35"/>
      <c r="S55" s="43"/>
      <c r="T55" s="46"/>
      <c r="U55" s="75">
        <f t="shared" si="5"/>
        <v>0</v>
      </c>
      <c r="V55" s="93" t="str">
        <f t="shared" si="3"/>
        <v>OK</v>
      </c>
    </row>
    <row r="56" spans="1:22" hidden="1" x14ac:dyDescent="0.3">
      <c r="A56" s="54" t="s">
        <v>44</v>
      </c>
      <c r="B56" s="63">
        <v>11816</v>
      </c>
      <c r="C56" s="18" t="s">
        <v>67</v>
      </c>
      <c r="D56" s="18"/>
      <c r="E56" s="18"/>
      <c r="F56" s="18"/>
      <c r="G56" s="92"/>
      <c r="H56" s="22"/>
      <c r="I56" s="22">
        <f t="shared" si="4"/>
        <v>0</v>
      </c>
      <c r="J56" s="69"/>
      <c r="K56" s="11"/>
      <c r="L56" s="22"/>
      <c r="M56" s="22"/>
      <c r="N56" s="22"/>
      <c r="O56" s="22"/>
      <c r="P56" s="22"/>
      <c r="Q56" s="22"/>
      <c r="R56" s="36"/>
      <c r="S56" s="44"/>
      <c r="T56" s="47"/>
      <c r="U56" s="52">
        <f>SUM(L56:T56)</f>
        <v>0</v>
      </c>
      <c r="V56" s="23" t="str">
        <f t="shared" si="3"/>
        <v>OK</v>
      </c>
    </row>
    <row r="57" spans="1:22" ht="17.25" thickBot="1" x14ac:dyDescent="0.35">
      <c r="A57" s="76" t="s">
        <v>77</v>
      </c>
      <c r="B57" s="76">
        <v>11381</v>
      </c>
      <c r="C57" s="77" t="s">
        <v>68</v>
      </c>
      <c r="D57" s="70"/>
      <c r="E57" s="70"/>
      <c r="F57" s="70"/>
      <c r="G57" s="91"/>
      <c r="H57" s="82"/>
      <c r="I57" s="82">
        <f t="shared" si="4"/>
        <v>4</v>
      </c>
      <c r="J57" s="74"/>
      <c r="K57" s="11"/>
      <c r="L57" s="16"/>
      <c r="M57" s="16">
        <v>4</v>
      </c>
      <c r="N57" s="16"/>
      <c r="O57" s="16"/>
      <c r="P57" s="16"/>
      <c r="Q57" s="16"/>
      <c r="R57" s="35"/>
      <c r="S57" s="43"/>
      <c r="T57" s="46"/>
      <c r="U57" s="75">
        <f>SUM(L57:T57)</f>
        <v>4</v>
      </c>
      <c r="V57" s="93" t="str">
        <f t="shared" si="3"/>
        <v>OK</v>
      </c>
    </row>
    <row r="58" spans="1:22" ht="17.25" hidden="1" thickBot="1" x14ac:dyDescent="0.35">
      <c r="A58" s="54" t="s">
        <v>69</v>
      </c>
      <c r="B58" s="63">
        <v>11382</v>
      </c>
      <c r="C58" s="18" t="s">
        <v>68</v>
      </c>
      <c r="D58" s="18"/>
      <c r="E58" s="18"/>
      <c r="F58" s="18"/>
      <c r="G58" s="92"/>
      <c r="H58" s="22"/>
      <c r="I58" s="22">
        <f t="shared" si="4"/>
        <v>0</v>
      </c>
      <c r="J58" s="69"/>
      <c r="K58" s="11"/>
      <c r="L58" s="22"/>
      <c r="M58" s="22"/>
      <c r="N58" s="22"/>
      <c r="O58" s="22"/>
      <c r="P58" s="22"/>
      <c r="Q58" s="22"/>
      <c r="R58" s="36"/>
      <c r="S58" s="44"/>
      <c r="T58" s="47"/>
      <c r="U58" s="52">
        <f>SUM(L58:T58)</f>
        <v>0</v>
      </c>
      <c r="V58" s="23" t="str">
        <f t="shared" si="3"/>
        <v>OK</v>
      </c>
    </row>
    <row r="59" spans="1:22" ht="17.25" hidden="1" thickBot="1" x14ac:dyDescent="0.35">
      <c r="A59" s="96" t="s">
        <v>105</v>
      </c>
      <c r="B59" s="76">
        <v>16586</v>
      </c>
      <c r="C59" s="70" t="s">
        <v>78</v>
      </c>
      <c r="D59" s="70"/>
      <c r="E59" s="70"/>
      <c r="F59" s="70"/>
      <c r="G59" s="91"/>
      <c r="H59" s="82"/>
      <c r="I59" s="82">
        <f t="shared" si="4"/>
        <v>0</v>
      </c>
      <c r="J59" s="74"/>
      <c r="K59" s="11"/>
      <c r="L59" s="16"/>
      <c r="M59" s="16"/>
      <c r="N59" s="16"/>
      <c r="O59" s="16"/>
      <c r="P59" s="16"/>
      <c r="Q59" s="16"/>
      <c r="R59" s="35"/>
      <c r="S59" s="43"/>
      <c r="T59" s="46"/>
      <c r="U59" s="75">
        <f t="shared" ref="U59:U69" si="6">SUM(L59:T59)</f>
        <v>0</v>
      </c>
      <c r="V59" s="93" t="str">
        <f t="shared" si="3"/>
        <v>OK</v>
      </c>
    </row>
    <row r="60" spans="1:22" ht="17.25" hidden="1" thickBot="1" x14ac:dyDescent="0.35">
      <c r="A60" s="54" t="s">
        <v>90</v>
      </c>
      <c r="B60" s="63">
        <v>16587</v>
      </c>
      <c r="C60" s="18" t="s">
        <v>78</v>
      </c>
      <c r="D60" s="18"/>
      <c r="E60" s="18"/>
      <c r="F60" s="18"/>
      <c r="G60" s="92"/>
      <c r="H60" s="22"/>
      <c r="I60" s="22">
        <f t="shared" si="4"/>
        <v>0</v>
      </c>
      <c r="J60" s="69"/>
      <c r="K60" s="11"/>
      <c r="L60" s="22"/>
      <c r="M60" s="22"/>
      <c r="N60" s="22"/>
      <c r="O60" s="22"/>
      <c r="P60" s="22"/>
      <c r="Q60" s="22"/>
      <c r="R60" s="36"/>
      <c r="S60" s="44"/>
      <c r="T60" s="47"/>
      <c r="U60" s="52">
        <f t="shared" si="6"/>
        <v>0</v>
      </c>
      <c r="V60" s="23" t="str">
        <f t="shared" si="3"/>
        <v>OK</v>
      </c>
    </row>
    <row r="61" spans="1:22" ht="17.25" hidden="1" thickBot="1" x14ac:dyDescent="0.35">
      <c r="A61" s="90" t="s">
        <v>91</v>
      </c>
      <c r="B61" s="76">
        <v>17121</v>
      </c>
      <c r="C61" s="70" t="s">
        <v>92</v>
      </c>
      <c r="D61" s="70"/>
      <c r="E61" s="70"/>
      <c r="F61" s="70"/>
      <c r="G61" s="91"/>
      <c r="H61" s="82"/>
      <c r="I61" s="82">
        <f t="shared" si="4"/>
        <v>0</v>
      </c>
      <c r="J61" s="74"/>
      <c r="K61" s="11"/>
      <c r="L61" s="16"/>
      <c r="M61" s="16"/>
      <c r="N61" s="16"/>
      <c r="O61" s="16"/>
      <c r="P61" s="16"/>
      <c r="Q61" s="16"/>
      <c r="R61" s="35"/>
      <c r="S61" s="43"/>
      <c r="T61" s="46"/>
      <c r="U61" s="75">
        <f t="shared" si="6"/>
        <v>0</v>
      </c>
      <c r="V61" s="93" t="str">
        <f t="shared" si="3"/>
        <v>OK</v>
      </c>
    </row>
    <row r="62" spans="1:22" ht="17.25" hidden="1" thickBot="1" x14ac:dyDescent="0.35">
      <c r="A62" s="54" t="s">
        <v>106</v>
      </c>
      <c r="B62" s="63">
        <v>19270</v>
      </c>
      <c r="C62" s="18" t="s">
        <v>68</v>
      </c>
      <c r="D62" s="18"/>
      <c r="E62" s="18"/>
      <c r="F62" s="18"/>
      <c r="G62" s="92"/>
      <c r="H62" s="22"/>
      <c r="I62" s="22">
        <f t="shared" si="4"/>
        <v>0</v>
      </c>
      <c r="J62" s="69"/>
      <c r="K62" s="11"/>
      <c r="L62" s="22"/>
      <c r="M62" s="22"/>
      <c r="N62" s="22"/>
      <c r="O62" s="22"/>
      <c r="P62" s="22"/>
      <c r="Q62" s="22"/>
      <c r="R62" s="36"/>
      <c r="S62" s="44"/>
      <c r="T62" s="47"/>
      <c r="U62" s="71">
        <f t="shared" si="6"/>
        <v>0</v>
      </c>
      <c r="V62" s="23" t="str">
        <f t="shared" si="3"/>
        <v>OK</v>
      </c>
    </row>
    <row r="63" spans="1:22" ht="17.25" hidden="1" thickBot="1" x14ac:dyDescent="0.35">
      <c r="A63" s="90" t="s">
        <v>107</v>
      </c>
      <c r="B63" s="76">
        <v>19276</v>
      </c>
      <c r="C63" s="70" t="s">
        <v>68</v>
      </c>
      <c r="D63" s="70"/>
      <c r="E63" s="70"/>
      <c r="F63" s="70"/>
      <c r="G63" s="91"/>
      <c r="H63" s="82"/>
      <c r="I63" s="82">
        <f t="shared" si="4"/>
        <v>0</v>
      </c>
      <c r="J63" s="74"/>
      <c r="K63" s="11"/>
      <c r="L63" s="16"/>
      <c r="M63" s="16"/>
      <c r="N63" s="16"/>
      <c r="O63" s="16"/>
      <c r="P63" s="16"/>
      <c r="Q63" s="16"/>
      <c r="R63" s="35"/>
      <c r="S63" s="43"/>
      <c r="T63" s="46"/>
      <c r="U63" s="75">
        <f t="shared" si="6"/>
        <v>0</v>
      </c>
      <c r="V63" s="93" t="str">
        <f t="shared" si="3"/>
        <v>OK</v>
      </c>
    </row>
    <row r="64" spans="1:22" ht="17.25" hidden="1" thickBot="1" x14ac:dyDescent="0.35">
      <c r="A64" s="54" t="s">
        <v>108</v>
      </c>
      <c r="B64" s="63">
        <v>19836</v>
      </c>
      <c r="C64" s="18" t="s">
        <v>45</v>
      </c>
      <c r="D64" s="18"/>
      <c r="E64" s="18"/>
      <c r="F64" s="18"/>
      <c r="G64" s="92"/>
      <c r="H64" s="22"/>
      <c r="I64" s="22">
        <f t="shared" si="4"/>
        <v>0</v>
      </c>
      <c r="J64" s="69"/>
      <c r="K64" s="11"/>
      <c r="L64" s="22"/>
      <c r="M64" s="22"/>
      <c r="N64" s="22"/>
      <c r="O64" s="22"/>
      <c r="P64" s="22"/>
      <c r="Q64" s="22"/>
      <c r="R64" s="36"/>
      <c r="S64" s="44"/>
      <c r="T64" s="47"/>
      <c r="U64" s="52">
        <f t="shared" si="6"/>
        <v>0</v>
      </c>
      <c r="V64" s="23" t="str">
        <f t="shared" si="3"/>
        <v>OK</v>
      </c>
    </row>
    <row r="65" spans="1:22" ht="17.25" hidden="1" thickBot="1" x14ac:dyDescent="0.35">
      <c r="A65" s="90" t="s">
        <v>109</v>
      </c>
      <c r="B65" s="76">
        <v>20278</v>
      </c>
      <c r="C65" s="70" t="s">
        <v>110</v>
      </c>
      <c r="D65" s="70"/>
      <c r="E65" s="70"/>
      <c r="F65" s="70"/>
      <c r="G65" s="91"/>
      <c r="H65" s="82"/>
      <c r="I65" s="82">
        <f t="shared" si="4"/>
        <v>0</v>
      </c>
      <c r="J65" s="74"/>
      <c r="K65" s="11"/>
      <c r="L65" s="16"/>
      <c r="M65" s="16"/>
      <c r="N65" s="16"/>
      <c r="O65" s="16"/>
      <c r="P65" s="16"/>
      <c r="Q65" s="16"/>
      <c r="R65" s="35"/>
      <c r="S65" s="43"/>
      <c r="T65" s="46"/>
      <c r="U65" s="75">
        <f t="shared" si="6"/>
        <v>0</v>
      </c>
      <c r="V65" s="93" t="str">
        <f t="shared" si="3"/>
        <v>OK</v>
      </c>
    </row>
    <row r="66" spans="1:22" ht="17.25" hidden="1" thickBot="1" x14ac:dyDescent="0.35">
      <c r="A66" s="54" t="s">
        <v>111</v>
      </c>
      <c r="B66" s="63">
        <v>20272</v>
      </c>
      <c r="C66" s="18" t="s">
        <v>110</v>
      </c>
      <c r="D66" s="18"/>
      <c r="E66" s="18"/>
      <c r="F66" s="18"/>
      <c r="G66" s="92"/>
      <c r="H66" s="22"/>
      <c r="I66" s="22">
        <f t="shared" si="4"/>
        <v>0</v>
      </c>
      <c r="J66" s="69"/>
      <c r="K66" s="11"/>
      <c r="L66" s="22"/>
      <c r="M66" s="22"/>
      <c r="N66" s="22"/>
      <c r="O66" s="22"/>
      <c r="P66" s="22"/>
      <c r="Q66" s="22"/>
      <c r="R66" s="36"/>
      <c r="S66" s="44"/>
      <c r="T66" s="47"/>
      <c r="U66" s="52">
        <f t="shared" si="6"/>
        <v>0</v>
      </c>
      <c r="V66" s="23" t="str">
        <f t="shared" si="3"/>
        <v>OK</v>
      </c>
    </row>
    <row r="67" spans="1:22" ht="17.25" hidden="1" thickBot="1" x14ac:dyDescent="0.35">
      <c r="A67" s="90" t="s">
        <v>112</v>
      </c>
      <c r="B67" s="76">
        <v>20956</v>
      </c>
      <c r="C67" s="70" t="s">
        <v>110</v>
      </c>
      <c r="D67" s="70"/>
      <c r="E67" s="70"/>
      <c r="F67" s="70"/>
      <c r="G67" s="91"/>
      <c r="H67" s="82"/>
      <c r="I67" s="82">
        <f t="shared" si="4"/>
        <v>0</v>
      </c>
      <c r="J67" s="74"/>
      <c r="K67" s="11"/>
      <c r="L67" s="16"/>
      <c r="M67" s="16"/>
      <c r="N67" s="16"/>
      <c r="O67" s="16"/>
      <c r="P67" s="16"/>
      <c r="Q67" s="16"/>
      <c r="R67" s="35"/>
      <c r="S67" s="43"/>
      <c r="T67" s="46"/>
      <c r="U67" s="75">
        <f t="shared" si="6"/>
        <v>0</v>
      </c>
      <c r="V67" s="93" t="str">
        <f t="shared" si="3"/>
        <v>OK</v>
      </c>
    </row>
    <row r="68" spans="1:22" ht="17.25" hidden="1" thickBot="1" x14ac:dyDescent="0.35">
      <c r="A68" s="54" t="s">
        <v>116</v>
      </c>
      <c r="B68" s="63">
        <v>21299</v>
      </c>
      <c r="C68" s="18" t="s">
        <v>78</v>
      </c>
      <c r="D68" s="18"/>
      <c r="E68" s="18"/>
      <c r="F68" s="18"/>
      <c r="G68" s="92"/>
      <c r="H68" s="22"/>
      <c r="I68" s="22">
        <f t="shared" si="4"/>
        <v>0</v>
      </c>
      <c r="J68" s="69"/>
      <c r="K68" s="11"/>
      <c r="L68" s="22"/>
      <c r="M68" s="22"/>
      <c r="N68" s="22"/>
      <c r="O68" s="22"/>
      <c r="P68" s="22"/>
      <c r="Q68" s="22"/>
      <c r="R68" s="36"/>
      <c r="S68" s="44"/>
      <c r="T68" s="47"/>
      <c r="U68" s="71">
        <f t="shared" si="6"/>
        <v>0</v>
      </c>
      <c r="V68" s="23" t="str">
        <f>IF(U68=I68,"OK","NG")</f>
        <v>OK</v>
      </c>
    </row>
    <row r="69" spans="1:22" ht="17.25" hidden="1" thickBot="1" x14ac:dyDescent="0.35">
      <c r="A69" s="99" t="s">
        <v>117</v>
      </c>
      <c r="B69" s="76">
        <v>22115</v>
      </c>
      <c r="C69" s="82" t="s">
        <v>118</v>
      </c>
      <c r="D69" s="82"/>
      <c r="E69" s="82"/>
      <c r="F69" s="82"/>
      <c r="G69" s="82"/>
      <c r="H69" s="82"/>
      <c r="I69" s="82">
        <f t="shared" si="4"/>
        <v>0</v>
      </c>
      <c r="J69" s="97"/>
      <c r="K69" s="112"/>
      <c r="L69" s="82"/>
      <c r="M69" s="82"/>
      <c r="N69" s="82"/>
      <c r="O69" s="82"/>
      <c r="P69" s="82"/>
      <c r="Q69" s="82"/>
      <c r="R69" s="83"/>
      <c r="S69" s="84"/>
      <c r="T69" s="100"/>
      <c r="U69" s="75">
        <f t="shared" si="6"/>
        <v>0</v>
      </c>
      <c r="V69" s="93" t="str">
        <f>IF(U69=I69,"OK","NG")</f>
        <v>OK</v>
      </c>
    </row>
    <row r="70" spans="1:22" ht="17.25" hidden="1" thickBot="1" x14ac:dyDescent="0.35">
      <c r="A70" s="54" t="s">
        <v>120</v>
      </c>
      <c r="B70" s="63">
        <v>22706</v>
      </c>
      <c r="C70" s="18" t="s">
        <v>119</v>
      </c>
      <c r="D70" s="18"/>
      <c r="E70" s="18"/>
      <c r="F70" s="18"/>
      <c r="G70" s="92"/>
      <c r="H70" s="22"/>
      <c r="I70" s="22">
        <f t="shared" si="4"/>
        <v>0</v>
      </c>
      <c r="J70" s="69"/>
      <c r="K70" s="11"/>
      <c r="L70" s="22"/>
      <c r="M70" s="22"/>
      <c r="N70" s="22"/>
      <c r="O70" s="22"/>
      <c r="P70" s="22"/>
      <c r="Q70" s="22"/>
      <c r="R70" s="36"/>
      <c r="S70" s="44"/>
      <c r="T70" s="47"/>
      <c r="U70" s="71">
        <f t="shared" ref="U70" si="7">SUM(L70:T70)</f>
        <v>0</v>
      </c>
      <c r="V70" s="23" t="str">
        <f>IF(U70=I70,"OK","NG")</f>
        <v>OK</v>
      </c>
    </row>
    <row r="71" spans="1:22" ht="17.25" hidden="1" thickBot="1" x14ac:dyDescent="0.35">
      <c r="A71" s="99" t="s">
        <v>121</v>
      </c>
      <c r="B71" s="76">
        <v>22886</v>
      </c>
      <c r="C71" s="82" t="s">
        <v>46</v>
      </c>
      <c r="D71" s="82"/>
      <c r="E71" s="82"/>
      <c r="F71" s="82"/>
      <c r="G71" s="82"/>
      <c r="H71" s="82"/>
      <c r="I71" s="82">
        <f t="shared" ref="I71:I79" si="8">SUM(L71:T71)</f>
        <v>0</v>
      </c>
      <c r="J71" s="97"/>
      <c r="K71" s="112"/>
      <c r="L71" s="82"/>
      <c r="M71" s="82"/>
      <c r="N71" s="82"/>
      <c r="O71" s="82"/>
      <c r="P71" s="82"/>
      <c r="Q71" s="82"/>
      <c r="R71" s="83"/>
      <c r="S71" s="84"/>
      <c r="T71" s="100"/>
      <c r="U71" s="75">
        <f>SUM(L71:T71)</f>
        <v>0</v>
      </c>
      <c r="V71" s="93" t="str">
        <f>IF(U71=I71,"OK","NG")</f>
        <v>OK</v>
      </c>
    </row>
    <row r="72" spans="1:22" ht="17.25" hidden="1" thickBot="1" x14ac:dyDescent="0.35">
      <c r="A72" s="54" t="s">
        <v>122</v>
      </c>
      <c r="B72" s="63">
        <v>17528</v>
      </c>
      <c r="C72" s="18" t="s">
        <v>123</v>
      </c>
      <c r="D72" s="18"/>
      <c r="E72" s="18"/>
      <c r="F72" s="18"/>
      <c r="G72" s="92"/>
      <c r="H72" s="22"/>
      <c r="I72" s="22">
        <f t="shared" si="8"/>
        <v>0</v>
      </c>
      <c r="J72" s="69"/>
      <c r="K72" s="11"/>
      <c r="L72" s="22"/>
      <c r="M72" s="22"/>
      <c r="N72" s="22"/>
      <c r="O72" s="22"/>
      <c r="P72" s="22"/>
      <c r="Q72" s="22"/>
      <c r="R72" s="36"/>
      <c r="S72" s="44"/>
      <c r="T72" s="47"/>
      <c r="U72" s="71">
        <f t="shared" ref="U72:U79" si="9">SUM(L72:T72)</f>
        <v>0</v>
      </c>
      <c r="V72" s="95" t="str">
        <f t="shared" ref="V72:V80" si="10">IF(U72=I72,"OK","NG")</f>
        <v>OK</v>
      </c>
    </row>
    <row r="73" spans="1:22" ht="17.25" hidden="1" thickBot="1" x14ac:dyDescent="0.35">
      <c r="A73" s="99" t="s">
        <v>124</v>
      </c>
      <c r="B73" s="76">
        <v>22380</v>
      </c>
      <c r="C73" s="82" t="s">
        <v>47</v>
      </c>
      <c r="D73" s="82"/>
      <c r="E73" s="82"/>
      <c r="F73" s="82"/>
      <c r="G73" s="82"/>
      <c r="H73" s="82"/>
      <c r="I73" s="82">
        <f t="shared" si="8"/>
        <v>0</v>
      </c>
      <c r="J73" s="97"/>
      <c r="K73" s="112"/>
      <c r="L73" s="82"/>
      <c r="M73" s="82"/>
      <c r="N73" s="82"/>
      <c r="O73" s="82"/>
      <c r="P73" s="82"/>
      <c r="Q73" s="82"/>
      <c r="R73" s="83"/>
      <c r="S73" s="84"/>
      <c r="T73" s="100"/>
      <c r="U73" s="75">
        <f t="shared" si="9"/>
        <v>0</v>
      </c>
      <c r="V73" s="93" t="str">
        <f t="shared" si="10"/>
        <v>OK</v>
      </c>
    </row>
    <row r="74" spans="1:22" ht="17.25" hidden="1" thickBot="1" x14ac:dyDescent="0.35">
      <c r="A74" s="54" t="s">
        <v>125</v>
      </c>
      <c r="B74" s="63">
        <v>19279</v>
      </c>
      <c r="C74" s="18" t="s">
        <v>126</v>
      </c>
      <c r="D74" s="18"/>
      <c r="E74" s="18"/>
      <c r="F74" s="18"/>
      <c r="G74" s="92"/>
      <c r="H74" s="22"/>
      <c r="I74" s="22">
        <f t="shared" si="8"/>
        <v>0</v>
      </c>
      <c r="J74" s="69"/>
      <c r="K74" s="11"/>
      <c r="L74" s="22"/>
      <c r="M74" s="22"/>
      <c r="N74" s="22"/>
      <c r="O74" s="22"/>
      <c r="P74" s="22"/>
      <c r="Q74" s="22"/>
      <c r="R74" s="36"/>
      <c r="S74" s="44"/>
      <c r="T74" s="47"/>
      <c r="U74" s="71">
        <f t="shared" si="9"/>
        <v>0</v>
      </c>
      <c r="V74" s="95" t="str">
        <f t="shared" si="10"/>
        <v>OK</v>
      </c>
    </row>
    <row r="75" spans="1:22" ht="17.25" hidden="1" thickBot="1" x14ac:dyDescent="0.35">
      <c r="A75" s="90" t="s">
        <v>131</v>
      </c>
      <c r="B75" s="76">
        <v>22724</v>
      </c>
      <c r="C75" s="70" t="s">
        <v>119</v>
      </c>
      <c r="D75" s="70"/>
      <c r="E75" s="70"/>
      <c r="F75" s="70"/>
      <c r="G75" s="91"/>
      <c r="H75" s="82"/>
      <c r="I75" s="82">
        <f t="shared" si="8"/>
        <v>0</v>
      </c>
      <c r="J75" s="74"/>
      <c r="K75" s="11"/>
      <c r="L75" s="82"/>
      <c r="M75" s="82"/>
      <c r="N75" s="82"/>
      <c r="O75" s="82"/>
      <c r="P75" s="82"/>
      <c r="Q75" s="82"/>
      <c r="R75" s="83"/>
      <c r="S75" s="84"/>
      <c r="T75" s="85"/>
      <c r="U75" s="75">
        <f>SUM(L75:T75)</f>
        <v>0</v>
      </c>
      <c r="V75" s="93" t="s">
        <v>129</v>
      </c>
    </row>
    <row r="76" spans="1:22" ht="17.25" hidden="1" thickBot="1" x14ac:dyDescent="0.35">
      <c r="A76" s="54" t="s">
        <v>133</v>
      </c>
      <c r="B76" s="63">
        <v>22705</v>
      </c>
      <c r="C76" s="18" t="s">
        <v>119</v>
      </c>
      <c r="D76" s="18"/>
      <c r="E76" s="18"/>
      <c r="F76" s="18"/>
      <c r="G76" s="92"/>
      <c r="H76" s="22"/>
      <c r="I76" s="22">
        <f t="shared" si="8"/>
        <v>0</v>
      </c>
      <c r="J76" s="69"/>
      <c r="K76" s="11"/>
      <c r="L76" s="22"/>
      <c r="M76" s="22"/>
      <c r="N76" s="22"/>
      <c r="O76" s="22"/>
      <c r="P76" s="22"/>
      <c r="Q76" s="22"/>
      <c r="R76" s="36"/>
      <c r="S76" s="44"/>
      <c r="T76" s="47"/>
      <c r="U76" s="71">
        <f t="shared" si="9"/>
        <v>0</v>
      </c>
      <c r="V76" s="95" t="str">
        <f t="shared" si="10"/>
        <v>OK</v>
      </c>
    </row>
    <row r="77" spans="1:22" ht="17.25" hidden="1" thickBot="1" x14ac:dyDescent="0.35">
      <c r="A77" s="99" t="s">
        <v>128</v>
      </c>
      <c r="B77" s="76">
        <v>5655</v>
      </c>
      <c r="C77" s="82" t="s">
        <v>54</v>
      </c>
      <c r="D77" s="82"/>
      <c r="E77" s="82"/>
      <c r="F77" s="82"/>
      <c r="G77" s="82"/>
      <c r="H77" s="82"/>
      <c r="I77" s="82">
        <f t="shared" si="8"/>
        <v>0</v>
      </c>
      <c r="J77" s="97"/>
      <c r="K77" s="112"/>
      <c r="L77" s="82"/>
      <c r="M77" s="82"/>
      <c r="N77" s="82"/>
      <c r="O77" s="82"/>
      <c r="P77" s="82"/>
      <c r="Q77" s="82"/>
      <c r="R77" s="83"/>
      <c r="S77" s="84"/>
      <c r="T77" s="100"/>
      <c r="U77" s="75">
        <f t="shared" si="9"/>
        <v>0</v>
      </c>
      <c r="V77" s="93" t="str">
        <f t="shared" si="10"/>
        <v>OK</v>
      </c>
    </row>
    <row r="78" spans="1:22" ht="17.25" hidden="1" thickBot="1" x14ac:dyDescent="0.35">
      <c r="A78" s="120" t="s">
        <v>136</v>
      </c>
      <c r="B78" s="121">
        <v>22704</v>
      </c>
      <c r="C78" s="122" t="s">
        <v>137</v>
      </c>
      <c r="D78" s="122"/>
      <c r="E78" s="122"/>
      <c r="F78" s="122"/>
      <c r="G78" s="122"/>
      <c r="H78" s="122"/>
      <c r="I78" s="22">
        <f t="shared" si="8"/>
        <v>0</v>
      </c>
      <c r="J78" s="45"/>
      <c r="K78" s="112"/>
      <c r="L78" s="22"/>
      <c r="M78" s="22"/>
      <c r="N78" s="22"/>
      <c r="O78" s="22"/>
      <c r="P78" s="22"/>
      <c r="Q78" s="22"/>
      <c r="R78" s="36"/>
      <c r="S78" s="44"/>
      <c r="T78" s="116"/>
      <c r="U78" s="71">
        <f t="shared" si="9"/>
        <v>0</v>
      </c>
      <c r="V78" s="95" t="str">
        <f t="shared" si="10"/>
        <v>OK</v>
      </c>
    </row>
    <row r="79" spans="1:22" ht="17.25" hidden="1" thickBot="1" x14ac:dyDescent="0.35">
      <c r="A79" s="136" t="s">
        <v>139</v>
      </c>
      <c r="B79" s="133">
        <v>22722</v>
      </c>
      <c r="C79" s="137" t="s">
        <v>119</v>
      </c>
      <c r="D79" s="137"/>
      <c r="E79" s="137"/>
      <c r="F79" s="137"/>
      <c r="G79" s="137"/>
      <c r="H79" s="137"/>
      <c r="I79" s="82">
        <f t="shared" si="8"/>
        <v>0</v>
      </c>
      <c r="J79" s="97"/>
      <c r="K79" s="119"/>
      <c r="L79" s="82"/>
      <c r="M79" s="82"/>
      <c r="N79" s="82"/>
      <c r="O79" s="82"/>
      <c r="P79" s="82"/>
      <c r="Q79" s="82"/>
      <c r="R79" s="83"/>
      <c r="S79" s="84"/>
      <c r="T79" s="100"/>
      <c r="U79" s="75">
        <f t="shared" si="9"/>
        <v>0</v>
      </c>
      <c r="V79" s="93" t="str">
        <f t="shared" si="10"/>
        <v>OK</v>
      </c>
    </row>
    <row r="80" spans="1:22" ht="17.25" hidden="1" thickBot="1" x14ac:dyDescent="0.35">
      <c r="A80" s="126" t="s">
        <v>134</v>
      </c>
      <c r="B80" s="127">
        <v>22723</v>
      </c>
      <c r="C80" s="128" t="s">
        <v>119</v>
      </c>
      <c r="D80" s="128"/>
      <c r="E80" s="128"/>
      <c r="F80" s="128"/>
      <c r="G80" s="128"/>
      <c r="H80" s="22"/>
      <c r="I80" s="22">
        <f t="shared" ref="I80" si="11">SUM(L80:T80)</f>
        <v>0</v>
      </c>
      <c r="J80" s="45"/>
      <c r="K80" s="112"/>
      <c r="L80" s="22"/>
      <c r="M80" s="22"/>
      <c r="N80" s="22"/>
      <c r="O80" s="22"/>
      <c r="P80" s="22"/>
      <c r="Q80" s="22"/>
      <c r="R80" s="36"/>
      <c r="S80" s="44"/>
      <c r="T80" s="116"/>
      <c r="U80" s="52">
        <f t="shared" ref="U80" si="12">SUM(L80:T80)</f>
        <v>0</v>
      </c>
      <c r="V80" s="23" t="str">
        <f t="shared" si="10"/>
        <v>OK</v>
      </c>
    </row>
    <row r="81" spans="1:22" x14ac:dyDescent="0.3">
      <c r="A81" s="86"/>
      <c r="B81" s="86"/>
      <c r="C81" s="87" t="s">
        <v>9</v>
      </c>
      <c r="D81" s="87"/>
      <c r="E81" s="87"/>
      <c r="F81" s="87"/>
      <c r="G81" s="88">
        <f>SUM(G6:G49)</f>
        <v>0</v>
      </c>
      <c r="H81" s="89">
        <f>SUM(H6:H49)</f>
        <v>0</v>
      </c>
      <c r="I81" s="88">
        <f>SUM(I6:I80)</f>
        <v>4</v>
      </c>
      <c r="J81" s="40">
        <f>SUM(J6:J49)</f>
        <v>0</v>
      </c>
      <c r="K81" s="115">
        <f>SUM(K6:K51)</f>
        <v>0</v>
      </c>
      <c r="L81" s="38">
        <f>SUM(L6:L80)</f>
        <v>0</v>
      </c>
      <c r="M81" s="38">
        <f t="shared" ref="M81:U81" si="13">SUM(M6:M80)</f>
        <v>4</v>
      </c>
      <c r="N81" s="38">
        <f t="shared" si="13"/>
        <v>0</v>
      </c>
      <c r="O81" s="38">
        <f t="shared" si="13"/>
        <v>0</v>
      </c>
      <c r="P81" s="38">
        <f t="shared" si="13"/>
        <v>0</v>
      </c>
      <c r="Q81" s="38">
        <f t="shared" si="13"/>
        <v>0</v>
      </c>
      <c r="R81" s="38">
        <f t="shared" si="13"/>
        <v>0</v>
      </c>
      <c r="S81" s="38">
        <f t="shared" si="13"/>
        <v>0</v>
      </c>
      <c r="T81" s="38">
        <f t="shared" si="13"/>
        <v>0</v>
      </c>
      <c r="U81" s="38">
        <f t="shared" si="13"/>
        <v>4</v>
      </c>
      <c r="V81" s="41" t="str">
        <f>IF(U81=SUM(I81),"OK","NG")</f>
        <v>OK</v>
      </c>
    </row>
  </sheetData>
  <autoFilter ref="A5:V81" xr:uid="{00000000-0001-0000-1800-000000000000}">
    <filterColumn colId="8">
      <filters>
        <filter val="4"/>
      </filters>
    </filterColumn>
  </autoFilter>
  <mergeCells count="20">
    <mergeCell ref="O4:O5"/>
    <mergeCell ref="P4:P5"/>
    <mergeCell ref="B3:C3"/>
    <mergeCell ref="N4:N5"/>
    <mergeCell ref="B1:C1"/>
    <mergeCell ref="F1:G1"/>
    <mergeCell ref="H1:J3"/>
    <mergeCell ref="B2:C2"/>
    <mergeCell ref="A4:D4"/>
    <mergeCell ref="E4:G4"/>
    <mergeCell ref="H4:J4"/>
    <mergeCell ref="L4:L5"/>
    <mergeCell ref="M4:M5"/>
    <mergeCell ref="Q4:Q5"/>
    <mergeCell ref="R4:R5"/>
    <mergeCell ref="S4:S5"/>
    <mergeCell ref="T4:T5"/>
    <mergeCell ref="V2:V3"/>
    <mergeCell ref="U4:U5"/>
    <mergeCell ref="V4:V5"/>
  </mergeCells>
  <phoneticPr fontId="3" type="noConversion"/>
  <conditionalFormatting sqref="A4 V6:V81">
    <cfRule type="containsText" dxfId="15" priority="11" operator="containsText" text="NG">
      <formula>NOT(ISERROR(SEARCH("NG",A4)))</formula>
    </cfRule>
    <cfRule type="containsText" dxfId="14" priority="12" operator="containsText" text="OK">
      <formula>NOT(ISERROR(SEARCH("OK",A4)))</formula>
    </cfRule>
  </conditionalFormatting>
  <pageMargins left="0.70866141732283472" right="0.70866141732283472" top="0.74803149606299213" bottom="0.74803149606299213" header="0.31496062992125984" footer="0.31496062992125984"/>
  <pageSetup paperSize="8" scale="10" orientation="landscape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 filterMode="1">
    <pageSetUpPr fitToPage="1"/>
  </sheetPr>
  <dimension ref="A1:V81"/>
  <sheetViews>
    <sheetView showGridLines="0" zoomScale="85" zoomScaleNormal="85" workbookViewId="0">
      <pane ySplit="5" topLeftCell="A26" activePane="bottomLeft" state="frozen"/>
      <selection activeCell="W73" sqref="W73"/>
      <selection pane="bottomLeft" activeCell="W73" sqref="W73"/>
    </sheetView>
  </sheetViews>
  <sheetFormatPr defaultColWidth="9" defaultRowHeight="16.5" x14ac:dyDescent="0.3"/>
  <cols>
    <col min="1" max="1" width="12.625" bestFit="1" customWidth="1"/>
    <col min="2" max="2" width="14.125" bestFit="1" customWidth="1"/>
    <col min="3" max="3" width="35.125" customWidth="1"/>
    <col min="4" max="4" width="11.75" hidden="1" customWidth="1"/>
    <col min="5" max="6" width="9" hidden="1" customWidth="1"/>
    <col min="7" max="7" width="15.375" hidden="1" customWidth="1"/>
    <col min="8" max="8" width="13.25" hidden="1" customWidth="1"/>
    <col min="9" max="9" width="13.25" customWidth="1"/>
    <col min="10" max="10" width="13.25" hidden="1" customWidth="1"/>
    <col min="11" max="11" width="0.875" customWidth="1"/>
    <col min="20" max="20" width="11" bestFit="1" customWidth="1"/>
  </cols>
  <sheetData>
    <row r="1" spans="1:22" ht="22.5" customHeight="1" thickBot="1" x14ac:dyDescent="0.35">
      <c r="A1" s="32" t="s">
        <v>28</v>
      </c>
      <c r="B1" s="153">
        <f>H81</f>
        <v>0</v>
      </c>
      <c r="C1" s="154"/>
      <c r="D1" s="55"/>
      <c r="E1" s="58" t="s">
        <v>1</v>
      </c>
      <c r="F1" s="155">
        <f>G81</f>
        <v>0</v>
      </c>
      <c r="G1" s="155"/>
      <c r="H1" s="156"/>
      <c r="I1" s="156"/>
      <c r="J1" s="156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22.5" customHeight="1" thickBot="1" x14ac:dyDescent="0.35">
      <c r="A2" s="32" t="s">
        <v>29</v>
      </c>
      <c r="B2" s="158">
        <f>I81</f>
        <v>0</v>
      </c>
      <c r="C2" s="159"/>
      <c r="D2" s="56"/>
      <c r="E2" s="59"/>
      <c r="F2" s="2"/>
      <c r="G2" s="2"/>
      <c r="H2" s="156"/>
      <c r="I2" s="156"/>
      <c r="J2" s="156"/>
      <c r="K2" s="113"/>
      <c r="L2" s="3">
        <f>SUBTOTAL(9,L6:L80)</f>
        <v>0</v>
      </c>
      <c r="M2" s="3">
        <f t="shared" ref="M2:T2" si="0">SUBTOTAL(9,M6:M80)</f>
        <v>0</v>
      </c>
      <c r="N2" s="3">
        <f t="shared" si="0"/>
        <v>0</v>
      </c>
      <c r="O2" s="3">
        <f t="shared" si="0"/>
        <v>0</v>
      </c>
      <c r="P2" s="3">
        <f t="shared" si="0"/>
        <v>0</v>
      </c>
      <c r="Q2" s="3">
        <f t="shared" si="0"/>
        <v>0</v>
      </c>
      <c r="R2" s="3">
        <f t="shared" si="0"/>
        <v>0</v>
      </c>
      <c r="S2" s="3">
        <f t="shared" si="0"/>
        <v>0</v>
      </c>
      <c r="T2" s="3">
        <f t="shared" si="0"/>
        <v>0</v>
      </c>
      <c r="U2" s="48">
        <f>SUBTOTAL(9,U6:U80)</f>
        <v>0</v>
      </c>
      <c r="V2" s="145"/>
    </row>
    <row r="3" spans="1:22" ht="22.5" customHeight="1" thickBot="1" x14ac:dyDescent="0.35">
      <c r="A3" s="33" t="s">
        <v>30</v>
      </c>
      <c r="B3" s="151" t="str">
        <f>IF(ISERROR(B2/(B2+B1)*1000000),"",(B2/(B2+B1)*1000000))</f>
        <v/>
      </c>
      <c r="C3" s="152"/>
      <c r="D3" s="57"/>
      <c r="E3" s="60"/>
      <c r="F3" s="27"/>
      <c r="G3" s="27"/>
      <c r="H3" s="157"/>
      <c r="I3" s="157"/>
      <c r="J3" s="157"/>
      <c r="K3" s="114"/>
      <c r="L3" s="4">
        <f t="shared" ref="L3:U3" si="1">SUM(L6:L80)</f>
        <v>0</v>
      </c>
      <c r="M3" s="4">
        <f t="shared" si="1"/>
        <v>0</v>
      </c>
      <c r="N3" s="4">
        <f t="shared" si="1"/>
        <v>0</v>
      </c>
      <c r="O3" s="4">
        <f t="shared" si="1"/>
        <v>0</v>
      </c>
      <c r="P3" s="4">
        <f t="shared" si="1"/>
        <v>0</v>
      </c>
      <c r="Q3" s="4">
        <f t="shared" si="1"/>
        <v>0</v>
      </c>
      <c r="R3" s="4">
        <f t="shared" si="1"/>
        <v>0</v>
      </c>
      <c r="S3" s="4">
        <f t="shared" si="1"/>
        <v>0</v>
      </c>
      <c r="T3" s="4">
        <f t="shared" si="1"/>
        <v>0</v>
      </c>
      <c r="U3" s="49">
        <f t="shared" si="1"/>
        <v>0</v>
      </c>
      <c r="V3" s="146"/>
    </row>
    <row r="4" spans="1:22" ht="43.5" customHeight="1" x14ac:dyDescent="0.3">
      <c r="A4" s="160" t="str">
        <f>V81</f>
        <v>OK</v>
      </c>
      <c r="B4" s="160"/>
      <c r="C4" s="160"/>
      <c r="D4" s="161"/>
      <c r="E4" s="162" t="s">
        <v>15</v>
      </c>
      <c r="F4" s="162"/>
      <c r="G4" s="162"/>
      <c r="H4" s="163" t="s">
        <v>16</v>
      </c>
      <c r="I4" s="163"/>
      <c r="J4" s="163"/>
      <c r="K4" s="113"/>
      <c r="L4" s="164" t="s">
        <v>10</v>
      </c>
      <c r="M4" s="142" t="s">
        <v>17</v>
      </c>
      <c r="N4" s="142" t="s">
        <v>11</v>
      </c>
      <c r="O4" s="138" t="s">
        <v>12</v>
      </c>
      <c r="P4" s="142" t="s">
        <v>13</v>
      </c>
      <c r="Q4" s="138" t="s">
        <v>14</v>
      </c>
      <c r="R4" s="140" t="s">
        <v>20</v>
      </c>
      <c r="S4" s="142" t="s">
        <v>21</v>
      </c>
      <c r="T4" s="143" t="s">
        <v>22</v>
      </c>
      <c r="U4" s="147" t="s">
        <v>18</v>
      </c>
      <c r="V4" s="149" t="s">
        <v>19</v>
      </c>
    </row>
    <row r="5" spans="1:22" ht="33.75" thickBot="1" x14ac:dyDescent="0.35">
      <c r="A5" s="29" t="s">
        <v>3</v>
      </c>
      <c r="B5" s="30" t="s">
        <v>32</v>
      </c>
      <c r="C5" s="29" t="s">
        <v>4</v>
      </c>
      <c r="D5" s="29" t="s">
        <v>31</v>
      </c>
      <c r="E5" s="29" t="s">
        <v>5</v>
      </c>
      <c r="F5" s="29" t="s">
        <v>6</v>
      </c>
      <c r="G5" s="30" t="s">
        <v>7</v>
      </c>
      <c r="H5" s="31" t="s">
        <v>0</v>
      </c>
      <c r="I5" s="31" t="s">
        <v>2</v>
      </c>
      <c r="J5" s="31" t="s">
        <v>8</v>
      </c>
      <c r="K5" s="28"/>
      <c r="L5" s="165"/>
      <c r="M5" s="139"/>
      <c r="N5" s="139"/>
      <c r="O5" s="139"/>
      <c r="P5" s="139"/>
      <c r="Q5" s="139"/>
      <c r="R5" s="141"/>
      <c r="S5" s="139"/>
      <c r="T5" s="144"/>
      <c r="U5" s="148"/>
      <c r="V5" s="150"/>
    </row>
    <row r="6" spans="1:22" ht="15" hidden="1" customHeight="1" x14ac:dyDescent="0.3">
      <c r="A6" s="61" t="s">
        <v>33</v>
      </c>
      <c r="B6" s="61">
        <v>8092</v>
      </c>
      <c r="C6" s="6" t="s">
        <v>45</v>
      </c>
      <c r="D6" s="7"/>
      <c r="E6" s="7"/>
      <c r="F6" s="7"/>
      <c r="G6" s="8"/>
      <c r="H6" s="9"/>
      <c r="I6" s="10">
        <f>SUM(L6:T6)</f>
        <v>0</v>
      </c>
      <c r="J6" s="10"/>
      <c r="K6" s="11"/>
      <c r="L6" s="10"/>
      <c r="M6" s="10"/>
      <c r="N6" s="10"/>
      <c r="O6" s="10"/>
      <c r="P6" s="10"/>
      <c r="Q6" s="10"/>
      <c r="R6" s="34"/>
      <c r="S6" s="42"/>
      <c r="T6" s="45"/>
      <c r="U6" s="50">
        <f t="shared" ref="U6:U36" si="2">SUM(L6:T6)</f>
        <v>0</v>
      </c>
      <c r="V6" s="26" t="str">
        <f t="shared" ref="V6:V67" si="3">IF(U6=I6,"OK","NG")</f>
        <v>OK</v>
      </c>
    </row>
    <row r="7" spans="1:22" hidden="1" x14ac:dyDescent="0.3">
      <c r="A7" s="62" t="s">
        <v>95</v>
      </c>
      <c r="B7" s="62">
        <v>8088</v>
      </c>
      <c r="C7" s="12" t="s">
        <v>46</v>
      </c>
      <c r="D7" s="53"/>
      <c r="E7" s="13"/>
      <c r="F7" s="13"/>
      <c r="G7" s="14"/>
      <c r="H7" s="15"/>
      <c r="I7" s="16">
        <f t="shared" ref="I7:I70" si="4">SUM(L7:T7)</f>
        <v>0</v>
      </c>
      <c r="J7" s="16"/>
      <c r="K7" s="11"/>
      <c r="L7" s="16"/>
      <c r="M7" s="16"/>
      <c r="N7" s="16"/>
      <c r="O7" s="16"/>
      <c r="P7" s="16"/>
      <c r="Q7" s="16"/>
      <c r="R7" s="35"/>
      <c r="S7" s="43"/>
      <c r="T7" s="46"/>
      <c r="U7" s="51">
        <f t="shared" si="2"/>
        <v>0</v>
      </c>
      <c r="V7" s="17" t="str">
        <f t="shared" si="3"/>
        <v>OK</v>
      </c>
    </row>
    <row r="8" spans="1:22" hidden="1" x14ac:dyDescent="0.3">
      <c r="A8" s="63" t="s">
        <v>96</v>
      </c>
      <c r="B8" s="63">
        <v>8081</v>
      </c>
      <c r="C8" s="18" t="s">
        <v>46</v>
      </c>
      <c r="D8" s="19"/>
      <c r="E8" s="19"/>
      <c r="F8" s="19"/>
      <c r="G8" s="20"/>
      <c r="H8" s="21"/>
      <c r="I8" s="22">
        <f t="shared" si="4"/>
        <v>0</v>
      </c>
      <c r="J8" s="22"/>
      <c r="K8" s="11"/>
      <c r="L8" s="22"/>
      <c r="M8" s="22"/>
      <c r="N8" s="22"/>
      <c r="O8" s="22"/>
      <c r="P8" s="22"/>
      <c r="Q8" s="22"/>
      <c r="R8" s="36"/>
      <c r="S8" s="44"/>
      <c r="T8" s="47"/>
      <c r="U8" s="52">
        <f t="shared" si="2"/>
        <v>0</v>
      </c>
      <c r="V8" s="23" t="str">
        <f t="shared" si="3"/>
        <v>OK</v>
      </c>
    </row>
    <row r="9" spans="1:22" hidden="1" x14ac:dyDescent="0.3">
      <c r="A9" s="62" t="s">
        <v>97</v>
      </c>
      <c r="B9" s="62">
        <v>18524</v>
      </c>
      <c r="C9" s="12" t="s">
        <v>46</v>
      </c>
      <c r="D9" s="53"/>
      <c r="E9" s="13"/>
      <c r="F9" s="13"/>
      <c r="G9" s="14"/>
      <c r="H9" s="15"/>
      <c r="I9" s="16">
        <f t="shared" si="4"/>
        <v>0</v>
      </c>
      <c r="J9" s="16"/>
      <c r="K9" s="11"/>
      <c r="L9" s="16"/>
      <c r="M9" s="16"/>
      <c r="N9" s="16"/>
      <c r="O9" s="16"/>
      <c r="P9" s="16"/>
      <c r="Q9" s="16"/>
      <c r="R9" s="35"/>
      <c r="S9" s="43"/>
      <c r="T9" s="46"/>
      <c r="U9" s="51">
        <f t="shared" si="2"/>
        <v>0</v>
      </c>
      <c r="V9" s="17" t="str">
        <f t="shared" si="3"/>
        <v>OK</v>
      </c>
    </row>
    <row r="10" spans="1:22" hidden="1" x14ac:dyDescent="0.3">
      <c r="A10" s="63" t="s">
        <v>34</v>
      </c>
      <c r="B10" s="63">
        <v>6234</v>
      </c>
      <c r="C10" s="18" t="s">
        <v>47</v>
      </c>
      <c r="D10" s="19"/>
      <c r="E10" s="19"/>
      <c r="F10" s="19"/>
      <c r="G10" s="20"/>
      <c r="H10" s="21"/>
      <c r="I10" s="22">
        <f t="shared" si="4"/>
        <v>0</v>
      </c>
      <c r="J10" s="22"/>
      <c r="K10" s="11"/>
      <c r="L10" s="22"/>
      <c r="M10" s="22"/>
      <c r="N10" s="22"/>
      <c r="O10" s="22"/>
      <c r="P10" s="22"/>
      <c r="Q10" s="22"/>
      <c r="R10" s="36"/>
      <c r="S10" s="44"/>
      <c r="T10" s="47"/>
      <c r="U10" s="52">
        <f t="shared" si="2"/>
        <v>0</v>
      </c>
      <c r="V10" s="23" t="str">
        <f t="shared" si="3"/>
        <v>OK</v>
      </c>
    </row>
    <row r="11" spans="1:22" hidden="1" x14ac:dyDescent="0.3">
      <c r="A11" s="62" t="s">
        <v>80</v>
      </c>
      <c r="B11" s="62">
        <v>14830</v>
      </c>
      <c r="C11" s="12" t="s">
        <v>47</v>
      </c>
      <c r="D11" s="53"/>
      <c r="E11" s="13"/>
      <c r="F11" s="13"/>
      <c r="G11" s="14"/>
      <c r="H11" s="15"/>
      <c r="I11" s="16">
        <f t="shared" si="4"/>
        <v>0</v>
      </c>
      <c r="J11" s="16"/>
      <c r="K11" s="11"/>
      <c r="L11" s="16"/>
      <c r="M11" s="16"/>
      <c r="N11" s="16"/>
      <c r="O11" s="16"/>
      <c r="P11" s="16"/>
      <c r="Q11" s="16"/>
      <c r="R11" s="35"/>
      <c r="S11" s="43"/>
      <c r="T11" s="46"/>
      <c r="U11" s="51">
        <f t="shared" si="2"/>
        <v>0</v>
      </c>
      <c r="V11" s="17" t="str">
        <f t="shared" si="3"/>
        <v>OK</v>
      </c>
    </row>
    <row r="12" spans="1:22" hidden="1" x14ac:dyDescent="0.3">
      <c r="A12" s="63" t="s">
        <v>35</v>
      </c>
      <c r="B12" s="63">
        <v>6004</v>
      </c>
      <c r="C12" s="18" t="s">
        <v>48</v>
      </c>
      <c r="D12" s="19"/>
      <c r="E12" s="19"/>
      <c r="F12" s="19"/>
      <c r="G12" s="20"/>
      <c r="H12" s="21"/>
      <c r="I12" s="22">
        <f t="shared" si="4"/>
        <v>0</v>
      </c>
      <c r="J12" s="22"/>
      <c r="K12" s="11"/>
      <c r="L12" s="22"/>
      <c r="M12" s="22"/>
      <c r="N12" s="22"/>
      <c r="O12" s="22"/>
      <c r="P12" s="22"/>
      <c r="Q12" s="22"/>
      <c r="R12" s="36"/>
      <c r="S12" s="44"/>
      <c r="T12" s="47"/>
      <c r="U12" s="52">
        <f t="shared" si="2"/>
        <v>0</v>
      </c>
      <c r="V12" s="23" t="str">
        <f t="shared" si="3"/>
        <v>OK</v>
      </c>
    </row>
    <row r="13" spans="1:22" hidden="1" x14ac:dyDescent="0.3">
      <c r="A13" s="62" t="s">
        <v>36</v>
      </c>
      <c r="B13" s="62">
        <v>11857</v>
      </c>
      <c r="C13" s="12" t="s">
        <v>48</v>
      </c>
      <c r="D13" s="53"/>
      <c r="E13" s="13"/>
      <c r="F13" s="13"/>
      <c r="G13" s="14"/>
      <c r="H13" s="15"/>
      <c r="I13" s="16">
        <f t="shared" si="4"/>
        <v>0</v>
      </c>
      <c r="J13" s="16"/>
      <c r="K13" s="11"/>
      <c r="L13" s="16"/>
      <c r="M13" s="16"/>
      <c r="N13" s="16"/>
      <c r="O13" s="16"/>
      <c r="P13" s="16"/>
      <c r="Q13" s="16"/>
      <c r="R13" s="35"/>
      <c r="S13" s="43"/>
      <c r="T13" s="46"/>
      <c r="U13" s="51">
        <f t="shared" si="2"/>
        <v>0</v>
      </c>
      <c r="V13" s="17" t="str">
        <f t="shared" si="3"/>
        <v>OK</v>
      </c>
    </row>
    <row r="14" spans="1:22" hidden="1" x14ac:dyDescent="0.3">
      <c r="A14" s="63" t="s">
        <v>82</v>
      </c>
      <c r="B14" s="63">
        <v>15004</v>
      </c>
      <c r="C14" s="18" t="s">
        <v>48</v>
      </c>
      <c r="D14" s="19"/>
      <c r="E14" s="19"/>
      <c r="F14" s="19"/>
      <c r="G14" s="20"/>
      <c r="H14" s="21"/>
      <c r="I14" s="22">
        <f t="shared" si="4"/>
        <v>0</v>
      </c>
      <c r="J14" s="22"/>
      <c r="K14" s="11"/>
      <c r="L14" s="22"/>
      <c r="M14" s="22"/>
      <c r="N14" s="22"/>
      <c r="O14" s="22"/>
      <c r="P14" s="22"/>
      <c r="Q14" s="22"/>
      <c r="R14" s="36"/>
      <c r="S14" s="44"/>
      <c r="T14" s="47"/>
      <c r="U14" s="52">
        <f t="shared" si="2"/>
        <v>0</v>
      </c>
      <c r="V14" s="23" t="str">
        <f t="shared" si="3"/>
        <v>OK</v>
      </c>
    </row>
    <row r="15" spans="1:22" hidden="1" x14ac:dyDescent="0.3">
      <c r="A15" s="62" t="s">
        <v>86</v>
      </c>
      <c r="B15" s="62">
        <v>15174</v>
      </c>
      <c r="C15" s="12" t="s">
        <v>45</v>
      </c>
      <c r="D15" s="53"/>
      <c r="E15" s="13"/>
      <c r="F15" s="13"/>
      <c r="G15" s="14"/>
      <c r="H15" s="15"/>
      <c r="I15" s="16">
        <f t="shared" si="4"/>
        <v>0</v>
      </c>
      <c r="J15" s="16"/>
      <c r="K15" s="11"/>
      <c r="L15" s="16"/>
      <c r="M15" s="16"/>
      <c r="N15" s="16"/>
      <c r="O15" s="16"/>
      <c r="P15" s="16"/>
      <c r="Q15" s="16"/>
      <c r="R15" s="35"/>
      <c r="S15" s="43"/>
      <c r="T15" s="46"/>
      <c r="U15" s="51">
        <f t="shared" si="2"/>
        <v>0</v>
      </c>
      <c r="V15" s="17" t="str">
        <f t="shared" si="3"/>
        <v>OK</v>
      </c>
    </row>
    <row r="16" spans="1:22" hidden="1" x14ac:dyDescent="0.3">
      <c r="A16" s="63" t="s">
        <v>87</v>
      </c>
      <c r="B16" s="63">
        <v>15520</v>
      </c>
      <c r="C16" s="18" t="s">
        <v>47</v>
      </c>
      <c r="D16" s="19"/>
      <c r="E16" s="19"/>
      <c r="F16" s="19"/>
      <c r="G16" s="20"/>
      <c r="H16" s="21"/>
      <c r="I16" s="22">
        <f t="shared" si="4"/>
        <v>0</v>
      </c>
      <c r="J16" s="22"/>
      <c r="K16" s="11"/>
      <c r="L16" s="22"/>
      <c r="M16" s="22"/>
      <c r="N16" s="22"/>
      <c r="O16" s="22"/>
      <c r="P16" s="22"/>
      <c r="Q16" s="22"/>
      <c r="R16" s="36"/>
      <c r="S16" s="44"/>
      <c r="T16" s="47"/>
      <c r="U16" s="52">
        <f t="shared" si="2"/>
        <v>0</v>
      </c>
      <c r="V16" s="23" t="str">
        <f t="shared" si="3"/>
        <v>OK</v>
      </c>
    </row>
    <row r="17" spans="1:22" hidden="1" x14ac:dyDescent="0.3">
      <c r="A17" s="62" t="s">
        <v>85</v>
      </c>
      <c r="B17" s="62">
        <v>14989</v>
      </c>
      <c r="C17" s="12" t="s">
        <v>45</v>
      </c>
      <c r="D17" s="53"/>
      <c r="E17" s="13"/>
      <c r="F17" s="13"/>
      <c r="G17" s="14"/>
      <c r="H17" s="15"/>
      <c r="I17" s="16">
        <f t="shared" si="4"/>
        <v>0</v>
      </c>
      <c r="J17" s="16"/>
      <c r="K17" s="11"/>
      <c r="L17" s="16"/>
      <c r="M17" s="16"/>
      <c r="N17" s="16"/>
      <c r="O17" s="16"/>
      <c r="P17" s="16"/>
      <c r="Q17" s="16"/>
      <c r="R17" s="35"/>
      <c r="S17" s="43"/>
      <c r="T17" s="46"/>
      <c r="U17" s="51">
        <f t="shared" si="2"/>
        <v>0</v>
      </c>
      <c r="V17" s="17" t="str">
        <f t="shared" si="3"/>
        <v>OK</v>
      </c>
    </row>
    <row r="18" spans="1:22" hidden="1" x14ac:dyDescent="0.3">
      <c r="A18" s="63" t="s">
        <v>84</v>
      </c>
      <c r="B18" s="63">
        <v>14984</v>
      </c>
      <c r="C18" s="18" t="s">
        <v>46</v>
      </c>
      <c r="D18" s="19"/>
      <c r="E18" s="19"/>
      <c r="F18" s="19"/>
      <c r="G18" s="20"/>
      <c r="H18" s="21"/>
      <c r="I18" s="22">
        <f t="shared" si="4"/>
        <v>0</v>
      </c>
      <c r="J18" s="22"/>
      <c r="K18" s="11"/>
      <c r="L18" s="22"/>
      <c r="M18" s="22"/>
      <c r="N18" s="22"/>
      <c r="O18" s="22"/>
      <c r="P18" s="22"/>
      <c r="Q18" s="22"/>
      <c r="R18" s="36"/>
      <c r="S18" s="44"/>
      <c r="T18" s="47"/>
      <c r="U18" s="52">
        <f t="shared" si="2"/>
        <v>0</v>
      </c>
      <c r="V18" s="23" t="str">
        <f t="shared" si="3"/>
        <v>OK</v>
      </c>
    </row>
    <row r="19" spans="1:22" hidden="1" x14ac:dyDescent="0.3">
      <c r="A19" s="62" t="s">
        <v>88</v>
      </c>
      <c r="B19" s="62">
        <v>16270</v>
      </c>
      <c r="C19" s="12" t="s">
        <v>89</v>
      </c>
      <c r="D19" s="53"/>
      <c r="E19" s="13"/>
      <c r="F19" s="13"/>
      <c r="G19" s="14"/>
      <c r="H19" s="15"/>
      <c r="I19" s="16">
        <f t="shared" si="4"/>
        <v>0</v>
      </c>
      <c r="J19" s="16"/>
      <c r="K19" s="11"/>
      <c r="L19" s="16"/>
      <c r="M19" s="16"/>
      <c r="N19" s="16"/>
      <c r="O19" s="16"/>
      <c r="P19" s="16"/>
      <c r="Q19" s="16"/>
      <c r="R19" s="35"/>
      <c r="S19" s="43"/>
      <c r="T19" s="46"/>
      <c r="U19" s="51">
        <f t="shared" si="2"/>
        <v>0</v>
      </c>
      <c r="V19" s="17" t="str">
        <f t="shared" si="3"/>
        <v>OK</v>
      </c>
    </row>
    <row r="20" spans="1:22" hidden="1" x14ac:dyDescent="0.3">
      <c r="A20" s="63" t="s">
        <v>98</v>
      </c>
      <c r="B20" s="63">
        <v>19060</v>
      </c>
      <c r="C20" s="18" t="s">
        <v>47</v>
      </c>
      <c r="D20" s="19"/>
      <c r="E20" s="19"/>
      <c r="F20" s="19"/>
      <c r="G20" s="20"/>
      <c r="H20" s="21"/>
      <c r="I20" s="22">
        <f t="shared" si="4"/>
        <v>0</v>
      </c>
      <c r="J20" s="22"/>
      <c r="K20" s="11"/>
      <c r="L20" s="22"/>
      <c r="M20" s="22"/>
      <c r="N20" s="22"/>
      <c r="O20" s="22"/>
      <c r="P20" s="22"/>
      <c r="Q20" s="22"/>
      <c r="R20" s="36"/>
      <c r="S20" s="44"/>
      <c r="T20" s="47"/>
      <c r="U20" s="52">
        <f t="shared" si="2"/>
        <v>0</v>
      </c>
      <c r="V20" s="23" t="str">
        <f t="shared" si="3"/>
        <v>OK</v>
      </c>
    </row>
    <row r="21" spans="1:22" hidden="1" x14ac:dyDescent="0.3">
      <c r="A21" s="62" t="s">
        <v>99</v>
      </c>
      <c r="B21" s="62">
        <v>18828</v>
      </c>
      <c r="C21" s="12" t="s">
        <v>94</v>
      </c>
      <c r="D21" s="53"/>
      <c r="E21" s="13"/>
      <c r="F21" s="13"/>
      <c r="G21" s="14"/>
      <c r="H21" s="15"/>
      <c r="I21" s="16">
        <f t="shared" si="4"/>
        <v>0</v>
      </c>
      <c r="J21" s="16"/>
      <c r="K21" s="11"/>
      <c r="L21" s="16"/>
      <c r="M21" s="16"/>
      <c r="N21" s="16"/>
      <c r="O21" s="16"/>
      <c r="P21" s="16"/>
      <c r="Q21" s="16"/>
      <c r="R21" s="35"/>
      <c r="S21" s="43"/>
      <c r="T21" s="46"/>
      <c r="U21" s="51">
        <f t="shared" si="2"/>
        <v>0</v>
      </c>
      <c r="V21" s="17" t="str">
        <f t="shared" si="3"/>
        <v>OK</v>
      </c>
    </row>
    <row r="22" spans="1:22" hidden="1" x14ac:dyDescent="0.3">
      <c r="A22" s="63" t="s">
        <v>23</v>
      </c>
      <c r="B22" s="63">
        <v>5695</v>
      </c>
      <c r="C22" s="18" t="s">
        <v>49</v>
      </c>
      <c r="D22" s="19"/>
      <c r="E22" s="19"/>
      <c r="F22" s="19"/>
      <c r="G22" s="20"/>
      <c r="H22" s="21"/>
      <c r="I22" s="22">
        <f t="shared" si="4"/>
        <v>0</v>
      </c>
      <c r="J22" s="22"/>
      <c r="K22" s="11"/>
      <c r="L22" s="22"/>
      <c r="M22" s="22"/>
      <c r="N22" s="22"/>
      <c r="O22" s="22"/>
      <c r="P22" s="22"/>
      <c r="Q22" s="22"/>
      <c r="R22" s="36"/>
      <c r="S22" s="44"/>
      <c r="T22" s="47"/>
      <c r="U22" s="52">
        <f t="shared" si="2"/>
        <v>0</v>
      </c>
      <c r="V22" s="23" t="str">
        <f t="shared" si="3"/>
        <v>OK</v>
      </c>
    </row>
    <row r="23" spans="1:22" hidden="1" x14ac:dyDescent="0.3">
      <c r="A23" s="62" t="s">
        <v>24</v>
      </c>
      <c r="B23" s="62">
        <v>5691</v>
      </c>
      <c r="C23" s="12" t="s">
        <v>50</v>
      </c>
      <c r="D23" s="53"/>
      <c r="E23" s="13"/>
      <c r="F23" s="13"/>
      <c r="G23" s="14"/>
      <c r="H23" s="15"/>
      <c r="I23" s="16">
        <f t="shared" si="4"/>
        <v>0</v>
      </c>
      <c r="J23" s="16"/>
      <c r="K23" s="11"/>
      <c r="L23" s="16"/>
      <c r="M23" s="16"/>
      <c r="N23" s="16"/>
      <c r="O23" s="16"/>
      <c r="P23" s="16"/>
      <c r="Q23" s="16"/>
      <c r="R23" s="35"/>
      <c r="S23" s="43"/>
      <c r="T23" s="46"/>
      <c r="U23" s="51">
        <f t="shared" si="2"/>
        <v>0</v>
      </c>
      <c r="V23" s="17" t="str">
        <f t="shared" si="3"/>
        <v>OK</v>
      </c>
    </row>
    <row r="24" spans="1:22" hidden="1" x14ac:dyDescent="0.3">
      <c r="A24" s="63" t="s">
        <v>37</v>
      </c>
      <c r="B24" s="63">
        <v>5687</v>
      </c>
      <c r="C24" s="18" t="s">
        <v>51</v>
      </c>
      <c r="D24" s="19"/>
      <c r="E24" s="19"/>
      <c r="F24" s="19"/>
      <c r="G24" s="20"/>
      <c r="H24" s="21"/>
      <c r="I24" s="22">
        <f t="shared" si="4"/>
        <v>0</v>
      </c>
      <c r="J24" s="22"/>
      <c r="K24" s="11"/>
      <c r="L24" s="22"/>
      <c r="M24" s="22"/>
      <c r="N24" s="22"/>
      <c r="O24" s="22"/>
      <c r="P24" s="22"/>
      <c r="Q24" s="22"/>
      <c r="R24" s="36"/>
      <c r="S24" s="44"/>
      <c r="T24" s="47"/>
      <c r="U24" s="52">
        <f t="shared" si="2"/>
        <v>0</v>
      </c>
      <c r="V24" s="23" t="str">
        <f t="shared" si="3"/>
        <v>OK</v>
      </c>
    </row>
    <row r="25" spans="1:22" hidden="1" x14ac:dyDescent="0.3">
      <c r="A25" s="62" t="s">
        <v>38</v>
      </c>
      <c r="B25" s="62">
        <v>5683</v>
      </c>
      <c r="C25" s="12" t="s">
        <v>51</v>
      </c>
      <c r="D25" s="53"/>
      <c r="E25" s="13"/>
      <c r="F25" s="13"/>
      <c r="G25" s="14"/>
      <c r="H25" s="15"/>
      <c r="I25" s="16">
        <f t="shared" si="4"/>
        <v>0</v>
      </c>
      <c r="J25" s="16"/>
      <c r="K25" s="11"/>
      <c r="L25" s="16"/>
      <c r="M25" s="16"/>
      <c r="N25" s="16"/>
      <c r="O25" s="16"/>
      <c r="P25" s="16"/>
      <c r="Q25" s="16"/>
      <c r="R25" s="35"/>
      <c r="S25" s="43"/>
      <c r="T25" s="46"/>
      <c r="U25" s="51">
        <f t="shared" si="2"/>
        <v>0</v>
      </c>
      <c r="V25" s="17" t="str">
        <f t="shared" si="3"/>
        <v>OK</v>
      </c>
    </row>
    <row r="26" spans="1:22" x14ac:dyDescent="0.3">
      <c r="A26" s="63" t="s">
        <v>25</v>
      </c>
      <c r="B26" s="63">
        <v>5679</v>
      </c>
      <c r="C26" s="18" t="s">
        <v>52</v>
      </c>
      <c r="D26" s="19"/>
      <c r="E26" s="19"/>
      <c r="F26" s="19"/>
      <c r="G26" s="20"/>
      <c r="H26" s="21"/>
      <c r="I26" s="22">
        <f t="shared" si="4"/>
        <v>0</v>
      </c>
      <c r="J26" s="22"/>
      <c r="K26" s="11"/>
      <c r="L26" s="22"/>
      <c r="M26" s="22"/>
      <c r="N26" s="22"/>
      <c r="O26" s="22"/>
      <c r="P26" s="22"/>
      <c r="Q26" s="22"/>
      <c r="R26" s="36"/>
      <c r="S26" s="44"/>
      <c r="T26" s="47"/>
      <c r="U26" s="52">
        <f t="shared" si="2"/>
        <v>0</v>
      </c>
      <c r="V26" s="23" t="str">
        <f t="shared" si="3"/>
        <v>OK</v>
      </c>
    </row>
    <row r="27" spans="1:22" hidden="1" x14ac:dyDescent="0.3">
      <c r="A27" s="62" t="s">
        <v>39</v>
      </c>
      <c r="B27" s="62">
        <v>5675</v>
      </c>
      <c r="C27" s="12" t="s">
        <v>53</v>
      </c>
      <c r="D27" s="53"/>
      <c r="E27" s="13"/>
      <c r="F27" s="13"/>
      <c r="G27" s="14"/>
      <c r="H27" s="15"/>
      <c r="I27" s="16">
        <f t="shared" si="4"/>
        <v>0</v>
      </c>
      <c r="J27" s="16"/>
      <c r="K27" s="11"/>
      <c r="L27" s="16"/>
      <c r="M27" s="16"/>
      <c r="N27" s="16"/>
      <c r="O27" s="16"/>
      <c r="P27" s="16"/>
      <c r="Q27" s="16"/>
      <c r="R27" s="35"/>
      <c r="S27" s="43"/>
      <c r="T27" s="46"/>
      <c r="U27" s="51">
        <f t="shared" si="2"/>
        <v>0</v>
      </c>
      <c r="V27" s="17" t="str">
        <f t="shared" si="3"/>
        <v>OK</v>
      </c>
    </row>
    <row r="28" spans="1:22" hidden="1" x14ac:dyDescent="0.3">
      <c r="A28" s="63" t="s">
        <v>26</v>
      </c>
      <c r="B28" s="63">
        <v>5671</v>
      </c>
      <c r="C28" s="18" t="s">
        <v>49</v>
      </c>
      <c r="D28" s="19"/>
      <c r="E28" s="19"/>
      <c r="F28" s="19"/>
      <c r="G28" s="20"/>
      <c r="H28" s="21"/>
      <c r="I28" s="22">
        <f t="shared" si="4"/>
        <v>0</v>
      </c>
      <c r="J28" s="22"/>
      <c r="K28" s="11"/>
      <c r="L28" s="22"/>
      <c r="M28" s="22"/>
      <c r="N28" s="22"/>
      <c r="O28" s="22"/>
      <c r="P28" s="22"/>
      <c r="Q28" s="22"/>
      <c r="R28" s="36"/>
      <c r="S28" s="44"/>
      <c r="T28" s="47"/>
      <c r="U28" s="52">
        <f t="shared" si="2"/>
        <v>0</v>
      </c>
      <c r="V28" s="23" t="str">
        <f t="shared" si="3"/>
        <v>OK</v>
      </c>
    </row>
    <row r="29" spans="1:22" hidden="1" x14ac:dyDescent="0.3">
      <c r="A29" s="62" t="s">
        <v>40</v>
      </c>
      <c r="B29" s="62">
        <v>5667</v>
      </c>
      <c r="C29" s="12" t="s">
        <v>50</v>
      </c>
      <c r="D29" s="53"/>
      <c r="E29" s="13"/>
      <c r="F29" s="13"/>
      <c r="G29" s="14"/>
      <c r="H29" s="15"/>
      <c r="I29" s="16">
        <f t="shared" si="4"/>
        <v>0</v>
      </c>
      <c r="J29" s="16"/>
      <c r="K29" s="11"/>
      <c r="L29" s="16"/>
      <c r="M29" s="16"/>
      <c r="N29" s="16"/>
      <c r="O29" s="16"/>
      <c r="P29" s="16"/>
      <c r="Q29" s="16"/>
      <c r="R29" s="35"/>
      <c r="S29" s="43"/>
      <c r="T29" s="46"/>
      <c r="U29" s="51">
        <f t="shared" si="2"/>
        <v>0</v>
      </c>
      <c r="V29" s="17" t="str">
        <f t="shared" si="3"/>
        <v>OK</v>
      </c>
    </row>
    <row r="30" spans="1:22" hidden="1" x14ac:dyDescent="0.3">
      <c r="A30" s="63" t="s">
        <v>41</v>
      </c>
      <c r="B30" s="63">
        <v>5663</v>
      </c>
      <c r="C30" s="18" t="s">
        <v>51</v>
      </c>
      <c r="D30" s="19"/>
      <c r="E30" s="19"/>
      <c r="F30" s="19"/>
      <c r="G30" s="20"/>
      <c r="H30" s="21"/>
      <c r="I30" s="22">
        <f t="shared" si="4"/>
        <v>0</v>
      </c>
      <c r="J30" s="22"/>
      <c r="K30" s="11"/>
      <c r="L30" s="22"/>
      <c r="M30" s="22"/>
      <c r="N30" s="22"/>
      <c r="O30" s="22"/>
      <c r="P30" s="22"/>
      <c r="Q30" s="22"/>
      <c r="R30" s="36"/>
      <c r="S30" s="44"/>
      <c r="T30" s="47"/>
      <c r="U30" s="52">
        <f t="shared" si="2"/>
        <v>0</v>
      </c>
      <c r="V30" s="23" t="str">
        <f t="shared" si="3"/>
        <v>OK</v>
      </c>
    </row>
    <row r="31" spans="1:22" hidden="1" x14ac:dyDescent="0.3">
      <c r="A31" s="62" t="s">
        <v>42</v>
      </c>
      <c r="B31" s="62">
        <v>5659</v>
      </c>
      <c r="C31" s="12" t="s">
        <v>52</v>
      </c>
      <c r="D31" s="53"/>
      <c r="E31" s="13"/>
      <c r="F31" s="13"/>
      <c r="G31" s="14"/>
      <c r="H31" s="15"/>
      <c r="I31" s="16">
        <f t="shared" si="4"/>
        <v>0</v>
      </c>
      <c r="J31" s="16"/>
      <c r="K31" s="11"/>
      <c r="L31" s="16"/>
      <c r="M31" s="16"/>
      <c r="N31" s="16"/>
      <c r="O31" s="16"/>
      <c r="P31" s="16"/>
      <c r="Q31" s="16"/>
      <c r="R31" s="35"/>
      <c r="S31" s="43"/>
      <c r="T31" s="46"/>
      <c r="U31" s="51">
        <f t="shared" si="2"/>
        <v>0</v>
      </c>
      <c r="V31" s="17" t="str">
        <f t="shared" si="3"/>
        <v>OK</v>
      </c>
    </row>
    <row r="32" spans="1:22" hidden="1" x14ac:dyDescent="0.3">
      <c r="A32" s="63" t="s">
        <v>27</v>
      </c>
      <c r="B32" s="63">
        <v>5655</v>
      </c>
      <c r="C32" s="18" t="s">
        <v>54</v>
      </c>
      <c r="D32" s="19"/>
      <c r="E32" s="19"/>
      <c r="F32" s="19"/>
      <c r="G32" s="20"/>
      <c r="H32" s="21"/>
      <c r="I32" s="22">
        <f t="shared" si="4"/>
        <v>0</v>
      </c>
      <c r="J32" s="22"/>
      <c r="K32" s="11"/>
      <c r="L32" s="22"/>
      <c r="M32" s="22"/>
      <c r="N32" s="22"/>
      <c r="O32" s="22"/>
      <c r="P32" s="22"/>
      <c r="Q32" s="22"/>
      <c r="R32" s="36"/>
      <c r="S32" s="44"/>
      <c r="T32" s="47"/>
      <c r="U32" s="52">
        <f t="shared" si="2"/>
        <v>0</v>
      </c>
      <c r="V32" s="23" t="str">
        <f t="shared" si="3"/>
        <v>OK</v>
      </c>
    </row>
    <row r="33" spans="1:22" hidden="1" x14ac:dyDescent="0.3">
      <c r="A33" s="62" t="s">
        <v>70</v>
      </c>
      <c r="B33" s="62">
        <v>5651</v>
      </c>
      <c r="C33" s="12" t="s">
        <v>55</v>
      </c>
      <c r="D33" s="53"/>
      <c r="E33" s="13"/>
      <c r="F33" s="13"/>
      <c r="G33" s="14"/>
      <c r="H33" s="15"/>
      <c r="I33" s="16">
        <f t="shared" si="4"/>
        <v>0</v>
      </c>
      <c r="J33" s="16"/>
      <c r="K33" s="11"/>
      <c r="L33" s="16"/>
      <c r="M33" s="16"/>
      <c r="N33" s="16"/>
      <c r="O33" s="16"/>
      <c r="P33" s="16"/>
      <c r="Q33" s="16"/>
      <c r="R33" s="35"/>
      <c r="S33" s="43"/>
      <c r="T33" s="46"/>
      <c r="U33" s="51">
        <f t="shared" si="2"/>
        <v>0</v>
      </c>
      <c r="V33" s="17" t="str">
        <f t="shared" si="3"/>
        <v>OK</v>
      </c>
    </row>
    <row r="34" spans="1:22" hidden="1" x14ac:dyDescent="0.3">
      <c r="A34" s="63" t="s">
        <v>71</v>
      </c>
      <c r="B34" s="63">
        <v>5643</v>
      </c>
      <c r="C34" s="18" t="s">
        <v>56</v>
      </c>
      <c r="D34" s="19"/>
      <c r="E34" s="19"/>
      <c r="F34" s="19"/>
      <c r="G34" s="20"/>
      <c r="H34" s="21"/>
      <c r="I34" s="22">
        <f t="shared" si="4"/>
        <v>0</v>
      </c>
      <c r="J34" s="22"/>
      <c r="K34" s="11"/>
      <c r="L34" s="22"/>
      <c r="M34" s="22"/>
      <c r="N34" s="22"/>
      <c r="O34" s="22"/>
      <c r="P34" s="22"/>
      <c r="Q34" s="22"/>
      <c r="R34" s="36"/>
      <c r="S34" s="44"/>
      <c r="T34" s="47"/>
      <c r="U34" s="52">
        <f t="shared" si="2"/>
        <v>0</v>
      </c>
      <c r="V34" s="23" t="str">
        <f t="shared" si="3"/>
        <v>OK</v>
      </c>
    </row>
    <row r="35" spans="1:22" hidden="1" x14ac:dyDescent="0.3">
      <c r="A35" s="62" t="s">
        <v>57</v>
      </c>
      <c r="B35" s="62">
        <v>11350</v>
      </c>
      <c r="C35" s="12" t="s">
        <v>56</v>
      </c>
      <c r="D35" s="53"/>
      <c r="E35" s="13"/>
      <c r="F35" s="13"/>
      <c r="G35" s="14"/>
      <c r="H35" s="15"/>
      <c r="I35" s="16">
        <f t="shared" si="4"/>
        <v>0</v>
      </c>
      <c r="J35" s="16"/>
      <c r="K35" s="11"/>
      <c r="L35" s="16"/>
      <c r="M35" s="16"/>
      <c r="N35" s="16"/>
      <c r="O35" s="16"/>
      <c r="P35" s="16"/>
      <c r="Q35" s="16"/>
      <c r="R35" s="35"/>
      <c r="S35" s="43"/>
      <c r="T35" s="46"/>
      <c r="U35" s="51">
        <f t="shared" si="2"/>
        <v>0</v>
      </c>
      <c r="V35" s="17" t="str">
        <f t="shared" si="3"/>
        <v>OK</v>
      </c>
    </row>
    <row r="36" spans="1:22" hidden="1" x14ac:dyDescent="0.3">
      <c r="A36" s="63" t="s">
        <v>72</v>
      </c>
      <c r="B36" s="63">
        <v>5635</v>
      </c>
      <c r="C36" s="18" t="s">
        <v>55</v>
      </c>
      <c r="D36" s="19"/>
      <c r="E36" s="19"/>
      <c r="F36" s="19"/>
      <c r="G36" s="20"/>
      <c r="H36" s="21"/>
      <c r="I36" s="22">
        <f t="shared" si="4"/>
        <v>0</v>
      </c>
      <c r="J36" s="22"/>
      <c r="K36" s="11"/>
      <c r="L36" s="22"/>
      <c r="M36" s="22"/>
      <c r="N36" s="22"/>
      <c r="O36" s="22"/>
      <c r="P36" s="22"/>
      <c r="Q36" s="22"/>
      <c r="R36" s="36"/>
      <c r="S36" s="44"/>
      <c r="T36" s="47"/>
      <c r="U36" s="52">
        <f t="shared" si="2"/>
        <v>0</v>
      </c>
      <c r="V36" s="23" t="str">
        <f t="shared" si="3"/>
        <v>OK</v>
      </c>
    </row>
    <row r="37" spans="1:22" hidden="1" x14ac:dyDescent="0.3">
      <c r="A37" s="62" t="s">
        <v>58</v>
      </c>
      <c r="B37" s="62">
        <v>11349</v>
      </c>
      <c r="C37" s="12" t="s">
        <v>55</v>
      </c>
      <c r="D37" s="53"/>
      <c r="E37" s="13"/>
      <c r="F37" s="13"/>
      <c r="G37" s="14"/>
      <c r="H37" s="15"/>
      <c r="I37" s="16">
        <f t="shared" si="4"/>
        <v>0</v>
      </c>
      <c r="J37" s="16"/>
      <c r="K37" s="11"/>
      <c r="L37" s="16"/>
      <c r="M37" s="16"/>
      <c r="N37" s="16"/>
      <c r="O37" s="16"/>
      <c r="P37" s="16"/>
      <c r="Q37" s="16"/>
      <c r="R37" s="35"/>
      <c r="S37" s="43"/>
      <c r="T37" s="46"/>
      <c r="U37" s="51">
        <f t="shared" ref="U37:U55" si="5">SUM(L37:T37)</f>
        <v>0</v>
      </c>
      <c r="V37" s="17" t="str">
        <f t="shared" si="3"/>
        <v>OK</v>
      </c>
    </row>
    <row r="38" spans="1:22" hidden="1" x14ac:dyDescent="0.3">
      <c r="A38" s="63" t="s">
        <v>73</v>
      </c>
      <c r="B38" s="63">
        <v>5627</v>
      </c>
      <c r="C38" s="18" t="s">
        <v>56</v>
      </c>
      <c r="D38" s="19"/>
      <c r="E38" s="19"/>
      <c r="F38" s="19"/>
      <c r="G38" s="20"/>
      <c r="H38" s="21"/>
      <c r="I38" s="22">
        <f t="shared" si="4"/>
        <v>0</v>
      </c>
      <c r="J38" s="22"/>
      <c r="K38" s="11"/>
      <c r="L38" s="22"/>
      <c r="M38" s="22"/>
      <c r="N38" s="22"/>
      <c r="O38" s="22"/>
      <c r="P38" s="22"/>
      <c r="Q38" s="22"/>
      <c r="R38" s="36"/>
      <c r="S38" s="44"/>
      <c r="T38" s="47"/>
      <c r="U38" s="52">
        <f t="shared" si="5"/>
        <v>0</v>
      </c>
      <c r="V38" s="23" t="str">
        <f t="shared" si="3"/>
        <v>OK</v>
      </c>
    </row>
    <row r="39" spans="1:22" hidden="1" x14ac:dyDescent="0.3">
      <c r="A39" s="62" t="s">
        <v>59</v>
      </c>
      <c r="B39" s="62">
        <v>11348</v>
      </c>
      <c r="C39" s="12" t="s">
        <v>56</v>
      </c>
      <c r="D39" s="53"/>
      <c r="E39" s="13"/>
      <c r="F39" s="13"/>
      <c r="G39" s="14"/>
      <c r="H39" s="15"/>
      <c r="I39" s="16">
        <f t="shared" si="4"/>
        <v>0</v>
      </c>
      <c r="J39" s="16"/>
      <c r="K39" s="11"/>
      <c r="L39" s="16"/>
      <c r="M39" s="16"/>
      <c r="N39" s="16"/>
      <c r="O39" s="16"/>
      <c r="P39" s="16"/>
      <c r="Q39" s="16"/>
      <c r="R39" s="35"/>
      <c r="S39" s="43"/>
      <c r="T39" s="46"/>
      <c r="U39" s="51">
        <f t="shared" si="5"/>
        <v>0</v>
      </c>
      <c r="V39" s="17" t="str">
        <f t="shared" si="3"/>
        <v>OK</v>
      </c>
    </row>
    <row r="40" spans="1:22" hidden="1" x14ac:dyDescent="0.3">
      <c r="A40" s="63" t="s">
        <v>74</v>
      </c>
      <c r="B40" s="63">
        <v>5619</v>
      </c>
      <c r="C40" s="18" t="s">
        <v>60</v>
      </c>
      <c r="D40" s="19"/>
      <c r="E40" s="19"/>
      <c r="F40" s="19"/>
      <c r="G40" s="20"/>
      <c r="H40" s="21"/>
      <c r="I40" s="22">
        <f t="shared" si="4"/>
        <v>0</v>
      </c>
      <c r="J40" s="22"/>
      <c r="K40" s="11"/>
      <c r="L40" s="22"/>
      <c r="M40" s="22"/>
      <c r="N40" s="22"/>
      <c r="O40" s="22"/>
      <c r="P40" s="22"/>
      <c r="Q40" s="22"/>
      <c r="R40" s="36"/>
      <c r="S40" s="44"/>
      <c r="T40" s="47"/>
      <c r="U40" s="52">
        <f t="shared" si="5"/>
        <v>0</v>
      </c>
      <c r="V40" s="23" t="str">
        <f t="shared" si="3"/>
        <v>OK</v>
      </c>
    </row>
    <row r="41" spans="1:22" hidden="1" x14ac:dyDescent="0.3">
      <c r="A41" s="64" t="s">
        <v>61</v>
      </c>
      <c r="B41" s="62">
        <v>11347</v>
      </c>
      <c r="C41" s="12" t="s">
        <v>60</v>
      </c>
      <c r="D41" s="53"/>
      <c r="E41" s="13"/>
      <c r="F41" s="13"/>
      <c r="G41" s="14"/>
      <c r="H41" s="15"/>
      <c r="I41" s="16">
        <f t="shared" si="4"/>
        <v>0</v>
      </c>
      <c r="J41" s="16"/>
      <c r="K41" s="11"/>
      <c r="L41" s="16"/>
      <c r="M41" s="16"/>
      <c r="N41" s="16"/>
      <c r="O41" s="16"/>
      <c r="P41" s="16"/>
      <c r="Q41" s="16"/>
      <c r="R41" s="35"/>
      <c r="S41" s="43"/>
      <c r="T41" s="46"/>
      <c r="U41" s="51">
        <f t="shared" si="5"/>
        <v>0</v>
      </c>
      <c r="V41" s="17" t="str">
        <f t="shared" si="3"/>
        <v>OK</v>
      </c>
    </row>
    <row r="42" spans="1:22" hidden="1" x14ac:dyDescent="0.3">
      <c r="A42" s="54" t="s">
        <v>75</v>
      </c>
      <c r="B42" s="63">
        <v>5611</v>
      </c>
      <c r="C42" s="18" t="s">
        <v>62</v>
      </c>
      <c r="D42" s="19"/>
      <c r="E42" s="19"/>
      <c r="F42" s="19"/>
      <c r="G42" s="20"/>
      <c r="H42" s="21"/>
      <c r="I42" s="22">
        <f t="shared" si="4"/>
        <v>0</v>
      </c>
      <c r="J42" s="22"/>
      <c r="K42" s="11"/>
      <c r="L42" s="22"/>
      <c r="M42" s="22"/>
      <c r="N42" s="22"/>
      <c r="O42" s="22"/>
      <c r="P42" s="22"/>
      <c r="Q42" s="22"/>
      <c r="R42" s="36"/>
      <c r="S42" s="44"/>
      <c r="T42" s="47"/>
      <c r="U42" s="52">
        <f t="shared" si="5"/>
        <v>0</v>
      </c>
      <c r="V42" s="23" t="str">
        <f t="shared" si="3"/>
        <v>OK</v>
      </c>
    </row>
    <row r="43" spans="1:22" hidden="1" x14ac:dyDescent="0.3">
      <c r="A43" s="12" t="s">
        <v>63</v>
      </c>
      <c r="B43" s="62">
        <v>11336</v>
      </c>
      <c r="C43" s="12" t="s">
        <v>62</v>
      </c>
      <c r="D43" s="53"/>
      <c r="E43" s="13"/>
      <c r="F43" s="13"/>
      <c r="G43" s="14"/>
      <c r="H43" s="15"/>
      <c r="I43" s="16">
        <f t="shared" si="4"/>
        <v>0</v>
      </c>
      <c r="J43" s="16"/>
      <c r="K43" s="11"/>
      <c r="L43" s="16"/>
      <c r="M43" s="16"/>
      <c r="N43" s="16"/>
      <c r="O43" s="16"/>
      <c r="P43" s="16"/>
      <c r="Q43" s="16"/>
      <c r="R43" s="35"/>
      <c r="S43" s="43"/>
      <c r="T43" s="46"/>
      <c r="U43" s="51">
        <f t="shared" si="5"/>
        <v>0</v>
      </c>
      <c r="V43" s="17" t="str">
        <f t="shared" si="3"/>
        <v>OK</v>
      </c>
    </row>
    <row r="44" spans="1:22" hidden="1" x14ac:dyDescent="0.3">
      <c r="A44" s="54" t="s">
        <v>100</v>
      </c>
      <c r="B44" s="63">
        <v>14860</v>
      </c>
      <c r="C44" s="18" t="s">
        <v>56</v>
      </c>
      <c r="D44" s="19"/>
      <c r="E44" s="19"/>
      <c r="F44" s="19"/>
      <c r="G44" s="20"/>
      <c r="H44" s="21"/>
      <c r="I44" s="22">
        <f t="shared" si="4"/>
        <v>0</v>
      </c>
      <c r="J44" s="22"/>
      <c r="K44" s="11"/>
      <c r="L44" s="22"/>
      <c r="M44" s="22"/>
      <c r="N44" s="22"/>
      <c r="O44" s="22"/>
      <c r="P44" s="22"/>
      <c r="Q44" s="22"/>
      <c r="R44" s="36"/>
      <c r="S44" s="44"/>
      <c r="T44" s="47"/>
      <c r="U44" s="52">
        <f t="shared" si="5"/>
        <v>0</v>
      </c>
      <c r="V44" s="23" t="str">
        <f t="shared" si="3"/>
        <v>OK</v>
      </c>
    </row>
    <row r="45" spans="1:22" hidden="1" x14ac:dyDescent="0.3">
      <c r="A45" s="64" t="s">
        <v>83</v>
      </c>
      <c r="B45" s="62">
        <v>14861</v>
      </c>
      <c r="C45" s="12" t="s">
        <v>56</v>
      </c>
      <c r="D45" s="53"/>
      <c r="E45" s="13"/>
      <c r="F45" s="13"/>
      <c r="G45" s="14"/>
      <c r="H45" s="15"/>
      <c r="I45" s="16">
        <f t="shared" si="4"/>
        <v>0</v>
      </c>
      <c r="J45" s="16"/>
      <c r="K45" s="11"/>
      <c r="L45" s="16"/>
      <c r="M45" s="16"/>
      <c r="N45" s="16"/>
      <c r="O45" s="16"/>
      <c r="P45" s="16"/>
      <c r="Q45" s="16"/>
      <c r="R45" s="35"/>
      <c r="S45" s="43"/>
      <c r="T45" s="46"/>
      <c r="U45" s="51">
        <f t="shared" si="5"/>
        <v>0</v>
      </c>
      <c r="V45" s="17" t="str">
        <f t="shared" si="3"/>
        <v>OK</v>
      </c>
    </row>
    <row r="46" spans="1:22" hidden="1" x14ac:dyDescent="0.3">
      <c r="A46" s="54" t="s">
        <v>101</v>
      </c>
      <c r="B46" s="63">
        <v>15096</v>
      </c>
      <c r="C46" s="18" t="s">
        <v>56</v>
      </c>
      <c r="D46" s="19"/>
      <c r="E46" s="19"/>
      <c r="F46" s="19"/>
      <c r="G46" s="20"/>
      <c r="H46" s="21"/>
      <c r="I46" s="22">
        <f t="shared" si="4"/>
        <v>0</v>
      </c>
      <c r="J46" s="22"/>
      <c r="K46" s="11"/>
      <c r="L46" s="22"/>
      <c r="M46" s="22"/>
      <c r="N46" s="22"/>
      <c r="O46" s="22"/>
      <c r="P46" s="22"/>
      <c r="Q46" s="22"/>
      <c r="R46" s="36"/>
      <c r="S46" s="44"/>
      <c r="T46" s="47"/>
      <c r="U46" s="52">
        <f t="shared" si="5"/>
        <v>0</v>
      </c>
      <c r="V46" s="23" t="str">
        <f t="shared" si="3"/>
        <v>OK</v>
      </c>
    </row>
    <row r="47" spans="1:22" hidden="1" x14ac:dyDescent="0.3">
      <c r="A47" s="12" t="s">
        <v>81</v>
      </c>
      <c r="B47" s="62">
        <v>15097</v>
      </c>
      <c r="C47" s="12" t="s">
        <v>56</v>
      </c>
      <c r="D47" s="53"/>
      <c r="E47" s="13"/>
      <c r="F47" s="13"/>
      <c r="G47" s="14"/>
      <c r="H47" s="15"/>
      <c r="I47" s="16">
        <f t="shared" si="4"/>
        <v>0</v>
      </c>
      <c r="J47" s="16"/>
      <c r="K47" s="11"/>
      <c r="L47" s="16"/>
      <c r="M47" s="16"/>
      <c r="N47" s="16"/>
      <c r="O47" s="16"/>
      <c r="P47" s="16"/>
      <c r="Q47" s="16"/>
      <c r="R47" s="35"/>
      <c r="S47" s="43"/>
      <c r="T47" s="46"/>
      <c r="U47" s="51">
        <f t="shared" si="5"/>
        <v>0</v>
      </c>
      <c r="V47" s="17" t="str">
        <f t="shared" si="3"/>
        <v>OK</v>
      </c>
    </row>
    <row r="48" spans="1:22" hidden="1" x14ac:dyDescent="0.3">
      <c r="A48" s="54" t="s">
        <v>76</v>
      </c>
      <c r="B48" s="63">
        <v>5585</v>
      </c>
      <c r="C48" s="18" t="s">
        <v>64</v>
      </c>
      <c r="D48" s="19"/>
      <c r="E48" s="19"/>
      <c r="F48" s="19"/>
      <c r="G48" s="20"/>
      <c r="H48" s="21"/>
      <c r="I48" s="22">
        <f t="shared" si="4"/>
        <v>0</v>
      </c>
      <c r="J48" s="22"/>
      <c r="K48" s="11"/>
      <c r="L48" s="22"/>
      <c r="M48" s="22"/>
      <c r="N48" s="22"/>
      <c r="O48" s="22"/>
      <c r="P48" s="22"/>
      <c r="Q48" s="22"/>
      <c r="R48" s="36"/>
      <c r="S48" s="44"/>
      <c r="T48" s="47"/>
      <c r="U48" s="52">
        <f t="shared" si="5"/>
        <v>0</v>
      </c>
      <c r="V48" s="23" t="str">
        <f t="shared" si="3"/>
        <v>OK</v>
      </c>
    </row>
    <row r="49" spans="1:22" hidden="1" x14ac:dyDescent="0.3">
      <c r="A49" s="12" t="s">
        <v>65</v>
      </c>
      <c r="B49" s="62">
        <v>11351</v>
      </c>
      <c r="C49" s="12" t="s">
        <v>64</v>
      </c>
      <c r="D49" s="53"/>
      <c r="E49" s="13"/>
      <c r="F49" s="13"/>
      <c r="G49" s="14"/>
      <c r="H49" s="15"/>
      <c r="I49" s="16">
        <f t="shared" si="4"/>
        <v>0</v>
      </c>
      <c r="J49" s="16"/>
      <c r="K49" s="11"/>
      <c r="L49" s="16"/>
      <c r="M49" s="16"/>
      <c r="N49" s="16"/>
      <c r="O49" s="16"/>
      <c r="P49" s="16"/>
      <c r="Q49" s="16"/>
      <c r="R49" s="35"/>
      <c r="S49" s="43"/>
      <c r="T49" s="46"/>
      <c r="U49" s="51">
        <f t="shared" si="5"/>
        <v>0</v>
      </c>
      <c r="V49" s="17" t="str">
        <f t="shared" si="3"/>
        <v>OK</v>
      </c>
    </row>
    <row r="50" spans="1:22" hidden="1" x14ac:dyDescent="0.3">
      <c r="A50" s="54" t="s">
        <v>66</v>
      </c>
      <c r="B50" s="63">
        <v>11352</v>
      </c>
      <c r="C50" s="18" t="s">
        <v>64</v>
      </c>
      <c r="D50" s="19"/>
      <c r="E50" s="19"/>
      <c r="F50" s="19"/>
      <c r="G50" s="20"/>
      <c r="H50" s="21"/>
      <c r="I50" s="22">
        <f t="shared" si="4"/>
        <v>0</v>
      </c>
      <c r="J50" s="22"/>
      <c r="K50" s="11"/>
      <c r="L50" s="22"/>
      <c r="M50" s="22"/>
      <c r="N50" s="22"/>
      <c r="O50" s="22"/>
      <c r="P50" s="22"/>
      <c r="Q50" s="22"/>
      <c r="R50" s="36"/>
      <c r="S50" s="44"/>
      <c r="T50" s="47"/>
      <c r="U50" s="52">
        <f t="shared" si="5"/>
        <v>0</v>
      </c>
      <c r="V50" s="23" t="str">
        <f t="shared" si="3"/>
        <v>OK</v>
      </c>
    </row>
    <row r="51" spans="1:22" hidden="1" x14ac:dyDescent="0.3">
      <c r="A51" s="90" t="s">
        <v>102</v>
      </c>
      <c r="B51" s="76">
        <v>13515</v>
      </c>
      <c r="C51" s="70" t="s">
        <v>78</v>
      </c>
      <c r="D51" s="70"/>
      <c r="E51" s="70"/>
      <c r="F51" s="70"/>
      <c r="G51" s="91"/>
      <c r="H51" s="82"/>
      <c r="I51" s="82">
        <f t="shared" si="4"/>
        <v>0</v>
      </c>
      <c r="J51" s="74"/>
      <c r="K51" s="11"/>
      <c r="L51" s="16"/>
      <c r="M51" s="16"/>
      <c r="N51" s="16"/>
      <c r="O51" s="16"/>
      <c r="P51" s="16"/>
      <c r="Q51" s="16"/>
      <c r="R51" s="35"/>
      <c r="S51" s="43"/>
      <c r="T51" s="46"/>
      <c r="U51" s="75">
        <f t="shared" si="5"/>
        <v>0</v>
      </c>
      <c r="V51" s="93" t="str">
        <f t="shared" si="3"/>
        <v>OK</v>
      </c>
    </row>
    <row r="52" spans="1:22" hidden="1" x14ac:dyDescent="0.3">
      <c r="A52" s="54" t="s">
        <v>103</v>
      </c>
      <c r="B52" s="63">
        <v>13516</v>
      </c>
      <c r="C52" s="18" t="s">
        <v>78</v>
      </c>
      <c r="D52" s="18"/>
      <c r="E52" s="18"/>
      <c r="F52" s="18"/>
      <c r="G52" s="92"/>
      <c r="H52" s="22"/>
      <c r="I52" s="22">
        <f t="shared" si="4"/>
        <v>0</v>
      </c>
      <c r="J52" s="69"/>
      <c r="K52" s="11"/>
      <c r="L52" s="22"/>
      <c r="M52" s="22"/>
      <c r="N52" s="22"/>
      <c r="O52" s="22"/>
      <c r="P52" s="22"/>
      <c r="Q52" s="22"/>
      <c r="R52" s="36"/>
      <c r="S52" s="44"/>
      <c r="T52" s="47"/>
      <c r="U52" s="52">
        <f t="shared" si="5"/>
        <v>0</v>
      </c>
      <c r="V52" s="23" t="str">
        <f t="shared" si="3"/>
        <v>OK</v>
      </c>
    </row>
    <row r="53" spans="1:22" hidden="1" x14ac:dyDescent="0.3">
      <c r="A53" s="90" t="s">
        <v>104</v>
      </c>
      <c r="B53" s="76">
        <v>13468</v>
      </c>
      <c r="C53" s="70" t="s">
        <v>78</v>
      </c>
      <c r="D53" s="70"/>
      <c r="E53" s="70"/>
      <c r="F53" s="70"/>
      <c r="G53" s="91"/>
      <c r="H53" s="82"/>
      <c r="I53" s="82">
        <f t="shared" si="4"/>
        <v>0</v>
      </c>
      <c r="J53" s="74"/>
      <c r="K53" s="11"/>
      <c r="L53" s="16"/>
      <c r="M53" s="16"/>
      <c r="N53" s="16"/>
      <c r="O53" s="16"/>
      <c r="P53" s="16"/>
      <c r="Q53" s="16"/>
      <c r="R53" s="35"/>
      <c r="S53" s="43"/>
      <c r="T53" s="46"/>
      <c r="U53" s="75">
        <f t="shared" si="5"/>
        <v>0</v>
      </c>
      <c r="V53" s="93" t="str">
        <f t="shared" si="3"/>
        <v>OK</v>
      </c>
    </row>
    <row r="54" spans="1:22" hidden="1" x14ac:dyDescent="0.3">
      <c r="A54" s="54" t="s">
        <v>79</v>
      </c>
      <c r="B54" s="63">
        <v>13469</v>
      </c>
      <c r="C54" s="18" t="s">
        <v>78</v>
      </c>
      <c r="D54" s="18"/>
      <c r="E54" s="18"/>
      <c r="F54" s="18"/>
      <c r="G54" s="92"/>
      <c r="H54" s="22"/>
      <c r="I54" s="22">
        <f t="shared" si="4"/>
        <v>0</v>
      </c>
      <c r="J54" s="69"/>
      <c r="K54" s="11"/>
      <c r="L54" s="22"/>
      <c r="M54" s="22"/>
      <c r="N54" s="22"/>
      <c r="O54" s="22"/>
      <c r="P54" s="22"/>
      <c r="Q54" s="22"/>
      <c r="R54" s="36"/>
      <c r="S54" s="44"/>
      <c r="T54" s="47"/>
      <c r="U54" s="52">
        <f t="shared" si="5"/>
        <v>0</v>
      </c>
      <c r="V54" s="23" t="str">
        <f t="shared" si="3"/>
        <v>OK</v>
      </c>
    </row>
    <row r="55" spans="1:22" hidden="1" x14ac:dyDescent="0.3">
      <c r="A55" s="90" t="s">
        <v>43</v>
      </c>
      <c r="B55" s="76">
        <v>11820</v>
      </c>
      <c r="C55" s="70" t="s">
        <v>67</v>
      </c>
      <c r="D55" s="70"/>
      <c r="E55" s="70"/>
      <c r="F55" s="70"/>
      <c r="G55" s="91"/>
      <c r="H55" s="82"/>
      <c r="I55" s="82">
        <f t="shared" si="4"/>
        <v>0</v>
      </c>
      <c r="J55" s="74"/>
      <c r="K55" s="11"/>
      <c r="L55" s="16"/>
      <c r="M55" s="16"/>
      <c r="N55" s="16"/>
      <c r="O55" s="16"/>
      <c r="P55" s="16"/>
      <c r="Q55" s="16"/>
      <c r="R55" s="35"/>
      <c r="S55" s="43"/>
      <c r="T55" s="46"/>
      <c r="U55" s="75">
        <f t="shared" si="5"/>
        <v>0</v>
      </c>
      <c r="V55" s="93" t="str">
        <f t="shared" si="3"/>
        <v>OK</v>
      </c>
    </row>
    <row r="56" spans="1:22" hidden="1" x14ac:dyDescent="0.3">
      <c r="A56" s="54" t="s">
        <v>44</v>
      </c>
      <c r="B56" s="63">
        <v>11816</v>
      </c>
      <c r="C56" s="18" t="s">
        <v>67</v>
      </c>
      <c r="D56" s="18"/>
      <c r="E56" s="18"/>
      <c r="F56" s="18"/>
      <c r="G56" s="92"/>
      <c r="H56" s="22"/>
      <c r="I56" s="22">
        <f t="shared" si="4"/>
        <v>0</v>
      </c>
      <c r="J56" s="69"/>
      <c r="K56" s="11"/>
      <c r="L56" s="22"/>
      <c r="M56" s="22"/>
      <c r="N56" s="22"/>
      <c r="O56" s="22"/>
      <c r="P56" s="22"/>
      <c r="Q56" s="22"/>
      <c r="R56" s="36"/>
      <c r="S56" s="44"/>
      <c r="T56" s="47"/>
      <c r="U56" s="52">
        <f>SUM(L56:T56)</f>
        <v>0</v>
      </c>
      <c r="V56" s="23" t="str">
        <f t="shared" si="3"/>
        <v>OK</v>
      </c>
    </row>
    <row r="57" spans="1:22" ht="17.25" thickBot="1" x14ac:dyDescent="0.35">
      <c r="A57" s="76" t="s">
        <v>77</v>
      </c>
      <c r="B57" s="76">
        <v>11381</v>
      </c>
      <c r="C57" s="77" t="s">
        <v>68</v>
      </c>
      <c r="D57" s="70"/>
      <c r="E57" s="70"/>
      <c r="F57" s="70"/>
      <c r="G57" s="91"/>
      <c r="H57" s="82"/>
      <c r="I57" s="82">
        <f t="shared" si="4"/>
        <v>0</v>
      </c>
      <c r="J57" s="74"/>
      <c r="K57" s="11"/>
      <c r="L57" s="16"/>
      <c r="M57" s="16"/>
      <c r="N57" s="16"/>
      <c r="O57" s="16"/>
      <c r="P57" s="16"/>
      <c r="Q57" s="16"/>
      <c r="R57" s="35"/>
      <c r="S57" s="43"/>
      <c r="T57" s="46"/>
      <c r="U57" s="75">
        <f>SUM(L57:T57)</f>
        <v>0</v>
      </c>
      <c r="V57" s="93" t="str">
        <f t="shared" si="3"/>
        <v>OK</v>
      </c>
    </row>
    <row r="58" spans="1:22" ht="17.25" hidden="1" thickBot="1" x14ac:dyDescent="0.35">
      <c r="A58" s="54" t="s">
        <v>69</v>
      </c>
      <c r="B58" s="63">
        <v>11382</v>
      </c>
      <c r="C58" s="18" t="s">
        <v>68</v>
      </c>
      <c r="D58" s="18"/>
      <c r="E58" s="18"/>
      <c r="F58" s="18"/>
      <c r="G58" s="92"/>
      <c r="H58" s="22"/>
      <c r="I58" s="22">
        <f t="shared" si="4"/>
        <v>0</v>
      </c>
      <c r="J58" s="69"/>
      <c r="K58" s="11"/>
      <c r="L58" s="22"/>
      <c r="M58" s="22"/>
      <c r="N58" s="22"/>
      <c r="O58" s="22"/>
      <c r="P58" s="22"/>
      <c r="Q58" s="22"/>
      <c r="R58" s="36"/>
      <c r="S58" s="44"/>
      <c r="T58" s="47"/>
      <c r="U58" s="52">
        <f>SUM(L58:T58)</f>
        <v>0</v>
      </c>
      <c r="V58" s="23" t="str">
        <f t="shared" si="3"/>
        <v>OK</v>
      </c>
    </row>
    <row r="59" spans="1:22" ht="17.25" hidden="1" thickBot="1" x14ac:dyDescent="0.35">
      <c r="A59" s="96" t="s">
        <v>105</v>
      </c>
      <c r="B59" s="76">
        <v>16586</v>
      </c>
      <c r="C59" s="70" t="s">
        <v>78</v>
      </c>
      <c r="D59" s="70"/>
      <c r="E59" s="70"/>
      <c r="F59" s="70"/>
      <c r="G59" s="91"/>
      <c r="H59" s="82"/>
      <c r="I59" s="82">
        <f t="shared" si="4"/>
        <v>0</v>
      </c>
      <c r="J59" s="74"/>
      <c r="K59" s="11"/>
      <c r="L59" s="16"/>
      <c r="M59" s="16"/>
      <c r="N59" s="16"/>
      <c r="O59" s="16"/>
      <c r="P59" s="16"/>
      <c r="Q59" s="16"/>
      <c r="R59" s="35"/>
      <c r="S59" s="43"/>
      <c r="T59" s="46"/>
      <c r="U59" s="75">
        <f t="shared" ref="U59:U69" si="6">SUM(L59:T59)</f>
        <v>0</v>
      </c>
      <c r="V59" s="93" t="str">
        <f t="shared" si="3"/>
        <v>OK</v>
      </c>
    </row>
    <row r="60" spans="1:22" ht="17.25" hidden="1" thickBot="1" x14ac:dyDescent="0.35">
      <c r="A60" s="54" t="s">
        <v>90</v>
      </c>
      <c r="B60" s="63">
        <v>16587</v>
      </c>
      <c r="C60" s="18" t="s">
        <v>78</v>
      </c>
      <c r="D60" s="18"/>
      <c r="E60" s="18"/>
      <c r="F60" s="18"/>
      <c r="G60" s="92"/>
      <c r="H60" s="22"/>
      <c r="I60" s="22">
        <f t="shared" si="4"/>
        <v>0</v>
      </c>
      <c r="J60" s="69"/>
      <c r="K60" s="11"/>
      <c r="L60" s="22"/>
      <c r="M60" s="22"/>
      <c r="N60" s="22"/>
      <c r="O60" s="22"/>
      <c r="P60" s="22"/>
      <c r="Q60" s="22"/>
      <c r="R60" s="36"/>
      <c r="S60" s="44"/>
      <c r="T60" s="47"/>
      <c r="U60" s="52">
        <f t="shared" si="6"/>
        <v>0</v>
      </c>
      <c r="V60" s="23" t="str">
        <f t="shared" si="3"/>
        <v>OK</v>
      </c>
    </row>
    <row r="61" spans="1:22" ht="17.25" hidden="1" thickBot="1" x14ac:dyDescent="0.35">
      <c r="A61" s="90" t="s">
        <v>91</v>
      </c>
      <c r="B61" s="76">
        <v>17121</v>
      </c>
      <c r="C61" s="70" t="s">
        <v>92</v>
      </c>
      <c r="D61" s="70"/>
      <c r="E61" s="70"/>
      <c r="F61" s="70"/>
      <c r="G61" s="91"/>
      <c r="H61" s="82"/>
      <c r="I61" s="82">
        <f t="shared" si="4"/>
        <v>0</v>
      </c>
      <c r="J61" s="74"/>
      <c r="K61" s="11"/>
      <c r="L61" s="16"/>
      <c r="M61" s="16"/>
      <c r="N61" s="16"/>
      <c r="O61" s="16"/>
      <c r="P61" s="16"/>
      <c r="Q61" s="16"/>
      <c r="R61" s="35"/>
      <c r="S61" s="43"/>
      <c r="T61" s="46"/>
      <c r="U61" s="75">
        <f t="shared" si="6"/>
        <v>0</v>
      </c>
      <c r="V61" s="93" t="str">
        <f t="shared" si="3"/>
        <v>OK</v>
      </c>
    </row>
    <row r="62" spans="1:22" ht="17.25" hidden="1" thickBot="1" x14ac:dyDescent="0.35">
      <c r="A62" s="54" t="s">
        <v>106</v>
      </c>
      <c r="B62" s="63">
        <v>19270</v>
      </c>
      <c r="C62" s="18" t="s">
        <v>68</v>
      </c>
      <c r="D62" s="18"/>
      <c r="E62" s="18"/>
      <c r="F62" s="18"/>
      <c r="G62" s="92"/>
      <c r="H62" s="22"/>
      <c r="I62" s="22">
        <f t="shared" si="4"/>
        <v>0</v>
      </c>
      <c r="J62" s="69"/>
      <c r="K62" s="11"/>
      <c r="L62" s="22"/>
      <c r="M62" s="22"/>
      <c r="N62" s="22"/>
      <c r="O62" s="22"/>
      <c r="P62" s="22"/>
      <c r="Q62" s="22"/>
      <c r="R62" s="36"/>
      <c r="S62" s="44"/>
      <c r="T62" s="47"/>
      <c r="U62" s="71">
        <f t="shared" si="6"/>
        <v>0</v>
      </c>
      <c r="V62" s="23" t="str">
        <f t="shared" si="3"/>
        <v>OK</v>
      </c>
    </row>
    <row r="63" spans="1:22" ht="17.25" hidden="1" thickBot="1" x14ac:dyDescent="0.35">
      <c r="A63" s="90" t="s">
        <v>107</v>
      </c>
      <c r="B63" s="76">
        <v>19276</v>
      </c>
      <c r="C63" s="70" t="s">
        <v>68</v>
      </c>
      <c r="D63" s="70"/>
      <c r="E63" s="70"/>
      <c r="F63" s="70"/>
      <c r="G63" s="91"/>
      <c r="H63" s="82"/>
      <c r="I63" s="82">
        <f t="shared" si="4"/>
        <v>0</v>
      </c>
      <c r="J63" s="74"/>
      <c r="K63" s="11"/>
      <c r="L63" s="16"/>
      <c r="M63" s="16"/>
      <c r="N63" s="16"/>
      <c r="O63" s="16"/>
      <c r="P63" s="16"/>
      <c r="Q63" s="16"/>
      <c r="R63" s="35"/>
      <c r="S63" s="43"/>
      <c r="T63" s="46"/>
      <c r="U63" s="75">
        <f t="shared" si="6"/>
        <v>0</v>
      </c>
      <c r="V63" s="93" t="str">
        <f t="shared" si="3"/>
        <v>OK</v>
      </c>
    </row>
    <row r="64" spans="1:22" ht="17.25" hidden="1" thickBot="1" x14ac:dyDescent="0.35">
      <c r="A64" s="54" t="s">
        <v>108</v>
      </c>
      <c r="B64" s="63">
        <v>19836</v>
      </c>
      <c r="C64" s="18" t="s">
        <v>45</v>
      </c>
      <c r="D64" s="18"/>
      <c r="E64" s="18"/>
      <c r="F64" s="18"/>
      <c r="G64" s="92"/>
      <c r="H64" s="22"/>
      <c r="I64" s="22">
        <f t="shared" si="4"/>
        <v>0</v>
      </c>
      <c r="J64" s="69"/>
      <c r="K64" s="11"/>
      <c r="L64" s="22"/>
      <c r="M64" s="22"/>
      <c r="N64" s="22"/>
      <c r="O64" s="22"/>
      <c r="P64" s="22"/>
      <c r="Q64" s="22"/>
      <c r="R64" s="36"/>
      <c r="S64" s="44"/>
      <c r="T64" s="47"/>
      <c r="U64" s="52">
        <f t="shared" si="6"/>
        <v>0</v>
      </c>
      <c r="V64" s="23" t="str">
        <f t="shared" si="3"/>
        <v>OK</v>
      </c>
    </row>
    <row r="65" spans="1:22" ht="17.25" hidden="1" thickBot="1" x14ac:dyDescent="0.35">
      <c r="A65" s="90" t="s">
        <v>109</v>
      </c>
      <c r="B65" s="76">
        <v>20278</v>
      </c>
      <c r="C65" s="70" t="s">
        <v>110</v>
      </c>
      <c r="D65" s="70"/>
      <c r="E65" s="70"/>
      <c r="F65" s="70"/>
      <c r="G65" s="91"/>
      <c r="H65" s="82"/>
      <c r="I65" s="82">
        <f t="shared" si="4"/>
        <v>0</v>
      </c>
      <c r="J65" s="74"/>
      <c r="K65" s="11"/>
      <c r="L65" s="16"/>
      <c r="M65" s="16"/>
      <c r="N65" s="16"/>
      <c r="O65" s="16"/>
      <c r="P65" s="16"/>
      <c r="Q65" s="16"/>
      <c r="R65" s="35"/>
      <c r="S65" s="43"/>
      <c r="T65" s="46"/>
      <c r="U65" s="75">
        <f t="shared" si="6"/>
        <v>0</v>
      </c>
      <c r="V65" s="93" t="str">
        <f t="shared" si="3"/>
        <v>OK</v>
      </c>
    </row>
    <row r="66" spans="1:22" ht="17.25" hidden="1" thickBot="1" x14ac:dyDescent="0.35">
      <c r="A66" s="54" t="s">
        <v>111</v>
      </c>
      <c r="B66" s="63">
        <v>20272</v>
      </c>
      <c r="C66" s="18" t="s">
        <v>110</v>
      </c>
      <c r="D66" s="18"/>
      <c r="E66" s="18"/>
      <c r="F66" s="18"/>
      <c r="G66" s="92"/>
      <c r="H66" s="22"/>
      <c r="I66" s="22">
        <f t="shared" si="4"/>
        <v>0</v>
      </c>
      <c r="J66" s="69"/>
      <c r="K66" s="11"/>
      <c r="L66" s="22"/>
      <c r="M66" s="22"/>
      <c r="N66" s="22"/>
      <c r="O66" s="22"/>
      <c r="P66" s="22"/>
      <c r="Q66" s="22"/>
      <c r="R66" s="36"/>
      <c r="S66" s="44"/>
      <c r="T66" s="47"/>
      <c r="U66" s="52">
        <f t="shared" si="6"/>
        <v>0</v>
      </c>
      <c r="V66" s="23" t="str">
        <f t="shared" si="3"/>
        <v>OK</v>
      </c>
    </row>
    <row r="67" spans="1:22" ht="17.25" hidden="1" thickBot="1" x14ac:dyDescent="0.35">
      <c r="A67" s="90" t="s">
        <v>112</v>
      </c>
      <c r="B67" s="76">
        <v>20956</v>
      </c>
      <c r="C67" s="70" t="s">
        <v>110</v>
      </c>
      <c r="D67" s="70"/>
      <c r="E67" s="70"/>
      <c r="F67" s="70"/>
      <c r="G67" s="91"/>
      <c r="H67" s="82"/>
      <c r="I67" s="82">
        <f t="shared" si="4"/>
        <v>0</v>
      </c>
      <c r="J67" s="74"/>
      <c r="K67" s="11"/>
      <c r="L67" s="16"/>
      <c r="M67" s="16"/>
      <c r="N67" s="16"/>
      <c r="O67" s="16"/>
      <c r="P67" s="16"/>
      <c r="Q67" s="16"/>
      <c r="R67" s="35"/>
      <c r="S67" s="43"/>
      <c r="T67" s="46"/>
      <c r="U67" s="75">
        <f t="shared" si="6"/>
        <v>0</v>
      </c>
      <c r="V67" s="93" t="str">
        <f t="shared" si="3"/>
        <v>OK</v>
      </c>
    </row>
    <row r="68" spans="1:22" ht="17.25" hidden="1" thickBot="1" x14ac:dyDescent="0.35">
      <c r="A68" s="54" t="s">
        <v>116</v>
      </c>
      <c r="B68" s="63">
        <v>21299</v>
      </c>
      <c r="C68" s="18" t="s">
        <v>78</v>
      </c>
      <c r="D68" s="18"/>
      <c r="E68" s="18"/>
      <c r="F68" s="18"/>
      <c r="G68" s="92"/>
      <c r="H68" s="22"/>
      <c r="I68" s="22">
        <f t="shared" si="4"/>
        <v>0</v>
      </c>
      <c r="J68" s="69"/>
      <c r="K68" s="11"/>
      <c r="L68" s="22"/>
      <c r="M68" s="22"/>
      <c r="N68" s="22"/>
      <c r="O68" s="22"/>
      <c r="P68" s="22"/>
      <c r="Q68" s="22"/>
      <c r="R68" s="36"/>
      <c r="S68" s="44"/>
      <c r="T68" s="47"/>
      <c r="U68" s="71">
        <f t="shared" si="6"/>
        <v>0</v>
      </c>
      <c r="V68" s="23" t="str">
        <f>IF(U68=I68,"OK","NG")</f>
        <v>OK</v>
      </c>
    </row>
    <row r="69" spans="1:22" ht="17.25" hidden="1" thickBot="1" x14ac:dyDescent="0.35">
      <c r="A69" s="99" t="s">
        <v>117</v>
      </c>
      <c r="B69" s="76">
        <v>22115</v>
      </c>
      <c r="C69" s="82" t="s">
        <v>118</v>
      </c>
      <c r="D69" s="82"/>
      <c r="E69" s="82"/>
      <c r="F69" s="82"/>
      <c r="G69" s="82"/>
      <c r="H69" s="82"/>
      <c r="I69" s="82">
        <f t="shared" si="4"/>
        <v>0</v>
      </c>
      <c r="J69" s="97"/>
      <c r="K69" s="112"/>
      <c r="L69" s="82"/>
      <c r="M69" s="82"/>
      <c r="N69" s="82"/>
      <c r="O69" s="82"/>
      <c r="P69" s="82"/>
      <c r="Q69" s="82"/>
      <c r="R69" s="83"/>
      <c r="S69" s="84"/>
      <c r="T69" s="100"/>
      <c r="U69" s="75">
        <f t="shared" si="6"/>
        <v>0</v>
      </c>
      <c r="V69" s="93" t="str">
        <f>IF(U69=I69,"OK","NG")</f>
        <v>OK</v>
      </c>
    </row>
    <row r="70" spans="1:22" ht="17.25" hidden="1" thickBot="1" x14ac:dyDescent="0.35">
      <c r="A70" s="54" t="s">
        <v>120</v>
      </c>
      <c r="B70" s="63">
        <v>22706</v>
      </c>
      <c r="C70" s="18" t="s">
        <v>119</v>
      </c>
      <c r="D70" s="18"/>
      <c r="E70" s="18"/>
      <c r="F70" s="18"/>
      <c r="G70" s="92"/>
      <c r="H70" s="22"/>
      <c r="I70" s="22">
        <f t="shared" si="4"/>
        <v>0</v>
      </c>
      <c r="J70" s="69"/>
      <c r="K70" s="11"/>
      <c r="L70" s="22"/>
      <c r="M70" s="22"/>
      <c r="N70" s="22"/>
      <c r="O70" s="22"/>
      <c r="P70" s="22"/>
      <c r="Q70" s="22"/>
      <c r="R70" s="36"/>
      <c r="S70" s="44"/>
      <c r="T70" s="47"/>
      <c r="U70" s="71">
        <f t="shared" ref="U70" si="7">SUM(L70:T70)</f>
        <v>0</v>
      </c>
      <c r="V70" s="23" t="str">
        <f>IF(U70=I70,"OK","NG")</f>
        <v>OK</v>
      </c>
    </row>
    <row r="71" spans="1:22" ht="17.25" hidden="1" thickBot="1" x14ac:dyDescent="0.35">
      <c r="A71" s="99" t="s">
        <v>121</v>
      </c>
      <c r="B71" s="76">
        <v>22886</v>
      </c>
      <c r="C71" s="82" t="s">
        <v>46</v>
      </c>
      <c r="D71" s="82"/>
      <c r="E71" s="82"/>
      <c r="F71" s="82"/>
      <c r="G71" s="82"/>
      <c r="H71" s="82"/>
      <c r="I71" s="82">
        <f t="shared" ref="I71:I79" si="8">SUM(L71:T71)</f>
        <v>0</v>
      </c>
      <c r="J71" s="97"/>
      <c r="K71" s="112"/>
      <c r="L71" s="82"/>
      <c r="M71" s="82"/>
      <c r="N71" s="82"/>
      <c r="O71" s="82"/>
      <c r="P71" s="82"/>
      <c r="Q71" s="82"/>
      <c r="R71" s="83"/>
      <c r="S71" s="84"/>
      <c r="T71" s="100"/>
      <c r="U71" s="75">
        <f>SUM(L71:T71)</f>
        <v>0</v>
      </c>
      <c r="V71" s="93" t="str">
        <f>IF(U71=I71,"OK","NG")</f>
        <v>OK</v>
      </c>
    </row>
    <row r="72" spans="1:22" ht="17.25" hidden="1" thickBot="1" x14ac:dyDescent="0.35">
      <c r="A72" s="54" t="s">
        <v>122</v>
      </c>
      <c r="B72" s="63">
        <v>17528</v>
      </c>
      <c r="C72" s="18" t="s">
        <v>123</v>
      </c>
      <c r="D72" s="18"/>
      <c r="E72" s="18"/>
      <c r="F72" s="18"/>
      <c r="G72" s="92"/>
      <c r="H72" s="22"/>
      <c r="I72" s="22">
        <f t="shared" si="8"/>
        <v>0</v>
      </c>
      <c r="J72" s="69"/>
      <c r="K72" s="11"/>
      <c r="L72" s="22"/>
      <c r="M72" s="22"/>
      <c r="N72" s="22"/>
      <c r="O72" s="22"/>
      <c r="P72" s="22"/>
      <c r="Q72" s="22"/>
      <c r="R72" s="36"/>
      <c r="S72" s="44"/>
      <c r="T72" s="47"/>
      <c r="U72" s="71">
        <f t="shared" ref="U72:U79" si="9">SUM(L72:T72)</f>
        <v>0</v>
      </c>
      <c r="V72" s="95" t="str">
        <f t="shared" ref="V72:V80" si="10">IF(U72=I72,"OK","NG")</f>
        <v>OK</v>
      </c>
    </row>
    <row r="73" spans="1:22" ht="17.25" hidden="1" thickBot="1" x14ac:dyDescent="0.35">
      <c r="A73" s="99" t="s">
        <v>124</v>
      </c>
      <c r="B73" s="76">
        <v>22380</v>
      </c>
      <c r="C73" s="82" t="s">
        <v>47</v>
      </c>
      <c r="D73" s="82"/>
      <c r="E73" s="82"/>
      <c r="F73" s="82"/>
      <c r="G73" s="82"/>
      <c r="H73" s="82"/>
      <c r="I73" s="82">
        <f t="shared" si="8"/>
        <v>0</v>
      </c>
      <c r="J73" s="97"/>
      <c r="K73" s="112"/>
      <c r="L73" s="82"/>
      <c r="M73" s="82"/>
      <c r="N73" s="82"/>
      <c r="O73" s="82"/>
      <c r="P73" s="82"/>
      <c r="Q73" s="82"/>
      <c r="R73" s="83"/>
      <c r="S73" s="84"/>
      <c r="T73" s="100"/>
      <c r="U73" s="75">
        <f t="shared" si="9"/>
        <v>0</v>
      </c>
      <c r="V73" s="93" t="str">
        <f t="shared" si="10"/>
        <v>OK</v>
      </c>
    </row>
    <row r="74" spans="1:22" ht="17.25" hidden="1" thickBot="1" x14ac:dyDescent="0.35">
      <c r="A74" s="54" t="s">
        <v>125</v>
      </c>
      <c r="B74" s="63">
        <v>19279</v>
      </c>
      <c r="C74" s="18" t="s">
        <v>126</v>
      </c>
      <c r="D74" s="18"/>
      <c r="E74" s="18"/>
      <c r="F74" s="18"/>
      <c r="G74" s="92"/>
      <c r="H74" s="22"/>
      <c r="I74" s="22">
        <f t="shared" si="8"/>
        <v>0</v>
      </c>
      <c r="J74" s="69"/>
      <c r="K74" s="11"/>
      <c r="L74" s="22"/>
      <c r="M74" s="22"/>
      <c r="N74" s="22"/>
      <c r="O74" s="22"/>
      <c r="P74" s="22"/>
      <c r="Q74" s="22"/>
      <c r="R74" s="36"/>
      <c r="S74" s="44"/>
      <c r="T74" s="47"/>
      <c r="U74" s="71">
        <f t="shared" si="9"/>
        <v>0</v>
      </c>
      <c r="V74" s="95" t="str">
        <f t="shared" si="10"/>
        <v>OK</v>
      </c>
    </row>
    <row r="75" spans="1:22" ht="17.25" hidden="1" thickBot="1" x14ac:dyDescent="0.35">
      <c r="A75" s="90" t="s">
        <v>131</v>
      </c>
      <c r="B75" s="76">
        <v>22724</v>
      </c>
      <c r="C75" s="70" t="s">
        <v>119</v>
      </c>
      <c r="D75" s="70"/>
      <c r="E75" s="70"/>
      <c r="F75" s="70"/>
      <c r="G75" s="91"/>
      <c r="H75" s="82"/>
      <c r="I75" s="82">
        <f t="shared" si="8"/>
        <v>0</v>
      </c>
      <c r="J75" s="74"/>
      <c r="K75" s="11"/>
      <c r="L75" s="82"/>
      <c r="M75" s="82"/>
      <c r="N75" s="82"/>
      <c r="O75" s="82"/>
      <c r="P75" s="82"/>
      <c r="Q75" s="82"/>
      <c r="R75" s="83"/>
      <c r="S75" s="84"/>
      <c r="T75" s="85"/>
      <c r="U75" s="75">
        <f>SUM(L75:T75)</f>
        <v>0</v>
      </c>
      <c r="V75" s="93" t="s">
        <v>129</v>
      </c>
    </row>
    <row r="76" spans="1:22" ht="17.25" hidden="1" thickBot="1" x14ac:dyDescent="0.35">
      <c r="A76" s="54" t="s">
        <v>133</v>
      </c>
      <c r="B76" s="63">
        <v>22705</v>
      </c>
      <c r="C76" s="18" t="s">
        <v>119</v>
      </c>
      <c r="D76" s="18"/>
      <c r="E76" s="18"/>
      <c r="F76" s="18"/>
      <c r="G76" s="92"/>
      <c r="H76" s="22"/>
      <c r="I76" s="22">
        <f t="shared" si="8"/>
        <v>0</v>
      </c>
      <c r="J76" s="69"/>
      <c r="K76" s="11"/>
      <c r="L76" s="22"/>
      <c r="M76" s="22"/>
      <c r="N76" s="22"/>
      <c r="O76" s="22"/>
      <c r="P76" s="22"/>
      <c r="Q76" s="22"/>
      <c r="R76" s="36"/>
      <c r="S76" s="44"/>
      <c r="T76" s="47"/>
      <c r="U76" s="71">
        <f t="shared" si="9"/>
        <v>0</v>
      </c>
      <c r="V76" s="95" t="str">
        <f t="shared" si="10"/>
        <v>OK</v>
      </c>
    </row>
    <row r="77" spans="1:22" ht="17.25" hidden="1" thickBot="1" x14ac:dyDescent="0.35">
      <c r="A77" s="99" t="s">
        <v>128</v>
      </c>
      <c r="B77" s="76">
        <v>5655</v>
      </c>
      <c r="C77" s="82" t="s">
        <v>54</v>
      </c>
      <c r="D77" s="82"/>
      <c r="E77" s="82"/>
      <c r="F77" s="82"/>
      <c r="G77" s="82"/>
      <c r="H77" s="82"/>
      <c r="I77" s="82">
        <f t="shared" si="8"/>
        <v>0</v>
      </c>
      <c r="J77" s="97"/>
      <c r="K77" s="112"/>
      <c r="L77" s="82"/>
      <c r="M77" s="82"/>
      <c r="N77" s="82"/>
      <c r="O77" s="82"/>
      <c r="P77" s="82"/>
      <c r="Q77" s="82"/>
      <c r="R77" s="83"/>
      <c r="S77" s="84"/>
      <c r="T77" s="100"/>
      <c r="U77" s="75">
        <f t="shared" si="9"/>
        <v>0</v>
      </c>
      <c r="V77" s="93" t="str">
        <f t="shared" si="10"/>
        <v>OK</v>
      </c>
    </row>
    <row r="78" spans="1:22" ht="17.25" hidden="1" thickBot="1" x14ac:dyDescent="0.35">
      <c r="A78" s="120" t="s">
        <v>136</v>
      </c>
      <c r="B78" s="121">
        <v>22704</v>
      </c>
      <c r="C78" s="122" t="s">
        <v>137</v>
      </c>
      <c r="D78" s="122"/>
      <c r="E78" s="122"/>
      <c r="F78" s="122"/>
      <c r="G78" s="122"/>
      <c r="H78" s="122"/>
      <c r="I78" s="22">
        <f t="shared" si="8"/>
        <v>0</v>
      </c>
      <c r="J78" s="45"/>
      <c r="K78" s="112"/>
      <c r="L78" s="22"/>
      <c r="M78" s="22"/>
      <c r="N78" s="22"/>
      <c r="O78" s="22"/>
      <c r="P78" s="22"/>
      <c r="Q78" s="22"/>
      <c r="R78" s="36"/>
      <c r="S78" s="44"/>
      <c r="T78" s="116"/>
      <c r="U78" s="71">
        <f t="shared" si="9"/>
        <v>0</v>
      </c>
      <c r="V78" s="95" t="str">
        <f t="shared" si="10"/>
        <v>OK</v>
      </c>
    </row>
    <row r="79" spans="1:22" ht="17.25" hidden="1" thickBot="1" x14ac:dyDescent="0.35">
      <c r="A79" s="136" t="s">
        <v>139</v>
      </c>
      <c r="B79" s="133">
        <v>22722</v>
      </c>
      <c r="C79" s="137" t="s">
        <v>119</v>
      </c>
      <c r="D79" s="137"/>
      <c r="E79" s="137"/>
      <c r="F79" s="137"/>
      <c r="G79" s="137"/>
      <c r="H79" s="137"/>
      <c r="I79" s="82">
        <f t="shared" si="8"/>
        <v>0</v>
      </c>
      <c r="J79" s="97"/>
      <c r="K79" s="119"/>
      <c r="L79" s="82"/>
      <c r="M79" s="82"/>
      <c r="N79" s="82"/>
      <c r="O79" s="82"/>
      <c r="P79" s="82"/>
      <c r="Q79" s="82"/>
      <c r="R79" s="83"/>
      <c r="S79" s="84"/>
      <c r="T79" s="100"/>
      <c r="U79" s="75">
        <f t="shared" si="9"/>
        <v>0</v>
      </c>
      <c r="V79" s="93" t="str">
        <f t="shared" si="10"/>
        <v>OK</v>
      </c>
    </row>
    <row r="80" spans="1:22" ht="17.25" hidden="1" customHeight="1" thickBot="1" x14ac:dyDescent="0.35">
      <c r="A80" s="126" t="s">
        <v>134</v>
      </c>
      <c r="B80" s="127">
        <v>22723</v>
      </c>
      <c r="C80" s="128" t="s">
        <v>119</v>
      </c>
      <c r="D80" s="128"/>
      <c r="E80" s="128"/>
      <c r="F80" s="128"/>
      <c r="G80" s="128"/>
      <c r="H80" s="22"/>
      <c r="I80" s="22">
        <f t="shared" ref="I80" si="11">SUM(L80:T80)</f>
        <v>0</v>
      </c>
      <c r="J80" s="45"/>
      <c r="K80" s="112"/>
      <c r="L80" s="22"/>
      <c r="M80" s="22"/>
      <c r="N80" s="22"/>
      <c r="O80" s="22"/>
      <c r="P80" s="22"/>
      <c r="Q80" s="22"/>
      <c r="R80" s="36"/>
      <c r="S80" s="44"/>
      <c r="T80" s="116"/>
      <c r="U80" s="52">
        <f t="shared" ref="U80" si="12">SUM(L80:T80)</f>
        <v>0</v>
      </c>
      <c r="V80" s="23" t="str">
        <f t="shared" si="10"/>
        <v>OK</v>
      </c>
    </row>
    <row r="81" spans="1:22" x14ac:dyDescent="0.3">
      <c r="A81" s="86"/>
      <c r="B81" s="86"/>
      <c r="C81" s="87" t="s">
        <v>9</v>
      </c>
      <c r="D81" s="87"/>
      <c r="E81" s="87"/>
      <c r="F81" s="87"/>
      <c r="G81" s="88">
        <f>SUM(G6:G49)</f>
        <v>0</v>
      </c>
      <c r="H81" s="89">
        <f>SUM(H6:H49)</f>
        <v>0</v>
      </c>
      <c r="I81" s="88">
        <f>SUM(I6:I80)</f>
        <v>0</v>
      </c>
      <c r="J81" s="40">
        <f>SUM(J6:J49)</f>
        <v>0</v>
      </c>
      <c r="K81" s="115">
        <f>SUM(K6:K51)</f>
        <v>0</v>
      </c>
      <c r="L81" s="38">
        <f>SUM(L6:L80)</f>
        <v>0</v>
      </c>
      <c r="M81" s="38">
        <f t="shared" ref="M81:U81" si="13">SUM(M6:M80)</f>
        <v>0</v>
      </c>
      <c r="N81" s="38">
        <f t="shared" si="13"/>
        <v>0</v>
      </c>
      <c r="O81" s="38">
        <f t="shared" si="13"/>
        <v>0</v>
      </c>
      <c r="P81" s="38">
        <f t="shared" si="13"/>
        <v>0</v>
      </c>
      <c r="Q81" s="38">
        <f t="shared" si="13"/>
        <v>0</v>
      </c>
      <c r="R81" s="38">
        <f t="shared" si="13"/>
        <v>0</v>
      </c>
      <c r="S81" s="38">
        <f t="shared" si="13"/>
        <v>0</v>
      </c>
      <c r="T81" s="38">
        <f t="shared" si="13"/>
        <v>0</v>
      </c>
      <c r="U81" s="38">
        <f t="shared" si="13"/>
        <v>0</v>
      </c>
      <c r="V81" s="41" t="str">
        <f>IF(U81=SUM(I81),"OK","NG")</f>
        <v>OK</v>
      </c>
    </row>
  </sheetData>
  <autoFilter ref="A5:V81" xr:uid="{00000000-0001-0000-1900-000000000000}">
    <filterColumn colId="8">
      <filters>
        <filter val="10"/>
        <filter val="4"/>
        <filter val="6"/>
      </filters>
    </filterColumn>
  </autoFilter>
  <mergeCells count="20">
    <mergeCell ref="O4:O5"/>
    <mergeCell ref="P4:P5"/>
    <mergeCell ref="B3:C3"/>
    <mergeCell ref="N4:N5"/>
    <mergeCell ref="B1:C1"/>
    <mergeCell ref="F1:G1"/>
    <mergeCell ref="H1:J3"/>
    <mergeCell ref="B2:C2"/>
    <mergeCell ref="A4:D4"/>
    <mergeCell ref="E4:G4"/>
    <mergeCell ref="H4:J4"/>
    <mergeCell ref="L4:L5"/>
    <mergeCell ref="M4:M5"/>
    <mergeCell ref="Q4:Q5"/>
    <mergeCell ref="R4:R5"/>
    <mergeCell ref="S4:S5"/>
    <mergeCell ref="T4:T5"/>
    <mergeCell ref="V2:V3"/>
    <mergeCell ref="U4:U5"/>
    <mergeCell ref="V4:V5"/>
  </mergeCells>
  <phoneticPr fontId="3" type="noConversion"/>
  <conditionalFormatting sqref="A4 V6:V81">
    <cfRule type="containsText" dxfId="13" priority="11" operator="containsText" text="NG">
      <formula>NOT(ISERROR(SEARCH("NG",A4)))</formula>
    </cfRule>
    <cfRule type="containsText" dxfId="12" priority="12" operator="containsText" text="OK">
      <formula>NOT(ISERROR(SEARCH("OK",A4)))</formula>
    </cfRule>
  </conditionalFormatting>
  <pageMargins left="0.70866141732283472" right="0.70866141732283472" top="0.74803149606299213" bottom="0.74803149606299213" header="0.31496062992125984" footer="0.31496062992125984"/>
  <pageSetup paperSize="8" scale="10" orientation="landscape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 filterMode="1">
    <pageSetUpPr fitToPage="1"/>
  </sheetPr>
  <dimension ref="A1:V81"/>
  <sheetViews>
    <sheetView showGridLines="0" zoomScale="85" zoomScaleNormal="85" workbookViewId="0">
      <pane ySplit="5" topLeftCell="A42" activePane="bottomLeft" state="frozen"/>
      <selection activeCell="W73" sqref="W73"/>
      <selection pane="bottomLeft" activeCell="L42" sqref="L42:O58"/>
    </sheetView>
  </sheetViews>
  <sheetFormatPr defaultColWidth="9" defaultRowHeight="16.5" x14ac:dyDescent="0.3"/>
  <cols>
    <col min="1" max="1" width="12.625" bestFit="1" customWidth="1"/>
    <col min="2" max="2" width="14.125" bestFit="1" customWidth="1"/>
    <col min="3" max="3" width="35.125" customWidth="1"/>
    <col min="4" max="4" width="11.75" hidden="1" customWidth="1"/>
    <col min="5" max="6" width="9" hidden="1" customWidth="1"/>
    <col min="7" max="7" width="15.375" hidden="1" customWidth="1"/>
    <col min="8" max="8" width="13.25" hidden="1" customWidth="1"/>
    <col min="9" max="9" width="13.25" customWidth="1"/>
    <col min="10" max="10" width="13.25" hidden="1" customWidth="1"/>
    <col min="11" max="11" width="0.875" customWidth="1"/>
    <col min="20" max="20" width="11" bestFit="1" customWidth="1"/>
  </cols>
  <sheetData>
    <row r="1" spans="1:22" ht="22.5" customHeight="1" thickBot="1" x14ac:dyDescent="0.35">
      <c r="A1" s="32" t="s">
        <v>28</v>
      </c>
      <c r="B1" s="153">
        <f>H81</f>
        <v>0</v>
      </c>
      <c r="C1" s="154"/>
      <c r="D1" s="55"/>
      <c r="E1" s="58" t="s">
        <v>1</v>
      </c>
      <c r="F1" s="155">
        <f>G81</f>
        <v>0</v>
      </c>
      <c r="G1" s="155"/>
      <c r="H1" s="156"/>
      <c r="I1" s="156"/>
      <c r="J1" s="156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22.5" customHeight="1" thickBot="1" x14ac:dyDescent="0.35">
      <c r="A2" s="32" t="s">
        <v>29</v>
      </c>
      <c r="B2" s="158">
        <f>I81</f>
        <v>21</v>
      </c>
      <c r="C2" s="159"/>
      <c r="D2" s="56"/>
      <c r="E2" s="59"/>
      <c r="F2" s="2"/>
      <c r="G2" s="2"/>
      <c r="H2" s="156"/>
      <c r="I2" s="156"/>
      <c r="J2" s="156"/>
      <c r="K2" s="113"/>
      <c r="L2" s="3">
        <f>SUBTOTAL(9,L6:L80)</f>
        <v>0</v>
      </c>
      <c r="M2" s="3">
        <f t="shared" ref="M2:T2" si="0">SUBTOTAL(9,M6:M80)</f>
        <v>21</v>
      </c>
      <c r="N2" s="3">
        <f t="shared" si="0"/>
        <v>0</v>
      </c>
      <c r="O2" s="3">
        <f t="shared" si="0"/>
        <v>0</v>
      </c>
      <c r="P2" s="3">
        <f t="shared" si="0"/>
        <v>0</v>
      </c>
      <c r="Q2" s="3">
        <f t="shared" si="0"/>
        <v>0</v>
      </c>
      <c r="R2" s="3">
        <f t="shared" si="0"/>
        <v>0</v>
      </c>
      <c r="S2" s="3">
        <f t="shared" si="0"/>
        <v>0</v>
      </c>
      <c r="T2" s="3">
        <f t="shared" si="0"/>
        <v>0</v>
      </c>
      <c r="U2" s="48">
        <f>SUBTOTAL(9,U6:U80)</f>
        <v>21</v>
      </c>
      <c r="V2" s="145"/>
    </row>
    <row r="3" spans="1:22" ht="22.5" customHeight="1" thickBot="1" x14ac:dyDescent="0.35">
      <c r="A3" s="33" t="s">
        <v>30</v>
      </c>
      <c r="B3" s="151">
        <f>IF(ISERROR(B2/(B2+B1)*1000000),"",(B2/(B2+B1)*1000000))</f>
        <v>1000000</v>
      </c>
      <c r="C3" s="152"/>
      <c r="D3" s="57"/>
      <c r="E3" s="60"/>
      <c r="F3" s="27"/>
      <c r="G3" s="27"/>
      <c r="H3" s="157"/>
      <c r="I3" s="157"/>
      <c r="J3" s="157"/>
      <c r="K3" s="114"/>
      <c r="L3" s="4">
        <f t="shared" ref="L3:U3" si="1">SUM(L6:L80)</f>
        <v>0</v>
      </c>
      <c r="M3" s="4">
        <f t="shared" si="1"/>
        <v>21</v>
      </c>
      <c r="N3" s="4">
        <f t="shared" si="1"/>
        <v>0</v>
      </c>
      <c r="O3" s="4">
        <f t="shared" si="1"/>
        <v>0</v>
      </c>
      <c r="P3" s="4">
        <f t="shared" si="1"/>
        <v>0</v>
      </c>
      <c r="Q3" s="4">
        <f t="shared" si="1"/>
        <v>0</v>
      </c>
      <c r="R3" s="4">
        <f t="shared" si="1"/>
        <v>0</v>
      </c>
      <c r="S3" s="4">
        <f t="shared" si="1"/>
        <v>0</v>
      </c>
      <c r="T3" s="4">
        <f t="shared" si="1"/>
        <v>0</v>
      </c>
      <c r="U3" s="49">
        <f t="shared" si="1"/>
        <v>21</v>
      </c>
      <c r="V3" s="146"/>
    </row>
    <row r="4" spans="1:22" ht="43.5" customHeight="1" x14ac:dyDescent="0.3">
      <c r="A4" s="160" t="str">
        <f>V81</f>
        <v>OK</v>
      </c>
      <c r="B4" s="160"/>
      <c r="C4" s="160"/>
      <c r="D4" s="161"/>
      <c r="E4" s="169" t="s">
        <v>15</v>
      </c>
      <c r="F4" s="170"/>
      <c r="G4" s="171"/>
      <c r="H4" s="169" t="s">
        <v>16</v>
      </c>
      <c r="I4" s="170"/>
      <c r="J4" s="171"/>
      <c r="K4" s="113"/>
      <c r="L4" s="164" t="s">
        <v>10</v>
      </c>
      <c r="M4" s="142" t="s">
        <v>17</v>
      </c>
      <c r="N4" s="142" t="s">
        <v>11</v>
      </c>
      <c r="O4" s="138" t="s">
        <v>12</v>
      </c>
      <c r="P4" s="142" t="s">
        <v>13</v>
      </c>
      <c r="Q4" s="138" t="s">
        <v>14</v>
      </c>
      <c r="R4" s="142" t="s">
        <v>20</v>
      </c>
      <c r="S4" s="142" t="s">
        <v>21</v>
      </c>
      <c r="T4" s="167" t="s">
        <v>22</v>
      </c>
      <c r="U4" s="147" t="s">
        <v>18</v>
      </c>
      <c r="V4" s="149" t="s">
        <v>19</v>
      </c>
    </row>
    <row r="5" spans="1:22" ht="33.75" thickBot="1" x14ac:dyDescent="0.35">
      <c r="A5" s="29" t="s">
        <v>3</v>
      </c>
      <c r="B5" s="30" t="s">
        <v>32</v>
      </c>
      <c r="C5" s="29" t="s">
        <v>4</v>
      </c>
      <c r="D5" s="29" t="s">
        <v>31</v>
      </c>
      <c r="E5" s="29" t="s">
        <v>5</v>
      </c>
      <c r="F5" s="29" t="s">
        <v>6</v>
      </c>
      <c r="G5" s="30" t="s">
        <v>7</v>
      </c>
      <c r="H5" s="31" t="s">
        <v>0</v>
      </c>
      <c r="I5" s="31" t="s">
        <v>2</v>
      </c>
      <c r="J5" s="31" t="s">
        <v>8</v>
      </c>
      <c r="K5" s="28"/>
      <c r="L5" s="165"/>
      <c r="M5" s="139"/>
      <c r="N5" s="139"/>
      <c r="O5" s="166"/>
      <c r="P5" s="139"/>
      <c r="Q5" s="166"/>
      <c r="R5" s="139"/>
      <c r="S5" s="139"/>
      <c r="T5" s="168"/>
      <c r="U5" s="148"/>
      <c r="V5" s="150"/>
    </row>
    <row r="6" spans="1:22" hidden="1" x14ac:dyDescent="0.3">
      <c r="A6" s="61" t="s">
        <v>33</v>
      </c>
      <c r="B6" s="61">
        <v>8092</v>
      </c>
      <c r="C6" s="6" t="s">
        <v>45</v>
      </c>
      <c r="D6" s="7"/>
      <c r="E6" s="7"/>
      <c r="F6" s="7"/>
      <c r="G6" s="8"/>
      <c r="H6" s="9"/>
      <c r="I6" s="10">
        <f>SUM(L6:T6)</f>
        <v>0</v>
      </c>
      <c r="J6" s="10"/>
      <c r="K6" s="11"/>
      <c r="L6" s="10"/>
      <c r="M6" s="10"/>
      <c r="N6" s="10"/>
      <c r="O6" s="10"/>
      <c r="P6" s="10"/>
      <c r="Q6" s="10"/>
      <c r="R6" s="34"/>
      <c r="S6" s="42"/>
      <c r="T6" s="45"/>
      <c r="U6" s="50">
        <f t="shared" ref="U6:U36" si="2">SUM(L6:T6)</f>
        <v>0</v>
      </c>
      <c r="V6" s="26" t="str">
        <f t="shared" ref="V6:V67" si="3">IF(U6=I6,"OK","NG")</f>
        <v>OK</v>
      </c>
    </row>
    <row r="7" spans="1:22" hidden="1" x14ac:dyDescent="0.3">
      <c r="A7" s="62" t="s">
        <v>95</v>
      </c>
      <c r="B7" s="62">
        <v>8088</v>
      </c>
      <c r="C7" s="12" t="s">
        <v>46</v>
      </c>
      <c r="D7" s="53"/>
      <c r="E7" s="13"/>
      <c r="F7" s="13"/>
      <c r="G7" s="14"/>
      <c r="H7" s="15"/>
      <c r="I7" s="16">
        <f t="shared" ref="I7:I70" si="4">SUM(L7:T7)</f>
        <v>0</v>
      </c>
      <c r="J7" s="16"/>
      <c r="K7" s="11"/>
      <c r="L7" s="16"/>
      <c r="M7" s="16"/>
      <c r="N7" s="16"/>
      <c r="O7" s="16"/>
      <c r="P7" s="16"/>
      <c r="Q7" s="16"/>
      <c r="R7" s="35"/>
      <c r="S7" s="43"/>
      <c r="T7" s="46"/>
      <c r="U7" s="51">
        <f t="shared" si="2"/>
        <v>0</v>
      </c>
      <c r="V7" s="17" t="str">
        <f t="shared" si="3"/>
        <v>OK</v>
      </c>
    </row>
    <row r="8" spans="1:22" hidden="1" x14ac:dyDescent="0.3">
      <c r="A8" s="63" t="s">
        <v>96</v>
      </c>
      <c r="B8" s="63">
        <v>8081</v>
      </c>
      <c r="C8" s="18" t="s">
        <v>46</v>
      </c>
      <c r="D8" s="19"/>
      <c r="E8" s="19"/>
      <c r="F8" s="19"/>
      <c r="G8" s="20"/>
      <c r="H8" s="21"/>
      <c r="I8" s="22">
        <f t="shared" si="4"/>
        <v>0</v>
      </c>
      <c r="J8" s="22"/>
      <c r="K8" s="11"/>
      <c r="L8" s="22"/>
      <c r="M8" s="22"/>
      <c r="N8" s="22"/>
      <c r="O8" s="22"/>
      <c r="P8" s="22"/>
      <c r="Q8" s="22"/>
      <c r="R8" s="36"/>
      <c r="S8" s="44"/>
      <c r="T8" s="47"/>
      <c r="U8" s="52">
        <f t="shared" si="2"/>
        <v>0</v>
      </c>
      <c r="V8" s="23" t="str">
        <f t="shared" si="3"/>
        <v>OK</v>
      </c>
    </row>
    <row r="9" spans="1:22" hidden="1" x14ac:dyDescent="0.3">
      <c r="A9" s="62" t="s">
        <v>97</v>
      </c>
      <c r="B9" s="62">
        <v>18524</v>
      </c>
      <c r="C9" s="12" t="s">
        <v>46</v>
      </c>
      <c r="D9" s="53"/>
      <c r="E9" s="13"/>
      <c r="F9" s="13"/>
      <c r="G9" s="14"/>
      <c r="H9" s="15"/>
      <c r="I9" s="16">
        <f t="shared" si="4"/>
        <v>0</v>
      </c>
      <c r="J9" s="16"/>
      <c r="K9" s="11"/>
      <c r="L9" s="16"/>
      <c r="M9" s="16"/>
      <c r="N9" s="16"/>
      <c r="O9" s="16"/>
      <c r="P9" s="16"/>
      <c r="Q9" s="16"/>
      <c r="R9" s="35"/>
      <c r="S9" s="43"/>
      <c r="T9" s="46"/>
      <c r="U9" s="51">
        <f t="shared" si="2"/>
        <v>0</v>
      </c>
      <c r="V9" s="17" t="str">
        <f t="shared" si="3"/>
        <v>OK</v>
      </c>
    </row>
    <row r="10" spans="1:22" hidden="1" x14ac:dyDescent="0.3">
      <c r="A10" s="63" t="s">
        <v>34</v>
      </c>
      <c r="B10" s="63">
        <v>6234</v>
      </c>
      <c r="C10" s="18" t="s">
        <v>47</v>
      </c>
      <c r="D10" s="19"/>
      <c r="E10" s="19"/>
      <c r="F10" s="19"/>
      <c r="G10" s="20"/>
      <c r="H10" s="21"/>
      <c r="I10" s="22">
        <f t="shared" si="4"/>
        <v>0</v>
      </c>
      <c r="J10" s="22"/>
      <c r="K10" s="11"/>
      <c r="L10" s="22"/>
      <c r="M10" s="22"/>
      <c r="N10" s="22"/>
      <c r="O10" s="22"/>
      <c r="P10" s="22"/>
      <c r="Q10" s="22"/>
      <c r="R10" s="36"/>
      <c r="S10" s="44"/>
      <c r="T10" s="47"/>
      <c r="U10" s="52">
        <f t="shared" si="2"/>
        <v>0</v>
      </c>
      <c r="V10" s="23" t="str">
        <f t="shared" si="3"/>
        <v>OK</v>
      </c>
    </row>
    <row r="11" spans="1:22" hidden="1" x14ac:dyDescent="0.3">
      <c r="A11" s="62" t="s">
        <v>80</v>
      </c>
      <c r="B11" s="62">
        <v>14830</v>
      </c>
      <c r="C11" s="12" t="s">
        <v>47</v>
      </c>
      <c r="D11" s="53"/>
      <c r="E11" s="13"/>
      <c r="F11" s="13"/>
      <c r="G11" s="14"/>
      <c r="H11" s="15"/>
      <c r="I11" s="16">
        <f t="shared" si="4"/>
        <v>0</v>
      </c>
      <c r="J11" s="16"/>
      <c r="K11" s="11"/>
      <c r="L11" s="16"/>
      <c r="M11" s="16"/>
      <c r="N11" s="16"/>
      <c r="O11" s="16"/>
      <c r="P11" s="16"/>
      <c r="Q11" s="16"/>
      <c r="R11" s="35"/>
      <c r="S11" s="43"/>
      <c r="T11" s="46"/>
      <c r="U11" s="51">
        <f t="shared" si="2"/>
        <v>0</v>
      </c>
      <c r="V11" s="17" t="str">
        <f t="shared" si="3"/>
        <v>OK</v>
      </c>
    </row>
    <row r="12" spans="1:22" hidden="1" x14ac:dyDescent="0.3">
      <c r="A12" s="63" t="s">
        <v>35</v>
      </c>
      <c r="B12" s="63">
        <v>6004</v>
      </c>
      <c r="C12" s="18" t="s">
        <v>48</v>
      </c>
      <c r="D12" s="19"/>
      <c r="E12" s="19"/>
      <c r="F12" s="19"/>
      <c r="G12" s="20"/>
      <c r="H12" s="21"/>
      <c r="I12" s="22">
        <f t="shared" si="4"/>
        <v>0</v>
      </c>
      <c r="J12" s="22"/>
      <c r="K12" s="11"/>
      <c r="L12" s="22"/>
      <c r="M12" s="22"/>
      <c r="N12" s="22"/>
      <c r="O12" s="22"/>
      <c r="P12" s="22"/>
      <c r="Q12" s="22"/>
      <c r="R12" s="36"/>
      <c r="S12" s="44"/>
      <c r="T12" s="47"/>
      <c r="U12" s="52">
        <f t="shared" si="2"/>
        <v>0</v>
      </c>
      <c r="V12" s="23" t="str">
        <f t="shared" si="3"/>
        <v>OK</v>
      </c>
    </row>
    <row r="13" spans="1:22" hidden="1" x14ac:dyDescent="0.3">
      <c r="A13" s="62" t="s">
        <v>36</v>
      </c>
      <c r="B13" s="62">
        <v>11857</v>
      </c>
      <c r="C13" s="12" t="s">
        <v>48</v>
      </c>
      <c r="D13" s="53"/>
      <c r="E13" s="13"/>
      <c r="F13" s="13"/>
      <c r="G13" s="14"/>
      <c r="H13" s="15"/>
      <c r="I13" s="16">
        <f t="shared" si="4"/>
        <v>0</v>
      </c>
      <c r="J13" s="16"/>
      <c r="K13" s="11"/>
      <c r="L13" s="16"/>
      <c r="M13" s="16"/>
      <c r="N13" s="16"/>
      <c r="O13" s="16"/>
      <c r="P13" s="16"/>
      <c r="Q13" s="16"/>
      <c r="R13" s="35"/>
      <c r="S13" s="43"/>
      <c r="T13" s="46"/>
      <c r="U13" s="51">
        <f t="shared" si="2"/>
        <v>0</v>
      </c>
      <c r="V13" s="17" t="str">
        <f t="shared" si="3"/>
        <v>OK</v>
      </c>
    </row>
    <row r="14" spans="1:22" hidden="1" x14ac:dyDescent="0.3">
      <c r="A14" s="63" t="s">
        <v>82</v>
      </c>
      <c r="B14" s="63">
        <v>15004</v>
      </c>
      <c r="C14" s="18" t="s">
        <v>48</v>
      </c>
      <c r="D14" s="19"/>
      <c r="E14" s="19"/>
      <c r="F14" s="19"/>
      <c r="G14" s="20"/>
      <c r="H14" s="21"/>
      <c r="I14" s="22">
        <f t="shared" si="4"/>
        <v>0</v>
      </c>
      <c r="J14" s="22"/>
      <c r="K14" s="11"/>
      <c r="L14" s="22"/>
      <c r="M14" s="22"/>
      <c r="N14" s="22"/>
      <c r="O14" s="22"/>
      <c r="P14" s="22"/>
      <c r="Q14" s="22"/>
      <c r="R14" s="36"/>
      <c r="S14" s="44"/>
      <c r="T14" s="47"/>
      <c r="U14" s="52">
        <f t="shared" si="2"/>
        <v>0</v>
      </c>
      <c r="V14" s="23" t="str">
        <f t="shared" si="3"/>
        <v>OK</v>
      </c>
    </row>
    <row r="15" spans="1:22" hidden="1" x14ac:dyDescent="0.3">
      <c r="A15" s="62" t="s">
        <v>86</v>
      </c>
      <c r="B15" s="62">
        <v>15174</v>
      </c>
      <c r="C15" s="12" t="s">
        <v>45</v>
      </c>
      <c r="D15" s="53"/>
      <c r="E15" s="13"/>
      <c r="F15" s="13"/>
      <c r="G15" s="14"/>
      <c r="H15" s="15"/>
      <c r="I15" s="16">
        <f t="shared" si="4"/>
        <v>0</v>
      </c>
      <c r="J15" s="16"/>
      <c r="K15" s="11"/>
      <c r="L15" s="16"/>
      <c r="M15" s="16"/>
      <c r="N15" s="16"/>
      <c r="O15" s="16"/>
      <c r="P15" s="16"/>
      <c r="Q15" s="16"/>
      <c r="R15" s="35"/>
      <c r="S15" s="43"/>
      <c r="T15" s="46"/>
      <c r="U15" s="51">
        <f t="shared" si="2"/>
        <v>0</v>
      </c>
      <c r="V15" s="17" t="str">
        <f t="shared" si="3"/>
        <v>OK</v>
      </c>
    </row>
    <row r="16" spans="1:22" hidden="1" x14ac:dyDescent="0.3">
      <c r="A16" s="63" t="s">
        <v>87</v>
      </c>
      <c r="B16" s="63">
        <v>15520</v>
      </c>
      <c r="C16" s="18" t="s">
        <v>47</v>
      </c>
      <c r="D16" s="19"/>
      <c r="E16" s="19"/>
      <c r="F16" s="19"/>
      <c r="G16" s="20"/>
      <c r="H16" s="21"/>
      <c r="I16" s="22">
        <f t="shared" si="4"/>
        <v>0</v>
      </c>
      <c r="J16" s="22"/>
      <c r="K16" s="11"/>
      <c r="L16" s="22"/>
      <c r="M16" s="22"/>
      <c r="N16" s="22"/>
      <c r="O16" s="22"/>
      <c r="P16" s="22"/>
      <c r="Q16" s="22"/>
      <c r="R16" s="36"/>
      <c r="S16" s="44"/>
      <c r="T16" s="47"/>
      <c r="U16" s="52">
        <f t="shared" si="2"/>
        <v>0</v>
      </c>
      <c r="V16" s="23" t="str">
        <f t="shared" si="3"/>
        <v>OK</v>
      </c>
    </row>
    <row r="17" spans="1:22" hidden="1" x14ac:dyDescent="0.3">
      <c r="A17" s="62" t="s">
        <v>85</v>
      </c>
      <c r="B17" s="62">
        <v>14989</v>
      </c>
      <c r="C17" s="12" t="s">
        <v>45</v>
      </c>
      <c r="D17" s="53"/>
      <c r="E17" s="13"/>
      <c r="F17" s="13"/>
      <c r="G17" s="14"/>
      <c r="H17" s="15"/>
      <c r="I17" s="16">
        <f t="shared" si="4"/>
        <v>0</v>
      </c>
      <c r="J17" s="16"/>
      <c r="K17" s="11"/>
      <c r="L17" s="16"/>
      <c r="M17" s="16"/>
      <c r="N17" s="16"/>
      <c r="O17" s="16"/>
      <c r="P17" s="16"/>
      <c r="Q17" s="16"/>
      <c r="R17" s="35"/>
      <c r="S17" s="43"/>
      <c r="T17" s="46"/>
      <c r="U17" s="51">
        <f t="shared" si="2"/>
        <v>0</v>
      </c>
      <c r="V17" s="17" t="str">
        <f t="shared" si="3"/>
        <v>OK</v>
      </c>
    </row>
    <row r="18" spans="1:22" hidden="1" x14ac:dyDescent="0.3">
      <c r="A18" s="63" t="s">
        <v>84</v>
      </c>
      <c r="B18" s="63">
        <v>14984</v>
      </c>
      <c r="C18" s="18" t="s">
        <v>46</v>
      </c>
      <c r="D18" s="19"/>
      <c r="E18" s="19"/>
      <c r="F18" s="19"/>
      <c r="G18" s="20"/>
      <c r="H18" s="21"/>
      <c r="I18" s="22">
        <f t="shared" si="4"/>
        <v>0</v>
      </c>
      <c r="J18" s="22"/>
      <c r="K18" s="11"/>
      <c r="L18" s="22"/>
      <c r="M18" s="22"/>
      <c r="N18" s="22"/>
      <c r="O18" s="22"/>
      <c r="P18" s="22"/>
      <c r="Q18" s="22"/>
      <c r="R18" s="36"/>
      <c r="S18" s="44"/>
      <c r="T18" s="47"/>
      <c r="U18" s="52">
        <f t="shared" si="2"/>
        <v>0</v>
      </c>
      <c r="V18" s="23" t="str">
        <f t="shared" si="3"/>
        <v>OK</v>
      </c>
    </row>
    <row r="19" spans="1:22" hidden="1" x14ac:dyDescent="0.3">
      <c r="A19" s="62" t="s">
        <v>88</v>
      </c>
      <c r="B19" s="62">
        <v>16270</v>
      </c>
      <c r="C19" s="12" t="s">
        <v>89</v>
      </c>
      <c r="D19" s="53"/>
      <c r="E19" s="13"/>
      <c r="F19" s="13"/>
      <c r="G19" s="14"/>
      <c r="H19" s="15"/>
      <c r="I19" s="16">
        <f t="shared" si="4"/>
        <v>0</v>
      </c>
      <c r="J19" s="16"/>
      <c r="K19" s="11"/>
      <c r="L19" s="16"/>
      <c r="M19" s="16"/>
      <c r="N19" s="16"/>
      <c r="O19" s="16"/>
      <c r="P19" s="16"/>
      <c r="Q19" s="16"/>
      <c r="R19" s="35"/>
      <c r="S19" s="43"/>
      <c r="T19" s="46"/>
      <c r="U19" s="51">
        <f t="shared" si="2"/>
        <v>0</v>
      </c>
      <c r="V19" s="17" t="str">
        <f t="shared" si="3"/>
        <v>OK</v>
      </c>
    </row>
    <row r="20" spans="1:22" hidden="1" x14ac:dyDescent="0.3">
      <c r="A20" s="63" t="s">
        <v>98</v>
      </c>
      <c r="B20" s="63">
        <v>19060</v>
      </c>
      <c r="C20" s="18" t="s">
        <v>47</v>
      </c>
      <c r="D20" s="19"/>
      <c r="E20" s="19"/>
      <c r="F20" s="19"/>
      <c r="G20" s="20"/>
      <c r="H20" s="21"/>
      <c r="I20" s="22">
        <f t="shared" si="4"/>
        <v>0</v>
      </c>
      <c r="J20" s="22"/>
      <c r="K20" s="11"/>
      <c r="L20" s="22"/>
      <c r="M20" s="22"/>
      <c r="N20" s="22"/>
      <c r="O20" s="22"/>
      <c r="P20" s="22"/>
      <c r="Q20" s="22"/>
      <c r="R20" s="36"/>
      <c r="S20" s="44"/>
      <c r="T20" s="47"/>
      <c r="U20" s="52">
        <f t="shared" si="2"/>
        <v>0</v>
      </c>
      <c r="V20" s="23" t="str">
        <f t="shared" si="3"/>
        <v>OK</v>
      </c>
    </row>
    <row r="21" spans="1:22" hidden="1" x14ac:dyDescent="0.3">
      <c r="A21" s="62" t="s">
        <v>99</v>
      </c>
      <c r="B21" s="62">
        <v>18828</v>
      </c>
      <c r="C21" s="12" t="s">
        <v>94</v>
      </c>
      <c r="D21" s="53"/>
      <c r="E21" s="13"/>
      <c r="F21" s="13"/>
      <c r="G21" s="14"/>
      <c r="H21" s="15"/>
      <c r="I21" s="16">
        <f t="shared" si="4"/>
        <v>0</v>
      </c>
      <c r="J21" s="16"/>
      <c r="K21" s="11"/>
      <c r="L21" s="16"/>
      <c r="M21" s="16"/>
      <c r="N21" s="16"/>
      <c r="O21" s="16"/>
      <c r="P21" s="16"/>
      <c r="Q21" s="16"/>
      <c r="R21" s="35"/>
      <c r="S21" s="43"/>
      <c r="T21" s="46"/>
      <c r="U21" s="51">
        <f t="shared" si="2"/>
        <v>0</v>
      </c>
      <c r="V21" s="17" t="str">
        <f t="shared" si="3"/>
        <v>OK</v>
      </c>
    </row>
    <row r="22" spans="1:22" hidden="1" x14ac:dyDescent="0.3">
      <c r="A22" s="63" t="s">
        <v>23</v>
      </c>
      <c r="B22" s="63">
        <v>5695</v>
      </c>
      <c r="C22" s="18" t="s">
        <v>49</v>
      </c>
      <c r="D22" s="19"/>
      <c r="E22" s="19"/>
      <c r="F22" s="19"/>
      <c r="G22" s="20"/>
      <c r="H22" s="21"/>
      <c r="I22" s="22">
        <f t="shared" si="4"/>
        <v>0</v>
      </c>
      <c r="J22" s="22"/>
      <c r="K22" s="11"/>
      <c r="L22" s="22"/>
      <c r="M22" s="22"/>
      <c r="N22" s="22"/>
      <c r="O22" s="22"/>
      <c r="P22" s="22"/>
      <c r="Q22" s="22"/>
      <c r="R22" s="36"/>
      <c r="S22" s="44"/>
      <c r="T22" s="47"/>
      <c r="U22" s="52">
        <f t="shared" si="2"/>
        <v>0</v>
      </c>
      <c r="V22" s="23" t="str">
        <f t="shared" si="3"/>
        <v>OK</v>
      </c>
    </row>
    <row r="23" spans="1:22" hidden="1" x14ac:dyDescent="0.3">
      <c r="A23" s="62" t="s">
        <v>24</v>
      </c>
      <c r="B23" s="62">
        <v>5691</v>
      </c>
      <c r="C23" s="12" t="s">
        <v>50</v>
      </c>
      <c r="D23" s="53"/>
      <c r="E23" s="13"/>
      <c r="F23" s="13"/>
      <c r="G23" s="14"/>
      <c r="H23" s="15"/>
      <c r="I23" s="16">
        <f t="shared" si="4"/>
        <v>0</v>
      </c>
      <c r="J23" s="16"/>
      <c r="K23" s="11"/>
      <c r="L23" s="16"/>
      <c r="M23" s="16"/>
      <c r="N23" s="16"/>
      <c r="O23" s="16"/>
      <c r="P23" s="16"/>
      <c r="Q23" s="16"/>
      <c r="R23" s="35"/>
      <c r="S23" s="43"/>
      <c r="T23" s="46"/>
      <c r="U23" s="51">
        <f t="shared" si="2"/>
        <v>0</v>
      </c>
      <c r="V23" s="17" t="str">
        <f t="shared" si="3"/>
        <v>OK</v>
      </c>
    </row>
    <row r="24" spans="1:22" hidden="1" x14ac:dyDescent="0.3">
      <c r="A24" s="63" t="s">
        <v>37</v>
      </c>
      <c r="B24" s="63">
        <v>5687</v>
      </c>
      <c r="C24" s="18" t="s">
        <v>51</v>
      </c>
      <c r="D24" s="19"/>
      <c r="E24" s="19"/>
      <c r="F24" s="19"/>
      <c r="G24" s="20"/>
      <c r="H24" s="21"/>
      <c r="I24" s="22">
        <f t="shared" si="4"/>
        <v>0</v>
      </c>
      <c r="J24" s="22"/>
      <c r="K24" s="11"/>
      <c r="L24" s="22"/>
      <c r="M24" s="22"/>
      <c r="N24" s="22"/>
      <c r="O24" s="22"/>
      <c r="P24" s="22"/>
      <c r="Q24" s="22"/>
      <c r="R24" s="36"/>
      <c r="S24" s="44"/>
      <c r="T24" s="47"/>
      <c r="U24" s="52">
        <f t="shared" si="2"/>
        <v>0</v>
      </c>
      <c r="V24" s="23" t="str">
        <f t="shared" si="3"/>
        <v>OK</v>
      </c>
    </row>
    <row r="25" spans="1:22" hidden="1" x14ac:dyDescent="0.3">
      <c r="A25" s="62" t="s">
        <v>38</v>
      </c>
      <c r="B25" s="62">
        <v>5683</v>
      </c>
      <c r="C25" s="12" t="s">
        <v>51</v>
      </c>
      <c r="D25" s="53"/>
      <c r="E25" s="13"/>
      <c r="F25" s="13"/>
      <c r="G25" s="14"/>
      <c r="H25" s="15"/>
      <c r="I25" s="16">
        <f t="shared" si="4"/>
        <v>0</v>
      </c>
      <c r="J25" s="16"/>
      <c r="K25" s="11"/>
      <c r="L25" s="16"/>
      <c r="M25" s="16"/>
      <c r="N25" s="16"/>
      <c r="O25" s="16"/>
      <c r="P25" s="16"/>
      <c r="Q25" s="16"/>
      <c r="R25" s="35"/>
      <c r="S25" s="43"/>
      <c r="T25" s="46"/>
      <c r="U25" s="51">
        <f t="shared" si="2"/>
        <v>0</v>
      </c>
      <c r="V25" s="17" t="str">
        <f t="shared" si="3"/>
        <v>OK</v>
      </c>
    </row>
    <row r="26" spans="1:22" hidden="1" x14ac:dyDescent="0.3">
      <c r="A26" s="63" t="s">
        <v>25</v>
      </c>
      <c r="B26" s="63">
        <v>5679</v>
      </c>
      <c r="C26" s="18" t="s">
        <v>52</v>
      </c>
      <c r="D26" s="19"/>
      <c r="E26" s="19"/>
      <c r="F26" s="19"/>
      <c r="G26" s="20"/>
      <c r="H26" s="21"/>
      <c r="I26" s="22">
        <f t="shared" si="4"/>
        <v>0</v>
      </c>
      <c r="J26" s="22"/>
      <c r="K26" s="11"/>
      <c r="L26" s="22"/>
      <c r="M26" s="22"/>
      <c r="N26" s="22"/>
      <c r="O26" s="22"/>
      <c r="P26" s="22"/>
      <c r="Q26" s="22"/>
      <c r="R26" s="36"/>
      <c r="S26" s="44"/>
      <c r="T26" s="47"/>
      <c r="U26" s="52">
        <f t="shared" si="2"/>
        <v>0</v>
      </c>
      <c r="V26" s="23" t="str">
        <f t="shared" si="3"/>
        <v>OK</v>
      </c>
    </row>
    <row r="27" spans="1:22" hidden="1" x14ac:dyDescent="0.3">
      <c r="A27" s="62" t="s">
        <v>39</v>
      </c>
      <c r="B27" s="62">
        <v>5675</v>
      </c>
      <c r="C27" s="12" t="s">
        <v>53</v>
      </c>
      <c r="D27" s="53"/>
      <c r="E27" s="13"/>
      <c r="F27" s="13"/>
      <c r="G27" s="14"/>
      <c r="H27" s="15"/>
      <c r="I27" s="16">
        <f t="shared" si="4"/>
        <v>0</v>
      </c>
      <c r="J27" s="16"/>
      <c r="K27" s="11"/>
      <c r="L27" s="16"/>
      <c r="M27" s="16"/>
      <c r="N27" s="16"/>
      <c r="O27" s="16"/>
      <c r="P27" s="16"/>
      <c r="Q27" s="16"/>
      <c r="R27" s="35"/>
      <c r="S27" s="43"/>
      <c r="T27" s="46"/>
      <c r="U27" s="51">
        <f t="shared" si="2"/>
        <v>0</v>
      </c>
      <c r="V27" s="17" t="str">
        <f t="shared" si="3"/>
        <v>OK</v>
      </c>
    </row>
    <row r="28" spans="1:22" hidden="1" x14ac:dyDescent="0.3">
      <c r="A28" s="63" t="s">
        <v>26</v>
      </c>
      <c r="B28" s="63">
        <v>5671</v>
      </c>
      <c r="C28" s="18" t="s">
        <v>49</v>
      </c>
      <c r="D28" s="19"/>
      <c r="E28" s="19"/>
      <c r="F28" s="19"/>
      <c r="G28" s="20"/>
      <c r="H28" s="21"/>
      <c r="I28" s="22">
        <f t="shared" si="4"/>
        <v>0</v>
      </c>
      <c r="J28" s="22"/>
      <c r="K28" s="11"/>
      <c r="L28" s="22"/>
      <c r="M28" s="22"/>
      <c r="N28" s="22"/>
      <c r="O28" s="22"/>
      <c r="P28" s="22"/>
      <c r="Q28" s="22"/>
      <c r="R28" s="36"/>
      <c r="S28" s="44"/>
      <c r="T28" s="47"/>
      <c r="U28" s="52">
        <f t="shared" si="2"/>
        <v>0</v>
      </c>
      <c r="V28" s="23" t="str">
        <f t="shared" si="3"/>
        <v>OK</v>
      </c>
    </row>
    <row r="29" spans="1:22" hidden="1" x14ac:dyDescent="0.3">
      <c r="A29" s="62" t="s">
        <v>40</v>
      </c>
      <c r="B29" s="62">
        <v>5667</v>
      </c>
      <c r="C29" s="12" t="s">
        <v>50</v>
      </c>
      <c r="D29" s="53"/>
      <c r="E29" s="13"/>
      <c r="F29" s="13"/>
      <c r="G29" s="14"/>
      <c r="H29" s="15"/>
      <c r="I29" s="16">
        <f t="shared" si="4"/>
        <v>0</v>
      </c>
      <c r="J29" s="16"/>
      <c r="K29" s="11"/>
      <c r="L29" s="16"/>
      <c r="M29" s="16"/>
      <c r="N29" s="16"/>
      <c r="O29" s="16"/>
      <c r="P29" s="16"/>
      <c r="Q29" s="16"/>
      <c r="R29" s="35"/>
      <c r="S29" s="43"/>
      <c r="T29" s="46"/>
      <c r="U29" s="51">
        <f t="shared" si="2"/>
        <v>0</v>
      </c>
      <c r="V29" s="17" t="str">
        <f t="shared" si="3"/>
        <v>OK</v>
      </c>
    </row>
    <row r="30" spans="1:22" hidden="1" x14ac:dyDescent="0.3">
      <c r="A30" s="63" t="s">
        <v>41</v>
      </c>
      <c r="B30" s="63">
        <v>5663</v>
      </c>
      <c r="C30" s="18" t="s">
        <v>51</v>
      </c>
      <c r="D30" s="19"/>
      <c r="E30" s="19"/>
      <c r="F30" s="19"/>
      <c r="G30" s="20"/>
      <c r="H30" s="21"/>
      <c r="I30" s="22">
        <f t="shared" si="4"/>
        <v>0</v>
      </c>
      <c r="J30" s="22"/>
      <c r="K30" s="11"/>
      <c r="L30" s="22"/>
      <c r="M30" s="22"/>
      <c r="N30" s="22"/>
      <c r="O30" s="22"/>
      <c r="P30" s="22"/>
      <c r="Q30" s="22"/>
      <c r="R30" s="36"/>
      <c r="S30" s="44"/>
      <c r="T30" s="47"/>
      <c r="U30" s="52">
        <f t="shared" si="2"/>
        <v>0</v>
      </c>
      <c r="V30" s="23" t="str">
        <f t="shared" si="3"/>
        <v>OK</v>
      </c>
    </row>
    <row r="31" spans="1:22" hidden="1" x14ac:dyDescent="0.3">
      <c r="A31" s="62" t="s">
        <v>42</v>
      </c>
      <c r="B31" s="62">
        <v>5659</v>
      </c>
      <c r="C31" s="12" t="s">
        <v>52</v>
      </c>
      <c r="D31" s="53"/>
      <c r="E31" s="13"/>
      <c r="F31" s="13"/>
      <c r="G31" s="14"/>
      <c r="H31" s="15"/>
      <c r="I31" s="16">
        <f t="shared" si="4"/>
        <v>0</v>
      </c>
      <c r="J31" s="16"/>
      <c r="K31" s="11"/>
      <c r="L31" s="16"/>
      <c r="M31" s="16"/>
      <c r="N31" s="16"/>
      <c r="O31" s="16"/>
      <c r="P31" s="16"/>
      <c r="Q31" s="16"/>
      <c r="R31" s="35"/>
      <c r="S31" s="43"/>
      <c r="T31" s="46"/>
      <c r="U31" s="51">
        <f t="shared" si="2"/>
        <v>0</v>
      </c>
      <c r="V31" s="17" t="str">
        <f t="shared" si="3"/>
        <v>OK</v>
      </c>
    </row>
    <row r="32" spans="1:22" hidden="1" x14ac:dyDescent="0.3">
      <c r="A32" s="63" t="s">
        <v>27</v>
      </c>
      <c r="B32" s="63">
        <v>5655</v>
      </c>
      <c r="C32" s="18" t="s">
        <v>54</v>
      </c>
      <c r="D32" s="19"/>
      <c r="E32" s="19"/>
      <c r="F32" s="19"/>
      <c r="G32" s="20"/>
      <c r="H32" s="21"/>
      <c r="I32" s="22">
        <f t="shared" si="4"/>
        <v>0</v>
      </c>
      <c r="J32" s="22"/>
      <c r="K32" s="11"/>
      <c r="L32" s="22"/>
      <c r="M32" s="22"/>
      <c r="N32" s="22"/>
      <c r="O32" s="22"/>
      <c r="P32" s="22"/>
      <c r="Q32" s="22"/>
      <c r="R32" s="36"/>
      <c r="S32" s="44"/>
      <c r="T32" s="47"/>
      <c r="U32" s="52">
        <f t="shared" si="2"/>
        <v>0</v>
      </c>
      <c r="V32" s="23" t="str">
        <f t="shared" si="3"/>
        <v>OK</v>
      </c>
    </row>
    <row r="33" spans="1:22" hidden="1" x14ac:dyDescent="0.3">
      <c r="A33" s="62" t="s">
        <v>70</v>
      </c>
      <c r="B33" s="62">
        <v>5651</v>
      </c>
      <c r="C33" s="12" t="s">
        <v>55</v>
      </c>
      <c r="D33" s="53"/>
      <c r="E33" s="13"/>
      <c r="F33" s="13"/>
      <c r="G33" s="14"/>
      <c r="H33" s="15"/>
      <c r="I33" s="16">
        <f t="shared" si="4"/>
        <v>0</v>
      </c>
      <c r="J33" s="16"/>
      <c r="K33" s="11"/>
      <c r="L33" s="16"/>
      <c r="M33" s="16"/>
      <c r="N33" s="16"/>
      <c r="O33" s="16"/>
      <c r="P33" s="16"/>
      <c r="Q33" s="16"/>
      <c r="R33" s="35"/>
      <c r="S33" s="43"/>
      <c r="T33" s="46"/>
      <c r="U33" s="51">
        <f t="shared" si="2"/>
        <v>0</v>
      </c>
      <c r="V33" s="17" t="str">
        <f t="shared" si="3"/>
        <v>OK</v>
      </c>
    </row>
    <row r="34" spans="1:22" hidden="1" x14ac:dyDescent="0.3">
      <c r="A34" s="63" t="s">
        <v>71</v>
      </c>
      <c r="B34" s="63">
        <v>5643</v>
      </c>
      <c r="C34" s="18" t="s">
        <v>56</v>
      </c>
      <c r="D34" s="19"/>
      <c r="E34" s="19"/>
      <c r="F34" s="19"/>
      <c r="G34" s="20"/>
      <c r="H34" s="21"/>
      <c r="I34" s="22">
        <f t="shared" si="4"/>
        <v>0</v>
      </c>
      <c r="J34" s="22"/>
      <c r="K34" s="11"/>
      <c r="L34" s="22"/>
      <c r="M34" s="22"/>
      <c r="N34" s="22"/>
      <c r="O34" s="22"/>
      <c r="P34" s="22"/>
      <c r="Q34" s="22"/>
      <c r="R34" s="36"/>
      <c r="S34" s="44"/>
      <c r="T34" s="47"/>
      <c r="U34" s="52">
        <f t="shared" si="2"/>
        <v>0</v>
      </c>
      <c r="V34" s="23" t="str">
        <f t="shared" si="3"/>
        <v>OK</v>
      </c>
    </row>
    <row r="35" spans="1:22" hidden="1" x14ac:dyDescent="0.3">
      <c r="A35" s="62" t="s">
        <v>57</v>
      </c>
      <c r="B35" s="62">
        <v>11350</v>
      </c>
      <c r="C35" s="12" t="s">
        <v>56</v>
      </c>
      <c r="D35" s="53"/>
      <c r="E35" s="13"/>
      <c r="F35" s="13"/>
      <c r="G35" s="14"/>
      <c r="H35" s="15"/>
      <c r="I35" s="16">
        <f t="shared" si="4"/>
        <v>0</v>
      </c>
      <c r="J35" s="16"/>
      <c r="K35" s="11"/>
      <c r="L35" s="16"/>
      <c r="M35" s="16"/>
      <c r="N35" s="16"/>
      <c r="O35" s="16"/>
      <c r="P35" s="16"/>
      <c r="Q35" s="16"/>
      <c r="R35" s="35"/>
      <c r="S35" s="43"/>
      <c r="T35" s="46"/>
      <c r="U35" s="51">
        <f t="shared" si="2"/>
        <v>0</v>
      </c>
      <c r="V35" s="17" t="str">
        <f t="shared" si="3"/>
        <v>OK</v>
      </c>
    </row>
    <row r="36" spans="1:22" hidden="1" x14ac:dyDescent="0.3">
      <c r="A36" s="63" t="s">
        <v>72</v>
      </c>
      <c r="B36" s="63">
        <v>5635</v>
      </c>
      <c r="C36" s="18" t="s">
        <v>55</v>
      </c>
      <c r="D36" s="19"/>
      <c r="E36" s="19"/>
      <c r="F36" s="19"/>
      <c r="G36" s="20"/>
      <c r="H36" s="21"/>
      <c r="I36" s="22">
        <f t="shared" si="4"/>
        <v>0</v>
      </c>
      <c r="J36" s="22"/>
      <c r="K36" s="11"/>
      <c r="L36" s="22"/>
      <c r="M36" s="22"/>
      <c r="N36" s="22"/>
      <c r="O36" s="22"/>
      <c r="P36" s="22"/>
      <c r="Q36" s="22"/>
      <c r="R36" s="36"/>
      <c r="S36" s="44"/>
      <c r="T36" s="47"/>
      <c r="U36" s="52">
        <f t="shared" si="2"/>
        <v>0</v>
      </c>
      <c r="V36" s="23" t="str">
        <f t="shared" si="3"/>
        <v>OK</v>
      </c>
    </row>
    <row r="37" spans="1:22" hidden="1" x14ac:dyDescent="0.3">
      <c r="A37" s="62" t="s">
        <v>58</v>
      </c>
      <c r="B37" s="62">
        <v>11349</v>
      </c>
      <c r="C37" s="12" t="s">
        <v>55</v>
      </c>
      <c r="D37" s="53"/>
      <c r="E37" s="13"/>
      <c r="F37" s="13"/>
      <c r="G37" s="14"/>
      <c r="H37" s="15"/>
      <c r="I37" s="16">
        <f t="shared" si="4"/>
        <v>0</v>
      </c>
      <c r="J37" s="16"/>
      <c r="K37" s="11"/>
      <c r="L37" s="16"/>
      <c r="M37" s="16"/>
      <c r="N37" s="16"/>
      <c r="O37" s="16"/>
      <c r="P37" s="16"/>
      <c r="Q37" s="16"/>
      <c r="R37" s="35"/>
      <c r="S37" s="43"/>
      <c r="T37" s="46"/>
      <c r="U37" s="51">
        <f t="shared" ref="U37:U55" si="5">SUM(L37:T37)</f>
        <v>0</v>
      </c>
      <c r="V37" s="17" t="str">
        <f t="shared" si="3"/>
        <v>OK</v>
      </c>
    </row>
    <row r="38" spans="1:22" hidden="1" x14ac:dyDescent="0.3">
      <c r="A38" s="63" t="s">
        <v>73</v>
      </c>
      <c r="B38" s="63">
        <v>5627</v>
      </c>
      <c r="C38" s="18" t="s">
        <v>56</v>
      </c>
      <c r="D38" s="19"/>
      <c r="E38" s="19"/>
      <c r="F38" s="19"/>
      <c r="G38" s="20"/>
      <c r="H38" s="21"/>
      <c r="I38" s="22">
        <f t="shared" si="4"/>
        <v>0</v>
      </c>
      <c r="J38" s="22"/>
      <c r="K38" s="11"/>
      <c r="L38" s="22"/>
      <c r="M38" s="22"/>
      <c r="N38" s="22"/>
      <c r="O38" s="22"/>
      <c r="P38" s="22"/>
      <c r="Q38" s="22"/>
      <c r="R38" s="36"/>
      <c r="S38" s="44"/>
      <c r="T38" s="47"/>
      <c r="U38" s="52">
        <f t="shared" si="5"/>
        <v>0</v>
      </c>
      <c r="V38" s="23" t="str">
        <f t="shared" si="3"/>
        <v>OK</v>
      </c>
    </row>
    <row r="39" spans="1:22" hidden="1" x14ac:dyDescent="0.3">
      <c r="A39" s="62" t="s">
        <v>59</v>
      </c>
      <c r="B39" s="62">
        <v>11348</v>
      </c>
      <c r="C39" s="12" t="s">
        <v>56</v>
      </c>
      <c r="D39" s="53"/>
      <c r="E39" s="13"/>
      <c r="F39" s="13"/>
      <c r="G39" s="14"/>
      <c r="H39" s="15"/>
      <c r="I39" s="16">
        <f t="shared" si="4"/>
        <v>0</v>
      </c>
      <c r="J39" s="16"/>
      <c r="K39" s="11"/>
      <c r="L39" s="16"/>
      <c r="M39" s="16"/>
      <c r="N39" s="16"/>
      <c r="O39" s="16"/>
      <c r="P39" s="16"/>
      <c r="Q39" s="16"/>
      <c r="R39" s="35"/>
      <c r="S39" s="43"/>
      <c r="T39" s="46"/>
      <c r="U39" s="51">
        <f t="shared" si="5"/>
        <v>0</v>
      </c>
      <c r="V39" s="17" t="str">
        <f t="shared" si="3"/>
        <v>OK</v>
      </c>
    </row>
    <row r="40" spans="1:22" hidden="1" x14ac:dyDescent="0.3">
      <c r="A40" s="63" t="s">
        <v>74</v>
      </c>
      <c r="B40" s="63">
        <v>5619</v>
      </c>
      <c r="C40" s="18" t="s">
        <v>60</v>
      </c>
      <c r="D40" s="19"/>
      <c r="E40" s="19"/>
      <c r="F40" s="19"/>
      <c r="G40" s="20"/>
      <c r="H40" s="21"/>
      <c r="I40" s="22">
        <f t="shared" si="4"/>
        <v>0</v>
      </c>
      <c r="J40" s="22"/>
      <c r="K40" s="11"/>
      <c r="L40" s="22"/>
      <c r="M40" s="22"/>
      <c r="N40" s="22"/>
      <c r="O40" s="22"/>
      <c r="P40" s="22"/>
      <c r="Q40" s="22"/>
      <c r="R40" s="36"/>
      <c r="S40" s="44"/>
      <c r="T40" s="47"/>
      <c r="U40" s="52">
        <f t="shared" si="5"/>
        <v>0</v>
      </c>
      <c r="V40" s="23" t="str">
        <f t="shared" si="3"/>
        <v>OK</v>
      </c>
    </row>
    <row r="41" spans="1:22" hidden="1" x14ac:dyDescent="0.3">
      <c r="A41" s="64" t="s">
        <v>61</v>
      </c>
      <c r="B41" s="62">
        <v>11347</v>
      </c>
      <c r="C41" s="12" t="s">
        <v>60</v>
      </c>
      <c r="D41" s="53"/>
      <c r="E41" s="13"/>
      <c r="F41" s="13"/>
      <c r="G41" s="14"/>
      <c r="H41" s="15"/>
      <c r="I41" s="16">
        <f t="shared" si="4"/>
        <v>0</v>
      </c>
      <c r="J41" s="16"/>
      <c r="K41" s="11"/>
      <c r="L41" s="16"/>
      <c r="M41" s="16"/>
      <c r="N41" s="16"/>
      <c r="O41" s="16"/>
      <c r="P41" s="16"/>
      <c r="Q41" s="16"/>
      <c r="R41" s="35"/>
      <c r="S41" s="43"/>
      <c r="T41" s="46"/>
      <c r="U41" s="51">
        <f t="shared" si="5"/>
        <v>0</v>
      </c>
      <c r="V41" s="17" t="str">
        <f t="shared" si="3"/>
        <v>OK</v>
      </c>
    </row>
    <row r="42" spans="1:22" x14ac:dyDescent="0.3">
      <c r="A42" s="54" t="s">
        <v>75</v>
      </c>
      <c r="B42" s="63">
        <v>5611</v>
      </c>
      <c r="C42" s="18" t="s">
        <v>62</v>
      </c>
      <c r="D42" s="19"/>
      <c r="E42" s="19"/>
      <c r="F42" s="19"/>
      <c r="G42" s="20"/>
      <c r="H42" s="21"/>
      <c r="I42" s="22">
        <f t="shared" si="4"/>
        <v>5</v>
      </c>
      <c r="J42" s="22"/>
      <c r="K42" s="11"/>
      <c r="L42" s="22"/>
      <c r="M42" s="22">
        <v>5</v>
      </c>
      <c r="N42" s="22"/>
      <c r="O42" s="22"/>
      <c r="P42" s="22"/>
      <c r="Q42" s="22"/>
      <c r="R42" s="36"/>
      <c r="S42" s="44"/>
      <c r="T42" s="47"/>
      <c r="U42" s="52">
        <f t="shared" si="5"/>
        <v>5</v>
      </c>
      <c r="V42" s="23" t="str">
        <f t="shared" si="3"/>
        <v>OK</v>
      </c>
    </row>
    <row r="43" spans="1:22" x14ac:dyDescent="0.3">
      <c r="A43" s="12" t="s">
        <v>63</v>
      </c>
      <c r="B43" s="62">
        <v>11336</v>
      </c>
      <c r="C43" s="12" t="s">
        <v>62</v>
      </c>
      <c r="D43" s="53"/>
      <c r="E43" s="13"/>
      <c r="F43" s="13"/>
      <c r="G43" s="14"/>
      <c r="H43" s="15"/>
      <c r="I43" s="16">
        <f t="shared" si="4"/>
        <v>11</v>
      </c>
      <c r="J43" s="16"/>
      <c r="K43" s="11"/>
      <c r="L43" s="16"/>
      <c r="M43" s="16">
        <v>11</v>
      </c>
      <c r="N43" s="16"/>
      <c r="O43" s="16"/>
      <c r="P43" s="16"/>
      <c r="Q43" s="16"/>
      <c r="R43" s="35"/>
      <c r="S43" s="43"/>
      <c r="T43" s="46"/>
      <c r="U43" s="51">
        <f t="shared" si="5"/>
        <v>11</v>
      </c>
      <c r="V43" s="17" t="str">
        <f t="shared" si="3"/>
        <v>OK</v>
      </c>
    </row>
    <row r="44" spans="1:22" hidden="1" x14ac:dyDescent="0.3">
      <c r="A44" s="54" t="s">
        <v>100</v>
      </c>
      <c r="B44" s="63">
        <v>14860</v>
      </c>
      <c r="C44" s="18" t="s">
        <v>56</v>
      </c>
      <c r="D44" s="19"/>
      <c r="E44" s="19"/>
      <c r="F44" s="19"/>
      <c r="G44" s="20"/>
      <c r="H44" s="21"/>
      <c r="I44" s="22">
        <f t="shared" si="4"/>
        <v>0</v>
      </c>
      <c r="J44" s="22"/>
      <c r="K44" s="11"/>
      <c r="L44" s="22"/>
      <c r="M44" s="22"/>
      <c r="N44" s="22"/>
      <c r="O44" s="22"/>
      <c r="P44" s="22"/>
      <c r="Q44" s="22"/>
      <c r="R44" s="36"/>
      <c r="S44" s="44"/>
      <c r="T44" s="47"/>
      <c r="U44" s="52">
        <f t="shared" si="5"/>
        <v>0</v>
      </c>
      <c r="V44" s="23" t="str">
        <f t="shared" si="3"/>
        <v>OK</v>
      </c>
    </row>
    <row r="45" spans="1:22" hidden="1" x14ac:dyDescent="0.3">
      <c r="A45" s="64" t="s">
        <v>83</v>
      </c>
      <c r="B45" s="62">
        <v>14861</v>
      </c>
      <c r="C45" s="12" t="s">
        <v>56</v>
      </c>
      <c r="D45" s="53"/>
      <c r="E45" s="13"/>
      <c r="F45" s="13"/>
      <c r="G45" s="14"/>
      <c r="H45" s="15"/>
      <c r="I45" s="16">
        <f t="shared" si="4"/>
        <v>0</v>
      </c>
      <c r="J45" s="16"/>
      <c r="K45" s="11"/>
      <c r="L45" s="16"/>
      <c r="M45" s="16"/>
      <c r="N45" s="16"/>
      <c r="O45" s="16"/>
      <c r="P45" s="16"/>
      <c r="Q45" s="16"/>
      <c r="R45" s="35"/>
      <c r="S45" s="43"/>
      <c r="T45" s="46"/>
      <c r="U45" s="51">
        <f t="shared" si="5"/>
        <v>0</v>
      </c>
      <c r="V45" s="17" t="str">
        <f t="shared" si="3"/>
        <v>OK</v>
      </c>
    </row>
    <row r="46" spans="1:22" hidden="1" x14ac:dyDescent="0.3">
      <c r="A46" s="54" t="s">
        <v>101</v>
      </c>
      <c r="B46" s="63">
        <v>15096</v>
      </c>
      <c r="C46" s="18" t="s">
        <v>56</v>
      </c>
      <c r="D46" s="19"/>
      <c r="E46" s="19"/>
      <c r="F46" s="19"/>
      <c r="G46" s="20"/>
      <c r="H46" s="21"/>
      <c r="I46" s="22">
        <f t="shared" si="4"/>
        <v>0</v>
      </c>
      <c r="J46" s="22"/>
      <c r="K46" s="11"/>
      <c r="L46" s="22"/>
      <c r="M46" s="22"/>
      <c r="N46" s="22"/>
      <c r="O46" s="22"/>
      <c r="P46" s="22"/>
      <c r="Q46" s="22"/>
      <c r="R46" s="36"/>
      <c r="S46" s="44"/>
      <c r="T46" s="47"/>
      <c r="U46" s="52">
        <f t="shared" si="5"/>
        <v>0</v>
      </c>
      <c r="V46" s="23" t="str">
        <f t="shared" si="3"/>
        <v>OK</v>
      </c>
    </row>
    <row r="47" spans="1:22" hidden="1" x14ac:dyDescent="0.3">
      <c r="A47" s="12" t="s">
        <v>81</v>
      </c>
      <c r="B47" s="62">
        <v>15097</v>
      </c>
      <c r="C47" s="12" t="s">
        <v>56</v>
      </c>
      <c r="D47" s="53"/>
      <c r="E47" s="13"/>
      <c r="F47" s="13"/>
      <c r="G47" s="14"/>
      <c r="H47" s="15"/>
      <c r="I47" s="16">
        <f t="shared" si="4"/>
        <v>0</v>
      </c>
      <c r="J47" s="16"/>
      <c r="K47" s="11"/>
      <c r="L47" s="16"/>
      <c r="M47" s="16"/>
      <c r="N47" s="16"/>
      <c r="O47" s="16"/>
      <c r="P47" s="16"/>
      <c r="Q47" s="16"/>
      <c r="R47" s="35"/>
      <c r="S47" s="43"/>
      <c r="T47" s="46"/>
      <c r="U47" s="51">
        <f t="shared" si="5"/>
        <v>0</v>
      </c>
      <c r="V47" s="17" t="str">
        <f t="shared" si="3"/>
        <v>OK</v>
      </c>
    </row>
    <row r="48" spans="1:22" hidden="1" x14ac:dyDescent="0.3">
      <c r="A48" s="54" t="s">
        <v>76</v>
      </c>
      <c r="B48" s="63">
        <v>5585</v>
      </c>
      <c r="C48" s="18" t="s">
        <v>64</v>
      </c>
      <c r="D48" s="19"/>
      <c r="E48" s="19"/>
      <c r="F48" s="19"/>
      <c r="G48" s="20"/>
      <c r="H48" s="21"/>
      <c r="I48" s="22">
        <f t="shared" si="4"/>
        <v>0</v>
      </c>
      <c r="J48" s="22"/>
      <c r="K48" s="11"/>
      <c r="L48" s="22"/>
      <c r="M48" s="22"/>
      <c r="N48" s="22"/>
      <c r="O48" s="22"/>
      <c r="P48" s="22"/>
      <c r="Q48" s="22"/>
      <c r="R48" s="36"/>
      <c r="S48" s="44"/>
      <c r="T48" s="47"/>
      <c r="U48" s="52">
        <f t="shared" si="5"/>
        <v>0</v>
      </c>
      <c r="V48" s="23" t="str">
        <f t="shared" si="3"/>
        <v>OK</v>
      </c>
    </row>
    <row r="49" spans="1:22" hidden="1" x14ac:dyDescent="0.3">
      <c r="A49" s="12" t="s">
        <v>65</v>
      </c>
      <c r="B49" s="62">
        <v>11351</v>
      </c>
      <c r="C49" s="12" t="s">
        <v>64</v>
      </c>
      <c r="D49" s="53"/>
      <c r="E49" s="13"/>
      <c r="F49" s="13"/>
      <c r="G49" s="14"/>
      <c r="H49" s="15"/>
      <c r="I49" s="16">
        <f t="shared" si="4"/>
        <v>0</v>
      </c>
      <c r="J49" s="16"/>
      <c r="K49" s="11"/>
      <c r="L49" s="16"/>
      <c r="M49" s="16"/>
      <c r="N49" s="16"/>
      <c r="O49" s="16"/>
      <c r="P49" s="16"/>
      <c r="Q49" s="16"/>
      <c r="R49" s="35"/>
      <c r="S49" s="43"/>
      <c r="T49" s="46"/>
      <c r="U49" s="51">
        <f t="shared" si="5"/>
        <v>0</v>
      </c>
      <c r="V49" s="17" t="str">
        <f t="shared" si="3"/>
        <v>OK</v>
      </c>
    </row>
    <row r="50" spans="1:22" hidden="1" x14ac:dyDescent="0.3">
      <c r="A50" s="54" t="s">
        <v>66</v>
      </c>
      <c r="B50" s="63">
        <v>11352</v>
      </c>
      <c r="C50" s="18" t="s">
        <v>64</v>
      </c>
      <c r="D50" s="19"/>
      <c r="E50" s="19"/>
      <c r="F50" s="19"/>
      <c r="G50" s="20"/>
      <c r="H50" s="21"/>
      <c r="I50" s="22">
        <f t="shared" si="4"/>
        <v>0</v>
      </c>
      <c r="J50" s="22"/>
      <c r="K50" s="11"/>
      <c r="L50" s="22"/>
      <c r="M50" s="22"/>
      <c r="N50" s="22"/>
      <c r="O50" s="22"/>
      <c r="P50" s="22"/>
      <c r="Q50" s="22"/>
      <c r="R50" s="36"/>
      <c r="S50" s="44"/>
      <c r="T50" s="47"/>
      <c r="U50" s="52">
        <f t="shared" si="5"/>
        <v>0</v>
      </c>
      <c r="V50" s="23" t="str">
        <f t="shared" si="3"/>
        <v>OK</v>
      </c>
    </row>
    <row r="51" spans="1:22" hidden="1" x14ac:dyDescent="0.3">
      <c r="A51" s="90" t="s">
        <v>102</v>
      </c>
      <c r="B51" s="76">
        <v>13515</v>
      </c>
      <c r="C51" s="70" t="s">
        <v>78</v>
      </c>
      <c r="D51" s="70"/>
      <c r="E51" s="70"/>
      <c r="F51" s="70"/>
      <c r="G51" s="91"/>
      <c r="H51" s="82"/>
      <c r="I51" s="82">
        <f t="shared" si="4"/>
        <v>0</v>
      </c>
      <c r="J51" s="74"/>
      <c r="K51" s="11"/>
      <c r="L51" s="16"/>
      <c r="M51" s="16"/>
      <c r="N51" s="16"/>
      <c r="O51" s="16"/>
      <c r="P51" s="16"/>
      <c r="Q51" s="16"/>
      <c r="R51" s="35"/>
      <c r="S51" s="43"/>
      <c r="T51" s="46"/>
      <c r="U51" s="75">
        <f t="shared" si="5"/>
        <v>0</v>
      </c>
      <c r="V51" s="93" t="str">
        <f t="shared" si="3"/>
        <v>OK</v>
      </c>
    </row>
    <row r="52" spans="1:22" hidden="1" x14ac:dyDescent="0.3">
      <c r="A52" s="54" t="s">
        <v>103</v>
      </c>
      <c r="B52" s="63">
        <v>13516</v>
      </c>
      <c r="C52" s="18" t="s">
        <v>78</v>
      </c>
      <c r="D52" s="18"/>
      <c r="E52" s="18"/>
      <c r="F52" s="18"/>
      <c r="G52" s="92"/>
      <c r="H52" s="22"/>
      <c r="I52" s="22">
        <f t="shared" si="4"/>
        <v>0</v>
      </c>
      <c r="J52" s="69"/>
      <c r="K52" s="11"/>
      <c r="L52" s="22"/>
      <c r="M52" s="22"/>
      <c r="N52" s="22"/>
      <c r="O52" s="22"/>
      <c r="P52" s="22"/>
      <c r="Q52" s="22"/>
      <c r="R52" s="36"/>
      <c r="S52" s="44"/>
      <c r="T52" s="47"/>
      <c r="U52" s="52">
        <f t="shared" si="5"/>
        <v>0</v>
      </c>
      <c r="V52" s="23" t="str">
        <f t="shared" si="3"/>
        <v>OK</v>
      </c>
    </row>
    <row r="53" spans="1:22" hidden="1" x14ac:dyDescent="0.3">
      <c r="A53" s="90" t="s">
        <v>104</v>
      </c>
      <c r="B53" s="76">
        <v>13468</v>
      </c>
      <c r="C53" s="70" t="s">
        <v>78</v>
      </c>
      <c r="D53" s="70"/>
      <c r="E53" s="70"/>
      <c r="F53" s="70"/>
      <c r="G53" s="91"/>
      <c r="H53" s="82"/>
      <c r="I53" s="82">
        <f t="shared" si="4"/>
        <v>0</v>
      </c>
      <c r="J53" s="74"/>
      <c r="K53" s="11"/>
      <c r="L53" s="16"/>
      <c r="M53" s="16"/>
      <c r="N53" s="16"/>
      <c r="O53" s="16"/>
      <c r="P53" s="16"/>
      <c r="Q53" s="16"/>
      <c r="R53" s="35"/>
      <c r="S53" s="43"/>
      <c r="T53" s="46"/>
      <c r="U53" s="75">
        <f t="shared" si="5"/>
        <v>0</v>
      </c>
      <c r="V53" s="93" t="str">
        <f t="shared" si="3"/>
        <v>OK</v>
      </c>
    </row>
    <row r="54" spans="1:22" hidden="1" x14ac:dyDescent="0.3">
      <c r="A54" s="54" t="s">
        <v>79</v>
      </c>
      <c r="B54" s="63">
        <v>13469</v>
      </c>
      <c r="C54" s="18" t="s">
        <v>78</v>
      </c>
      <c r="D54" s="18"/>
      <c r="E54" s="18"/>
      <c r="F54" s="18"/>
      <c r="G54" s="92"/>
      <c r="H54" s="22"/>
      <c r="I54" s="22">
        <f t="shared" si="4"/>
        <v>0</v>
      </c>
      <c r="J54" s="69"/>
      <c r="K54" s="11"/>
      <c r="L54" s="22"/>
      <c r="M54" s="22"/>
      <c r="N54" s="22"/>
      <c r="O54" s="22"/>
      <c r="P54" s="22"/>
      <c r="Q54" s="22"/>
      <c r="R54" s="36"/>
      <c r="S54" s="44"/>
      <c r="T54" s="47"/>
      <c r="U54" s="52">
        <f t="shared" si="5"/>
        <v>0</v>
      </c>
      <c r="V54" s="23" t="str">
        <f t="shared" si="3"/>
        <v>OK</v>
      </c>
    </row>
    <row r="55" spans="1:22" hidden="1" x14ac:dyDescent="0.3">
      <c r="A55" s="90" t="s">
        <v>43</v>
      </c>
      <c r="B55" s="76">
        <v>11820</v>
      </c>
      <c r="C55" s="70" t="s">
        <v>67</v>
      </c>
      <c r="D55" s="70"/>
      <c r="E55" s="70"/>
      <c r="F55" s="70"/>
      <c r="G55" s="91"/>
      <c r="H55" s="82"/>
      <c r="I55" s="82">
        <f t="shared" si="4"/>
        <v>0</v>
      </c>
      <c r="J55" s="74"/>
      <c r="K55" s="11"/>
      <c r="L55" s="16"/>
      <c r="M55" s="16"/>
      <c r="N55" s="16"/>
      <c r="O55" s="16"/>
      <c r="P55" s="16"/>
      <c r="Q55" s="16"/>
      <c r="R55" s="35"/>
      <c r="S55" s="43"/>
      <c r="T55" s="46"/>
      <c r="U55" s="75">
        <f t="shared" si="5"/>
        <v>0</v>
      </c>
      <c r="V55" s="93" t="str">
        <f t="shared" si="3"/>
        <v>OK</v>
      </c>
    </row>
    <row r="56" spans="1:22" hidden="1" x14ac:dyDescent="0.3">
      <c r="A56" s="54" t="s">
        <v>44</v>
      </c>
      <c r="B56" s="63">
        <v>11816</v>
      </c>
      <c r="C56" s="18" t="s">
        <v>67</v>
      </c>
      <c r="D56" s="18"/>
      <c r="E56" s="18"/>
      <c r="F56" s="18"/>
      <c r="G56" s="92"/>
      <c r="H56" s="22"/>
      <c r="I56" s="22">
        <f t="shared" si="4"/>
        <v>0</v>
      </c>
      <c r="J56" s="69"/>
      <c r="K56" s="11"/>
      <c r="L56" s="22"/>
      <c r="M56" s="22"/>
      <c r="N56" s="22"/>
      <c r="O56" s="22"/>
      <c r="P56" s="22"/>
      <c r="Q56" s="22"/>
      <c r="R56" s="36"/>
      <c r="S56" s="44"/>
      <c r="T56" s="47"/>
      <c r="U56" s="52">
        <f>SUM(L56:T56)</f>
        <v>0</v>
      </c>
      <c r="V56" s="23" t="str">
        <f t="shared" si="3"/>
        <v>OK</v>
      </c>
    </row>
    <row r="57" spans="1:22" hidden="1" x14ac:dyDescent="0.3">
      <c r="A57" s="76" t="s">
        <v>77</v>
      </c>
      <c r="B57" s="76">
        <v>11381</v>
      </c>
      <c r="C57" s="77" t="s">
        <v>68</v>
      </c>
      <c r="D57" s="70"/>
      <c r="E57" s="70"/>
      <c r="F57" s="70"/>
      <c r="G57" s="91"/>
      <c r="H57" s="82"/>
      <c r="I57" s="82">
        <f t="shared" si="4"/>
        <v>0</v>
      </c>
      <c r="J57" s="74"/>
      <c r="K57" s="11"/>
      <c r="L57" s="16"/>
      <c r="M57" s="16"/>
      <c r="N57" s="16"/>
      <c r="O57" s="16"/>
      <c r="P57" s="16"/>
      <c r="Q57" s="16"/>
      <c r="R57" s="35"/>
      <c r="S57" s="43"/>
      <c r="T57" s="46"/>
      <c r="U57" s="75">
        <f>SUM(L57:T57)</f>
        <v>0</v>
      </c>
      <c r="V57" s="93" t="str">
        <f t="shared" si="3"/>
        <v>OK</v>
      </c>
    </row>
    <row r="58" spans="1:22" ht="17.25" thickBot="1" x14ac:dyDescent="0.35">
      <c r="A58" s="54" t="s">
        <v>69</v>
      </c>
      <c r="B58" s="63">
        <v>11382</v>
      </c>
      <c r="C58" s="18" t="s">
        <v>68</v>
      </c>
      <c r="D58" s="18"/>
      <c r="E58" s="18"/>
      <c r="F58" s="18"/>
      <c r="G58" s="92"/>
      <c r="H58" s="22"/>
      <c r="I58" s="22">
        <f t="shared" si="4"/>
        <v>5</v>
      </c>
      <c r="J58" s="69"/>
      <c r="K58" s="11"/>
      <c r="L58" s="22"/>
      <c r="M58" s="22">
        <v>5</v>
      </c>
      <c r="N58" s="22"/>
      <c r="O58" s="22"/>
      <c r="P58" s="22"/>
      <c r="Q58" s="22"/>
      <c r="R58" s="36"/>
      <c r="S58" s="44"/>
      <c r="T58" s="47"/>
      <c r="U58" s="52">
        <f>SUM(L58:T58)</f>
        <v>5</v>
      </c>
      <c r="V58" s="23" t="str">
        <f t="shared" si="3"/>
        <v>OK</v>
      </c>
    </row>
    <row r="59" spans="1:22" ht="17.25" hidden="1" thickBot="1" x14ac:dyDescent="0.35">
      <c r="A59" s="96" t="s">
        <v>105</v>
      </c>
      <c r="B59" s="76">
        <v>16586</v>
      </c>
      <c r="C59" s="70" t="s">
        <v>78</v>
      </c>
      <c r="D59" s="70"/>
      <c r="E59" s="70"/>
      <c r="F59" s="70"/>
      <c r="G59" s="91"/>
      <c r="H59" s="82"/>
      <c r="I59" s="82">
        <f t="shared" si="4"/>
        <v>0</v>
      </c>
      <c r="J59" s="74"/>
      <c r="K59" s="11"/>
      <c r="L59" s="16"/>
      <c r="M59" s="16"/>
      <c r="N59" s="16"/>
      <c r="O59" s="16"/>
      <c r="P59" s="16"/>
      <c r="Q59" s="16"/>
      <c r="R59" s="35"/>
      <c r="S59" s="43"/>
      <c r="T59" s="46"/>
      <c r="U59" s="75">
        <f t="shared" ref="U59:U69" si="6">SUM(L59:T59)</f>
        <v>0</v>
      </c>
      <c r="V59" s="93" t="str">
        <f t="shared" si="3"/>
        <v>OK</v>
      </c>
    </row>
    <row r="60" spans="1:22" ht="17.25" hidden="1" thickBot="1" x14ac:dyDescent="0.35">
      <c r="A60" s="54" t="s">
        <v>90</v>
      </c>
      <c r="B60" s="63">
        <v>16587</v>
      </c>
      <c r="C60" s="18" t="s">
        <v>78</v>
      </c>
      <c r="D60" s="18"/>
      <c r="E60" s="18"/>
      <c r="F60" s="18"/>
      <c r="G60" s="92"/>
      <c r="H60" s="22"/>
      <c r="I60" s="22">
        <f t="shared" si="4"/>
        <v>0</v>
      </c>
      <c r="J60" s="69"/>
      <c r="K60" s="11"/>
      <c r="L60" s="22"/>
      <c r="M60" s="22"/>
      <c r="N60" s="22"/>
      <c r="O60" s="22"/>
      <c r="P60" s="22"/>
      <c r="Q60" s="22"/>
      <c r="R60" s="36"/>
      <c r="S60" s="44"/>
      <c r="T60" s="47"/>
      <c r="U60" s="52">
        <f t="shared" si="6"/>
        <v>0</v>
      </c>
      <c r="V60" s="23" t="str">
        <f t="shared" si="3"/>
        <v>OK</v>
      </c>
    </row>
    <row r="61" spans="1:22" ht="17.25" hidden="1" thickBot="1" x14ac:dyDescent="0.35">
      <c r="A61" s="90" t="s">
        <v>91</v>
      </c>
      <c r="B61" s="76">
        <v>17121</v>
      </c>
      <c r="C61" s="70" t="s">
        <v>92</v>
      </c>
      <c r="D61" s="70"/>
      <c r="E61" s="70"/>
      <c r="F61" s="70"/>
      <c r="G61" s="91"/>
      <c r="H61" s="82"/>
      <c r="I61" s="82">
        <f t="shared" si="4"/>
        <v>0</v>
      </c>
      <c r="J61" s="74"/>
      <c r="K61" s="11"/>
      <c r="L61" s="16"/>
      <c r="M61" s="16"/>
      <c r="N61" s="16"/>
      <c r="O61" s="16"/>
      <c r="P61" s="16"/>
      <c r="Q61" s="16"/>
      <c r="R61" s="35"/>
      <c r="S61" s="43"/>
      <c r="T61" s="46"/>
      <c r="U61" s="75">
        <f t="shared" si="6"/>
        <v>0</v>
      </c>
      <c r="V61" s="93" t="str">
        <f t="shared" si="3"/>
        <v>OK</v>
      </c>
    </row>
    <row r="62" spans="1:22" ht="17.25" hidden="1" thickBot="1" x14ac:dyDescent="0.35">
      <c r="A62" s="54" t="s">
        <v>106</v>
      </c>
      <c r="B62" s="63">
        <v>19270</v>
      </c>
      <c r="C62" s="18" t="s">
        <v>68</v>
      </c>
      <c r="D62" s="18"/>
      <c r="E62" s="18"/>
      <c r="F62" s="18"/>
      <c r="G62" s="92"/>
      <c r="H62" s="22"/>
      <c r="I62" s="22">
        <f t="shared" si="4"/>
        <v>0</v>
      </c>
      <c r="J62" s="69"/>
      <c r="K62" s="11"/>
      <c r="L62" s="22"/>
      <c r="M62" s="22"/>
      <c r="N62" s="22"/>
      <c r="O62" s="22"/>
      <c r="P62" s="22"/>
      <c r="Q62" s="22"/>
      <c r="R62" s="36"/>
      <c r="S62" s="44"/>
      <c r="T62" s="47"/>
      <c r="U62" s="71">
        <f t="shared" si="6"/>
        <v>0</v>
      </c>
      <c r="V62" s="23" t="str">
        <f t="shared" si="3"/>
        <v>OK</v>
      </c>
    </row>
    <row r="63" spans="1:22" ht="17.25" hidden="1" thickBot="1" x14ac:dyDescent="0.35">
      <c r="A63" s="90" t="s">
        <v>107</v>
      </c>
      <c r="B63" s="76">
        <v>19276</v>
      </c>
      <c r="C63" s="70" t="s">
        <v>68</v>
      </c>
      <c r="D63" s="70"/>
      <c r="E63" s="70"/>
      <c r="F63" s="70"/>
      <c r="G63" s="91"/>
      <c r="H63" s="82"/>
      <c r="I63" s="82">
        <f t="shared" si="4"/>
        <v>0</v>
      </c>
      <c r="J63" s="74"/>
      <c r="K63" s="11"/>
      <c r="L63" s="16"/>
      <c r="M63" s="16"/>
      <c r="N63" s="16"/>
      <c r="O63" s="16"/>
      <c r="P63" s="16"/>
      <c r="Q63" s="16"/>
      <c r="R63" s="35"/>
      <c r="S63" s="43"/>
      <c r="T63" s="46"/>
      <c r="U63" s="75">
        <f t="shared" si="6"/>
        <v>0</v>
      </c>
      <c r="V63" s="93" t="str">
        <f t="shared" si="3"/>
        <v>OK</v>
      </c>
    </row>
    <row r="64" spans="1:22" ht="17.25" hidden="1" thickBot="1" x14ac:dyDescent="0.35">
      <c r="A64" s="54" t="s">
        <v>108</v>
      </c>
      <c r="B64" s="63">
        <v>19836</v>
      </c>
      <c r="C64" s="18" t="s">
        <v>45</v>
      </c>
      <c r="D64" s="18"/>
      <c r="E64" s="18"/>
      <c r="F64" s="18"/>
      <c r="G64" s="92"/>
      <c r="H64" s="22"/>
      <c r="I64" s="22">
        <f t="shared" si="4"/>
        <v>0</v>
      </c>
      <c r="J64" s="69"/>
      <c r="K64" s="11"/>
      <c r="L64" s="22"/>
      <c r="M64" s="22"/>
      <c r="N64" s="22"/>
      <c r="O64" s="22"/>
      <c r="P64" s="22"/>
      <c r="Q64" s="22"/>
      <c r="R64" s="36"/>
      <c r="S64" s="44"/>
      <c r="T64" s="47"/>
      <c r="U64" s="52">
        <f t="shared" si="6"/>
        <v>0</v>
      </c>
      <c r="V64" s="23" t="str">
        <f t="shared" si="3"/>
        <v>OK</v>
      </c>
    </row>
    <row r="65" spans="1:22" ht="17.25" hidden="1" thickBot="1" x14ac:dyDescent="0.35">
      <c r="A65" s="90" t="s">
        <v>109</v>
      </c>
      <c r="B65" s="76">
        <v>20278</v>
      </c>
      <c r="C65" s="70" t="s">
        <v>110</v>
      </c>
      <c r="D65" s="70"/>
      <c r="E65" s="70"/>
      <c r="F65" s="70"/>
      <c r="G65" s="91"/>
      <c r="H65" s="82"/>
      <c r="I65" s="82">
        <f t="shared" si="4"/>
        <v>0</v>
      </c>
      <c r="J65" s="74"/>
      <c r="K65" s="11"/>
      <c r="L65" s="16"/>
      <c r="M65" s="16"/>
      <c r="N65" s="16"/>
      <c r="O65" s="16"/>
      <c r="P65" s="16"/>
      <c r="Q65" s="16"/>
      <c r="R65" s="35"/>
      <c r="S65" s="43"/>
      <c r="T65" s="46"/>
      <c r="U65" s="75">
        <f t="shared" si="6"/>
        <v>0</v>
      </c>
      <c r="V65" s="93" t="str">
        <f t="shared" si="3"/>
        <v>OK</v>
      </c>
    </row>
    <row r="66" spans="1:22" ht="17.25" hidden="1" thickBot="1" x14ac:dyDescent="0.35">
      <c r="A66" s="54" t="s">
        <v>111</v>
      </c>
      <c r="B66" s="63">
        <v>20272</v>
      </c>
      <c r="C66" s="18" t="s">
        <v>110</v>
      </c>
      <c r="D66" s="18"/>
      <c r="E66" s="18"/>
      <c r="F66" s="18"/>
      <c r="G66" s="92"/>
      <c r="H66" s="22"/>
      <c r="I66" s="22">
        <f t="shared" si="4"/>
        <v>0</v>
      </c>
      <c r="J66" s="69"/>
      <c r="K66" s="11"/>
      <c r="L66" s="22"/>
      <c r="M66" s="22"/>
      <c r="N66" s="22"/>
      <c r="O66" s="22"/>
      <c r="P66" s="22"/>
      <c r="Q66" s="22"/>
      <c r="R66" s="36"/>
      <c r="S66" s="44"/>
      <c r="T66" s="47"/>
      <c r="U66" s="52">
        <f t="shared" si="6"/>
        <v>0</v>
      </c>
      <c r="V66" s="23" t="str">
        <f t="shared" si="3"/>
        <v>OK</v>
      </c>
    </row>
    <row r="67" spans="1:22" ht="17.25" hidden="1" thickBot="1" x14ac:dyDescent="0.35">
      <c r="A67" s="90" t="s">
        <v>112</v>
      </c>
      <c r="B67" s="76">
        <v>20956</v>
      </c>
      <c r="C67" s="70" t="s">
        <v>110</v>
      </c>
      <c r="D67" s="70"/>
      <c r="E67" s="70"/>
      <c r="F67" s="70"/>
      <c r="G67" s="91"/>
      <c r="H67" s="82"/>
      <c r="I67" s="82">
        <f t="shared" si="4"/>
        <v>0</v>
      </c>
      <c r="J67" s="74"/>
      <c r="K67" s="11"/>
      <c r="L67" s="16"/>
      <c r="M67" s="16"/>
      <c r="N67" s="16"/>
      <c r="O67" s="16"/>
      <c r="P67" s="16"/>
      <c r="Q67" s="16"/>
      <c r="R67" s="35"/>
      <c r="S67" s="43"/>
      <c r="T67" s="46"/>
      <c r="U67" s="75">
        <f t="shared" si="6"/>
        <v>0</v>
      </c>
      <c r="V67" s="93" t="str">
        <f t="shared" si="3"/>
        <v>OK</v>
      </c>
    </row>
    <row r="68" spans="1:22" ht="17.25" hidden="1" thickBot="1" x14ac:dyDescent="0.35">
      <c r="A68" s="54" t="s">
        <v>116</v>
      </c>
      <c r="B68" s="63">
        <v>21299</v>
      </c>
      <c r="C68" s="18" t="s">
        <v>78</v>
      </c>
      <c r="D68" s="18"/>
      <c r="E68" s="18"/>
      <c r="F68" s="18"/>
      <c r="G68" s="92"/>
      <c r="H68" s="22"/>
      <c r="I68" s="22">
        <f t="shared" si="4"/>
        <v>0</v>
      </c>
      <c r="J68" s="69"/>
      <c r="K68" s="11"/>
      <c r="L68" s="22"/>
      <c r="M68" s="22"/>
      <c r="N68" s="22"/>
      <c r="O68" s="22"/>
      <c r="P68" s="22"/>
      <c r="Q68" s="22"/>
      <c r="R68" s="36"/>
      <c r="S68" s="44"/>
      <c r="T68" s="47"/>
      <c r="U68" s="71">
        <f t="shared" si="6"/>
        <v>0</v>
      </c>
      <c r="V68" s="23" t="str">
        <f>IF(U68=I68,"OK","NG")</f>
        <v>OK</v>
      </c>
    </row>
    <row r="69" spans="1:22" ht="17.25" hidden="1" thickBot="1" x14ac:dyDescent="0.35">
      <c r="A69" s="99" t="s">
        <v>117</v>
      </c>
      <c r="B69" s="76">
        <v>22115</v>
      </c>
      <c r="C69" s="82" t="s">
        <v>118</v>
      </c>
      <c r="D69" s="82"/>
      <c r="E69" s="82"/>
      <c r="F69" s="82"/>
      <c r="G69" s="82"/>
      <c r="H69" s="82"/>
      <c r="I69" s="82">
        <f t="shared" si="4"/>
        <v>0</v>
      </c>
      <c r="J69" s="97"/>
      <c r="K69" s="112"/>
      <c r="L69" s="82"/>
      <c r="M69" s="82"/>
      <c r="N69" s="82"/>
      <c r="O69" s="82"/>
      <c r="P69" s="82"/>
      <c r="Q69" s="82"/>
      <c r="R69" s="83"/>
      <c r="S69" s="84"/>
      <c r="T69" s="100"/>
      <c r="U69" s="75">
        <f t="shared" si="6"/>
        <v>0</v>
      </c>
      <c r="V69" s="93" t="str">
        <f>IF(U69=I69,"OK","NG")</f>
        <v>OK</v>
      </c>
    </row>
    <row r="70" spans="1:22" ht="17.25" hidden="1" thickBot="1" x14ac:dyDescent="0.35">
      <c r="A70" s="54" t="s">
        <v>120</v>
      </c>
      <c r="B70" s="63">
        <v>22706</v>
      </c>
      <c r="C70" s="18" t="s">
        <v>119</v>
      </c>
      <c r="D70" s="18"/>
      <c r="E70" s="18"/>
      <c r="F70" s="18"/>
      <c r="G70" s="92"/>
      <c r="H70" s="22"/>
      <c r="I70" s="22">
        <f t="shared" si="4"/>
        <v>0</v>
      </c>
      <c r="J70" s="69"/>
      <c r="K70" s="11"/>
      <c r="L70" s="22"/>
      <c r="M70" s="22"/>
      <c r="N70" s="22"/>
      <c r="O70" s="22"/>
      <c r="P70" s="22"/>
      <c r="Q70" s="22"/>
      <c r="R70" s="36"/>
      <c r="S70" s="44"/>
      <c r="T70" s="47"/>
      <c r="U70" s="71">
        <f t="shared" ref="U70" si="7">SUM(L70:T70)</f>
        <v>0</v>
      </c>
      <c r="V70" s="23" t="str">
        <f>IF(U70=I70,"OK","NG")</f>
        <v>OK</v>
      </c>
    </row>
    <row r="71" spans="1:22" ht="17.25" hidden="1" thickBot="1" x14ac:dyDescent="0.35">
      <c r="A71" s="99" t="s">
        <v>121</v>
      </c>
      <c r="B71" s="76">
        <v>22886</v>
      </c>
      <c r="C71" s="82" t="s">
        <v>46</v>
      </c>
      <c r="D71" s="82"/>
      <c r="E71" s="82"/>
      <c r="F71" s="82"/>
      <c r="G71" s="82"/>
      <c r="H71" s="82"/>
      <c r="I71" s="82">
        <f t="shared" ref="I71:I79" si="8">SUM(L71:T71)</f>
        <v>0</v>
      </c>
      <c r="J71" s="97"/>
      <c r="K71" s="112"/>
      <c r="L71" s="82"/>
      <c r="M71" s="82"/>
      <c r="N71" s="82"/>
      <c r="O71" s="82"/>
      <c r="P71" s="82"/>
      <c r="Q71" s="82"/>
      <c r="R71" s="83"/>
      <c r="S71" s="84"/>
      <c r="T71" s="100"/>
      <c r="U71" s="75">
        <f>SUM(L71:T71)</f>
        <v>0</v>
      </c>
      <c r="V71" s="93" t="str">
        <f>IF(U71=I71,"OK","NG")</f>
        <v>OK</v>
      </c>
    </row>
    <row r="72" spans="1:22" ht="17.25" hidden="1" thickBot="1" x14ac:dyDescent="0.35">
      <c r="A72" s="54" t="s">
        <v>122</v>
      </c>
      <c r="B72" s="63">
        <v>17528</v>
      </c>
      <c r="C72" s="18" t="s">
        <v>123</v>
      </c>
      <c r="D72" s="18"/>
      <c r="E72" s="18"/>
      <c r="F72" s="18"/>
      <c r="G72" s="92"/>
      <c r="H72" s="22"/>
      <c r="I72" s="22">
        <f t="shared" si="8"/>
        <v>0</v>
      </c>
      <c r="J72" s="69"/>
      <c r="K72" s="11"/>
      <c r="L72" s="22"/>
      <c r="M72" s="22"/>
      <c r="N72" s="22"/>
      <c r="O72" s="22"/>
      <c r="P72" s="22"/>
      <c r="Q72" s="22"/>
      <c r="R72" s="36"/>
      <c r="S72" s="44"/>
      <c r="T72" s="47"/>
      <c r="U72" s="71">
        <f t="shared" ref="U72:U79" si="9">SUM(L72:T72)</f>
        <v>0</v>
      </c>
      <c r="V72" s="95" t="str">
        <f t="shared" ref="V72:V80" si="10">IF(U72=I72,"OK","NG")</f>
        <v>OK</v>
      </c>
    </row>
    <row r="73" spans="1:22" ht="17.25" hidden="1" thickBot="1" x14ac:dyDescent="0.35">
      <c r="A73" s="99" t="s">
        <v>124</v>
      </c>
      <c r="B73" s="76">
        <v>22380</v>
      </c>
      <c r="C73" s="82" t="s">
        <v>47</v>
      </c>
      <c r="D73" s="82"/>
      <c r="E73" s="82"/>
      <c r="F73" s="82"/>
      <c r="G73" s="82"/>
      <c r="H73" s="82"/>
      <c r="I73" s="82">
        <f t="shared" si="8"/>
        <v>0</v>
      </c>
      <c r="J73" s="97"/>
      <c r="K73" s="112"/>
      <c r="L73" s="82"/>
      <c r="M73" s="82"/>
      <c r="N73" s="82"/>
      <c r="O73" s="82"/>
      <c r="P73" s="82"/>
      <c r="Q73" s="82"/>
      <c r="R73" s="83"/>
      <c r="S73" s="84"/>
      <c r="T73" s="100"/>
      <c r="U73" s="75">
        <f t="shared" si="9"/>
        <v>0</v>
      </c>
      <c r="V73" s="93" t="str">
        <f t="shared" si="10"/>
        <v>OK</v>
      </c>
    </row>
    <row r="74" spans="1:22" ht="17.25" hidden="1" thickBot="1" x14ac:dyDescent="0.35">
      <c r="A74" s="54" t="s">
        <v>125</v>
      </c>
      <c r="B74" s="63">
        <v>19279</v>
      </c>
      <c r="C74" s="18" t="s">
        <v>126</v>
      </c>
      <c r="D74" s="18"/>
      <c r="E74" s="18"/>
      <c r="F74" s="18"/>
      <c r="G74" s="92"/>
      <c r="H74" s="22"/>
      <c r="I74" s="22">
        <f t="shared" si="8"/>
        <v>0</v>
      </c>
      <c r="J74" s="69"/>
      <c r="K74" s="11"/>
      <c r="L74" s="22"/>
      <c r="M74" s="22"/>
      <c r="N74" s="22"/>
      <c r="O74" s="22"/>
      <c r="P74" s="22"/>
      <c r="Q74" s="22"/>
      <c r="R74" s="36"/>
      <c r="S74" s="44"/>
      <c r="T74" s="47"/>
      <c r="U74" s="71">
        <f t="shared" si="9"/>
        <v>0</v>
      </c>
      <c r="V74" s="95" t="str">
        <f t="shared" si="10"/>
        <v>OK</v>
      </c>
    </row>
    <row r="75" spans="1:22" ht="17.25" hidden="1" thickBot="1" x14ac:dyDescent="0.35">
      <c r="A75" s="90" t="s">
        <v>131</v>
      </c>
      <c r="B75" s="76">
        <v>22724</v>
      </c>
      <c r="C75" s="70" t="s">
        <v>119</v>
      </c>
      <c r="D75" s="70"/>
      <c r="E75" s="70"/>
      <c r="F75" s="70"/>
      <c r="G75" s="91"/>
      <c r="H75" s="82"/>
      <c r="I75" s="82">
        <f t="shared" si="8"/>
        <v>0</v>
      </c>
      <c r="J75" s="74"/>
      <c r="K75" s="11"/>
      <c r="L75" s="82"/>
      <c r="M75" s="82"/>
      <c r="N75" s="82"/>
      <c r="O75" s="82"/>
      <c r="P75" s="82"/>
      <c r="Q75" s="82"/>
      <c r="R75" s="83"/>
      <c r="S75" s="84"/>
      <c r="T75" s="85"/>
      <c r="U75" s="75">
        <f>SUM(L75:T75)</f>
        <v>0</v>
      </c>
      <c r="V75" s="93" t="s">
        <v>129</v>
      </c>
    </row>
    <row r="76" spans="1:22" ht="17.25" hidden="1" thickBot="1" x14ac:dyDescent="0.35">
      <c r="A76" s="54" t="s">
        <v>133</v>
      </c>
      <c r="B76" s="63">
        <v>22705</v>
      </c>
      <c r="C76" s="18" t="s">
        <v>119</v>
      </c>
      <c r="D76" s="18"/>
      <c r="E76" s="18"/>
      <c r="F76" s="18"/>
      <c r="G76" s="92"/>
      <c r="H76" s="22"/>
      <c r="I76" s="22">
        <f t="shared" si="8"/>
        <v>0</v>
      </c>
      <c r="J76" s="69"/>
      <c r="K76" s="11"/>
      <c r="L76" s="22"/>
      <c r="M76" s="22"/>
      <c r="N76" s="22"/>
      <c r="O76" s="22"/>
      <c r="P76" s="22"/>
      <c r="Q76" s="22"/>
      <c r="R76" s="36"/>
      <c r="S76" s="44"/>
      <c r="T76" s="47"/>
      <c r="U76" s="71">
        <f t="shared" si="9"/>
        <v>0</v>
      </c>
      <c r="V76" s="95" t="str">
        <f t="shared" si="10"/>
        <v>OK</v>
      </c>
    </row>
    <row r="77" spans="1:22" ht="17.25" hidden="1" thickBot="1" x14ac:dyDescent="0.35">
      <c r="A77" s="99" t="s">
        <v>128</v>
      </c>
      <c r="B77" s="76">
        <v>5655</v>
      </c>
      <c r="C77" s="82" t="s">
        <v>54</v>
      </c>
      <c r="D77" s="82"/>
      <c r="E77" s="82"/>
      <c r="F77" s="82"/>
      <c r="G77" s="82"/>
      <c r="H77" s="82"/>
      <c r="I77" s="82">
        <f t="shared" si="8"/>
        <v>0</v>
      </c>
      <c r="J77" s="97"/>
      <c r="K77" s="112"/>
      <c r="L77" s="82"/>
      <c r="M77" s="82"/>
      <c r="N77" s="82"/>
      <c r="O77" s="82"/>
      <c r="P77" s="82"/>
      <c r="Q77" s="82"/>
      <c r="R77" s="83"/>
      <c r="S77" s="84"/>
      <c r="T77" s="100"/>
      <c r="U77" s="75">
        <f t="shared" si="9"/>
        <v>0</v>
      </c>
      <c r="V77" s="93" t="str">
        <f t="shared" si="10"/>
        <v>OK</v>
      </c>
    </row>
    <row r="78" spans="1:22" ht="17.25" hidden="1" thickBot="1" x14ac:dyDescent="0.35">
      <c r="A78" s="54" t="s">
        <v>136</v>
      </c>
      <c r="B78" s="63">
        <v>22704</v>
      </c>
      <c r="C78" s="18" t="s">
        <v>137</v>
      </c>
      <c r="D78" s="18"/>
      <c r="E78" s="18"/>
      <c r="F78" s="18"/>
      <c r="G78" s="92"/>
      <c r="H78" s="22"/>
      <c r="I78" s="22">
        <f t="shared" si="8"/>
        <v>0</v>
      </c>
      <c r="J78" s="69"/>
      <c r="K78" s="11"/>
      <c r="L78" s="22"/>
      <c r="M78" s="22"/>
      <c r="N78" s="22"/>
      <c r="O78" s="22"/>
      <c r="P78" s="22"/>
      <c r="Q78" s="22"/>
      <c r="R78" s="36"/>
      <c r="S78" s="44"/>
      <c r="T78" s="47"/>
      <c r="U78" s="71">
        <f t="shared" si="9"/>
        <v>0</v>
      </c>
      <c r="V78" s="95" t="str">
        <f t="shared" si="10"/>
        <v>OK</v>
      </c>
    </row>
    <row r="79" spans="1:22" ht="17.25" hidden="1" thickBot="1" x14ac:dyDescent="0.35">
      <c r="A79" s="132" t="s">
        <v>139</v>
      </c>
      <c r="B79" s="133">
        <v>22722</v>
      </c>
      <c r="C79" s="134" t="s">
        <v>119</v>
      </c>
      <c r="D79" s="134"/>
      <c r="E79" s="134"/>
      <c r="F79" s="134"/>
      <c r="G79" s="135"/>
      <c r="H79" s="82"/>
      <c r="I79" s="82">
        <f t="shared" si="8"/>
        <v>0</v>
      </c>
      <c r="J79" s="74"/>
      <c r="K79" s="118"/>
      <c r="L79" s="82"/>
      <c r="M79" s="82"/>
      <c r="N79" s="82"/>
      <c r="O79" s="82"/>
      <c r="P79" s="82"/>
      <c r="Q79" s="82"/>
      <c r="R79" s="83"/>
      <c r="S79" s="84"/>
      <c r="T79" s="85"/>
      <c r="U79" s="75">
        <f t="shared" si="9"/>
        <v>0</v>
      </c>
      <c r="V79" s="93" t="str">
        <f t="shared" si="10"/>
        <v>OK</v>
      </c>
    </row>
    <row r="80" spans="1:22" ht="17.25" hidden="1" customHeight="1" thickBot="1" x14ac:dyDescent="0.35">
      <c r="A80" s="126" t="s">
        <v>134</v>
      </c>
      <c r="B80" s="127">
        <v>22723</v>
      </c>
      <c r="C80" s="128" t="s">
        <v>119</v>
      </c>
      <c r="D80" s="128"/>
      <c r="E80" s="128"/>
      <c r="F80" s="128"/>
      <c r="G80" s="128"/>
      <c r="H80" s="22"/>
      <c r="I80" s="22">
        <f t="shared" ref="I80" si="11">SUM(L80:T80)</f>
        <v>0</v>
      </c>
      <c r="J80" s="45"/>
      <c r="K80" s="112"/>
      <c r="L80" s="22"/>
      <c r="M80" s="22"/>
      <c r="N80" s="22"/>
      <c r="O80" s="22"/>
      <c r="P80" s="22"/>
      <c r="Q80" s="22"/>
      <c r="R80" s="36"/>
      <c r="S80" s="44"/>
      <c r="T80" s="116"/>
      <c r="U80" s="52">
        <f t="shared" ref="U80" si="12">SUM(L80:T80)</f>
        <v>0</v>
      </c>
      <c r="V80" s="23" t="str">
        <f t="shared" si="10"/>
        <v>OK</v>
      </c>
    </row>
    <row r="81" spans="1:22" x14ac:dyDescent="0.3">
      <c r="A81" s="86"/>
      <c r="B81" s="86"/>
      <c r="C81" s="87" t="s">
        <v>9</v>
      </c>
      <c r="D81" s="87"/>
      <c r="E81" s="87"/>
      <c r="F81" s="87"/>
      <c r="G81" s="88">
        <f>SUM(G6:G49)</f>
        <v>0</v>
      </c>
      <c r="H81" s="89">
        <f>SUM(H6:H49)</f>
        <v>0</v>
      </c>
      <c r="I81" s="88">
        <f>SUM(I6:I80)</f>
        <v>21</v>
      </c>
      <c r="J81" s="40">
        <f>SUM(J6:J49)</f>
        <v>0</v>
      </c>
      <c r="K81" s="115">
        <f>SUM(K6:K51)</f>
        <v>0</v>
      </c>
      <c r="L81" s="38">
        <f>SUM(L6:L80)</f>
        <v>0</v>
      </c>
      <c r="M81" s="38">
        <f t="shared" ref="M81:U81" si="13">SUM(M6:M80)</f>
        <v>21</v>
      </c>
      <c r="N81" s="38">
        <f t="shared" si="13"/>
        <v>0</v>
      </c>
      <c r="O81" s="38">
        <f t="shared" si="13"/>
        <v>0</v>
      </c>
      <c r="P81" s="38">
        <f t="shared" si="13"/>
        <v>0</v>
      </c>
      <c r="Q81" s="38">
        <f t="shared" si="13"/>
        <v>0</v>
      </c>
      <c r="R81" s="38">
        <f t="shared" si="13"/>
        <v>0</v>
      </c>
      <c r="S81" s="38">
        <f t="shared" si="13"/>
        <v>0</v>
      </c>
      <c r="T81" s="38">
        <f t="shared" si="13"/>
        <v>0</v>
      </c>
      <c r="U81" s="38">
        <f t="shared" si="13"/>
        <v>21</v>
      </c>
      <c r="V81" s="41" t="str">
        <f>IF(U81=SUM(I81),"OK","NG")</f>
        <v>OK</v>
      </c>
    </row>
  </sheetData>
  <autoFilter ref="A5:V81" xr:uid="{00000000-0001-0000-1B00-000000000000}">
    <filterColumn colId="8">
      <filters>
        <filter val="11"/>
        <filter val="21"/>
        <filter val="5"/>
      </filters>
    </filterColumn>
  </autoFilter>
  <mergeCells count="20">
    <mergeCell ref="O4:O5"/>
    <mergeCell ref="P4:P5"/>
    <mergeCell ref="B3:C3"/>
    <mergeCell ref="N4:N5"/>
    <mergeCell ref="B1:C1"/>
    <mergeCell ref="F1:G1"/>
    <mergeCell ref="H1:J3"/>
    <mergeCell ref="B2:C2"/>
    <mergeCell ref="A4:D4"/>
    <mergeCell ref="E4:G4"/>
    <mergeCell ref="H4:J4"/>
    <mergeCell ref="L4:L5"/>
    <mergeCell ref="M4:M5"/>
    <mergeCell ref="Q4:Q5"/>
    <mergeCell ref="R4:R5"/>
    <mergeCell ref="S4:S5"/>
    <mergeCell ref="T4:T5"/>
    <mergeCell ref="V2:V3"/>
    <mergeCell ref="U4:U5"/>
    <mergeCell ref="V4:V5"/>
  </mergeCells>
  <phoneticPr fontId="3" type="noConversion"/>
  <conditionalFormatting sqref="A4 V6:V81">
    <cfRule type="containsText" dxfId="11" priority="9" operator="containsText" text="NG">
      <formula>NOT(ISERROR(SEARCH("NG",A4)))</formula>
    </cfRule>
    <cfRule type="containsText" dxfId="10" priority="10" operator="containsText" text="OK">
      <formula>NOT(ISERROR(SEARCH("OK",A4)))</formula>
    </cfRule>
  </conditionalFormatting>
  <pageMargins left="0.70866141732283472" right="0.70866141732283472" top="0.74803149606299213" bottom="0.74803149606299213" header="0.31496062992125984" footer="0.31496062992125984"/>
  <pageSetup paperSize="8" scale="10" orientation="landscape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 filterMode="1">
    <pageSetUpPr fitToPage="1"/>
  </sheetPr>
  <dimension ref="A1:V81"/>
  <sheetViews>
    <sheetView showGridLines="0" zoomScale="85" zoomScaleNormal="85" workbookViewId="0">
      <pane ySplit="5" topLeftCell="A26" activePane="bottomLeft" state="frozen"/>
      <selection activeCell="W73" sqref="W73"/>
      <selection pane="bottomLeft" activeCell="L87" sqref="L87"/>
    </sheetView>
  </sheetViews>
  <sheetFormatPr defaultColWidth="9" defaultRowHeight="16.5" x14ac:dyDescent="0.3"/>
  <cols>
    <col min="1" max="1" width="12.625" bestFit="1" customWidth="1"/>
    <col min="2" max="2" width="14.125" bestFit="1" customWidth="1"/>
    <col min="3" max="3" width="35.125" customWidth="1"/>
    <col min="4" max="4" width="11.75" hidden="1" customWidth="1"/>
    <col min="5" max="6" width="9" hidden="1" customWidth="1"/>
    <col min="7" max="7" width="15.375" hidden="1" customWidth="1"/>
    <col min="8" max="8" width="13.25" hidden="1" customWidth="1"/>
    <col min="9" max="9" width="13.25" customWidth="1"/>
    <col min="10" max="10" width="13.25" hidden="1" customWidth="1"/>
    <col min="11" max="11" width="0.875" customWidth="1"/>
    <col min="15" max="15" width="9.875" bestFit="1" customWidth="1"/>
    <col min="20" max="20" width="11" bestFit="1" customWidth="1"/>
  </cols>
  <sheetData>
    <row r="1" spans="1:22" ht="22.5" customHeight="1" thickBot="1" x14ac:dyDescent="0.35">
      <c r="A1" s="32" t="s">
        <v>28</v>
      </c>
      <c r="B1" s="153">
        <f>H81</f>
        <v>0</v>
      </c>
      <c r="C1" s="154"/>
      <c r="D1" s="55"/>
      <c r="E1" s="58" t="s">
        <v>1</v>
      </c>
      <c r="F1" s="155">
        <f>G81</f>
        <v>0</v>
      </c>
      <c r="G1" s="155"/>
      <c r="H1" s="156"/>
      <c r="I1" s="156"/>
      <c r="J1" s="156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22.5" customHeight="1" thickBot="1" x14ac:dyDescent="0.35">
      <c r="A2" s="32" t="s">
        <v>29</v>
      </c>
      <c r="B2" s="158">
        <f>I81</f>
        <v>21</v>
      </c>
      <c r="C2" s="159"/>
      <c r="D2" s="56"/>
      <c r="E2" s="59"/>
      <c r="F2" s="2"/>
      <c r="G2" s="2"/>
      <c r="H2" s="156"/>
      <c r="I2" s="156"/>
      <c r="J2" s="156"/>
      <c r="K2" s="113"/>
      <c r="L2" s="3">
        <f>SUBTOTAL(9,L6:L80)</f>
        <v>0</v>
      </c>
      <c r="M2" s="3">
        <f t="shared" ref="M2:T2" si="0">SUBTOTAL(9,M6:M80)</f>
        <v>21</v>
      </c>
      <c r="N2" s="3">
        <f t="shared" si="0"/>
        <v>0</v>
      </c>
      <c r="O2" s="3">
        <f t="shared" si="0"/>
        <v>0</v>
      </c>
      <c r="P2" s="3">
        <f t="shared" si="0"/>
        <v>0</v>
      </c>
      <c r="Q2" s="3">
        <f t="shared" si="0"/>
        <v>0</v>
      </c>
      <c r="R2" s="3">
        <f t="shared" si="0"/>
        <v>0</v>
      </c>
      <c r="S2" s="3">
        <f t="shared" si="0"/>
        <v>0</v>
      </c>
      <c r="T2" s="3">
        <f t="shared" si="0"/>
        <v>0</v>
      </c>
      <c r="U2" s="48">
        <f>SUBTOTAL(9,U6:U80)</f>
        <v>21</v>
      </c>
      <c r="V2" s="145"/>
    </row>
    <row r="3" spans="1:22" ht="22.5" customHeight="1" thickBot="1" x14ac:dyDescent="0.35">
      <c r="A3" s="33" t="s">
        <v>30</v>
      </c>
      <c r="B3" s="151">
        <f>IF(ISERROR(B2/(B2+B1)*1000000),"",(B2/(B2+B1)*1000000))</f>
        <v>1000000</v>
      </c>
      <c r="C3" s="152"/>
      <c r="D3" s="57"/>
      <c r="E3" s="60"/>
      <c r="F3" s="27"/>
      <c r="G3" s="27"/>
      <c r="H3" s="157"/>
      <c r="I3" s="157"/>
      <c r="J3" s="157"/>
      <c r="K3" s="114"/>
      <c r="L3" s="4">
        <f t="shared" ref="L3:U3" si="1">SUM(L6:L80)</f>
        <v>0</v>
      </c>
      <c r="M3" s="4">
        <f t="shared" si="1"/>
        <v>21</v>
      </c>
      <c r="N3" s="4">
        <f t="shared" si="1"/>
        <v>0</v>
      </c>
      <c r="O3" s="4">
        <f t="shared" si="1"/>
        <v>0</v>
      </c>
      <c r="P3" s="4">
        <f t="shared" si="1"/>
        <v>0</v>
      </c>
      <c r="Q3" s="4">
        <f t="shared" si="1"/>
        <v>0</v>
      </c>
      <c r="R3" s="4">
        <f t="shared" si="1"/>
        <v>0</v>
      </c>
      <c r="S3" s="4">
        <f t="shared" si="1"/>
        <v>0</v>
      </c>
      <c r="T3" s="4">
        <f t="shared" si="1"/>
        <v>0</v>
      </c>
      <c r="U3" s="49">
        <f t="shared" si="1"/>
        <v>21</v>
      </c>
      <c r="V3" s="146"/>
    </row>
    <row r="4" spans="1:22" ht="43.5" customHeight="1" x14ac:dyDescent="0.3">
      <c r="A4" s="160" t="str">
        <f>V81</f>
        <v>OK</v>
      </c>
      <c r="B4" s="160"/>
      <c r="C4" s="160"/>
      <c r="D4" s="161"/>
      <c r="E4" s="162" t="s">
        <v>15</v>
      </c>
      <c r="F4" s="162"/>
      <c r="G4" s="162"/>
      <c r="H4" s="163" t="s">
        <v>16</v>
      </c>
      <c r="I4" s="163"/>
      <c r="J4" s="163"/>
      <c r="K4" s="113"/>
      <c r="L4" s="164" t="s">
        <v>10</v>
      </c>
      <c r="M4" s="142" t="s">
        <v>17</v>
      </c>
      <c r="N4" s="142" t="s">
        <v>11</v>
      </c>
      <c r="O4" s="138" t="s">
        <v>12</v>
      </c>
      <c r="P4" s="142" t="s">
        <v>13</v>
      </c>
      <c r="Q4" s="138" t="s">
        <v>14</v>
      </c>
      <c r="R4" s="140" t="s">
        <v>20</v>
      </c>
      <c r="S4" s="142" t="s">
        <v>21</v>
      </c>
      <c r="T4" s="143" t="s">
        <v>22</v>
      </c>
      <c r="U4" s="147" t="s">
        <v>18</v>
      </c>
      <c r="V4" s="149" t="s">
        <v>19</v>
      </c>
    </row>
    <row r="5" spans="1:22" ht="33.75" thickBot="1" x14ac:dyDescent="0.35">
      <c r="A5" s="29" t="s">
        <v>3</v>
      </c>
      <c r="B5" s="30" t="s">
        <v>32</v>
      </c>
      <c r="C5" s="29" t="s">
        <v>4</v>
      </c>
      <c r="D5" s="29" t="s">
        <v>31</v>
      </c>
      <c r="E5" s="29" t="s">
        <v>5</v>
      </c>
      <c r="F5" s="29" t="s">
        <v>6</v>
      </c>
      <c r="G5" s="30" t="s">
        <v>7</v>
      </c>
      <c r="H5" s="31" t="s">
        <v>0</v>
      </c>
      <c r="I5" s="31" t="s">
        <v>2</v>
      </c>
      <c r="J5" s="31" t="s">
        <v>8</v>
      </c>
      <c r="K5" s="28"/>
      <c r="L5" s="165"/>
      <c r="M5" s="139"/>
      <c r="N5" s="139"/>
      <c r="O5" s="139"/>
      <c r="P5" s="139"/>
      <c r="Q5" s="139"/>
      <c r="R5" s="141"/>
      <c r="S5" s="139"/>
      <c r="T5" s="144"/>
      <c r="U5" s="148"/>
      <c r="V5" s="150"/>
    </row>
    <row r="6" spans="1:22" hidden="1" x14ac:dyDescent="0.3">
      <c r="A6" s="61" t="s">
        <v>33</v>
      </c>
      <c r="B6" s="61">
        <v>8092</v>
      </c>
      <c r="C6" s="6" t="s">
        <v>45</v>
      </c>
      <c r="D6" s="7"/>
      <c r="E6" s="7"/>
      <c r="F6" s="7"/>
      <c r="G6" s="8"/>
      <c r="H6" s="9"/>
      <c r="I6" s="10">
        <f>SUM(L6:T6)</f>
        <v>0</v>
      </c>
      <c r="J6" s="10"/>
      <c r="K6" s="11"/>
      <c r="L6" s="10"/>
      <c r="M6" s="10"/>
      <c r="N6" s="10"/>
      <c r="O6" s="10"/>
      <c r="P6" s="10"/>
      <c r="Q6" s="10"/>
      <c r="R6" s="34"/>
      <c r="S6" s="42"/>
      <c r="T6" s="45"/>
      <c r="U6" s="50">
        <f t="shared" ref="U6:U36" si="2">SUM(L6:T6)</f>
        <v>0</v>
      </c>
      <c r="V6" s="26" t="str">
        <f t="shared" ref="V6:V67" si="3">IF(U6=I6,"OK","NG")</f>
        <v>OK</v>
      </c>
    </row>
    <row r="7" spans="1:22" hidden="1" x14ac:dyDescent="0.3">
      <c r="A7" s="62" t="s">
        <v>95</v>
      </c>
      <c r="B7" s="62">
        <v>8088</v>
      </c>
      <c r="C7" s="12" t="s">
        <v>46</v>
      </c>
      <c r="D7" s="53"/>
      <c r="E7" s="13"/>
      <c r="F7" s="13"/>
      <c r="G7" s="14"/>
      <c r="H7" s="15"/>
      <c r="I7" s="16">
        <f t="shared" ref="I7:I70" si="4">SUM(L7:T7)</f>
        <v>0</v>
      </c>
      <c r="J7" s="16"/>
      <c r="K7" s="11"/>
      <c r="L7" s="16"/>
      <c r="M7" s="16"/>
      <c r="N7" s="16"/>
      <c r="O7" s="16"/>
      <c r="P7" s="16"/>
      <c r="Q7" s="16"/>
      <c r="R7" s="35"/>
      <c r="S7" s="43"/>
      <c r="T7" s="46"/>
      <c r="U7" s="51">
        <f t="shared" si="2"/>
        <v>0</v>
      </c>
      <c r="V7" s="17" t="str">
        <f t="shared" si="3"/>
        <v>OK</v>
      </c>
    </row>
    <row r="8" spans="1:22" hidden="1" x14ac:dyDescent="0.3">
      <c r="A8" s="63" t="s">
        <v>96</v>
      </c>
      <c r="B8" s="63">
        <v>8081</v>
      </c>
      <c r="C8" s="18" t="s">
        <v>46</v>
      </c>
      <c r="D8" s="19"/>
      <c r="E8" s="19"/>
      <c r="F8" s="19"/>
      <c r="G8" s="20"/>
      <c r="H8" s="21"/>
      <c r="I8" s="22">
        <f t="shared" si="4"/>
        <v>0</v>
      </c>
      <c r="J8" s="22"/>
      <c r="K8" s="11"/>
      <c r="L8" s="22"/>
      <c r="M8" s="22"/>
      <c r="N8" s="22"/>
      <c r="O8" s="22"/>
      <c r="P8" s="22"/>
      <c r="Q8" s="22"/>
      <c r="R8" s="36"/>
      <c r="S8" s="44"/>
      <c r="T8" s="47"/>
      <c r="U8" s="52">
        <f t="shared" si="2"/>
        <v>0</v>
      </c>
      <c r="V8" s="23" t="str">
        <f t="shared" si="3"/>
        <v>OK</v>
      </c>
    </row>
    <row r="9" spans="1:22" hidden="1" x14ac:dyDescent="0.3">
      <c r="A9" s="62" t="s">
        <v>97</v>
      </c>
      <c r="B9" s="62">
        <v>18524</v>
      </c>
      <c r="C9" s="12" t="s">
        <v>46</v>
      </c>
      <c r="D9" s="53"/>
      <c r="E9" s="13"/>
      <c r="F9" s="13"/>
      <c r="G9" s="14"/>
      <c r="H9" s="15"/>
      <c r="I9" s="16">
        <f t="shared" si="4"/>
        <v>0</v>
      </c>
      <c r="J9" s="16"/>
      <c r="K9" s="11"/>
      <c r="L9" s="16"/>
      <c r="M9" s="16"/>
      <c r="N9" s="16"/>
      <c r="O9" s="16"/>
      <c r="P9" s="16"/>
      <c r="Q9" s="16"/>
      <c r="R9" s="35"/>
      <c r="S9" s="43"/>
      <c r="T9" s="46"/>
      <c r="U9" s="51">
        <f t="shared" si="2"/>
        <v>0</v>
      </c>
      <c r="V9" s="17" t="str">
        <f t="shared" si="3"/>
        <v>OK</v>
      </c>
    </row>
    <row r="10" spans="1:22" hidden="1" x14ac:dyDescent="0.3">
      <c r="A10" s="63" t="s">
        <v>34</v>
      </c>
      <c r="B10" s="63">
        <v>6234</v>
      </c>
      <c r="C10" s="18" t="s">
        <v>47</v>
      </c>
      <c r="D10" s="19"/>
      <c r="E10" s="19"/>
      <c r="F10" s="19"/>
      <c r="G10" s="20"/>
      <c r="H10" s="21"/>
      <c r="I10" s="22">
        <f t="shared" si="4"/>
        <v>0</v>
      </c>
      <c r="J10" s="22"/>
      <c r="K10" s="11"/>
      <c r="L10" s="22"/>
      <c r="M10" s="22"/>
      <c r="N10" s="22"/>
      <c r="O10" s="22"/>
      <c r="P10" s="22"/>
      <c r="Q10" s="22"/>
      <c r="R10" s="36"/>
      <c r="S10" s="44"/>
      <c r="T10" s="47"/>
      <c r="U10" s="52">
        <f t="shared" si="2"/>
        <v>0</v>
      </c>
      <c r="V10" s="23" t="str">
        <f t="shared" si="3"/>
        <v>OK</v>
      </c>
    </row>
    <row r="11" spans="1:22" hidden="1" x14ac:dyDescent="0.3">
      <c r="A11" s="62" t="s">
        <v>80</v>
      </c>
      <c r="B11" s="62">
        <v>14830</v>
      </c>
      <c r="C11" s="12" t="s">
        <v>47</v>
      </c>
      <c r="D11" s="53"/>
      <c r="E11" s="13"/>
      <c r="F11" s="13"/>
      <c r="G11" s="14"/>
      <c r="H11" s="15"/>
      <c r="I11" s="16">
        <f t="shared" si="4"/>
        <v>0</v>
      </c>
      <c r="J11" s="16"/>
      <c r="K11" s="11"/>
      <c r="L11" s="16"/>
      <c r="M11" s="16"/>
      <c r="N11" s="16"/>
      <c r="O11" s="16"/>
      <c r="P11" s="16"/>
      <c r="Q11" s="16"/>
      <c r="R11" s="35"/>
      <c r="S11" s="43"/>
      <c r="T11" s="46"/>
      <c r="U11" s="51">
        <f t="shared" si="2"/>
        <v>0</v>
      </c>
      <c r="V11" s="17" t="str">
        <f t="shared" si="3"/>
        <v>OK</v>
      </c>
    </row>
    <row r="12" spans="1:22" hidden="1" x14ac:dyDescent="0.3">
      <c r="A12" s="63" t="s">
        <v>35</v>
      </c>
      <c r="B12" s="63">
        <v>6004</v>
      </c>
      <c r="C12" s="18" t="s">
        <v>48</v>
      </c>
      <c r="D12" s="19"/>
      <c r="E12" s="19"/>
      <c r="F12" s="19"/>
      <c r="G12" s="20"/>
      <c r="H12" s="21"/>
      <c r="I12" s="22">
        <f t="shared" si="4"/>
        <v>0</v>
      </c>
      <c r="J12" s="22"/>
      <c r="K12" s="11"/>
      <c r="L12" s="22"/>
      <c r="M12" s="22"/>
      <c r="N12" s="22"/>
      <c r="O12" s="22"/>
      <c r="P12" s="22"/>
      <c r="Q12" s="22"/>
      <c r="R12" s="36"/>
      <c r="S12" s="44"/>
      <c r="T12" s="47"/>
      <c r="U12" s="52">
        <f t="shared" si="2"/>
        <v>0</v>
      </c>
      <c r="V12" s="23" t="str">
        <f t="shared" si="3"/>
        <v>OK</v>
      </c>
    </row>
    <row r="13" spans="1:22" hidden="1" x14ac:dyDescent="0.3">
      <c r="A13" s="62" t="s">
        <v>36</v>
      </c>
      <c r="B13" s="62">
        <v>11857</v>
      </c>
      <c r="C13" s="12" t="s">
        <v>48</v>
      </c>
      <c r="D13" s="53"/>
      <c r="E13" s="13"/>
      <c r="F13" s="13"/>
      <c r="G13" s="14"/>
      <c r="H13" s="15"/>
      <c r="I13" s="16">
        <f t="shared" si="4"/>
        <v>0</v>
      </c>
      <c r="J13" s="16"/>
      <c r="K13" s="11"/>
      <c r="L13" s="16"/>
      <c r="M13" s="16"/>
      <c r="N13" s="16"/>
      <c r="O13" s="16"/>
      <c r="P13" s="16"/>
      <c r="Q13" s="16"/>
      <c r="R13" s="35"/>
      <c r="S13" s="43"/>
      <c r="T13" s="46"/>
      <c r="U13" s="51">
        <f t="shared" si="2"/>
        <v>0</v>
      </c>
      <c r="V13" s="17" t="str">
        <f t="shared" si="3"/>
        <v>OK</v>
      </c>
    </row>
    <row r="14" spans="1:22" hidden="1" x14ac:dyDescent="0.3">
      <c r="A14" s="63" t="s">
        <v>82</v>
      </c>
      <c r="B14" s="63">
        <v>15004</v>
      </c>
      <c r="C14" s="18" t="s">
        <v>48</v>
      </c>
      <c r="D14" s="19"/>
      <c r="E14" s="19"/>
      <c r="F14" s="19"/>
      <c r="G14" s="20"/>
      <c r="H14" s="21"/>
      <c r="I14" s="22">
        <f t="shared" si="4"/>
        <v>0</v>
      </c>
      <c r="J14" s="22"/>
      <c r="K14" s="11"/>
      <c r="L14" s="22"/>
      <c r="M14" s="22"/>
      <c r="N14" s="22"/>
      <c r="O14" s="22"/>
      <c r="P14" s="22"/>
      <c r="Q14" s="22"/>
      <c r="R14" s="36"/>
      <c r="S14" s="44"/>
      <c r="T14" s="47"/>
      <c r="U14" s="52">
        <f t="shared" si="2"/>
        <v>0</v>
      </c>
      <c r="V14" s="23" t="str">
        <f t="shared" si="3"/>
        <v>OK</v>
      </c>
    </row>
    <row r="15" spans="1:22" hidden="1" x14ac:dyDescent="0.3">
      <c r="A15" s="62" t="s">
        <v>86</v>
      </c>
      <c r="B15" s="62">
        <v>15174</v>
      </c>
      <c r="C15" s="12" t="s">
        <v>45</v>
      </c>
      <c r="D15" s="53"/>
      <c r="E15" s="13"/>
      <c r="F15" s="13"/>
      <c r="G15" s="14"/>
      <c r="H15" s="15"/>
      <c r="I15" s="16">
        <f t="shared" si="4"/>
        <v>0</v>
      </c>
      <c r="J15" s="16"/>
      <c r="K15" s="11"/>
      <c r="L15" s="16"/>
      <c r="M15" s="16"/>
      <c r="N15" s="16"/>
      <c r="O15" s="16"/>
      <c r="P15" s="16"/>
      <c r="Q15" s="16"/>
      <c r="R15" s="35"/>
      <c r="S15" s="43"/>
      <c r="T15" s="46"/>
      <c r="U15" s="51">
        <f t="shared" si="2"/>
        <v>0</v>
      </c>
      <c r="V15" s="17" t="str">
        <f t="shared" si="3"/>
        <v>OK</v>
      </c>
    </row>
    <row r="16" spans="1:22" hidden="1" x14ac:dyDescent="0.3">
      <c r="A16" s="63" t="s">
        <v>87</v>
      </c>
      <c r="B16" s="63">
        <v>15520</v>
      </c>
      <c r="C16" s="18" t="s">
        <v>47</v>
      </c>
      <c r="D16" s="19"/>
      <c r="E16" s="19"/>
      <c r="F16" s="19"/>
      <c r="G16" s="20"/>
      <c r="H16" s="21"/>
      <c r="I16" s="22">
        <f t="shared" si="4"/>
        <v>0</v>
      </c>
      <c r="J16" s="22"/>
      <c r="K16" s="11"/>
      <c r="L16" s="22"/>
      <c r="M16" s="22"/>
      <c r="N16" s="22"/>
      <c r="O16" s="22"/>
      <c r="P16" s="22"/>
      <c r="Q16" s="22"/>
      <c r="R16" s="36"/>
      <c r="S16" s="44"/>
      <c r="T16" s="47"/>
      <c r="U16" s="52">
        <f t="shared" si="2"/>
        <v>0</v>
      </c>
      <c r="V16" s="23" t="str">
        <f t="shared" si="3"/>
        <v>OK</v>
      </c>
    </row>
    <row r="17" spans="1:22" hidden="1" x14ac:dyDescent="0.3">
      <c r="A17" s="62" t="s">
        <v>85</v>
      </c>
      <c r="B17" s="62">
        <v>14989</v>
      </c>
      <c r="C17" s="12" t="s">
        <v>45</v>
      </c>
      <c r="D17" s="53"/>
      <c r="E17" s="13"/>
      <c r="F17" s="13"/>
      <c r="G17" s="14"/>
      <c r="H17" s="15"/>
      <c r="I17" s="16">
        <f t="shared" si="4"/>
        <v>0</v>
      </c>
      <c r="J17" s="16"/>
      <c r="K17" s="11"/>
      <c r="L17" s="16"/>
      <c r="M17" s="16"/>
      <c r="N17" s="16"/>
      <c r="O17" s="16"/>
      <c r="P17" s="16"/>
      <c r="Q17" s="16"/>
      <c r="R17" s="35"/>
      <c r="S17" s="43"/>
      <c r="T17" s="46"/>
      <c r="U17" s="51">
        <f t="shared" si="2"/>
        <v>0</v>
      </c>
      <c r="V17" s="17" t="str">
        <f t="shared" si="3"/>
        <v>OK</v>
      </c>
    </row>
    <row r="18" spans="1:22" hidden="1" x14ac:dyDescent="0.3">
      <c r="A18" s="63" t="s">
        <v>84</v>
      </c>
      <c r="B18" s="63">
        <v>14984</v>
      </c>
      <c r="C18" s="18" t="s">
        <v>46</v>
      </c>
      <c r="D18" s="19"/>
      <c r="E18" s="19"/>
      <c r="F18" s="19"/>
      <c r="G18" s="20"/>
      <c r="H18" s="21"/>
      <c r="I18" s="22">
        <f t="shared" si="4"/>
        <v>0</v>
      </c>
      <c r="J18" s="22"/>
      <c r="K18" s="11"/>
      <c r="L18" s="22"/>
      <c r="M18" s="22"/>
      <c r="N18" s="22"/>
      <c r="O18" s="22"/>
      <c r="P18" s="22"/>
      <c r="Q18" s="22"/>
      <c r="R18" s="36"/>
      <c r="S18" s="44"/>
      <c r="T18" s="47"/>
      <c r="U18" s="52">
        <f t="shared" si="2"/>
        <v>0</v>
      </c>
      <c r="V18" s="23" t="str">
        <f t="shared" si="3"/>
        <v>OK</v>
      </c>
    </row>
    <row r="19" spans="1:22" hidden="1" x14ac:dyDescent="0.3">
      <c r="A19" s="62" t="s">
        <v>88</v>
      </c>
      <c r="B19" s="62">
        <v>16270</v>
      </c>
      <c r="C19" s="12" t="s">
        <v>89</v>
      </c>
      <c r="D19" s="53"/>
      <c r="E19" s="13"/>
      <c r="F19" s="13"/>
      <c r="G19" s="14"/>
      <c r="H19" s="15"/>
      <c r="I19" s="16">
        <f t="shared" si="4"/>
        <v>0</v>
      </c>
      <c r="J19" s="16"/>
      <c r="K19" s="11"/>
      <c r="L19" s="16"/>
      <c r="M19" s="16"/>
      <c r="N19" s="16"/>
      <c r="O19" s="16"/>
      <c r="P19" s="16"/>
      <c r="Q19" s="16"/>
      <c r="R19" s="35"/>
      <c r="S19" s="43"/>
      <c r="T19" s="46"/>
      <c r="U19" s="51">
        <f t="shared" si="2"/>
        <v>0</v>
      </c>
      <c r="V19" s="17" t="str">
        <f t="shared" si="3"/>
        <v>OK</v>
      </c>
    </row>
    <row r="20" spans="1:22" hidden="1" x14ac:dyDescent="0.3">
      <c r="A20" s="63" t="s">
        <v>98</v>
      </c>
      <c r="B20" s="63">
        <v>19060</v>
      </c>
      <c r="C20" s="18" t="s">
        <v>47</v>
      </c>
      <c r="D20" s="19"/>
      <c r="E20" s="19"/>
      <c r="F20" s="19"/>
      <c r="G20" s="20"/>
      <c r="H20" s="21"/>
      <c r="I20" s="22">
        <f t="shared" si="4"/>
        <v>0</v>
      </c>
      <c r="J20" s="22"/>
      <c r="K20" s="11"/>
      <c r="L20" s="22"/>
      <c r="M20" s="22"/>
      <c r="N20" s="22"/>
      <c r="O20" s="22"/>
      <c r="P20" s="22"/>
      <c r="Q20" s="22"/>
      <c r="R20" s="36"/>
      <c r="S20" s="44"/>
      <c r="T20" s="47"/>
      <c r="U20" s="52">
        <f t="shared" si="2"/>
        <v>0</v>
      </c>
      <c r="V20" s="23" t="str">
        <f t="shared" si="3"/>
        <v>OK</v>
      </c>
    </row>
    <row r="21" spans="1:22" hidden="1" x14ac:dyDescent="0.3">
      <c r="A21" s="62" t="s">
        <v>99</v>
      </c>
      <c r="B21" s="62">
        <v>18828</v>
      </c>
      <c r="C21" s="12" t="s">
        <v>94</v>
      </c>
      <c r="D21" s="53"/>
      <c r="E21" s="13"/>
      <c r="F21" s="13"/>
      <c r="G21" s="14"/>
      <c r="H21" s="15"/>
      <c r="I21" s="16">
        <f t="shared" si="4"/>
        <v>0</v>
      </c>
      <c r="J21" s="16"/>
      <c r="K21" s="11"/>
      <c r="L21" s="16"/>
      <c r="M21" s="16"/>
      <c r="N21" s="16"/>
      <c r="O21" s="16"/>
      <c r="P21" s="16"/>
      <c r="Q21" s="16"/>
      <c r="R21" s="35"/>
      <c r="S21" s="43"/>
      <c r="T21" s="46"/>
      <c r="U21" s="51">
        <f t="shared" si="2"/>
        <v>0</v>
      </c>
      <c r="V21" s="17" t="str">
        <f t="shared" si="3"/>
        <v>OK</v>
      </c>
    </row>
    <row r="22" spans="1:22" hidden="1" x14ac:dyDescent="0.3">
      <c r="A22" s="63" t="s">
        <v>23</v>
      </c>
      <c r="B22" s="63">
        <v>5695</v>
      </c>
      <c r="C22" s="18" t="s">
        <v>49</v>
      </c>
      <c r="D22" s="19"/>
      <c r="E22" s="19"/>
      <c r="F22" s="19"/>
      <c r="G22" s="20"/>
      <c r="H22" s="21"/>
      <c r="I22" s="22">
        <f t="shared" si="4"/>
        <v>0</v>
      </c>
      <c r="J22" s="22"/>
      <c r="K22" s="11"/>
      <c r="L22" s="22"/>
      <c r="M22" s="22"/>
      <c r="N22" s="22"/>
      <c r="O22" s="22"/>
      <c r="P22" s="22"/>
      <c r="Q22" s="22"/>
      <c r="R22" s="36"/>
      <c r="S22" s="44"/>
      <c r="T22" s="47"/>
      <c r="U22" s="52">
        <f t="shared" si="2"/>
        <v>0</v>
      </c>
      <c r="V22" s="23" t="str">
        <f t="shared" si="3"/>
        <v>OK</v>
      </c>
    </row>
    <row r="23" spans="1:22" hidden="1" x14ac:dyDescent="0.3">
      <c r="A23" s="62" t="s">
        <v>24</v>
      </c>
      <c r="B23" s="62">
        <v>5691</v>
      </c>
      <c r="C23" s="12" t="s">
        <v>50</v>
      </c>
      <c r="D23" s="53"/>
      <c r="E23" s="13"/>
      <c r="F23" s="13"/>
      <c r="G23" s="14"/>
      <c r="H23" s="15"/>
      <c r="I23" s="16">
        <f t="shared" si="4"/>
        <v>0</v>
      </c>
      <c r="J23" s="16"/>
      <c r="K23" s="11"/>
      <c r="L23" s="16"/>
      <c r="M23" s="16"/>
      <c r="N23" s="16"/>
      <c r="O23" s="16"/>
      <c r="P23" s="16"/>
      <c r="Q23" s="16"/>
      <c r="R23" s="35"/>
      <c r="S23" s="43"/>
      <c r="T23" s="46"/>
      <c r="U23" s="51">
        <f t="shared" si="2"/>
        <v>0</v>
      </c>
      <c r="V23" s="17" t="str">
        <f t="shared" si="3"/>
        <v>OK</v>
      </c>
    </row>
    <row r="24" spans="1:22" hidden="1" x14ac:dyDescent="0.3">
      <c r="A24" s="63" t="s">
        <v>37</v>
      </c>
      <c r="B24" s="63">
        <v>5687</v>
      </c>
      <c r="C24" s="18" t="s">
        <v>51</v>
      </c>
      <c r="D24" s="19"/>
      <c r="E24" s="19"/>
      <c r="F24" s="19"/>
      <c r="G24" s="20"/>
      <c r="H24" s="21"/>
      <c r="I24" s="22">
        <f t="shared" si="4"/>
        <v>0</v>
      </c>
      <c r="J24" s="22"/>
      <c r="K24" s="11"/>
      <c r="L24" s="22"/>
      <c r="M24" s="22"/>
      <c r="N24" s="22"/>
      <c r="O24" s="22"/>
      <c r="P24" s="22"/>
      <c r="Q24" s="22"/>
      <c r="R24" s="36"/>
      <c r="S24" s="44"/>
      <c r="T24" s="47"/>
      <c r="U24" s="52">
        <f t="shared" si="2"/>
        <v>0</v>
      </c>
      <c r="V24" s="23" t="str">
        <f t="shared" si="3"/>
        <v>OK</v>
      </c>
    </row>
    <row r="25" spans="1:22" hidden="1" x14ac:dyDescent="0.3">
      <c r="A25" s="62" t="s">
        <v>38</v>
      </c>
      <c r="B25" s="62">
        <v>5683</v>
      </c>
      <c r="C25" s="12" t="s">
        <v>51</v>
      </c>
      <c r="D25" s="53"/>
      <c r="E25" s="13"/>
      <c r="F25" s="13"/>
      <c r="G25" s="14"/>
      <c r="H25" s="15"/>
      <c r="I25" s="16">
        <f t="shared" si="4"/>
        <v>0</v>
      </c>
      <c r="J25" s="16"/>
      <c r="K25" s="11"/>
      <c r="L25" s="16"/>
      <c r="M25" s="16"/>
      <c r="N25" s="16"/>
      <c r="O25" s="16"/>
      <c r="P25" s="16"/>
      <c r="Q25" s="16"/>
      <c r="R25" s="35"/>
      <c r="S25" s="43"/>
      <c r="T25" s="46"/>
      <c r="U25" s="51">
        <f t="shared" si="2"/>
        <v>0</v>
      </c>
      <c r="V25" s="17" t="str">
        <f t="shared" si="3"/>
        <v>OK</v>
      </c>
    </row>
    <row r="26" spans="1:22" x14ac:dyDescent="0.3">
      <c r="A26" s="63" t="s">
        <v>25</v>
      </c>
      <c r="B26" s="63">
        <v>5679</v>
      </c>
      <c r="C26" s="18" t="s">
        <v>52</v>
      </c>
      <c r="D26" s="19"/>
      <c r="E26" s="19"/>
      <c r="F26" s="19"/>
      <c r="G26" s="20"/>
      <c r="H26" s="21"/>
      <c r="I26" s="22">
        <f t="shared" si="4"/>
        <v>5</v>
      </c>
      <c r="J26" s="22"/>
      <c r="K26" s="11"/>
      <c r="L26" s="22"/>
      <c r="M26" s="22">
        <v>5</v>
      </c>
      <c r="N26" s="22"/>
      <c r="O26" s="22"/>
      <c r="P26" s="22"/>
      <c r="Q26" s="22"/>
      <c r="R26" s="36"/>
      <c r="S26" s="44"/>
      <c r="T26" s="47"/>
      <c r="U26" s="52">
        <f t="shared" si="2"/>
        <v>5</v>
      </c>
      <c r="V26" s="23" t="str">
        <f t="shared" si="3"/>
        <v>OK</v>
      </c>
    </row>
    <row r="27" spans="1:22" hidden="1" x14ac:dyDescent="0.3">
      <c r="A27" s="62" t="s">
        <v>39</v>
      </c>
      <c r="B27" s="62">
        <v>5675</v>
      </c>
      <c r="C27" s="12" t="s">
        <v>53</v>
      </c>
      <c r="D27" s="53"/>
      <c r="E27" s="13"/>
      <c r="F27" s="13"/>
      <c r="G27" s="14"/>
      <c r="H27" s="15"/>
      <c r="I27" s="16">
        <f t="shared" si="4"/>
        <v>0</v>
      </c>
      <c r="J27" s="16"/>
      <c r="K27" s="11"/>
      <c r="L27" s="16"/>
      <c r="M27" s="16"/>
      <c r="N27" s="16"/>
      <c r="O27" s="16"/>
      <c r="P27" s="16"/>
      <c r="Q27" s="16"/>
      <c r="R27" s="35"/>
      <c r="S27" s="43"/>
      <c r="T27" s="46"/>
      <c r="U27" s="51">
        <f t="shared" si="2"/>
        <v>0</v>
      </c>
      <c r="V27" s="17" t="str">
        <f t="shared" si="3"/>
        <v>OK</v>
      </c>
    </row>
    <row r="28" spans="1:22" hidden="1" x14ac:dyDescent="0.3">
      <c r="A28" s="63" t="s">
        <v>26</v>
      </c>
      <c r="B28" s="63">
        <v>5671</v>
      </c>
      <c r="C28" s="18" t="s">
        <v>49</v>
      </c>
      <c r="D28" s="19"/>
      <c r="E28" s="19"/>
      <c r="F28" s="19"/>
      <c r="G28" s="20"/>
      <c r="H28" s="21"/>
      <c r="I28" s="22">
        <f t="shared" si="4"/>
        <v>0</v>
      </c>
      <c r="J28" s="22"/>
      <c r="K28" s="11"/>
      <c r="L28" s="22"/>
      <c r="M28" s="22"/>
      <c r="N28" s="22"/>
      <c r="O28" s="22"/>
      <c r="P28" s="22"/>
      <c r="Q28" s="22"/>
      <c r="R28" s="36"/>
      <c r="S28" s="44"/>
      <c r="T28" s="47"/>
      <c r="U28" s="52">
        <f t="shared" si="2"/>
        <v>0</v>
      </c>
      <c r="V28" s="23" t="str">
        <f t="shared" si="3"/>
        <v>OK</v>
      </c>
    </row>
    <row r="29" spans="1:22" hidden="1" x14ac:dyDescent="0.3">
      <c r="A29" s="62" t="s">
        <v>40</v>
      </c>
      <c r="B29" s="62">
        <v>5667</v>
      </c>
      <c r="C29" s="12" t="s">
        <v>50</v>
      </c>
      <c r="D29" s="53"/>
      <c r="E29" s="13"/>
      <c r="F29" s="13"/>
      <c r="G29" s="14"/>
      <c r="H29" s="15"/>
      <c r="I29" s="16">
        <f t="shared" si="4"/>
        <v>0</v>
      </c>
      <c r="J29" s="16"/>
      <c r="K29" s="11"/>
      <c r="L29" s="16"/>
      <c r="M29" s="16"/>
      <c r="N29" s="16"/>
      <c r="O29" s="16"/>
      <c r="P29" s="16"/>
      <c r="Q29" s="16"/>
      <c r="R29" s="35"/>
      <c r="S29" s="43"/>
      <c r="T29" s="46"/>
      <c r="U29" s="51">
        <f t="shared" si="2"/>
        <v>0</v>
      </c>
      <c r="V29" s="17" t="str">
        <f t="shared" si="3"/>
        <v>OK</v>
      </c>
    </row>
    <row r="30" spans="1:22" hidden="1" x14ac:dyDescent="0.3">
      <c r="A30" s="63" t="s">
        <v>41</v>
      </c>
      <c r="B30" s="63">
        <v>5663</v>
      </c>
      <c r="C30" s="18" t="s">
        <v>51</v>
      </c>
      <c r="D30" s="19"/>
      <c r="E30" s="19"/>
      <c r="F30" s="19"/>
      <c r="G30" s="20"/>
      <c r="H30" s="21"/>
      <c r="I30" s="22">
        <f t="shared" si="4"/>
        <v>0</v>
      </c>
      <c r="J30" s="22"/>
      <c r="K30" s="11"/>
      <c r="L30" s="22"/>
      <c r="M30" s="22"/>
      <c r="N30" s="22"/>
      <c r="O30" s="22"/>
      <c r="P30" s="22"/>
      <c r="Q30" s="22"/>
      <c r="R30" s="36"/>
      <c r="S30" s="44"/>
      <c r="T30" s="47"/>
      <c r="U30" s="52">
        <f t="shared" si="2"/>
        <v>0</v>
      </c>
      <c r="V30" s="23" t="str">
        <f t="shared" si="3"/>
        <v>OK</v>
      </c>
    </row>
    <row r="31" spans="1:22" hidden="1" x14ac:dyDescent="0.3">
      <c r="A31" s="62" t="s">
        <v>42</v>
      </c>
      <c r="B31" s="62">
        <v>5659</v>
      </c>
      <c r="C31" s="12" t="s">
        <v>52</v>
      </c>
      <c r="D31" s="53"/>
      <c r="E31" s="13"/>
      <c r="F31" s="13"/>
      <c r="G31" s="14"/>
      <c r="H31" s="15"/>
      <c r="I31" s="16">
        <f t="shared" si="4"/>
        <v>0</v>
      </c>
      <c r="J31" s="16"/>
      <c r="K31" s="11"/>
      <c r="L31" s="16"/>
      <c r="M31" s="16"/>
      <c r="N31" s="16"/>
      <c r="O31" s="16"/>
      <c r="P31" s="16"/>
      <c r="Q31" s="16"/>
      <c r="R31" s="35"/>
      <c r="S31" s="43"/>
      <c r="T31" s="46"/>
      <c r="U31" s="51">
        <f t="shared" si="2"/>
        <v>0</v>
      </c>
      <c r="V31" s="17" t="str">
        <f t="shared" si="3"/>
        <v>OK</v>
      </c>
    </row>
    <row r="32" spans="1:22" hidden="1" x14ac:dyDescent="0.3">
      <c r="A32" s="63" t="s">
        <v>27</v>
      </c>
      <c r="B32" s="63">
        <v>5655</v>
      </c>
      <c r="C32" s="18" t="s">
        <v>54</v>
      </c>
      <c r="D32" s="19"/>
      <c r="E32" s="19"/>
      <c r="F32" s="19"/>
      <c r="G32" s="20"/>
      <c r="H32" s="21"/>
      <c r="I32" s="22">
        <f t="shared" si="4"/>
        <v>0</v>
      </c>
      <c r="J32" s="22"/>
      <c r="K32" s="11"/>
      <c r="L32" s="22"/>
      <c r="M32" s="22"/>
      <c r="N32" s="22"/>
      <c r="O32" s="22"/>
      <c r="P32" s="22"/>
      <c r="Q32" s="22"/>
      <c r="R32" s="36"/>
      <c r="S32" s="44"/>
      <c r="T32" s="47"/>
      <c r="U32" s="52">
        <f t="shared" si="2"/>
        <v>0</v>
      </c>
      <c r="V32" s="23" t="str">
        <f t="shared" si="3"/>
        <v>OK</v>
      </c>
    </row>
    <row r="33" spans="1:22" hidden="1" x14ac:dyDescent="0.3">
      <c r="A33" s="62" t="s">
        <v>70</v>
      </c>
      <c r="B33" s="62">
        <v>5651</v>
      </c>
      <c r="C33" s="12" t="s">
        <v>55</v>
      </c>
      <c r="D33" s="53"/>
      <c r="E33" s="13"/>
      <c r="F33" s="13"/>
      <c r="G33" s="14"/>
      <c r="H33" s="15"/>
      <c r="I33" s="16">
        <f t="shared" si="4"/>
        <v>0</v>
      </c>
      <c r="J33" s="16"/>
      <c r="K33" s="11"/>
      <c r="L33" s="16"/>
      <c r="M33" s="16"/>
      <c r="N33" s="16"/>
      <c r="O33" s="16"/>
      <c r="P33" s="16"/>
      <c r="Q33" s="16"/>
      <c r="R33" s="35"/>
      <c r="S33" s="43"/>
      <c r="T33" s="46"/>
      <c r="U33" s="51">
        <f t="shared" si="2"/>
        <v>0</v>
      </c>
      <c r="V33" s="17" t="str">
        <f t="shared" si="3"/>
        <v>OK</v>
      </c>
    </row>
    <row r="34" spans="1:22" hidden="1" x14ac:dyDescent="0.3">
      <c r="A34" s="63" t="s">
        <v>71</v>
      </c>
      <c r="B34" s="63">
        <v>5643</v>
      </c>
      <c r="C34" s="18" t="s">
        <v>56</v>
      </c>
      <c r="D34" s="19"/>
      <c r="E34" s="19"/>
      <c r="F34" s="19"/>
      <c r="G34" s="20"/>
      <c r="H34" s="21"/>
      <c r="I34" s="22">
        <f t="shared" si="4"/>
        <v>0</v>
      </c>
      <c r="J34" s="22"/>
      <c r="K34" s="11"/>
      <c r="L34" s="22"/>
      <c r="M34" s="22"/>
      <c r="N34" s="22"/>
      <c r="O34" s="22"/>
      <c r="P34" s="22"/>
      <c r="Q34" s="22"/>
      <c r="R34" s="36"/>
      <c r="S34" s="44"/>
      <c r="T34" s="47"/>
      <c r="U34" s="52">
        <f t="shared" si="2"/>
        <v>0</v>
      </c>
      <c r="V34" s="23" t="str">
        <f t="shared" si="3"/>
        <v>OK</v>
      </c>
    </row>
    <row r="35" spans="1:22" hidden="1" x14ac:dyDescent="0.3">
      <c r="A35" s="62" t="s">
        <v>57</v>
      </c>
      <c r="B35" s="62">
        <v>11350</v>
      </c>
      <c r="C35" s="12" t="s">
        <v>56</v>
      </c>
      <c r="D35" s="53"/>
      <c r="E35" s="13"/>
      <c r="F35" s="13"/>
      <c r="G35" s="14"/>
      <c r="H35" s="15"/>
      <c r="I35" s="16">
        <f t="shared" si="4"/>
        <v>0</v>
      </c>
      <c r="J35" s="16"/>
      <c r="K35" s="11"/>
      <c r="L35" s="16"/>
      <c r="M35" s="16"/>
      <c r="N35" s="16"/>
      <c r="O35" s="16"/>
      <c r="P35" s="16"/>
      <c r="Q35" s="16"/>
      <c r="R35" s="35"/>
      <c r="S35" s="43"/>
      <c r="T35" s="46"/>
      <c r="U35" s="51">
        <f t="shared" si="2"/>
        <v>0</v>
      </c>
      <c r="V35" s="17" t="str">
        <f t="shared" si="3"/>
        <v>OK</v>
      </c>
    </row>
    <row r="36" spans="1:22" x14ac:dyDescent="0.3">
      <c r="A36" s="63" t="s">
        <v>72</v>
      </c>
      <c r="B36" s="63">
        <v>5635</v>
      </c>
      <c r="C36" s="18" t="s">
        <v>55</v>
      </c>
      <c r="D36" s="19"/>
      <c r="E36" s="19"/>
      <c r="F36" s="19"/>
      <c r="G36" s="20"/>
      <c r="H36" s="21"/>
      <c r="I36" s="22">
        <f t="shared" si="4"/>
        <v>9</v>
      </c>
      <c r="J36" s="22"/>
      <c r="K36" s="11"/>
      <c r="L36" s="22"/>
      <c r="M36" s="22">
        <v>9</v>
      </c>
      <c r="N36" s="22"/>
      <c r="O36" s="22"/>
      <c r="P36" s="22"/>
      <c r="Q36" s="22"/>
      <c r="R36" s="36"/>
      <c r="S36" s="44"/>
      <c r="T36" s="47"/>
      <c r="U36" s="52">
        <f t="shared" si="2"/>
        <v>9</v>
      </c>
      <c r="V36" s="23" t="str">
        <f t="shared" si="3"/>
        <v>OK</v>
      </c>
    </row>
    <row r="37" spans="1:22" ht="17.25" thickBot="1" x14ac:dyDescent="0.35">
      <c r="A37" s="62" t="s">
        <v>58</v>
      </c>
      <c r="B37" s="62">
        <v>11349</v>
      </c>
      <c r="C37" s="12" t="s">
        <v>55</v>
      </c>
      <c r="D37" s="53"/>
      <c r="E37" s="13"/>
      <c r="F37" s="13"/>
      <c r="G37" s="14"/>
      <c r="H37" s="15"/>
      <c r="I37" s="16">
        <f t="shared" si="4"/>
        <v>7</v>
      </c>
      <c r="J37" s="16"/>
      <c r="K37" s="11"/>
      <c r="L37" s="16"/>
      <c r="M37" s="16">
        <v>7</v>
      </c>
      <c r="N37" s="16"/>
      <c r="O37" s="16"/>
      <c r="P37" s="16"/>
      <c r="Q37" s="16"/>
      <c r="R37" s="35"/>
      <c r="S37" s="43"/>
      <c r="T37" s="46"/>
      <c r="U37" s="51">
        <f t="shared" ref="U37:U55" si="5">SUM(L37:T37)</f>
        <v>7</v>
      </c>
      <c r="V37" s="17" t="str">
        <f t="shared" si="3"/>
        <v>OK</v>
      </c>
    </row>
    <row r="38" spans="1:22" ht="17.25" hidden="1" thickBot="1" x14ac:dyDescent="0.35">
      <c r="A38" s="63" t="s">
        <v>73</v>
      </c>
      <c r="B38" s="63">
        <v>5627</v>
      </c>
      <c r="C38" s="18" t="s">
        <v>56</v>
      </c>
      <c r="D38" s="19"/>
      <c r="E38" s="19"/>
      <c r="F38" s="19"/>
      <c r="G38" s="20"/>
      <c r="H38" s="21"/>
      <c r="I38" s="22">
        <f t="shared" si="4"/>
        <v>0</v>
      </c>
      <c r="J38" s="22"/>
      <c r="K38" s="11"/>
      <c r="L38" s="22"/>
      <c r="M38" s="22"/>
      <c r="N38" s="22"/>
      <c r="O38" s="22"/>
      <c r="P38" s="22"/>
      <c r="Q38" s="22"/>
      <c r="R38" s="36"/>
      <c r="S38" s="44"/>
      <c r="T38" s="47"/>
      <c r="U38" s="52">
        <f t="shared" si="5"/>
        <v>0</v>
      </c>
      <c r="V38" s="23" t="str">
        <f t="shared" si="3"/>
        <v>OK</v>
      </c>
    </row>
    <row r="39" spans="1:22" ht="17.25" hidden="1" thickBot="1" x14ac:dyDescent="0.35">
      <c r="A39" s="62" t="s">
        <v>59</v>
      </c>
      <c r="B39" s="62">
        <v>11348</v>
      </c>
      <c r="C39" s="12" t="s">
        <v>56</v>
      </c>
      <c r="D39" s="53"/>
      <c r="E39" s="13"/>
      <c r="F39" s="13"/>
      <c r="G39" s="14"/>
      <c r="H39" s="15"/>
      <c r="I39" s="16">
        <f t="shared" si="4"/>
        <v>0</v>
      </c>
      <c r="J39" s="16"/>
      <c r="K39" s="11"/>
      <c r="L39" s="16"/>
      <c r="M39" s="16"/>
      <c r="N39" s="16"/>
      <c r="O39" s="16"/>
      <c r="P39" s="16"/>
      <c r="Q39" s="16"/>
      <c r="R39" s="35"/>
      <c r="S39" s="43"/>
      <c r="T39" s="46"/>
      <c r="U39" s="51">
        <f t="shared" si="5"/>
        <v>0</v>
      </c>
      <c r="V39" s="17" t="str">
        <f t="shared" si="3"/>
        <v>OK</v>
      </c>
    </row>
    <row r="40" spans="1:22" ht="17.25" hidden="1" thickBot="1" x14ac:dyDescent="0.35">
      <c r="A40" s="63" t="s">
        <v>74</v>
      </c>
      <c r="B40" s="63">
        <v>5619</v>
      </c>
      <c r="C40" s="18" t="s">
        <v>60</v>
      </c>
      <c r="D40" s="19"/>
      <c r="E40" s="19"/>
      <c r="F40" s="19"/>
      <c r="G40" s="20"/>
      <c r="H40" s="21"/>
      <c r="I40" s="22">
        <f t="shared" si="4"/>
        <v>0</v>
      </c>
      <c r="J40" s="22"/>
      <c r="K40" s="11"/>
      <c r="L40" s="22"/>
      <c r="M40" s="22"/>
      <c r="N40" s="22"/>
      <c r="O40" s="22"/>
      <c r="P40" s="22"/>
      <c r="Q40" s="22"/>
      <c r="R40" s="36"/>
      <c r="S40" s="44"/>
      <c r="T40" s="47"/>
      <c r="U40" s="52">
        <f t="shared" si="5"/>
        <v>0</v>
      </c>
      <c r="V40" s="23" t="str">
        <f t="shared" si="3"/>
        <v>OK</v>
      </c>
    </row>
    <row r="41" spans="1:22" ht="17.25" hidden="1" thickBot="1" x14ac:dyDescent="0.35">
      <c r="A41" s="64" t="s">
        <v>61</v>
      </c>
      <c r="B41" s="62">
        <v>11347</v>
      </c>
      <c r="C41" s="12" t="s">
        <v>60</v>
      </c>
      <c r="D41" s="53"/>
      <c r="E41" s="13"/>
      <c r="F41" s="13"/>
      <c r="G41" s="14"/>
      <c r="H41" s="15"/>
      <c r="I41" s="16">
        <f t="shared" si="4"/>
        <v>0</v>
      </c>
      <c r="J41" s="16"/>
      <c r="K41" s="11"/>
      <c r="L41" s="16"/>
      <c r="M41" s="16"/>
      <c r="N41" s="16"/>
      <c r="O41" s="16"/>
      <c r="P41" s="16"/>
      <c r="Q41" s="16"/>
      <c r="R41" s="35"/>
      <c r="S41" s="43"/>
      <c r="T41" s="46"/>
      <c r="U41" s="51">
        <f t="shared" si="5"/>
        <v>0</v>
      </c>
      <c r="V41" s="17" t="str">
        <f t="shared" si="3"/>
        <v>OK</v>
      </c>
    </row>
    <row r="42" spans="1:22" ht="17.25" hidden="1" thickBot="1" x14ac:dyDescent="0.35">
      <c r="A42" s="54" t="s">
        <v>75</v>
      </c>
      <c r="B42" s="63">
        <v>5611</v>
      </c>
      <c r="C42" s="18" t="s">
        <v>62</v>
      </c>
      <c r="D42" s="19"/>
      <c r="E42" s="19"/>
      <c r="F42" s="19"/>
      <c r="G42" s="20"/>
      <c r="H42" s="21"/>
      <c r="I42" s="22">
        <f t="shared" si="4"/>
        <v>0</v>
      </c>
      <c r="J42" s="22"/>
      <c r="K42" s="11"/>
      <c r="L42" s="22"/>
      <c r="M42" s="22"/>
      <c r="N42" s="22"/>
      <c r="O42" s="22"/>
      <c r="P42" s="22"/>
      <c r="Q42" s="22"/>
      <c r="R42" s="36"/>
      <c r="S42" s="44"/>
      <c r="T42" s="47"/>
      <c r="U42" s="52">
        <f t="shared" si="5"/>
        <v>0</v>
      </c>
      <c r="V42" s="23" t="str">
        <f t="shared" si="3"/>
        <v>OK</v>
      </c>
    </row>
    <row r="43" spans="1:22" ht="17.25" hidden="1" thickBot="1" x14ac:dyDescent="0.35">
      <c r="A43" s="12" t="s">
        <v>63</v>
      </c>
      <c r="B43" s="62">
        <v>11336</v>
      </c>
      <c r="C43" s="12" t="s">
        <v>62</v>
      </c>
      <c r="D43" s="53"/>
      <c r="E43" s="13"/>
      <c r="F43" s="13"/>
      <c r="G43" s="14"/>
      <c r="H43" s="15"/>
      <c r="I43" s="16">
        <f t="shared" si="4"/>
        <v>0</v>
      </c>
      <c r="J43" s="16"/>
      <c r="K43" s="11"/>
      <c r="L43" s="16"/>
      <c r="M43" s="16"/>
      <c r="N43" s="16"/>
      <c r="O43" s="16"/>
      <c r="P43" s="16"/>
      <c r="Q43" s="16"/>
      <c r="R43" s="35"/>
      <c r="S43" s="43"/>
      <c r="T43" s="46"/>
      <c r="U43" s="51">
        <f t="shared" si="5"/>
        <v>0</v>
      </c>
      <c r="V43" s="17" t="str">
        <f t="shared" si="3"/>
        <v>OK</v>
      </c>
    </row>
    <row r="44" spans="1:22" ht="17.25" hidden="1" thickBot="1" x14ac:dyDescent="0.35">
      <c r="A44" s="54" t="s">
        <v>100</v>
      </c>
      <c r="B44" s="63">
        <v>14860</v>
      </c>
      <c r="C44" s="18" t="s">
        <v>56</v>
      </c>
      <c r="D44" s="19"/>
      <c r="E44" s="19"/>
      <c r="F44" s="19"/>
      <c r="G44" s="20"/>
      <c r="H44" s="21"/>
      <c r="I44" s="22">
        <f t="shared" si="4"/>
        <v>0</v>
      </c>
      <c r="J44" s="22"/>
      <c r="K44" s="11"/>
      <c r="L44" s="22"/>
      <c r="M44" s="22"/>
      <c r="N44" s="22"/>
      <c r="O44" s="22"/>
      <c r="P44" s="22"/>
      <c r="Q44" s="22"/>
      <c r="R44" s="36"/>
      <c r="S44" s="44"/>
      <c r="T44" s="47"/>
      <c r="U44" s="52">
        <f t="shared" si="5"/>
        <v>0</v>
      </c>
      <c r="V44" s="23" t="str">
        <f t="shared" si="3"/>
        <v>OK</v>
      </c>
    </row>
    <row r="45" spans="1:22" ht="17.25" hidden="1" thickBot="1" x14ac:dyDescent="0.35">
      <c r="A45" s="64" t="s">
        <v>83</v>
      </c>
      <c r="B45" s="62">
        <v>14861</v>
      </c>
      <c r="C45" s="12" t="s">
        <v>56</v>
      </c>
      <c r="D45" s="53"/>
      <c r="E45" s="13"/>
      <c r="F45" s="13"/>
      <c r="G45" s="14"/>
      <c r="H45" s="15"/>
      <c r="I45" s="16">
        <f t="shared" si="4"/>
        <v>0</v>
      </c>
      <c r="J45" s="16"/>
      <c r="K45" s="11"/>
      <c r="L45" s="16"/>
      <c r="M45" s="16"/>
      <c r="N45" s="16"/>
      <c r="O45" s="16"/>
      <c r="P45" s="16"/>
      <c r="Q45" s="16"/>
      <c r="R45" s="35"/>
      <c r="S45" s="43"/>
      <c r="T45" s="46"/>
      <c r="U45" s="51">
        <f t="shared" si="5"/>
        <v>0</v>
      </c>
      <c r="V45" s="17" t="str">
        <f t="shared" si="3"/>
        <v>OK</v>
      </c>
    </row>
    <row r="46" spans="1:22" ht="17.25" hidden="1" thickBot="1" x14ac:dyDescent="0.35">
      <c r="A46" s="54" t="s">
        <v>101</v>
      </c>
      <c r="B46" s="63">
        <v>15096</v>
      </c>
      <c r="C46" s="18" t="s">
        <v>56</v>
      </c>
      <c r="D46" s="19"/>
      <c r="E46" s="19"/>
      <c r="F46" s="19"/>
      <c r="G46" s="20"/>
      <c r="H46" s="21"/>
      <c r="I46" s="22">
        <f t="shared" si="4"/>
        <v>0</v>
      </c>
      <c r="J46" s="22"/>
      <c r="K46" s="11"/>
      <c r="L46" s="22"/>
      <c r="M46" s="22"/>
      <c r="N46" s="22"/>
      <c r="O46" s="22"/>
      <c r="P46" s="22"/>
      <c r="Q46" s="22"/>
      <c r="R46" s="36"/>
      <c r="S46" s="44"/>
      <c r="T46" s="47"/>
      <c r="U46" s="52">
        <f t="shared" si="5"/>
        <v>0</v>
      </c>
      <c r="V46" s="23" t="str">
        <f t="shared" si="3"/>
        <v>OK</v>
      </c>
    </row>
    <row r="47" spans="1:22" ht="17.25" hidden="1" thickBot="1" x14ac:dyDescent="0.35">
      <c r="A47" s="12" t="s">
        <v>81</v>
      </c>
      <c r="B47" s="62">
        <v>15097</v>
      </c>
      <c r="C47" s="12" t="s">
        <v>56</v>
      </c>
      <c r="D47" s="53"/>
      <c r="E47" s="13"/>
      <c r="F47" s="13"/>
      <c r="G47" s="14"/>
      <c r="H47" s="15"/>
      <c r="I47" s="16">
        <f t="shared" si="4"/>
        <v>0</v>
      </c>
      <c r="J47" s="16"/>
      <c r="K47" s="11"/>
      <c r="L47" s="16"/>
      <c r="M47" s="16"/>
      <c r="N47" s="16"/>
      <c r="O47" s="16"/>
      <c r="P47" s="16"/>
      <c r="Q47" s="16"/>
      <c r="R47" s="35"/>
      <c r="S47" s="43"/>
      <c r="T47" s="46"/>
      <c r="U47" s="51">
        <f t="shared" si="5"/>
        <v>0</v>
      </c>
      <c r="V47" s="17" t="str">
        <f t="shared" si="3"/>
        <v>OK</v>
      </c>
    </row>
    <row r="48" spans="1:22" ht="17.25" hidden="1" thickBot="1" x14ac:dyDescent="0.35">
      <c r="A48" s="54" t="s">
        <v>76</v>
      </c>
      <c r="B48" s="63">
        <v>5585</v>
      </c>
      <c r="C48" s="18" t="s">
        <v>64</v>
      </c>
      <c r="D48" s="19"/>
      <c r="E48" s="19"/>
      <c r="F48" s="19"/>
      <c r="G48" s="20"/>
      <c r="H48" s="21"/>
      <c r="I48" s="22">
        <f t="shared" si="4"/>
        <v>0</v>
      </c>
      <c r="J48" s="22"/>
      <c r="K48" s="11"/>
      <c r="L48" s="22"/>
      <c r="M48" s="22"/>
      <c r="N48" s="22"/>
      <c r="O48" s="22"/>
      <c r="P48" s="22"/>
      <c r="Q48" s="22"/>
      <c r="R48" s="36"/>
      <c r="S48" s="44"/>
      <c r="T48" s="47"/>
      <c r="U48" s="52">
        <f t="shared" si="5"/>
        <v>0</v>
      </c>
      <c r="V48" s="23" t="str">
        <f t="shared" si="3"/>
        <v>OK</v>
      </c>
    </row>
    <row r="49" spans="1:22" ht="17.25" hidden="1" thickBot="1" x14ac:dyDescent="0.35">
      <c r="A49" s="12" t="s">
        <v>65</v>
      </c>
      <c r="B49" s="62">
        <v>11351</v>
      </c>
      <c r="C49" s="12" t="s">
        <v>64</v>
      </c>
      <c r="D49" s="53"/>
      <c r="E49" s="13"/>
      <c r="F49" s="13"/>
      <c r="G49" s="14"/>
      <c r="H49" s="15"/>
      <c r="I49" s="16">
        <f t="shared" si="4"/>
        <v>0</v>
      </c>
      <c r="J49" s="16"/>
      <c r="K49" s="11"/>
      <c r="L49" s="16"/>
      <c r="M49" s="16"/>
      <c r="N49" s="16"/>
      <c r="O49" s="16"/>
      <c r="P49" s="16"/>
      <c r="Q49" s="16"/>
      <c r="R49" s="35"/>
      <c r="S49" s="43"/>
      <c r="T49" s="46"/>
      <c r="U49" s="51">
        <f t="shared" si="5"/>
        <v>0</v>
      </c>
      <c r="V49" s="17" t="str">
        <f t="shared" si="3"/>
        <v>OK</v>
      </c>
    </row>
    <row r="50" spans="1:22" ht="17.25" hidden="1" thickBot="1" x14ac:dyDescent="0.35">
      <c r="A50" s="54" t="s">
        <v>66</v>
      </c>
      <c r="B50" s="63">
        <v>11352</v>
      </c>
      <c r="C50" s="18" t="s">
        <v>64</v>
      </c>
      <c r="D50" s="19"/>
      <c r="E50" s="19"/>
      <c r="F50" s="19"/>
      <c r="G50" s="20"/>
      <c r="H50" s="21"/>
      <c r="I50" s="22">
        <f t="shared" si="4"/>
        <v>0</v>
      </c>
      <c r="J50" s="22"/>
      <c r="K50" s="11"/>
      <c r="L50" s="22"/>
      <c r="M50" s="22"/>
      <c r="N50" s="22"/>
      <c r="O50" s="22"/>
      <c r="P50" s="22"/>
      <c r="Q50" s="22"/>
      <c r="R50" s="36"/>
      <c r="S50" s="44"/>
      <c r="T50" s="47"/>
      <c r="U50" s="52">
        <f t="shared" si="5"/>
        <v>0</v>
      </c>
      <c r="V50" s="23" t="str">
        <f t="shared" si="3"/>
        <v>OK</v>
      </c>
    </row>
    <row r="51" spans="1:22" ht="17.25" hidden="1" thickBot="1" x14ac:dyDescent="0.35">
      <c r="A51" s="90" t="s">
        <v>102</v>
      </c>
      <c r="B51" s="76">
        <v>13515</v>
      </c>
      <c r="C51" s="70" t="s">
        <v>78</v>
      </c>
      <c r="D51" s="70"/>
      <c r="E51" s="70"/>
      <c r="F51" s="70"/>
      <c r="G51" s="91"/>
      <c r="H51" s="82"/>
      <c r="I51" s="82">
        <f t="shared" si="4"/>
        <v>0</v>
      </c>
      <c r="J51" s="74"/>
      <c r="K51" s="11"/>
      <c r="L51" s="16"/>
      <c r="M51" s="16"/>
      <c r="N51" s="16"/>
      <c r="O51" s="16"/>
      <c r="P51" s="16"/>
      <c r="Q51" s="16"/>
      <c r="R51" s="35"/>
      <c r="S51" s="43"/>
      <c r="T51" s="46"/>
      <c r="U51" s="75">
        <f t="shared" si="5"/>
        <v>0</v>
      </c>
      <c r="V51" s="93" t="str">
        <f t="shared" si="3"/>
        <v>OK</v>
      </c>
    </row>
    <row r="52" spans="1:22" ht="17.25" hidden="1" thickBot="1" x14ac:dyDescent="0.35">
      <c r="A52" s="54" t="s">
        <v>103</v>
      </c>
      <c r="B52" s="63">
        <v>13516</v>
      </c>
      <c r="C52" s="18" t="s">
        <v>78</v>
      </c>
      <c r="D52" s="18"/>
      <c r="E52" s="18"/>
      <c r="F52" s="18"/>
      <c r="G52" s="92"/>
      <c r="H52" s="22"/>
      <c r="I52" s="22">
        <f t="shared" si="4"/>
        <v>0</v>
      </c>
      <c r="J52" s="69"/>
      <c r="K52" s="11"/>
      <c r="L52" s="22"/>
      <c r="M52" s="22"/>
      <c r="N52" s="22"/>
      <c r="O52" s="22"/>
      <c r="P52" s="22"/>
      <c r="Q52" s="22"/>
      <c r="R52" s="36"/>
      <c r="S52" s="44"/>
      <c r="T52" s="47"/>
      <c r="U52" s="52">
        <f t="shared" si="5"/>
        <v>0</v>
      </c>
      <c r="V52" s="23" t="str">
        <f t="shared" si="3"/>
        <v>OK</v>
      </c>
    </row>
    <row r="53" spans="1:22" ht="17.25" hidden="1" thickBot="1" x14ac:dyDescent="0.35">
      <c r="A53" s="90" t="s">
        <v>104</v>
      </c>
      <c r="B53" s="76">
        <v>13468</v>
      </c>
      <c r="C53" s="70" t="s">
        <v>78</v>
      </c>
      <c r="D53" s="70"/>
      <c r="E53" s="70"/>
      <c r="F53" s="70"/>
      <c r="G53" s="91"/>
      <c r="H53" s="82"/>
      <c r="I53" s="82">
        <f t="shared" si="4"/>
        <v>0</v>
      </c>
      <c r="J53" s="74"/>
      <c r="K53" s="11"/>
      <c r="L53" s="16"/>
      <c r="M53" s="16"/>
      <c r="N53" s="16"/>
      <c r="O53" s="16"/>
      <c r="P53" s="16"/>
      <c r="Q53" s="16"/>
      <c r="R53" s="35"/>
      <c r="S53" s="43"/>
      <c r="T53" s="46"/>
      <c r="U53" s="75">
        <f t="shared" si="5"/>
        <v>0</v>
      </c>
      <c r="V53" s="93" t="str">
        <f t="shared" si="3"/>
        <v>OK</v>
      </c>
    </row>
    <row r="54" spans="1:22" ht="17.25" hidden="1" thickBot="1" x14ac:dyDescent="0.35">
      <c r="A54" s="54" t="s">
        <v>79</v>
      </c>
      <c r="B54" s="63">
        <v>13469</v>
      </c>
      <c r="C54" s="18" t="s">
        <v>78</v>
      </c>
      <c r="D54" s="18"/>
      <c r="E54" s="18"/>
      <c r="F54" s="18"/>
      <c r="G54" s="92"/>
      <c r="H54" s="22"/>
      <c r="I54" s="22">
        <f t="shared" si="4"/>
        <v>0</v>
      </c>
      <c r="J54" s="69"/>
      <c r="K54" s="11"/>
      <c r="L54" s="22"/>
      <c r="M54" s="22"/>
      <c r="N54" s="22"/>
      <c r="O54" s="22"/>
      <c r="P54" s="22"/>
      <c r="Q54" s="22"/>
      <c r="R54" s="36"/>
      <c r="S54" s="44"/>
      <c r="T54" s="47"/>
      <c r="U54" s="52">
        <f t="shared" si="5"/>
        <v>0</v>
      </c>
      <c r="V54" s="23" t="str">
        <f t="shared" si="3"/>
        <v>OK</v>
      </c>
    </row>
    <row r="55" spans="1:22" ht="17.25" hidden="1" thickBot="1" x14ac:dyDescent="0.35">
      <c r="A55" s="90" t="s">
        <v>43</v>
      </c>
      <c r="B55" s="76">
        <v>11820</v>
      </c>
      <c r="C55" s="70" t="s">
        <v>67</v>
      </c>
      <c r="D55" s="70"/>
      <c r="E55" s="70"/>
      <c r="F55" s="70"/>
      <c r="G55" s="91"/>
      <c r="H55" s="82"/>
      <c r="I55" s="82">
        <f t="shared" si="4"/>
        <v>0</v>
      </c>
      <c r="J55" s="74"/>
      <c r="K55" s="11"/>
      <c r="L55" s="16"/>
      <c r="M55" s="16"/>
      <c r="N55" s="16"/>
      <c r="O55" s="16"/>
      <c r="P55" s="16"/>
      <c r="Q55" s="16"/>
      <c r="R55" s="35"/>
      <c r="S55" s="43"/>
      <c r="T55" s="46"/>
      <c r="U55" s="75">
        <f t="shared" si="5"/>
        <v>0</v>
      </c>
      <c r="V55" s="93" t="str">
        <f t="shared" si="3"/>
        <v>OK</v>
      </c>
    </row>
    <row r="56" spans="1:22" ht="17.25" hidden="1" thickBot="1" x14ac:dyDescent="0.35">
      <c r="A56" s="54" t="s">
        <v>44</v>
      </c>
      <c r="B56" s="63">
        <v>11816</v>
      </c>
      <c r="C56" s="18" t="s">
        <v>67</v>
      </c>
      <c r="D56" s="18"/>
      <c r="E56" s="18"/>
      <c r="F56" s="18"/>
      <c r="G56" s="92"/>
      <c r="H56" s="22"/>
      <c r="I56" s="22">
        <f t="shared" si="4"/>
        <v>0</v>
      </c>
      <c r="J56" s="69"/>
      <c r="K56" s="11"/>
      <c r="L56" s="22"/>
      <c r="M56" s="22"/>
      <c r="N56" s="22"/>
      <c r="O56" s="22"/>
      <c r="P56" s="22"/>
      <c r="Q56" s="22"/>
      <c r="R56" s="36"/>
      <c r="S56" s="44"/>
      <c r="T56" s="47"/>
      <c r="U56" s="52">
        <f>SUM(L56:T56)</f>
        <v>0</v>
      </c>
      <c r="V56" s="23" t="str">
        <f t="shared" si="3"/>
        <v>OK</v>
      </c>
    </row>
    <row r="57" spans="1:22" ht="17.25" hidden="1" thickBot="1" x14ac:dyDescent="0.35">
      <c r="A57" s="76" t="s">
        <v>77</v>
      </c>
      <c r="B57" s="76">
        <v>11381</v>
      </c>
      <c r="C57" s="77" t="s">
        <v>68</v>
      </c>
      <c r="D57" s="70"/>
      <c r="E57" s="70"/>
      <c r="F57" s="70"/>
      <c r="G57" s="91"/>
      <c r="H57" s="82"/>
      <c r="I57" s="82">
        <f t="shared" si="4"/>
        <v>0</v>
      </c>
      <c r="J57" s="74"/>
      <c r="K57" s="11"/>
      <c r="L57" s="16"/>
      <c r="M57" s="16"/>
      <c r="N57" s="16"/>
      <c r="O57" s="16"/>
      <c r="P57" s="16"/>
      <c r="Q57" s="16"/>
      <c r="R57" s="35"/>
      <c r="S57" s="43"/>
      <c r="T57" s="46"/>
      <c r="U57" s="75">
        <f>SUM(L57:T57)</f>
        <v>0</v>
      </c>
      <c r="V57" s="93" t="str">
        <f t="shared" si="3"/>
        <v>OK</v>
      </c>
    </row>
    <row r="58" spans="1:22" ht="17.25" hidden="1" thickBot="1" x14ac:dyDescent="0.35">
      <c r="A58" s="54" t="s">
        <v>69</v>
      </c>
      <c r="B58" s="63">
        <v>11382</v>
      </c>
      <c r="C58" s="18" t="s">
        <v>68</v>
      </c>
      <c r="D58" s="18"/>
      <c r="E58" s="18"/>
      <c r="F58" s="18"/>
      <c r="G58" s="92"/>
      <c r="H58" s="22"/>
      <c r="I58" s="22">
        <f t="shared" si="4"/>
        <v>0</v>
      </c>
      <c r="J58" s="69"/>
      <c r="K58" s="11"/>
      <c r="L58" s="22"/>
      <c r="M58" s="22"/>
      <c r="N58" s="22"/>
      <c r="O58" s="22"/>
      <c r="P58" s="22"/>
      <c r="Q58" s="22"/>
      <c r="R58" s="36"/>
      <c r="S58" s="44"/>
      <c r="T58" s="47"/>
      <c r="U58" s="52">
        <f>SUM(L58:T58)</f>
        <v>0</v>
      </c>
      <c r="V58" s="23" t="str">
        <f t="shared" si="3"/>
        <v>OK</v>
      </c>
    </row>
    <row r="59" spans="1:22" ht="17.25" hidden="1" thickBot="1" x14ac:dyDescent="0.35">
      <c r="A59" s="96" t="s">
        <v>105</v>
      </c>
      <c r="B59" s="76">
        <v>16586</v>
      </c>
      <c r="C59" s="70" t="s">
        <v>78</v>
      </c>
      <c r="D59" s="70"/>
      <c r="E59" s="70"/>
      <c r="F59" s="70"/>
      <c r="G59" s="91"/>
      <c r="H59" s="82"/>
      <c r="I59" s="82">
        <f t="shared" si="4"/>
        <v>0</v>
      </c>
      <c r="J59" s="74"/>
      <c r="K59" s="11"/>
      <c r="L59" s="16"/>
      <c r="M59" s="16"/>
      <c r="N59" s="16"/>
      <c r="O59" s="16"/>
      <c r="P59" s="16"/>
      <c r="Q59" s="16"/>
      <c r="R59" s="35"/>
      <c r="S59" s="43"/>
      <c r="T59" s="46"/>
      <c r="U59" s="75">
        <f t="shared" ref="U59:U69" si="6">SUM(L59:T59)</f>
        <v>0</v>
      </c>
      <c r="V59" s="93" t="str">
        <f t="shared" si="3"/>
        <v>OK</v>
      </c>
    </row>
    <row r="60" spans="1:22" ht="17.25" hidden="1" thickBot="1" x14ac:dyDescent="0.35">
      <c r="A60" s="54" t="s">
        <v>90</v>
      </c>
      <c r="B60" s="63">
        <v>16587</v>
      </c>
      <c r="C60" s="18" t="s">
        <v>78</v>
      </c>
      <c r="D60" s="18"/>
      <c r="E60" s="18"/>
      <c r="F60" s="18"/>
      <c r="G60" s="92"/>
      <c r="H60" s="22"/>
      <c r="I60" s="22">
        <f t="shared" si="4"/>
        <v>0</v>
      </c>
      <c r="J60" s="69"/>
      <c r="K60" s="11"/>
      <c r="L60" s="22"/>
      <c r="M60" s="22"/>
      <c r="N60" s="22"/>
      <c r="O60" s="22"/>
      <c r="P60" s="22"/>
      <c r="Q60" s="22"/>
      <c r="R60" s="36"/>
      <c r="S60" s="44"/>
      <c r="T60" s="47"/>
      <c r="U60" s="52">
        <f t="shared" si="6"/>
        <v>0</v>
      </c>
      <c r="V60" s="23" t="str">
        <f t="shared" si="3"/>
        <v>OK</v>
      </c>
    </row>
    <row r="61" spans="1:22" ht="17.25" hidden="1" thickBot="1" x14ac:dyDescent="0.35">
      <c r="A61" s="90" t="s">
        <v>91</v>
      </c>
      <c r="B61" s="76">
        <v>17121</v>
      </c>
      <c r="C61" s="70" t="s">
        <v>92</v>
      </c>
      <c r="D61" s="70"/>
      <c r="E61" s="70"/>
      <c r="F61" s="70"/>
      <c r="G61" s="91"/>
      <c r="H61" s="82"/>
      <c r="I61" s="82">
        <f t="shared" si="4"/>
        <v>0</v>
      </c>
      <c r="J61" s="74"/>
      <c r="K61" s="11"/>
      <c r="L61" s="16"/>
      <c r="M61" s="16"/>
      <c r="N61" s="16"/>
      <c r="O61" s="16"/>
      <c r="P61" s="16"/>
      <c r="Q61" s="16"/>
      <c r="R61" s="35"/>
      <c r="S61" s="43"/>
      <c r="T61" s="46"/>
      <c r="U61" s="75">
        <f t="shared" si="6"/>
        <v>0</v>
      </c>
      <c r="V61" s="93" t="str">
        <f t="shared" si="3"/>
        <v>OK</v>
      </c>
    </row>
    <row r="62" spans="1:22" ht="17.25" hidden="1" thickBot="1" x14ac:dyDescent="0.35">
      <c r="A62" s="54" t="s">
        <v>106</v>
      </c>
      <c r="B62" s="63">
        <v>19270</v>
      </c>
      <c r="C62" s="18" t="s">
        <v>68</v>
      </c>
      <c r="D62" s="18"/>
      <c r="E62" s="18"/>
      <c r="F62" s="18"/>
      <c r="G62" s="92"/>
      <c r="H62" s="22"/>
      <c r="I62" s="22">
        <f t="shared" si="4"/>
        <v>0</v>
      </c>
      <c r="J62" s="69"/>
      <c r="K62" s="11"/>
      <c r="L62" s="22"/>
      <c r="M62" s="22"/>
      <c r="N62" s="22"/>
      <c r="O62" s="22"/>
      <c r="P62" s="22"/>
      <c r="Q62" s="22"/>
      <c r="R62" s="36"/>
      <c r="S62" s="44"/>
      <c r="T62" s="47"/>
      <c r="U62" s="71">
        <f t="shared" si="6"/>
        <v>0</v>
      </c>
      <c r="V62" s="23" t="str">
        <f t="shared" si="3"/>
        <v>OK</v>
      </c>
    </row>
    <row r="63" spans="1:22" ht="17.25" hidden="1" thickBot="1" x14ac:dyDescent="0.35">
      <c r="A63" s="90" t="s">
        <v>107</v>
      </c>
      <c r="B63" s="76">
        <v>19276</v>
      </c>
      <c r="C63" s="70" t="s">
        <v>68</v>
      </c>
      <c r="D63" s="70"/>
      <c r="E63" s="70"/>
      <c r="F63" s="70"/>
      <c r="G63" s="91"/>
      <c r="H63" s="82"/>
      <c r="I63" s="82">
        <f t="shared" si="4"/>
        <v>0</v>
      </c>
      <c r="J63" s="74"/>
      <c r="K63" s="11"/>
      <c r="L63" s="16"/>
      <c r="M63" s="16"/>
      <c r="N63" s="16"/>
      <c r="O63" s="16"/>
      <c r="P63" s="16"/>
      <c r="Q63" s="16"/>
      <c r="R63" s="35"/>
      <c r="S63" s="43"/>
      <c r="T63" s="46"/>
      <c r="U63" s="75">
        <f t="shared" si="6"/>
        <v>0</v>
      </c>
      <c r="V63" s="93" t="str">
        <f t="shared" si="3"/>
        <v>OK</v>
      </c>
    </row>
    <row r="64" spans="1:22" ht="17.25" hidden="1" thickBot="1" x14ac:dyDescent="0.35">
      <c r="A64" s="54" t="s">
        <v>108</v>
      </c>
      <c r="B64" s="63">
        <v>19836</v>
      </c>
      <c r="C64" s="18" t="s">
        <v>45</v>
      </c>
      <c r="D64" s="18"/>
      <c r="E64" s="18"/>
      <c r="F64" s="18"/>
      <c r="G64" s="92"/>
      <c r="H64" s="22"/>
      <c r="I64" s="22">
        <f t="shared" si="4"/>
        <v>0</v>
      </c>
      <c r="J64" s="69"/>
      <c r="K64" s="11"/>
      <c r="L64" s="22"/>
      <c r="M64" s="22"/>
      <c r="N64" s="22"/>
      <c r="O64" s="22"/>
      <c r="P64" s="22"/>
      <c r="Q64" s="22"/>
      <c r="R64" s="36"/>
      <c r="S64" s="44"/>
      <c r="T64" s="47"/>
      <c r="U64" s="52">
        <f t="shared" si="6"/>
        <v>0</v>
      </c>
      <c r="V64" s="23" t="str">
        <f t="shared" si="3"/>
        <v>OK</v>
      </c>
    </row>
    <row r="65" spans="1:22" ht="17.25" hidden="1" thickBot="1" x14ac:dyDescent="0.35">
      <c r="A65" s="90" t="s">
        <v>109</v>
      </c>
      <c r="B65" s="76">
        <v>20278</v>
      </c>
      <c r="C65" s="70" t="s">
        <v>110</v>
      </c>
      <c r="D65" s="70"/>
      <c r="E65" s="70"/>
      <c r="F65" s="70"/>
      <c r="G65" s="91"/>
      <c r="H65" s="82"/>
      <c r="I65" s="82">
        <f t="shared" si="4"/>
        <v>0</v>
      </c>
      <c r="J65" s="74"/>
      <c r="K65" s="11"/>
      <c r="L65" s="16"/>
      <c r="M65" s="16"/>
      <c r="N65" s="16"/>
      <c r="O65" s="16"/>
      <c r="P65" s="16"/>
      <c r="Q65" s="16"/>
      <c r="R65" s="35"/>
      <c r="S65" s="43"/>
      <c r="T65" s="46"/>
      <c r="U65" s="75">
        <f t="shared" si="6"/>
        <v>0</v>
      </c>
      <c r="V65" s="93" t="str">
        <f t="shared" si="3"/>
        <v>OK</v>
      </c>
    </row>
    <row r="66" spans="1:22" ht="17.25" hidden="1" thickBot="1" x14ac:dyDescent="0.35">
      <c r="A66" s="54" t="s">
        <v>111</v>
      </c>
      <c r="B66" s="63">
        <v>20272</v>
      </c>
      <c r="C66" s="18" t="s">
        <v>110</v>
      </c>
      <c r="D66" s="18"/>
      <c r="E66" s="18"/>
      <c r="F66" s="18"/>
      <c r="G66" s="92"/>
      <c r="H66" s="22"/>
      <c r="I66" s="22">
        <f t="shared" si="4"/>
        <v>0</v>
      </c>
      <c r="J66" s="69"/>
      <c r="K66" s="11"/>
      <c r="L66" s="22"/>
      <c r="M66" s="22"/>
      <c r="N66" s="22"/>
      <c r="O66" s="22"/>
      <c r="P66" s="22"/>
      <c r="Q66" s="22"/>
      <c r="R66" s="36"/>
      <c r="S66" s="44"/>
      <c r="T66" s="47"/>
      <c r="U66" s="52">
        <f t="shared" si="6"/>
        <v>0</v>
      </c>
      <c r="V66" s="23" t="str">
        <f t="shared" si="3"/>
        <v>OK</v>
      </c>
    </row>
    <row r="67" spans="1:22" ht="17.25" hidden="1" thickBot="1" x14ac:dyDescent="0.35">
      <c r="A67" s="90" t="s">
        <v>112</v>
      </c>
      <c r="B67" s="76">
        <v>20956</v>
      </c>
      <c r="C67" s="70" t="s">
        <v>110</v>
      </c>
      <c r="D67" s="70"/>
      <c r="E67" s="70"/>
      <c r="F67" s="70"/>
      <c r="G67" s="91"/>
      <c r="H67" s="82"/>
      <c r="I67" s="82">
        <f t="shared" si="4"/>
        <v>0</v>
      </c>
      <c r="J67" s="74"/>
      <c r="K67" s="11"/>
      <c r="L67" s="16"/>
      <c r="M67" s="16"/>
      <c r="N67" s="16"/>
      <c r="O67" s="16"/>
      <c r="P67" s="16"/>
      <c r="Q67" s="16"/>
      <c r="R67" s="35"/>
      <c r="S67" s="43"/>
      <c r="T67" s="46"/>
      <c r="U67" s="75">
        <f t="shared" si="6"/>
        <v>0</v>
      </c>
      <c r="V67" s="93" t="str">
        <f t="shared" si="3"/>
        <v>OK</v>
      </c>
    </row>
    <row r="68" spans="1:22" ht="17.25" hidden="1" thickBot="1" x14ac:dyDescent="0.35">
      <c r="A68" s="54" t="s">
        <v>116</v>
      </c>
      <c r="B68" s="63">
        <v>21299</v>
      </c>
      <c r="C68" s="18" t="s">
        <v>78</v>
      </c>
      <c r="D68" s="18"/>
      <c r="E68" s="18"/>
      <c r="F68" s="18"/>
      <c r="G68" s="92"/>
      <c r="H68" s="22"/>
      <c r="I68" s="22">
        <f t="shared" si="4"/>
        <v>0</v>
      </c>
      <c r="J68" s="69"/>
      <c r="K68" s="11"/>
      <c r="L68" s="22"/>
      <c r="M68" s="22"/>
      <c r="N68" s="22"/>
      <c r="O68" s="22"/>
      <c r="P68" s="22"/>
      <c r="Q68" s="22"/>
      <c r="R68" s="36"/>
      <c r="S68" s="44"/>
      <c r="T68" s="47"/>
      <c r="U68" s="71">
        <f t="shared" si="6"/>
        <v>0</v>
      </c>
      <c r="V68" s="23" t="str">
        <f>IF(U68=I68,"OK","NG")</f>
        <v>OK</v>
      </c>
    </row>
    <row r="69" spans="1:22" ht="17.25" hidden="1" thickBot="1" x14ac:dyDescent="0.35">
      <c r="A69" s="99" t="s">
        <v>117</v>
      </c>
      <c r="B69" s="76">
        <v>22115</v>
      </c>
      <c r="C69" s="82" t="s">
        <v>118</v>
      </c>
      <c r="D69" s="82"/>
      <c r="E69" s="82"/>
      <c r="F69" s="82"/>
      <c r="G69" s="82"/>
      <c r="H69" s="82"/>
      <c r="I69" s="82">
        <f t="shared" si="4"/>
        <v>0</v>
      </c>
      <c r="J69" s="97"/>
      <c r="K69" s="112"/>
      <c r="L69" s="82"/>
      <c r="M69" s="82"/>
      <c r="N69" s="82"/>
      <c r="O69" s="82"/>
      <c r="P69" s="82"/>
      <c r="Q69" s="82"/>
      <c r="R69" s="83"/>
      <c r="S69" s="84"/>
      <c r="T69" s="100"/>
      <c r="U69" s="75">
        <f t="shared" si="6"/>
        <v>0</v>
      </c>
      <c r="V69" s="93" t="str">
        <f>IF(U69=I69,"OK","NG")</f>
        <v>OK</v>
      </c>
    </row>
    <row r="70" spans="1:22" ht="17.25" hidden="1" thickBot="1" x14ac:dyDescent="0.35">
      <c r="A70" s="54" t="s">
        <v>120</v>
      </c>
      <c r="B70" s="63">
        <v>22706</v>
      </c>
      <c r="C70" s="18" t="s">
        <v>119</v>
      </c>
      <c r="D70" s="18"/>
      <c r="E70" s="18"/>
      <c r="F70" s="18"/>
      <c r="G70" s="92"/>
      <c r="H70" s="22"/>
      <c r="I70" s="22">
        <f t="shared" si="4"/>
        <v>0</v>
      </c>
      <c r="J70" s="69"/>
      <c r="K70" s="11"/>
      <c r="L70" s="22"/>
      <c r="M70" s="22"/>
      <c r="N70" s="22"/>
      <c r="O70" s="22"/>
      <c r="P70" s="22"/>
      <c r="Q70" s="22"/>
      <c r="R70" s="36"/>
      <c r="S70" s="44"/>
      <c r="T70" s="47"/>
      <c r="U70" s="71">
        <f t="shared" ref="U70" si="7">SUM(L70:T70)</f>
        <v>0</v>
      </c>
      <c r="V70" s="23" t="str">
        <f>IF(U70=I70,"OK","NG")</f>
        <v>OK</v>
      </c>
    </row>
    <row r="71" spans="1:22" ht="17.25" hidden="1" thickBot="1" x14ac:dyDescent="0.35">
      <c r="A71" s="99" t="s">
        <v>121</v>
      </c>
      <c r="B71" s="76">
        <v>22886</v>
      </c>
      <c r="C71" s="82" t="s">
        <v>46</v>
      </c>
      <c r="D71" s="82"/>
      <c r="E71" s="82"/>
      <c r="F71" s="82"/>
      <c r="G71" s="82"/>
      <c r="H71" s="82"/>
      <c r="I71" s="82">
        <f t="shared" ref="I71:I79" si="8">SUM(L71:T71)</f>
        <v>0</v>
      </c>
      <c r="J71" s="97"/>
      <c r="K71" s="112"/>
      <c r="L71" s="82"/>
      <c r="M71" s="82"/>
      <c r="N71" s="82"/>
      <c r="O71" s="82"/>
      <c r="P71" s="82"/>
      <c r="Q71" s="82"/>
      <c r="R71" s="83"/>
      <c r="S71" s="84"/>
      <c r="T71" s="100"/>
      <c r="U71" s="75">
        <f>SUM(L71:T71)</f>
        <v>0</v>
      </c>
      <c r="V71" s="93" t="str">
        <f>IF(U71=I71,"OK","NG")</f>
        <v>OK</v>
      </c>
    </row>
    <row r="72" spans="1:22" ht="17.25" hidden="1" thickBot="1" x14ac:dyDescent="0.35">
      <c r="A72" s="54" t="s">
        <v>122</v>
      </c>
      <c r="B72" s="63">
        <v>17528</v>
      </c>
      <c r="C72" s="18" t="s">
        <v>123</v>
      </c>
      <c r="D72" s="18"/>
      <c r="E72" s="18"/>
      <c r="F72" s="18"/>
      <c r="G72" s="92"/>
      <c r="H72" s="22"/>
      <c r="I72" s="22">
        <f t="shared" si="8"/>
        <v>0</v>
      </c>
      <c r="J72" s="69"/>
      <c r="K72" s="11"/>
      <c r="L72" s="22"/>
      <c r="M72" s="22"/>
      <c r="N72" s="22"/>
      <c r="O72" s="22"/>
      <c r="P72" s="22"/>
      <c r="Q72" s="22"/>
      <c r="R72" s="36"/>
      <c r="S72" s="44"/>
      <c r="T72" s="47"/>
      <c r="U72" s="71">
        <f t="shared" ref="U72:U79" si="9">SUM(L72:T72)</f>
        <v>0</v>
      </c>
      <c r="V72" s="95" t="str">
        <f t="shared" ref="V72:V80" si="10">IF(U72=I72,"OK","NG")</f>
        <v>OK</v>
      </c>
    </row>
    <row r="73" spans="1:22" ht="17.25" hidden="1" thickBot="1" x14ac:dyDescent="0.35">
      <c r="A73" s="99" t="s">
        <v>124</v>
      </c>
      <c r="B73" s="76">
        <v>22380</v>
      </c>
      <c r="C73" s="82" t="s">
        <v>47</v>
      </c>
      <c r="D73" s="82"/>
      <c r="E73" s="82"/>
      <c r="F73" s="82"/>
      <c r="G73" s="82"/>
      <c r="H73" s="82"/>
      <c r="I73" s="82">
        <f t="shared" si="8"/>
        <v>0</v>
      </c>
      <c r="J73" s="97"/>
      <c r="K73" s="112"/>
      <c r="L73" s="82"/>
      <c r="M73" s="82"/>
      <c r="N73" s="82"/>
      <c r="O73" s="82"/>
      <c r="P73" s="82"/>
      <c r="Q73" s="82"/>
      <c r="R73" s="83"/>
      <c r="S73" s="84"/>
      <c r="T73" s="100"/>
      <c r="U73" s="75">
        <f t="shared" si="9"/>
        <v>0</v>
      </c>
      <c r="V73" s="93" t="str">
        <f t="shared" si="10"/>
        <v>OK</v>
      </c>
    </row>
    <row r="74" spans="1:22" ht="17.25" hidden="1" thickBot="1" x14ac:dyDescent="0.35">
      <c r="A74" s="54" t="s">
        <v>125</v>
      </c>
      <c r="B74" s="63">
        <v>19279</v>
      </c>
      <c r="C74" s="18" t="s">
        <v>126</v>
      </c>
      <c r="D74" s="18"/>
      <c r="E74" s="18"/>
      <c r="F74" s="18"/>
      <c r="G74" s="92"/>
      <c r="H74" s="22"/>
      <c r="I74" s="22">
        <f t="shared" si="8"/>
        <v>0</v>
      </c>
      <c r="J74" s="69"/>
      <c r="K74" s="11"/>
      <c r="L74" s="22"/>
      <c r="M74" s="22"/>
      <c r="N74" s="22"/>
      <c r="O74" s="22"/>
      <c r="P74" s="22"/>
      <c r="Q74" s="22"/>
      <c r="R74" s="36"/>
      <c r="S74" s="44"/>
      <c r="T74" s="47"/>
      <c r="U74" s="71">
        <f t="shared" si="9"/>
        <v>0</v>
      </c>
      <c r="V74" s="95" t="str">
        <f t="shared" si="10"/>
        <v>OK</v>
      </c>
    </row>
    <row r="75" spans="1:22" ht="17.25" hidden="1" thickBot="1" x14ac:dyDescent="0.35">
      <c r="A75" s="90" t="s">
        <v>131</v>
      </c>
      <c r="B75" s="76">
        <v>22724</v>
      </c>
      <c r="C75" s="70" t="s">
        <v>119</v>
      </c>
      <c r="D75" s="70"/>
      <c r="E75" s="70"/>
      <c r="F75" s="70"/>
      <c r="G75" s="91"/>
      <c r="H75" s="82"/>
      <c r="I75" s="82">
        <f t="shared" si="8"/>
        <v>0</v>
      </c>
      <c r="J75" s="74"/>
      <c r="K75" s="11"/>
      <c r="L75" s="82"/>
      <c r="M75" s="82"/>
      <c r="N75" s="82"/>
      <c r="O75" s="82"/>
      <c r="P75" s="82"/>
      <c r="Q75" s="82"/>
      <c r="R75" s="83"/>
      <c r="S75" s="84"/>
      <c r="T75" s="85"/>
      <c r="U75" s="75">
        <f>SUM(L75:T75)</f>
        <v>0</v>
      </c>
      <c r="V75" s="93" t="s">
        <v>129</v>
      </c>
    </row>
    <row r="76" spans="1:22" ht="17.25" hidden="1" thickBot="1" x14ac:dyDescent="0.35">
      <c r="A76" s="54" t="s">
        <v>133</v>
      </c>
      <c r="B76" s="63">
        <v>22705</v>
      </c>
      <c r="C76" s="18" t="s">
        <v>119</v>
      </c>
      <c r="D76" s="18"/>
      <c r="E76" s="18"/>
      <c r="F76" s="18"/>
      <c r="G76" s="92"/>
      <c r="H76" s="22"/>
      <c r="I76" s="22">
        <f t="shared" si="8"/>
        <v>0</v>
      </c>
      <c r="J76" s="69"/>
      <c r="K76" s="11"/>
      <c r="L76" s="22"/>
      <c r="M76" s="22"/>
      <c r="N76" s="22"/>
      <c r="O76" s="22"/>
      <c r="P76" s="22"/>
      <c r="Q76" s="22"/>
      <c r="R76" s="36"/>
      <c r="S76" s="44"/>
      <c r="T76" s="47"/>
      <c r="U76" s="71">
        <f t="shared" si="9"/>
        <v>0</v>
      </c>
      <c r="V76" s="95" t="str">
        <f t="shared" si="10"/>
        <v>OK</v>
      </c>
    </row>
    <row r="77" spans="1:22" ht="17.25" hidden="1" thickBot="1" x14ac:dyDescent="0.35">
      <c r="A77" s="99" t="s">
        <v>128</v>
      </c>
      <c r="B77" s="76">
        <v>5655</v>
      </c>
      <c r="C77" s="82" t="s">
        <v>54</v>
      </c>
      <c r="D77" s="82"/>
      <c r="E77" s="82"/>
      <c r="F77" s="82"/>
      <c r="G77" s="82"/>
      <c r="H77" s="82"/>
      <c r="I77" s="82">
        <f t="shared" si="8"/>
        <v>0</v>
      </c>
      <c r="J77" s="97"/>
      <c r="K77" s="112"/>
      <c r="L77" s="82"/>
      <c r="M77" s="82"/>
      <c r="N77" s="82"/>
      <c r="O77" s="82"/>
      <c r="P77" s="82"/>
      <c r="Q77" s="82"/>
      <c r="R77" s="83"/>
      <c r="S77" s="84"/>
      <c r="T77" s="100"/>
      <c r="U77" s="75">
        <f t="shared" si="9"/>
        <v>0</v>
      </c>
      <c r="V77" s="93" t="str">
        <f t="shared" si="10"/>
        <v>OK</v>
      </c>
    </row>
    <row r="78" spans="1:22" ht="17.25" hidden="1" thickBot="1" x14ac:dyDescent="0.35">
      <c r="A78" s="54" t="s">
        <v>136</v>
      </c>
      <c r="B78" s="63">
        <v>22704</v>
      </c>
      <c r="C78" s="18" t="s">
        <v>137</v>
      </c>
      <c r="D78" s="18"/>
      <c r="E78" s="18"/>
      <c r="F78" s="18"/>
      <c r="G78" s="92"/>
      <c r="H78" s="22"/>
      <c r="I78" s="22">
        <f t="shared" si="8"/>
        <v>0</v>
      </c>
      <c r="J78" s="69"/>
      <c r="K78" s="11"/>
      <c r="L78" s="22"/>
      <c r="M78" s="22"/>
      <c r="N78" s="22"/>
      <c r="O78" s="22"/>
      <c r="P78" s="22"/>
      <c r="Q78" s="22"/>
      <c r="R78" s="36"/>
      <c r="S78" s="44"/>
      <c r="T78" s="47"/>
      <c r="U78" s="71">
        <f t="shared" si="9"/>
        <v>0</v>
      </c>
      <c r="V78" s="95" t="str">
        <f t="shared" si="10"/>
        <v>OK</v>
      </c>
    </row>
    <row r="79" spans="1:22" ht="17.25" hidden="1" thickBot="1" x14ac:dyDescent="0.35">
      <c r="A79" s="90" t="s">
        <v>139</v>
      </c>
      <c r="B79" s="76">
        <v>22722</v>
      </c>
      <c r="C79" s="70" t="s">
        <v>119</v>
      </c>
      <c r="D79" s="70"/>
      <c r="E79" s="70"/>
      <c r="F79" s="70"/>
      <c r="G79" s="91"/>
      <c r="H79" s="82"/>
      <c r="I79" s="82">
        <f t="shared" si="8"/>
        <v>0</v>
      </c>
      <c r="J79" s="74"/>
      <c r="K79" s="118"/>
      <c r="L79" s="82"/>
      <c r="M79" s="82"/>
      <c r="N79" s="82"/>
      <c r="O79" s="82"/>
      <c r="P79" s="82"/>
      <c r="Q79" s="82"/>
      <c r="R79" s="83"/>
      <c r="S79" s="84"/>
      <c r="T79" s="85"/>
      <c r="U79" s="75">
        <f t="shared" si="9"/>
        <v>0</v>
      </c>
      <c r="V79" s="93" t="str">
        <f t="shared" si="10"/>
        <v>OK</v>
      </c>
    </row>
    <row r="80" spans="1:22" ht="17.25" hidden="1" thickBot="1" x14ac:dyDescent="0.35">
      <c r="A80" s="126" t="s">
        <v>134</v>
      </c>
      <c r="B80" s="127">
        <v>22723</v>
      </c>
      <c r="C80" s="128" t="s">
        <v>119</v>
      </c>
      <c r="D80" s="128"/>
      <c r="E80" s="128"/>
      <c r="F80" s="128"/>
      <c r="G80" s="128"/>
      <c r="H80" s="22"/>
      <c r="I80" s="22">
        <f t="shared" ref="I80" si="11">SUM(L80:T80)</f>
        <v>0</v>
      </c>
      <c r="J80" s="45"/>
      <c r="K80" s="112"/>
      <c r="L80" s="22"/>
      <c r="M80" s="22"/>
      <c r="N80" s="22"/>
      <c r="O80" s="22"/>
      <c r="P80" s="22"/>
      <c r="Q80" s="22"/>
      <c r="R80" s="36"/>
      <c r="S80" s="44"/>
      <c r="T80" s="116"/>
      <c r="U80" s="52">
        <f t="shared" ref="U80" si="12">SUM(L80:T80)</f>
        <v>0</v>
      </c>
      <c r="V80" s="23" t="str">
        <f t="shared" si="10"/>
        <v>OK</v>
      </c>
    </row>
    <row r="81" spans="1:22" x14ac:dyDescent="0.3">
      <c r="A81" s="86"/>
      <c r="B81" s="86"/>
      <c r="C81" s="87" t="s">
        <v>9</v>
      </c>
      <c r="D81" s="87"/>
      <c r="E81" s="87"/>
      <c r="F81" s="87"/>
      <c r="G81" s="88">
        <f>SUM(G6:G49)</f>
        <v>0</v>
      </c>
      <c r="H81" s="89">
        <f>SUM(H6:H49)</f>
        <v>0</v>
      </c>
      <c r="I81" s="88">
        <f>SUM(I6:I80)</f>
        <v>21</v>
      </c>
      <c r="J81" s="40">
        <f>SUM(J6:J49)</f>
        <v>0</v>
      </c>
      <c r="K81" s="115">
        <f>SUM(K6:K51)</f>
        <v>0</v>
      </c>
      <c r="L81" s="38">
        <f>SUM(L6:L80)</f>
        <v>0</v>
      </c>
      <c r="M81" s="38">
        <f t="shared" ref="M81:U81" si="13">SUM(M6:M80)</f>
        <v>21</v>
      </c>
      <c r="N81" s="38">
        <f t="shared" si="13"/>
        <v>0</v>
      </c>
      <c r="O81" s="38">
        <f t="shared" si="13"/>
        <v>0</v>
      </c>
      <c r="P81" s="38">
        <f t="shared" si="13"/>
        <v>0</v>
      </c>
      <c r="Q81" s="38">
        <f t="shared" si="13"/>
        <v>0</v>
      </c>
      <c r="R81" s="38">
        <f t="shared" si="13"/>
        <v>0</v>
      </c>
      <c r="S81" s="38">
        <f t="shared" si="13"/>
        <v>0</v>
      </c>
      <c r="T81" s="38">
        <f t="shared" si="13"/>
        <v>0</v>
      </c>
      <c r="U81" s="38">
        <f t="shared" si="13"/>
        <v>21</v>
      </c>
      <c r="V81" s="41" t="str">
        <f>IF(U81=SUM(I81),"OK","NG")</f>
        <v>OK</v>
      </c>
    </row>
  </sheetData>
  <autoFilter ref="A5:V81" xr:uid="{00000000-0001-0000-1A00-000000000000}">
    <filterColumn colId="8">
      <filters>
        <filter val="21"/>
        <filter val="5"/>
        <filter val="7"/>
        <filter val="9"/>
      </filters>
    </filterColumn>
  </autoFilter>
  <mergeCells count="20">
    <mergeCell ref="O4:O5"/>
    <mergeCell ref="P4:P5"/>
    <mergeCell ref="B3:C3"/>
    <mergeCell ref="N4:N5"/>
    <mergeCell ref="B1:C1"/>
    <mergeCell ref="F1:G1"/>
    <mergeCell ref="H1:J3"/>
    <mergeCell ref="B2:C2"/>
    <mergeCell ref="A4:D4"/>
    <mergeCell ref="E4:G4"/>
    <mergeCell ref="H4:J4"/>
    <mergeCell ref="L4:L5"/>
    <mergeCell ref="M4:M5"/>
    <mergeCell ref="Q4:Q5"/>
    <mergeCell ref="R4:R5"/>
    <mergeCell ref="S4:S5"/>
    <mergeCell ref="T4:T5"/>
    <mergeCell ref="V2:V3"/>
    <mergeCell ref="U4:U5"/>
    <mergeCell ref="V4:V5"/>
  </mergeCells>
  <phoneticPr fontId="3" type="noConversion"/>
  <conditionalFormatting sqref="A4 V6:V81">
    <cfRule type="containsText" dxfId="9" priority="11" operator="containsText" text="NG">
      <formula>NOT(ISERROR(SEARCH("NG",A4)))</formula>
    </cfRule>
    <cfRule type="containsText" dxfId="8" priority="12" operator="containsText" text="OK">
      <formula>NOT(ISERROR(SEARCH("OK",A4)))</formula>
    </cfRule>
  </conditionalFormatting>
  <pageMargins left="0.70866141732283472" right="0.70866141732283472" top="0.74803149606299213" bottom="0.74803149606299213" header="0.31496062992125984" footer="0.31496062992125984"/>
  <pageSetup paperSize="8" scale="10" orientation="landscape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 filterMode="1">
    <pageSetUpPr fitToPage="1"/>
  </sheetPr>
  <dimension ref="A1:V81"/>
  <sheetViews>
    <sheetView showGridLines="0" zoomScale="85" zoomScaleNormal="85" workbookViewId="0">
      <pane ySplit="5" topLeftCell="A31" activePane="bottomLeft" state="frozen"/>
      <selection activeCell="W73" sqref="W73"/>
      <selection pane="bottomLeft" activeCell="L31" sqref="L31:N52"/>
    </sheetView>
  </sheetViews>
  <sheetFormatPr defaultColWidth="9" defaultRowHeight="16.5" x14ac:dyDescent="0.3"/>
  <cols>
    <col min="1" max="1" width="12.625" bestFit="1" customWidth="1"/>
    <col min="2" max="2" width="14.125" bestFit="1" customWidth="1"/>
    <col min="3" max="3" width="35.125" customWidth="1"/>
    <col min="4" max="4" width="11.75" hidden="1" customWidth="1"/>
    <col min="5" max="6" width="9" hidden="1" customWidth="1"/>
    <col min="7" max="7" width="15.375" hidden="1" customWidth="1"/>
    <col min="8" max="8" width="13.25" hidden="1" customWidth="1"/>
    <col min="9" max="9" width="13.25" customWidth="1"/>
    <col min="10" max="10" width="13.25" hidden="1" customWidth="1"/>
    <col min="11" max="11" width="0.875" customWidth="1"/>
    <col min="12" max="13" width="9" customWidth="1"/>
    <col min="20" max="20" width="11" bestFit="1" customWidth="1"/>
  </cols>
  <sheetData>
    <row r="1" spans="1:22" ht="22.5" customHeight="1" thickBot="1" x14ac:dyDescent="0.35">
      <c r="A1" s="32" t="s">
        <v>28</v>
      </c>
      <c r="B1" s="153">
        <f>H81</f>
        <v>0</v>
      </c>
      <c r="C1" s="154"/>
      <c r="D1" s="55"/>
      <c r="E1" s="58" t="s">
        <v>1</v>
      </c>
      <c r="F1" s="155">
        <f>G81</f>
        <v>0</v>
      </c>
      <c r="G1" s="155"/>
      <c r="H1" s="156"/>
      <c r="I1" s="156"/>
      <c r="J1" s="156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22.5" customHeight="1" thickBot="1" x14ac:dyDescent="0.35">
      <c r="A2" s="32" t="s">
        <v>29</v>
      </c>
      <c r="B2" s="158">
        <f>I81</f>
        <v>10</v>
      </c>
      <c r="C2" s="159"/>
      <c r="D2" s="56"/>
      <c r="E2" s="59"/>
      <c r="F2" s="2"/>
      <c r="G2" s="2"/>
      <c r="H2" s="156"/>
      <c r="I2" s="156"/>
      <c r="J2" s="156"/>
      <c r="K2" s="113"/>
      <c r="L2" s="3">
        <f>SUBTOTAL(9,L6:L80)</f>
        <v>0</v>
      </c>
      <c r="M2" s="3">
        <f t="shared" ref="M2:T2" si="0">SUBTOTAL(9,M6:M80)</f>
        <v>10</v>
      </c>
      <c r="N2" s="3">
        <f t="shared" si="0"/>
        <v>0</v>
      </c>
      <c r="O2" s="3">
        <f t="shared" si="0"/>
        <v>0</v>
      </c>
      <c r="P2" s="3">
        <f t="shared" si="0"/>
        <v>0</v>
      </c>
      <c r="Q2" s="3">
        <f t="shared" si="0"/>
        <v>0</v>
      </c>
      <c r="R2" s="3">
        <f t="shared" si="0"/>
        <v>0</v>
      </c>
      <c r="S2" s="3">
        <f t="shared" si="0"/>
        <v>0</v>
      </c>
      <c r="T2" s="3">
        <f t="shared" si="0"/>
        <v>0</v>
      </c>
      <c r="U2" s="48">
        <f>SUBTOTAL(9,U6:U80)</f>
        <v>10</v>
      </c>
      <c r="V2" s="145"/>
    </row>
    <row r="3" spans="1:22" ht="22.5" customHeight="1" thickBot="1" x14ac:dyDescent="0.35">
      <c r="A3" s="33" t="s">
        <v>30</v>
      </c>
      <c r="B3" s="151">
        <f>IF(ISERROR(B2/(B2+B1)*1000000),"",(B2/(B2+B1)*1000000))</f>
        <v>1000000</v>
      </c>
      <c r="C3" s="152"/>
      <c r="D3" s="57"/>
      <c r="E3" s="60"/>
      <c r="F3" s="27"/>
      <c r="G3" s="27"/>
      <c r="H3" s="157"/>
      <c r="I3" s="157"/>
      <c r="J3" s="157"/>
      <c r="K3" s="114"/>
      <c r="L3" s="4">
        <f t="shared" ref="L3:U3" si="1">SUM(L6:L80)</f>
        <v>0</v>
      </c>
      <c r="M3" s="4">
        <f t="shared" si="1"/>
        <v>10</v>
      </c>
      <c r="N3" s="4">
        <f t="shared" si="1"/>
        <v>0</v>
      </c>
      <c r="O3" s="4">
        <f t="shared" si="1"/>
        <v>0</v>
      </c>
      <c r="P3" s="4">
        <f t="shared" si="1"/>
        <v>0</v>
      </c>
      <c r="Q3" s="4">
        <f t="shared" si="1"/>
        <v>0</v>
      </c>
      <c r="R3" s="4">
        <f t="shared" si="1"/>
        <v>0</v>
      </c>
      <c r="S3" s="4">
        <f t="shared" si="1"/>
        <v>0</v>
      </c>
      <c r="T3" s="4">
        <f t="shared" si="1"/>
        <v>0</v>
      </c>
      <c r="U3" s="49">
        <f t="shared" si="1"/>
        <v>10</v>
      </c>
      <c r="V3" s="146"/>
    </row>
    <row r="4" spans="1:22" ht="43.5" customHeight="1" x14ac:dyDescent="0.3">
      <c r="A4" s="160" t="str">
        <f>V81</f>
        <v>OK</v>
      </c>
      <c r="B4" s="160"/>
      <c r="C4" s="160"/>
      <c r="D4" s="161"/>
      <c r="E4" s="162" t="s">
        <v>15</v>
      </c>
      <c r="F4" s="162"/>
      <c r="G4" s="162"/>
      <c r="H4" s="163" t="s">
        <v>16</v>
      </c>
      <c r="I4" s="163"/>
      <c r="J4" s="163"/>
      <c r="K4" s="113"/>
      <c r="L4" s="164" t="s">
        <v>10</v>
      </c>
      <c r="M4" s="142" t="s">
        <v>17</v>
      </c>
      <c r="N4" s="142" t="s">
        <v>11</v>
      </c>
      <c r="O4" s="138" t="s">
        <v>12</v>
      </c>
      <c r="P4" s="142" t="s">
        <v>13</v>
      </c>
      <c r="Q4" s="138" t="s">
        <v>14</v>
      </c>
      <c r="R4" s="140" t="s">
        <v>20</v>
      </c>
      <c r="S4" s="142" t="s">
        <v>21</v>
      </c>
      <c r="T4" s="143" t="s">
        <v>22</v>
      </c>
      <c r="U4" s="147" t="s">
        <v>18</v>
      </c>
      <c r="V4" s="149" t="s">
        <v>19</v>
      </c>
    </row>
    <row r="5" spans="1:22" ht="33.75" thickBot="1" x14ac:dyDescent="0.35">
      <c r="A5" s="29" t="s">
        <v>3</v>
      </c>
      <c r="B5" s="30" t="s">
        <v>32</v>
      </c>
      <c r="C5" s="29" t="s">
        <v>4</v>
      </c>
      <c r="D5" s="29" t="s">
        <v>31</v>
      </c>
      <c r="E5" s="29" t="s">
        <v>5</v>
      </c>
      <c r="F5" s="29" t="s">
        <v>6</v>
      </c>
      <c r="G5" s="30" t="s">
        <v>7</v>
      </c>
      <c r="H5" s="31" t="s">
        <v>0</v>
      </c>
      <c r="I5" s="31" t="s">
        <v>2</v>
      </c>
      <c r="J5" s="31" t="s">
        <v>8</v>
      </c>
      <c r="K5" s="28"/>
      <c r="L5" s="165"/>
      <c r="M5" s="139"/>
      <c r="N5" s="139"/>
      <c r="O5" s="139"/>
      <c r="P5" s="139"/>
      <c r="Q5" s="139"/>
      <c r="R5" s="141"/>
      <c r="S5" s="139"/>
      <c r="T5" s="144"/>
      <c r="U5" s="148"/>
      <c r="V5" s="150"/>
    </row>
    <row r="6" spans="1:22" hidden="1" x14ac:dyDescent="0.3">
      <c r="A6" s="61" t="s">
        <v>33</v>
      </c>
      <c r="B6" s="61">
        <v>8092</v>
      </c>
      <c r="C6" s="6" t="s">
        <v>45</v>
      </c>
      <c r="D6" s="7"/>
      <c r="E6" s="7"/>
      <c r="F6" s="7"/>
      <c r="G6" s="8"/>
      <c r="H6" s="9"/>
      <c r="I6" s="10">
        <f>SUM(L6:T6)</f>
        <v>0</v>
      </c>
      <c r="J6" s="10"/>
      <c r="K6" s="11"/>
      <c r="L6" s="10"/>
      <c r="M6" s="10"/>
      <c r="N6" s="10"/>
      <c r="O6" s="10"/>
      <c r="P6" s="10"/>
      <c r="Q6" s="10"/>
      <c r="R6" s="34"/>
      <c r="S6" s="42"/>
      <c r="T6" s="45"/>
      <c r="U6" s="50">
        <f t="shared" ref="U6:U36" si="2">SUM(L6:T6)</f>
        <v>0</v>
      </c>
      <c r="V6" s="26" t="str">
        <f t="shared" ref="V6:V67" si="3">IF(U6=I6,"OK","NG")</f>
        <v>OK</v>
      </c>
    </row>
    <row r="7" spans="1:22" hidden="1" x14ac:dyDescent="0.3">
      <c r="A7" s="62" t="s">
        <v>95</v>
      </c>
      <c r="B7" s="62">
        <v>8088</v>
      </c>
      <c r="C7" s="12" t="s">
        <v>46</v>
      </c>
      <c r="D7" s="53"/>
      <c r="E7" s="13"/>
      <c r="F7" s="13"/>
      <c r="G7" s="14"/>
      <c r="H7" s="15"/>
      <c r="I7" s="16">
        <f t="shared" ref="I7:I70" si="4">SUM(L7:T7)</f>
        <v>0</v>
      </c>
      <c r="J7" s="16"/>
      <c r="K7" s="11"/>
      <c r="L7" s="16"/>
      <c r="M7" s="16"/>
      <c r="N7" s="16"/>
      <c r="O7" s="16"/>
      <c r="P7" s="16"/>
      <c r="Q7" s="16"/>
      <c r="R7" s="35"/>
      <c r="S7" s="43"/>
      <c r="T7" s="46"/>
      <c r="U7" s="51">
        <f t="shared" si="2"/>
        <v>0</v>
      </c>
      <c r="V7" s="17" t="str">
        <f t="shared" si="3"/>
        <v>OK</v>
      </c>
    </row>
    <row r="8" spans="1:22" hidden="1" x14ac:dyDescent="0.3">
      <c r="A8" s="63" t="s">
        <v>96</v>
      </c>
      <c r="B8" s="63">
        <v>8081</v>
      </c>
      <c r="C8" s="18" t="s">
        <v>46</v>
      </c>
      <c r="D8" s="19"/>
      <c r="E8" s="19"/>
      <c r="F8" s="19"/>
      <c r="G8" s="20"/>
      <c r="H8" s="21"/>
      <c r="I8" s="22">
        <f t="shared" si="4"/>
        <v>0</v>
      </c>
      <c r="J8" s="22"/>
      <c r="K8" s="11"/>
      <c r="L8" s="22"/>
      <c r="M8" s="22"/>
      <c r="N8" s="22"/>
      <c r="O8" s="22"/>
      <c r="P8" s="22"/>
      <c r="Q8" s="22"/>
      <c r="R8" s="36"/>
      <c r="S8" s="44"/>
      <c r="T8" s="47"/>
      <c r="U8" s="52">
        <f t="shared" si="2"/>
        <v>0</v>
      </c>
      <c r="V8" s="23" t="str">
        <f t="shared" si="3"/>
        <v>OK</v>
      </c>
    </row>
    <row r="9" spans="1:22" hidden="1" x14ac:dyDescent="0.3">
      <c r="A9" s="62" t="s">
        <v>97</v>
      </c>
      <c r="B9" s="62">
        <v>18524</v>
      </c>
      <c r="C9" s="12" t="s">
        <v>46</v>
      </c>
      <c r="D9" s="53"/>
      <c r="E9" s="13"/>
      <c r="F9" s="13"/>
      <c r="G9" s="14"/>
      <c r="H9" s="15"/>
      <c r="I9" s="16">
        <f t="shared" si="4"/>
        <v>0</v>
      </c>
      <c r="J9" s="16"/>
      <c r="K9" s="11"/>
      <c r="L9" s="16"/>
      <c r="M9" s="16"/>
      <c r="N9" s="16"/>
      <c r="O9" s="16"/>
      <c r="P9" s="16"/>
      <c r="Q9" s="16"/>
      <c r="R9" s="35"/>
      <c r="S9" s="43"/>
      <c r="T9" s="46"/>
      <c r="U9" s="51">
        <f t="shared" si="2"/>
        <v>0</v>
      </c>
      <c r="V9" s="17" t="str">
        <f t="shared" si="3"/>
        <v>OK</v>
      </c>
    </row>
    <row r="10" spans="1:22" hidden="1" x14ac:dyDescent="0.3">
      <c r="A10" s="63" t="s">
        <v>34</v>
      </c>
      <c r="B10" s="63">
        <v>6234</v>
      </c>
      <c r="C10" s="18" t="s">
        <v>47</v>
      </c>
      <c r="D10" s="19"/>
      <c r="E10" s="19"/>
      <c r="F10" s="19"/>
      <c r="G10" s="20"/>
      <c r="H10" s="21"/>
      <c r="I10" s="22">
        <f t="shared" si="4"/>
        <v>0</v>
      </c>
      <c r="J10" s="22"/>
      <c r="K10" s="11"/>
      <c r="L10" s="22"/>
      <c r="M10" s="22"/>
      <c r="N10" s="22"/>
      <c r="O10" s="22"/>
      <c r="P10" s="22"/>
      <c r="Q10" s="22"/>
      <c r="R10" s="36"/>
      <c r="S10" s="44"/>
      <c r="T10" s="47"/>
      <c r="U10" s="52">
        <f t="shared" si="2"/>
        <v>0</v>
      </c>
      <c r="V10" s="23" t="str">
        <f t="shared" si="3"/>
        <v>OK</v>
      </c>
    </row>
    <row r="11" spans="1:22" hidden="1" x14ac:dyDescent="0.3">
      <c r="A11" s="62" t="s">
        <v>80</v>
      </c>
      <c r="B11" s="62">
        <v>14830</v>
      </c>
      <c r="C11" s="12" t="s">
        <v>47</v>
      </c>
      <c r="D11" s="53"/>
      <c r="E11" s="13"/>
      <c r="F11" s="13"/>
      <c r="G11" s="14"/>
      <c r="H11" s="15"/>
      <c r="I11" s="16">
        <f t="shared" si="4"/>
        <v>0</v>
      </c>
      <c r="J11" s="16"/>
      <c r="K11" s="11"/>
      <c r="L11" s="16"/>
      <c r="M11" s="16"/>
      <c r="N11" s="16"/>
      <c r="O11" s="16"/>
      <c r="P11" s="16"/>
      <c r="Q11" s="16"/>
      <c r="R11" s="35"/>
      <c r="S11" s="43"/>
      <c r="T11" s="46"/>
      <c r="U11" s="51">
        <f t="shared" si="2"/>
        <v>0</v>
      </c>
      <c r="V11" s="17" t="str">
        <f t="shared" si="3"/>
        <v>OK</v>
      </c>
    </row>
    <row r="12" spans="1:22" hidden="1" x14ac:dyDescent="0.3">
      <c r="A12" s="63" t="s">
        <v>35</v>
      </c>
      <c r="B12" s="63">
        <v>6004</v>
      </c>
      <c r="C12" s="18" t="s">
        <v>48</v>
      </c>
      <c r="D12" s="19"/>
      <c r="E12" s="19"/>
      <c r="F12" s="19"/>
      <c r="G12" s="20"/>
      <c r="H12" s="21"/>
      <c r="I12" s="22">
        <f t="shared" si="4"/>
        <v>0</v>
      </c>
      <c r="J12" s="22"/>
      <c r="K12" s="11"/>
      <c r="L12" s="22"/>
      <c r="M12" s="22"/>
      <c r="N12" s="22"/>
      <c r="O12" s="22"/>
      <c r="P12" s="22"/>
      <c r="Q12" s="22"/>
      <c r="R12" s="36"/>
      <c r="S12" s="44"/>
      <c r="T12" s="47"/>
      <c r="U12" s="52">
        <f t="shared" si="2"/>
        <v>0</v>
      </c>
      <c r="V12" s="23" t="str">
        <f t="shared" si="3"/>
        <v>OK</v>
      </c>
    </row>
    <row r="13" spans="1:22" hidden="1" x14ac:dyDescent="0.3">
      <c r="A13" s="62" t="s">
        <v>36</v>
      </c>
      <c r="B13" s="62">
        <v>11857</v>
      </c>
      <c r="C13" s="12" t="s">
        <v>48</v>
      </c>
      <c r="D13" s="53"/>
      <c r="E13" s="13"/>
      <c r="F13" s="13"/>
      <c r="G13" s="14"/>
      <c r="H13" s="15"/>
      <c r="I13" s="16">
        <f t="shared" si="4"/>
        <v>0</v>
      </c>
      <c r="J13" s="16"/>
      <c r="K13" s="11"/>
      <c r="L13" s="16"/>
      <c r="M13" s="16"/>
      <c r="N13" s="16"/>
      <c r="O13" s="16"/>
      <c r="P13" s="16"/>
      <c r="Q13" s="16"/>
      <c r="R13" s="35"/>
      <c r="S13" s="43"/>
      <c r="T13" s="46"/>
      <c r="U13" s="51">
        <f t="shared" si="2"/>
        <v>0</v>
      </c>
      <c r="V13" s="17" t="str">
        <f t="shared" si="3"/>
        <v>OK</v>
      </c>
    </row>
    <row r="14" spans="1:22" hidden="1" x14ac:dyDescent="0.3">
      <c r="A14" s="63" t="s">
        <v>82</v>
      </c>
      <c r="B14" s="63">
        <v>15004</v>
      </c>
      <c r="C14" s="18" t="s">
        <v>48</v>
      </c>
      <c r="D14" s="19"/>
      <c r="E14" s="19"/>
      <c r="F14" s="19"/>
      <c r="G14" s="20"/>
      <c r="H14" s="21"/>
      <c r="I14" s="22">
        <f t="shared" si="4"/>
        <v>0</v>
      </c>
      <c r="J14" s="22"/>
      <c r="K14" s="11"/>
      <c r="L14" s="22"/>
      <c r="M14" s="22"/>
      <c r="N14" s="22"/>
      <c r="O14" s="22"/>
      <c r="P14" s="22"/>
      <c r="Q14" s="22"/>
      <c r="R14" s="36"/>
      <c r="S14" s="44"/>
      <c r="T14" s="47"/>
      <c r="U14" s="52">
        <f t="shared" si="2"/>
        <v>0</v>
      </c>
      <c r="V14" s="23" t="str">
        <f t="shared" si="3"/>
        <v>OK</v>
      </c>
    </row>
    <row r="15" spans="1:22" hidden="1" x14ac:dyDescent="0.3">
      <c r="A15" s="62" t="s">
        <v>86</v>
      </c>
      <c r="B15" s="62">
        <v>15174</v>
      </c>
      <c r="C15" s="12" t="s">
        <v>45</v>
      </c>
      <c r="D15" s="53"/>
      <c r="E15" s="13"/>
      <c r="F15" s="13"/>
      <c r="G15" s="14"/>
      <c r="H15" s="15"/>
      <c r="I15" s="16">
        <f t="shared" si="4"/>
        <v>0</v>
      </c>
      <c r="J15" s="16"/>
      <c r="K15" s="11"/>
      <c r="L15" s="16"/>
      <c r="M15" s="16"/>
      <c r="N15" s="16"/>
      <c r="O15" s="16"/>
      <c r="P15" s="16"/>
      <c r="Q15" s="16"/>
      <c r="R15" s="35"/>
      <c r="S15" s="43"/>
      <c r="T15" s="46"/>
      <c r="U15" s="51">
        <f t="shared" si="2"/>
        <v>0</v>
      </c>
      <c r="V15" s="17" t="str">
        <f t="shared" si="3"/>
        <v>OK</v>
      </c>
    </row>
    <row r="16" spans="1:22" hidden="1" x14ac:dyDescent="0.3">
      <c r="A16" s="63" t="s">
        <v>87</v>
      </c>
      <c r="B16" s="63">
        <v>15520</v>
      </c>
      <c r="C16" s="18" t="s">
        <v>47</v>
      </c>
      <c r="D16" s="19"/>
      <c r="E16" s="19"/>
      <c r="F16" s="19"/>
      <c r="G16" s="20"/>
      <c r="H16" s="21"/>
      <c r="I16" s="22">
        <f t="shared" si="4"/>
        <v>0</v>
      </c>
      <c r="J16" s="22"/>
      <c r="K16" s="11"/>
      <c r="L16" s="22"/>
      <c r="M16" s="22"/>
      <c r="N16" s="22"/>
      <c r="O16" s="22"/>
      <c r="P16" s="22"/>
      <c r="Q16" s="22"/>
      <c r="R16" s="36"/>
      <c r="S16" s="44"/>
      <c r="T16" s="47"/>
      <c r="U16" s="52">
        <f t="shared" si="2"/>
        <v>0</v>
      </c>
      <c r="V16" s="23" t="str">
        <f t="shared" si="3"/>
        <v>OK</v>
      </c>
    </row>
    <row r="17" spans="1:22" hidden="1" x14ac:dyDescent="0.3">
      <c r="A17" s="62" t="s">
        <v>85</v>
      </c>
      <c r="B17" s="62">
        <v>14989</v>
      </c>
      <c r="C17" s="12" t="s">
        <v>45</v>
      </c>
      <c r="D17" s="53"/>
      <c r="E17" s="13"/>
      <c r="F17" s="13"/>
      <c r="G17" s="14"/>
      <c r="H17" s="15"/>
      <c r="I17" s="16">
        <f t="shared" si="4"/>
        <v>0</v>
      </c>
      <c r="J17" s="16"/>
      <c r="K17" s="11"/>
      <c r="L17" s="16"/>
      <c r="M17" s="16"/>
      <c r="N17" s="16"/>
      <c r="O17" s="16"/>
      <c r="P17" s="16"/>
      <c r="Q17" s="16"/>
      <c r="R17" s="35"/>
      <c r="S17" s="43"/>
      <c r="T17" s="46"/>
      <c r="U17" s="51">
        <f t="shared" si="2"/>
        <v>0</v>
      </c>
      <c r="V17" s="17" t="str">
        <f t="shared" si="3"/>
        <v>OK</v>
      </c>
    </row>
    <row r="18" spans="1:22" hidden="1" x14ac:dyDescent="0.3">
      <c r="A18" s="63" t="s">
        <v>84</v>
      </c>
      <c r="B18" s="63">
        <v>14984</v>
      </c>
      <c r="C18" s="18" t="s">
        <v>46</v>
      </c>
      <c r="D18" s="19"/>
      <c r="E18" s="19"/>
      <c r="F18" s="19"/>
      <c r="G18" s="20"/>
      <c r="H18" s="21"/>
      <c r="I18" s="22">
        <f t="shared" si="4"/>
        <v>0</v>
      </c>
      <c r="J18" s="22"/>
      <c r="K18" s="11"/>
      <c r="L18" s="22"/>
      <c r="M18" s="22"/>
      <c r="N18" s="22"/>
      <c r="O18" s="22"/>
      <c r="P18" s="22"/>
      <c r="Q18" s="22"/>
      <c r="R18" s="36"/>
      <c r="S18" s="44"/>
      <c r="T18" s="47"/>
      <c r="U18" s="52">
        <f t="shared" si="2"/>
        <v>0</v>
      </c>
      <c r="V18" s="23" t="str">
        <f t="shared" si="3"/>
        <v>OK</v>
      </c>
    </row>
    <row r="19" spans="1:22" hidden="1" x14ac:dyDescent="0.3">
      <c r="A19" s="62" t="s">
        <v>88</v>
      </c>
      <c r="B19" s="62">
        <v>16270</v>
      </c>
      <c r="C19" s="12" t="s">
        <v>89</v>
      </c>
      <c r="D19" s="53"/>
      <c r="E19" s="13"/>
      <c r="F19" s="13"/>
      <c r="G19" s="14"/>
      <c r="H19" s="15"/>
      <c r="I19" s="16">
        <f t="shared" si="4"/>
        <v>0</v>
      </c>
      <c r="J19" s="16"/>
      <c r="K19" s="11"/>
      <c r="L19" s="16"/>
      <c r="M19" s="16"/>
      <c r="N19" s="16"/>
      <c r="O19" s="16"/>
      <c r="P19" s="16"/>
      <c r="Q19" s="16"/>
      <c r="R19" s="35"/>
      <c r="S19" s="43"/>
      <c r="T19" s="46"/>
      <c r="U19" s="51">
        <f t="shared" si="2"/>
        <v>0</v>
      </c>
      <c r="V19" s="17" t="str">
        <f t="shared" si="3"/>
        <v>OK</v>
      </c>
    </row>
    <row r="20" spans="1:22" hidden="1" x14ac:dyDescent="0.3">
      <c r="A20" s="63" t="s">
        <v>98</v>
      </c>
      <c r="B20" s="63">
        <v>19060</v>
      </c>
      <c r="C20" s="18" t="s">
        <v>47</v>
      </c>
      <c r="D20" s="19"/>
      <c r="E20" s="19"/>
      <c r="F20" s="19"/>
      <c r="G20" s="20"/>
      <c r="H20" s="21"/>
      <c r="I20" s="22">
        <f t="shared" si="4"/>
        <v>0</v>
      </c>
      <c r="J20" s="22"/>
      <c r="K20" s="11"/>
      <c r="L20" s="22"/>
      <c r="M20" s="22"/>
      <c r="N20" s="22"/>
      <c r="O20" s="22"/>
      <c r="P20" s="22"/>
      <c r="Q20" s="22"/>
      <c r="R20" s="36"/>
      <c r="S20" s="44"/>
      <c r="T20" s="47"/>
      <c r="U20" s="52">
        <f t="shared" si="2"/>
        <v>0</v>
      </c>
      <c r="V20" s="23" t="str">
        <f t="shared" si="3"/>
        <v>OK</v>
      </c>
    </row>
    <row r="21" spans="1:22" hidden="1" x14ac:dyDescent="0.3">
      <c r="A21" s="62" t="s">
        <v>99</v>
      </c>
      <c r="B21" s="62">
        <v>18828</v>
      </c>
      <c r="C21" s="12" t="s">
        <v>94</v>
      </c>
      <c r="D21" s="53"/>
      <c r="E21" s="13"/>
      <c r="F21" s="13"/>
      <c r="G21" s="14"/>
      <c r="H21" s="15"/>
      <c r="I21" s="16">
        <f t="shared" si="4"/>
        <v>0</v>
      </c>
      <c r="J21" s="16"/>
      <c r="K21" s="11"/>
      <c r="L21" s="16"/>
      <c r="M21" s="16"/>
      <c r="N21" s="16"/>
      <c r="O21" s="16"/>
      <c r="P21" s="16"/>
      <c r="Q21" s="16"/>
      <c r="R21" s="35"/>
      <c r="S21" s="43"/>
      <c r="T21" s="46"/>
      <c r="U21" s="51">
        <f t="shared" si="2"/>
        <v>0</v>
      </c>
      <c r="V21" s="17" t="str">
        <f t="shared" si="3"/>
        <v>OK</v>
      </c>
    </row>
    <row r="22" spans="1:22" hidden="1" x14ac:dyDescent="0.3">
      <c r="A22" s="63" t="s">
        <v>23</v>
      </c>
      <c r="B22" s="63">
        <v>5695</v>
      </c>
      <c r="C22" s="18" t="s">
        <v>49</v>
      </c>
      <c r="D22" s="19"/>
      <c r="E22" s="19"/>
      <c r="F22" s="19"/>
      <c r="G22" s="20"/>
      <c r="H22" s="21"/>
      <c r="I22" s="22">
        <f t="shared" si="4"/>
        <v>0</v>
      </c>
      <c r="J22" s="22"/>
      <c r="K22" s="11"/>
      <c r="L22" s="22"/>
      <c r="M22" s="22"/>
      <c r="N22" s="22"/>
      <c r="O22" s="22"/>
      <c r="P22" s="22"/>
      <c r="Q22" s="22"/>
      <c r="R22" s="36"/>
      <c r="S22" s="44"/>
      <c r="T22" s="47"/>
      <c r="U22" s="52">
        <f t="shared" si="2"/>
        <v>0</v>
      </c>
      <c r="V22" s="23" t="str">
        <f t="shared" si="3"/>
        <v>OK</v>
      </c>
    </row>
    <row r="23" spans="1:22" hidden="1" x14ac:dyDescent="0.3">
      <c r="A23" s="62" t="s">
        <v>24</v>
      </c>
      <c r="B23" s="62">
        <v>5691</v>
      </c>
      <c r="C23" s="12" t="s">
        <v>50</v>
      </c>
      <c r="D23" s="53"/>
      <c r="E23" s="13"/>
      <c r="F23" s="13"/>
      <c r="G23" s="14"/>
      <c r="H23" s="15"/>
      <c r="I23" s="16">
        <f t="shared" si="4"/>
        <v>0</v>
      </c>
      <c r="J23" s="16"/>
      <c r="K23" s="11"/>
      <c r="L23" s="16"/>
      <c r="M23" s="16"/>
      <c r="N23" s="16"/>
      <c r="O23" s="16"/>
      <c r="P23" s="16"/>
      <c r="Q23" s="16"/>
      <c r="R23" s="35"/>
      <c r="S23" s="43"/>
      <c r="T23" s="46"/>
      <c r="U23" s="51">
        <f t="shared" si="2"/>
        <v>0</v>
      </c>
      <c r="V23" s="17" t="str">
        <f t="shared" si="3"/>
        <v>OK</v>
      </c>
    </row>
    <row r="24" spans="1:22" hidden="1" x14ac:dyDescent="0.3">
      <c r="A24" s="63" t="s">
        <v>37</v>
      </c>
      <c r="B24" s="63">
        <v>5687</v>
      </c>
      <c r="C24" s="18" t="s">
        <v>51</v>
      </c>
      <c r="D24" s="19"/>
      <c r="E24" s="19"/>
      <c r="F24" s="19"/>
      <c r="G24" s="20"/>
      <c r="H24" s="21"/>
      <c r="I24" s="22">
        <f t="shared" si="4"/>
        <v>0</v>
      </c>
      <c r="J24" s="22"/>
      <c r="K24" s="11"/>
      <c r="L24" s="22"/>
      <c r="M24" s="22"/>
      <c r="N24" s="22"/>
      <c r="O24" s="22"/>
      <c r="P24" s="22"/>
      <c r="Q24" s="22"/>
      <c r="R24" s="36"/>
      <c r="S24" s="44"/>
      <c r="T24" s="47"/>
      <c r="U24" s="52">
        <f t="shared" si="2"/>
        <v>0</v>
      </c>
      <c r="V24" s="23" t="str">
        <f t="shared" si="3"/>
        <v>OK</v>
      </c>
    </row>
    <row r="25" spans="1:22" hidden="1" x14ac:dyDescent="0.3">
      <c r="A25" s="62" t="s">
        <v>38</v>
      </c>
      <c r="B25" s="62">
        <v>5683</v>
      </c>
      <c r="C25" s="12" t="s">
        <v>51</v>
      </c>
      <c r="D25" s="53"/>
      <c r="E25" s="13"/>
      <c r="F25" s="13"/>
      <c r="G25" s="14"/>
      <c r="H25" s="15"/>
      <c r="I25" s="16">
        <f t="shared" si="4"/>
        <v>0</v>
      </c>
      <c r="J25" s="16"/>
      <c r="K25" s="11"/>
      <c r="L25" s="16"/>
      <c r="M25" s="16"/>
      <c r="N25" s="16"/>
      <c r="O25" s="16"/>
      <c r="P25" s="16"/>
      <c r="Q25" s="16"/>
      <c r="R25" s="35"/>
      <c r="S25" s="43"/>
      <c r="T25" s="46"/>
      <c r="U25" s="51">
        <f t="shared" si="2"/>
        <v>0</v>
      </c>
      <c r="V25" s="17" t="str">
        <f t="shared" si="3"/>
        <v>OK</v>
      </c>
    </row>
    <row r="26" spans="1:22" hidden="1" x14ac:dyDescent="0.3">
      <c r="A26" s="63" t="s">
        <v>25</v>
      </c>
      <c r="B26" s="63">
        <v>5679</v>
      </c>
      <c r="C26" s="18" t="s">
        <v>52</v>
      </c>
      <c r="D26" s="19"/>
      <c r="E26" s="19"/>
      <c r="F26" s="19"/>
      <c r="G26" s="20"/>
      <c r="H26" s="21"/>
      <c r="I26" s="22">
        <f t="shared" si="4"/>
        <v>0</v>
      </c>
      <c r="J26" s="22"/>
      <c r="K26" s="11"/>
      <c r="L26" s="22"/>
      <c r="M26" s="22"/>
      <c r="N26" s="22"/>
      <c r="O26" s="22"/>
      <c r="P26" s="22"/>
      <c r="Q26" s="22"/>
      <c r="R26" s="36"/>
      <c r="S26" s="44"/>
      <c r="T26" s="47"/>
      <c r="U26" s="52">
        <f t="shared" si="2"/>
        <v>0</v>
      </c>
      <c r="V26" s="23" t="str">
        <f t="shared" si="3"/>
        <v>OK</v>
      </c>
    </row>
    <row r="27" spans="1:22" hidden="1" x14ac:dyDescent="0.3">
      <c r="A27" s="62" t="s">
        <v>39</v>
      </c>
      <c r="B27" s="62">
        <v>5675</v>
      </c>
      <c r="C27" s="12" t="s">
        <v>53</v>
      </c>
      <c r="D27" s="53"/>
      <c r="E27" s="13"/>
      <c r="F27" s="13"/>
      <c r="G27" s="14"/>
      <c r="H27" s="15"/>
      <c r="I27" s="16">
        <f t="shared" si="4"/>
        <v>0</v>
      </c>
      <c r="J27" s="16"/>
      <c r="K27" s="11"/>
      <c r="L27" s="16"/>
      <c r="M27" s="16"/>
      <c r="N27" s="16"/>
      <c r="O27" s="16"/>
      <c r="P27" s="16"/>
      <c r="Q27" s="16"/>
      <c r="R27" s="35"/>
      <c r="S27" s="43"/>
      <c r="T27" s="46"/>
      <c r="U27" s="51">
        <f t="shared" si="2"/>
        <v>0</v>
      </c>
      <c r="V27" s="17" t="str">
        <f t="shared" si="3"/>
        <v>OK</v>
      </c>
    </row>
    <row r="28" spans="1:22" hidden="1" x14ac:dyDescent="0.3">
      <c r="A28" s="63" t="s">
        <v>26</v>
      </c>
      <c r="B28" s="63">
        <v>5671</v>
      </c>
      <c r="C28" s="18" t="s">
        <v>49</v>
      </c>
      <c r="D28" s="19"/>
      <c r="E28" s="19"/>
      <c r="F28" s="19"/>
      <c r="G28" s="20"/>
      <c r="H28" s="21"/>
      <c r="I28" s="22">
        <f t="shared" si="4"/>
        <v>0</v>
      </c>
      <c r="J28" s="22"/>
      <c r="K28" s="11"/>
      <c r="L28" s="22"/>
      <c r="M28" s="22"/>
      <c r="N28" s="22"/>
      <c r="O28" s="22"/>
      <c r="P28" s="22"/>
      <c r="Q28" s="22"/>
      <c r="R28" s="36"/>
      <c r="S28" s="44"/>
      <c r="T28" s="47"/>
      <c r="U28" s="52">
        <f t="shared" si="2"/>
        <v>0</v>
      </c>
      <c r="V28" s="23" t="str">
        <f t="shared" si="3"/>
        <v>OK</v>
      </c>
    </row>
    <row r="29" spans="1:22" hidden="1" x14ac:dyDescent="0.3">
      <c r="A29" s="62" t="s">
        <v>40</v>
      </c>
      <c r="B29" s="62">
        <v>5667</v>
      </c>
      <c r="C29" s="12" t="s">
        <v>50</v>
      </c>
      <c r="D29" s="53"/>
      <c r="E29" s="13"/>
      <c r="F29" s="13"/>
      <c r="G29" s="14"/>
      <c r="H29" s="15"/>
      <c r="I29" s="16">
        <f t="shared" si="4"/>
        <v>0</v>
      </c>
      <c r="J29" s="16"/>
      <c r="K29" s="11"/>
      <c r="L29" s="16"/>
      <c r="M29" s="16"/>
      <c r="N29" s="16"/>
      <c r="O29" s="16"/>
      <c r="P29" s="16"/>
      <c r="Q29" s="16"/>
      <c r="R29" s="35"/>
      <c r="S29" s="43"/>
      <c r="T29" s="46"/>
      <c r="U29" s="51">
        <f t="shared" si="2"/>
        <v>0</v>
      </c>
      <c r="V29" s="17" t="str">
        <f t="shared" si="3"/>
        <v>OK</v>
      </c>
    </row>
    <row r="30" spans="1:22" hidden="1" x14ac:dyDescent="0.3">
      <c r="A30" s="63" t="s">
        <v>41</v>
      </c>
      <c r="B30" s="63">
        <v>5663</v>
      </c>
      <c r="C30" s="18" t="s">
        <v>51</v>
      </c>
      <c r="D30" s="19"/>
      <c r="E30" s="19"/>
      <c r="F30" s="19"/>
      <c r="G30" s="20"/>
      <c r="H30" s="21"/>
      <c r="I30" s="22">
        <f t="shared" si="4"/>
        <v>0</v>
      </c>
      <c r="J30" s="22"/>
      <c r="K30" s="11"/>
      <c r="L30" s="22"/>
      <c r="M30" s="22"/>
      <c r="N30" s="22"/>
      <c r="O30" s="22"/>
      <c r="P30" s="22"/>
      <c r="Q30" s="22"/>
      <c r="R30" s="36"/>
      <c r="S30" s="44"/>
      <c r="T30" s="47"/>
      <c r="U30" s="52">
        <f t="shared" si="2"/>
        <v>0</v>
      </c>
      <c r="V30" s="23" t="str">
        <f t="shared" si="3"/>
        <v>OK</v>
      </c>
    </row>
    <row r="31" spans="1:22" x14ac:dyDescent="0.3">
      <c r="A31" s="62" t="s">
        <v>42</v>
      </c>
      <c r="B31" s="62">
        <v>5659</v>
      </c>
      <c r="C31" s="12" t="s">
        <v>52</v>
      </c>
      <c r="D31" s="53"/>
      <c r="E31" s="13"/>
      <c r="F31" s="13"/>
      <c r="G31" s="14"/>
      <c r="H31" s="15"/>
      <c r="I31" s="16">
        <f t="shared" si="4"/>
        <v>4</v>
      </c>
      <c r="J31" s="16"/>
      <c r="K31" s="11"/>
      <c r="L31" s="16"/>
      <c r="M31" s="16">
        <v>4</v>
      </c>
      <c r="N31" s="16"/>
      <c r="O31" s="16"/>
      <c r="P31" s="16"/>
      <c r="Q31" s="16"/>
      <c r="R31" s="35"/>
      <c r="S31" s="43"/>
      <c r="T31" s="46"/>
      <c r="U31" s="51">
        <f t="shared" si="2"/>
        <v>4</v>
      </c>
      <c r="V31" s="17" t="str">
        <f t="shared" si="3"/>
        <v>OK</v>
      </c>
    </row>
    <row r="32" spans="1:22" hidden="1" x14ac:dyDescent="0.3">
      <c r="A32" s="63" t="s">
        <v>27</v>
      </c>
      <c r="B32" s="63">
        <v>5655</v>
      </c>
      <c r="C32" s="18" t="s">
        <v>54</v>
      </c>
      <c r="D32" s="19"/>
      <c r="E32" s="19"/>
      <c r="F32" s="19"/>
      <c r="G32" s="20"/>
      <c r="H32" s="21"/>
      <c r="I32" s="22">
        <f t="shared" si="4"/>
        <v>0</v>
      </c>
      <c r="J32" s="22"/>
      <c r="K32" s="11"/>
      <c r="L32" s="22"/>
      <c r="M32" s="22"/>
      <c r="N32" s="22"/>
      <c r="O32" s="22"/>
      <c r="P32" s="22"/>
      <c r="Q32" s="22"/>
      <c r="R32" s="36"/>
      <c r="S32" s="44"/>
      <c r="T32" s="47"/>
      <c r="U32" s="52">
        <f t="shared" si="2"/>
        <v>0</v>
      </c>
      <c r="V32" s="23" t="str">
        <f t="shared" si="3"/>
        <v>OK</v>
      </c>
    </row>
    <row r="33" spans="1:22" hidden="1" x14ac:dyDescent="0.3">
      <c r="A33" s="62" t="s">
        <v>70</v>
      </c>
      <c r="B33" s="62">
        <v>5651</v>
      </c>
      <c r="C33" s="12" t="s">
        <v>55</v>
      </c>
      <c r="D33" s="53"/>
      <c r="E33" s="13"/>
      <c r="F33" s="13"/>
      <c r="G33" s="14"/>
      <c r="H33" s="15"/>
      <c r="I33" s="16">
        <f t="shared" si="4"/>
        <v>0</v>
      </c>
      <c r="J33" s="16"/>
      <c r="K33" s="11"/>
      <c r="L33" s="16"/>
      <c r="M33" s="16"/>
      <c r="N33" s="16"/>
      <c r="O33" s="16"/>
      <c r="P33" s="16"/>
      <c r="Q33" s="16"/>
      <c r="R33" s="35"/>
      <c r="S33" s="43"/>
      <c r="T33" s="46"/>
      <c r="U33" s="51">
        <f t="shared" si="2"/>
        <v>0</v>
      </c>
      <c r="V33" s="17" t="str">
        <f t="shared" si="3"/>
        <v>OK</v>
      </c>
    </row>
    <row r="34" spans="1:22" hidden="1" x14ac:dyDescent="0.3">
      <c r="A34" s="63" t="s">
        <v>71</v>
      </c>
      <c r="B34" s="63">
        <v>5643</v>
      </c>
      <c r="C34" s="18" t="s">
        <v>56</v>
      </c>
      <c r="D34" s="19"/>
      <c r="E34" s="19"/>
      <c r="F34" s="19"/>
      <c r="G34" s="20"/>
      <c r="H34" s="21"/>
      <c r="I34" s="22">
        <f t="shared" si="4"/>
        <v>0</v>
      </c>
      <c r="J34" s="22"/>
      <c r="K34" s="11"/>
      <c r="L34" s="22"/>
      <c r="M34" s="22"/>
      <c r="N34" s="22"/>
      <c r="O34" s="22"/>
      <c r="P34" s="22"/>
      <c r="Q34" s="22"/>
      <c r="R34" s="36"/>
      <c r="S34" s="44"/>
      <c r="T34" s="47"/>
      <c r="U34" s="52">
        <f t="shared" si="2"/>
        <v>0</v>
      </c>
      <c r="V34" s="23" t="str">
        <f t="shared" si="3"/>
        <v>OK</v>
      </c>
    </row>
    <row r="35" spans="1:22" hidden="1" x14ac:dyDescent="0.3">
      <c r="A35" s="62" t="s">
        <v>57</v>
      </c>
      <c r="B35" s="62">
        <v>11350</v>
      </c>
      <c r="C35" s="12" t="s">
        <v>56</v>
      </c>
      <c r="D35" s="53"/>
      <c r="E35" s="13"/>
      <c r="F35" s="13"/>
      <c r="G35" s="14"/>
      <c r="H35" s="15"/>
      <c r="I35" s="16">
        <f t="shared" si="4"/>
        <v>0</v>
      </c>
      <c r="J35" s="16"/>
      <c r="K35" s="11"/>
      <c r="L35" s="16"/>
      <c r="M35" s="16"/>
      <c r="N35" s="16"/>
      <c r="O35" s="16"/>
      <c r="P35" s="16"/>
      <c r="Q35" s="16"/>
      <c r="R35" s="35"/>
      <c r="S35" s="43"/>
      <c r="T35" s="46"/>
      <c r="U35" s="51">
        <f t="shared" si="2"/>
        <v>0</v>
      </c>
      <c r="V35" s="17" t="str">
        <f t="shared" si="3"/>
        <v>OK</v>
      </c>
    </row>
    <row r="36" spans="1:22" hidden="1" x14ac:dyDescent="0.3">
      <c r="A36" s="63" t="s">
        <v>72</v>
      </c>
      <c r="B36" s="63">
        <v>5635</v>
      </c>
      <c r="C36" s="18" t="s">
        <v>55</v>
      </c>
      <c r="D36" s="19"/>
      <c r="E36" s="19"/>
      <c r="F36" s="19"/>
      <c r="G36" s="20"/>
      <c r="H36" s="21"/>
      <c r="I36" s="22">
        <f t="shared" si="4"/>
        <v>0</v>
      </c>
      <c r="J36" s="22"/>
      <c r="K36" s="11"/>
      <c r="L36" s="22"/>
      <c r="M36" s="22"/>
      <c r="N36" s="22"/>
      <c r="O36" s="22"/>
      <c r="P36" s="22"/>
      <c r="Q36" s="22"/>
      <c r="R36" s="36"/>
      <c r="S36" s="44"/>
      <c r="T36" s="47"/>
      <c r="U36" s="52">
        <f t="shared" si="2"/>
        <v>0</v>
      </c>
      <c r="V36" s="23" t="str">
        <f t="shared" si="3"/>
        <v>OK</v>
      </c>
    </row>
    <row r="37" spans="1:22" hidden="1" x14ac:dyDescent="0.3">
      <c r="A37" s="62" t="s">
        <v>58</v>
      </c>
      <c r="B37" s="62">
        <v>11349</v>
      </c>
      <c r="C37" s="12" t="s">
        <v>55</v>
      </c>
      <c r="D37" s="53"/>
      <c r="E37" s="13"/>
      <c r="F37" s="13"/>
      <c r="G37" s="14"/>
      <c r="H37" s="15"/>
      <c r="I37" s="16">
        <f t="shared" si="4"/>
        <v>0</v>
      </c>
      <c r="J37" s="16"/>
      <c r="K37" s="11"/>
      <c r="L37" s="16"/>
      <c r="M37" s="16"/>
      <c r="N37" s="16"/>
      <c r="O37" s="16"/>
      <c r="P37" s="16"/>
      <c r="Q37" s="16"/>
      <c r="R37" s="35"/>
      <c r="S37" s="43"/>
      <c r="T37" s="46"/>
      <c r="U37" s="51">
        <f t="shared" ref="U37:U55" si="5">SUM(L37:T37)</f>
        <v>0</v>
      </c>
      <c r="V37" s="17" t="str">
        <f t="shared" si="3"/>
        <v>OK</v>
      </c>
    </row>
    <row r="38" spans="1:22" hidden="1" x14ac:dyDescent="0.3">
      <c r="A38" s="63" t="s">
        <v>73</v>
      </c>
      <c r="B38" s="63">
        <v>5627</v>
      </c>
      <c r="C38" s="18" t="s">
        <v>56</v>
      </c>
      <c r="D38" s="19"/>
      <c r="E38" s="19"/>
      <c r="F38" s="19"/>
      <c r="G38" s="20"/>
      <c r="H38" s="21"/>
      <c r="I38" s="22">
        <f t="shared" si="4"/>
        <v>0</v>
      </c>
      <c r="J38" s="22"/>
      <c r="K38" s="11"/>
      <c r="L38" s="22"/>
      <c r="M38" s="22"/>
      <c r="N38" s="22"/>
      <c r="O38" s="22"/>
      <c r="P38" s="22"/>
      <c r="Q38" s="22"/>
      <c r="R38" s="36"/>
      <c r="S38" s="44"/>
      <c r="T38" s="47"/>
      <c r="U38" s="52">
        <f t="shared" si="5"/>
        <v>0</v>
      </c>
      <c r="V38" s="23" t="str">
        <f t="shared" si="3"/>
        <v>OK</v>
      </c>
    </row>
    <row r="39" spans="1:22" hidden="1" x14ac:dyDescent="0.3">
      <c r="A39" s="62" t="s">
        <v>59</v>
      </c>
      <c r="B39" s="62">
        <v>11348</v>
      </c>
      <c r="C39" s="12" t="s">
        <v>56</v>
      </c>
      <c r="D39" s="53"/>
      <c r="E39" s="13"/>
      <c r="F39" s="13"/>
      <c r="G39" s="14"/>
      <c r="H39" s="15"/>
      <c r="I39" s="16">
        <f t="shared" si="4"/>
        <v>0</v>
      </c>
      <c r="J39" s="16"/>
      <c r="K39" s="11"/>
      <c r="L39" s="16"/>
      <c r="M39" s="16"/>
      <c r="N39" s="16"/>
      <c r="O39" s="16"/>
      <c r="P39" s="16"/>
      <c r="Q39" s="16"/>
      <c r="R39" s="35"/>
      <c r="S39" s="43"/>
      <c r="T39" s="46"/>
      <c r="U39" s="51">
        <f t="shared" si="5"/>
        <v>0</v>
      </c>
      <c r="V39" s="17" t="str">
        <f t="shared" si="3"/>
        <v>OK</v>
      </c>
    </row>
    <row r="40" spans="1:22" hidden="1" x14ac:dyDescent="0.3">
      <c r="A40" s="63" t="s">
        <v>74</v>
      </c>
      <c r="B40" s="63">
        <v>5619</v>
      </c>
      <c r="C40" s="18" t="s">
        <v>60</v>
      </c>
      <c r="D40" s="19"/>
      <c r="E40" s="19"/>
      <c r="F40" s="19"/>
      <c r="G40" s="20"/>
      <c r="H40" s="21"/>
      <c r="I40" s="22">
        <f t="shared" si="4"/>
        <v>0</v>
      </c>
      <c r="J40" s="22"/>
      <c r="K40" s="11"/>
      <c r="L40" s="22"/>
      <c r="M40" s="22"/>
      <c r="N40" s="22"/>
      <c r="O40" s="22"/>
      <c r="P40" s="22"/>
      <c r="Q40" s="22"/>
      <c r="R40" s="36"/>
      <c r="S40" s="44"/>
      <c r="T40" s="47"/>
      <c r="U40" s="52">
        <f t="shared" si="5"/>
        <v>0</v>
      </c>
      <c r="V40" s="23" t="str">
        <f t="shared" si="3"/>
        <v>OK</v>
      </c>
    </row>
    <row r="41" spans="1:22" hidden="1" x14ac:dyDescent="0.3">
      <c r="A41" s="64" t="s">
        <v>61</v>
      </c>
      <c r="B41" s="62">
        <v>11347</v>
      </c>
      <c r="C41" s="12" t="s">
        <v>60</v>
      </c>
      <c r="D41" s="53"/>
      <c r="E41" s="13"/>
      <c r="F41" s="13"/>
      <c r="G41" s="14"/>
      <c r="H41" s="15"/>
      <c r="I41" s="16">
        <f t="shared" si="4"/>
        <v>0</v>
      </c>
      <c r="J41" s="16"/>
      <c r="K41" s="11"/>
      <c r="L41" s="16"/>
      <c r="M41" s="16"/>
      <c r="N41" s="16"/>
      <c r="O41" s="16"/>
      <c r="P41" s="16"/>
      <c r="Q41" s="16"/>
      <c r="R41" s="35"/>
      <c r="S41" s="43"/>
      <c r="T41" s="46"/>
      <c r="U41" s="51">
        <f t="shared" si="5"/>
        <v>0</v>
      </c>
      <c r="V41" s="17" t="str">
        <f t="shared" si="3"/>
        <v>OK</v>
      </c>
    </row>
    <row r="42" spans="1:22" hidden="1" x14ac:dyDescent="0.3">
      <c r="A42" s="54" t="s">
        <v>75</v>
      </c>
      <c r="B42" s="63">
        <v>5611</v>
      </c>
      <c r="C42" s="18" t="s">
        <v>62</v>
      </c>
      <c r="D42" s="19"/>
      <c r="E42" s="19"/>
      <c r="F42" s="19"/>
      <c r="G42" s="20"/>
      <c r="H42" s="21"/>
      <c r="I42" s="22">
        <f t="shared" si="4"/>
        <v>0</v>
      </c>
      <c r="J42" s="22"/>
      <c r="K42" s="11"/>
      <c r="L42" s="22"/>
      <c r="M42" s="22"/>
      <c r="N42" s="22"/>
      <c r="O42" s="22"/>
      <c r="P42" s="22"/>
      <c r="Q42" s="22"/>
      <c r="R42" s="36"/>
      <c r="S42" s="44"/>
      <c r="T42" s="47"/>
      <c r="U42" s="52">
        <f t="shared" si="5"/>
        <v>0</v>
      </c>
      <c r="V42" s="23" t="str">
        <f t="shared" si="3"/>
        <v>OK</v>
      </c>
    </row>
    <row r="43" spans="1:22" hidden="1" x14ac:dyDescent="0.3">
      <c r="A43" s="12" t="s">
        <v>63</v>
      </c>
      <c r="B43" s="62">
        <v>11336</v>
      </c>
      <c r="C43" s="12" t="s">
        <v>62</v>
      </c>
      <c r="D43" s="53"/>
      <c r="E43" s="13"/>
      <c r="F43" s="13"/>
      <c r="G43" s="14"/>
      <c r="H43" s="15"/>
      <c r="I43" s="16">
        <f t="shared" si="4"/>
        <v>0</v>
      </c>
      <c r="J43" s="16"/>
      <c r="K43" s="11"/>
      <c r="L43" s="16"/>
      <c r="M43" s="16"/>
      <c r="N43" s="16"/>
      <c r="O43" s="16"/>
      <c r="P43" s="16"/>
      <c r="Q43" s="16"/>
      <c r="R43" s="35"/>
      <c r="S43" s="43"/>
      <c r="T43" s="46"/>
      <c r="U43" s="51">
        <f t="shared" si="5"/>
        <v>0</v>
      </c>
      <c r="V43" s="17" t="str">
        <f t="shared" si="3"/>
        <v>OK</v>
      </c>
    </row>
    <row r="44" spans="1:22" hidden="1" x14ac:dyDescent="0.3">
      <c r="A44" s="54" t="s">
        <v>100</v>
      </c>
      <c r="B44" s="63">
        <v>14860</v>
      </c>
      <c r="C44" s="18" t="s">
        <v>56</v>
      </c>
      <c r="D44" s="19"/>
      <c r="E44" s="19"/>
      <c r="F44" s="19"/>
      <c r="G44" s="20"/>
      <c r="H44" s="21"/>
      <c r="I44" s="22">
        <f t="shared" si="4"/>
        <v>0</v>
      </c>
      <c r="J44" s="22"/>
      <c r="K44" s="11"/>
      <c r="L44" s="22"/>
      <c r="M44" s="22"/>
      <c r="N44" s="22"/>
      <c r="O44" s="22"/>
      <c r="P44" s="22"/>
      <c r="Q44" s="22"/>
      <c r="R44" s="36"/>
      <c r="S44" s="44"/>
      <c r="T44" s="47"/>
      <c r="U44" s="52">
        <f t="shared" si="5"/>
        <v>0</v>
      </c>
      <c r="V44" s="23" t="str">
        <f t="shared" si="3"/>
        <v>OK</v>
      </c>
    </row>
    <row r="45" spans="1:22" hidden="1" x14ac:dyDescent="0.3">
      <c r="A45" s="64" t="s">
        <v>83</v>
      </c>
      <c r="B45" s="62">
        <v>14861</v>
      </c>
      <c r="C45" s="12" t="s">
        <v>56</v>
      </c>
      <c r="D45" s="53"/>
      <c r="E45" s="13"/>
      <c r="F45" s="13"/>
      <c r="G45" s="14"/>
      <c r="H45" s="15"/>
      <c r="I45" s="16">
        <f t="shared" si="4"/>
        <v>0</v>
      </c>
      <c r="J45" s="16"/>
      <c r="K45" s="11"/>
      <c r="L45" s="16"/>
      <c r="M45" s="16"/>
      <c r="N45" s="16"/>
      <c r="O45" s="16"/>
      <c r="P45" s="16"/>
      <c r="Q45" s="16"/>
      <c r="R45" s="35"/>
      <c r="S45" s="43"/>
      <c r="T45" s="46"/>
      <c r="U45" s="51">
        <f t="shared" si="5"/>
        <v>0</v>
      </c>
      <c r="V45" s="17" t="str">
        <f t="shared" si="3"/>
        <v>OK</v>
      </c>
    </row>
    <row r="46" spans="1:22" hidden="1" x14ac:dyDescent="0.3">
      <c r="A46" s="54" t="s">
        <v>101</v>
      </c>
      <c r="B46" s="63">
        <v>15096</v>
      </c>
      <c r="C46" s="18" t="s">
        <v>56</v>
      </c>
      <c r="D46" s="19"/>
      <c r="E46" s="19"/>
      <c r="F46" s="19"/>
      <c r="G46" s="20"/>
      <c r="H46" s="21"/>
      <c r="I46" s="22">
        <f t="shared" si="4"/>
        <v>0</v>
      </c>
      <c r="J46" s="22"/>
      <c r="K46" s="11"/>
      <c r="L46" s="22"/>
      <c r="M46" s="22"/>
      <c r="N46" s="22"/>
      <c r="O46" s="22"/>
      <c r="P46" s="22"/>
      <c r="Q46" s="22"/>
      <c r="R46" s="36"/>
      <c r="S46" s="44"/>
      <c r="T46" s="47"/>
      <c r="U46" s="52">
        <f t="shared" si="5"/>
        <v>0</v>
      </c>
      <c r="V46" s="23" t="str">
        <f t="shared" si="3"/>
        <v>OK</v>
      </c>
    </row>
    <row r="47" spans="1:22" hidden="1" x14ac:dyDescent="0.3">
      <c r="A47" s="12" t="s">
        <v>81</v>
      </c>
      <c r="B47" s="62">
        <v>15097</v>
      </c>
      <c r="C47" s="12" t="s">
        <v>56</v>
      </c>
      <c r="D47" s="53"/>
      <c r="E47" s="13"/>
      <c r="F47" s="13"/>
      <c r="G47" s="14"/>
      <c r="H47" s="15"/>
      <c r="I47" s="16">
        <f t="shared" si="4"/>
        <v>0</v>
      </c>
      <c r="J47" s="16"/>
      <c r="K47" s="11"/>
      <c r="L47" s="16"/>
      <c r="M47" s="16"/>
      <c r="N47" s="16"/>
      <c r="O47" s="16"/>
      <c r="P47" s="16"/>
      <c r="Q47" s="16"/>
      <c r="R47" s="35"/>
      <c r="S47" s="43"/>
      <c r="T47" s="46"/>
      <c r="U47" s="51">
        <f t="shared" si="5"/>
        <v>0</v>
      </c>
      <c r="V47" s="17" t="str">
        <f t="shared" si="3"/>
        <v>OK</v>
      </c>
    </row>
    <row r="48" spans="1:22" hidden="1" x14ac:dyDescent="0.3">
      <c r="A48" s="54" t="s">
        <v>76</v>
      </c>
      <c r="B48" s="63">
        <v>5585</v>
      </c>
      <c r="C48" s="18" t="s">
        <v>64</v>
      </c>
      <c r="D48" s="19"/>
      <c r="E48" s="19"/>
      <c r="F48" s="19"/>
      <c r="G48" s="20"/>
      <c r="H48" s="21"/>
      <c r="I48" s="22">
        <f t="shared" si="4"/>
        <v>0</v>
      </c>
      <c r="J48" s="22"/>
      <c r="K48" s="11"/>
      <c r="L48" s="22"/>
      <c r="M48" s="22"/>
      <c r="N48" s="22"/>
      <c r="O48" s="22"/>
      <c r="P48" s="22"/>
      <c r="Q48" s="22"/>
      <c r="R48" s="36"/>
      <c r="S48" s="44"/>
      <c r="T48" s="47"/>
      <c r="U48" s="52">
        <f t="shared" si="5"/>
        <v>0</v>
      </c>
      <c r="V48" s="23" t="str">
        <f t="shared" si="3"/>
        <v>OK</v>
      </c>
    </row>
    <row r="49" spans="1:22" hidden="1" x14ac:dyDescent="0.3">
      <c r="A49" s="12" t="s">
        <v>65</v>
      </c>
      <c r="B49" s="62">
        <v>11351</v>
      </c>
      <c r="C49" s="12" t="s">
        <v>64</v>
      </c>
      <c r="D49" s="53"/>
      <c r="E49" s="13"/>
      <c r="F49" s="13"/>
      <c r="G49" s="14"/>
      <c r="H49" s="15"/>
      <c r="I49" s="16">
        <f t="shared" si="4"/>
        <v>0</v>
      </c>
      <c r="J49" s="16"/>
      <c r="K49" s="11"/>
      <c r="L49" s="16"/>
      <c r="M49" s="16"/>
      <c r="N49" s="16"/>
      <c r="O49" s="16"/>
      <c r="P49" s="16"/>
      <c r="Q49" s="16"/>
      <c r="R49" s="35"/>
      <c r="S49" s="43"/>
      <c r="T49" s="46"/>
      <c r="U49" s="51">
        <f t="shared" si="5"/>
        <v>0</v>
      </c>
      <c r="V49" s="17" t="str">
        <f t="shared" si="3"/>
        <v>OK</v>
      </c>
    </row>
    <row r="50" spans="1:22" hidden="1" x14ac:dyDescent="0.3">
      <c r="A50" s="54" t="s">
        <v>66</v>
      </c>
      <c r="B50" s="63">
        <v>11352</v>
      </c>
      <c r="C50" s="18" t="s">
        <v>64</v>
      </c>
      <c r="D50" s="19"/>
      <c r="E50" s="19"/>
      <c r="F50" s="19"/>
      <c r="G50" s="20"/>
      <c r="H50" s="21"/>
      <c r="I50" s="22">
        <f t="shared" si="4"/>
        <v>0</v>
      </c>
      <c r="J50" s="22"/>
      <c r="K50" s="11"/>
      <c r="L50" s="22"/>
      <c r="M50" s="22"/>
      <c r="N50" s="22"/>
      <c r="O50" s="22"/>
      <c r="P50" s="22"/>
      <c r="Q50" s="22"/>
      <c r="R50" s="36"/>
      <c r="S50" s="44"/>
      <c r="T50" s="47"/>
      <c r="U50" s="52">
        <f t="shared" si="5"/>
        <v>0</v>
      </c>
      <c r="V50" s="23" t="str">
        <f t="shared" si="3"/>
        <v>OK</v>
      </c>
    </row>
    <row r="51" spans="1:22" hidden="1" x14ac:dyDescent="0.3">
      <c r="A51" s="90" t="s">
        <v>102</v>
      </c>
      <c r="B51" s="76">
        <v>13515</v>
      </c>
      <c r="C51" s="70" t="s">
        <v>78</v>
      </c>
      <c r="D51" s="70"/>
      <c r="E51" s="70"/>
      <c r="F51" s="70"/>
      <c r="G51" s="91"/>
      <c r="H51" s="82"/>
      <c r="I51" s="82">
        <f t="shared" si="4"/>
        <v>0</v>
      </c>
      <c r="J51" s="74"/>
      <c r="K51" s="11"/>
      <c r="L51" s="16"/>
      <c r="M51" s="16"/>
      <c r="N51" s="16"/>
      <c r="O51" s="16"/>
      <c r="P51" s="16"/>
      <c r="Q51" s="16"/>
      <c r="R51" s="35"/>
      <c r="S51" s="43"/>
      <c r="T51" s="46"/>
      <c r="U51" s="75">
        <f t="shared" si="5"/>
        <v>0</v>
      </c>
      <c r="V51" s="93" t="str">
        <f t="shared" si="3"/>
        <v>OK</v>
      </c>
    </row>
    <row r="52" spans="1:22" ht="17.25" thickBot="1" x14ac:dyDescent="0.35">
      <c r="A52" s="54" t="s">
        <v>103</v>
      </c>
      <c r="B52" s="63">
        <v>13516</v>
      </c>
      <c r="C52" s="18" t="s">
        <v>78</v>
      </c>
      <c r="D52" s="18"/>
      <c r="E52" s="18"/>
      <c r="F52" s="18"/>
      <c r="G52" s="92"/>
      <c r="H52" s="22"/>
      <c r="I52" s="22">
        <f t="shared" si="4"/>
        <v>6</v>
      </c>
      <c r="J52" s="69"/>
      <c r="K52" s="11"/>
      <c r="L52" s="22"/>
      <c r="M52" s="22">
        <v>6</v>
      </c>
      <c r="N52" s="22"/>
      <c r="O52" s="22"/>
      <c r="P52" s="22"/>
      <c r="Q52" s="22"/>
      <c r="R52" s="36"/>
      <c r="S52" s="44"/>
      <c r="T52" s="47"/>
      <c r="U52" s="52">
        <f t="shared" si="5"/>
        <v>6</v>
      </c>
      <c r="V52" s="23" t="str">
        <f t="shared" si="3"/>
        <v>OK</v>
      </c>
    </row>
    <row r="53" spans="1:22" ht="17.25" hidden="1" thickBot="1" x14ac:dyDescent="0.35">
      <c r="A53" s="90" t="s">
        <v>104</v>
      </c>
      <c r="B53" s="76">
        <v>13468</v>
      </c>
      <c r="C53" s="70" t="s">
        <v>78</v>
      </c>
      <c r="D53" s="70"/>
      <c r="E53" s="70"/>
      <c r="F53" s="70"/>
      <c r="G53" s="91"/>
      <c r="H53" s="82"/>
      <c r="I53" s="82">
        <f t="shared" si="4"/>
        <v>0</v>
      </c>
      <c r="J53" s="74"/>
      <c r="K53" s="11"/>
      <c r="L53" s="16"/>
      <c r="M53" s="16"/>
      <c r="N53" s="16"/>
      <c r="O53" s="16"/>
      <c r="P53" s="16"/>
      <c r="Q53" s="16"/>
      <c r="R53" s="35"/>
      <c r="S53" s="43"/>
      <c r="T53" s="46"/>
      <c r="U53" s="75">
        <f t="shared" si="5"/>
        <v>0</v>
      </c>
      <c r="V53" s="93" t="str">
        <f t="shared" si="3"/>
        <v>OK</v>
      </c>
    </row>
    <row r="54" spans="1:22" ht="17.25" hidden="1" thickBot="1" x14ac:dyDescent="0.35">
      <c r="A54" s="54" t="s">
        <v>79</v>
      </c>
      <c r="B54" s="63">
        <v>13469</v>
      </c>
      <c r="C54" s="18" t="s">
        <v>78</v>
      </c>
      <c r="D54" s="18"/>
      <c r="E54" s="18"/>
      <c r="F54" s="18"/>
      <c r="G54" s="92"/>
      <c r="H54" s="22"/>
      <c r="I54" s="22">
        <f t="shared" si="4"/>
        <v>0</v>
      </c>
      <c r="J54" s="69"/>
      <c r="K54" s="11"/>
      <c r="L54" s="22"/>
      <c r="M54" s="22"/>
      <c r="N54" s="22"/>
      <c r="O54" s="22"/>
      <c r="P54" s="22"/>
      <c r="Q54" s="22"/>
      <c r="R54" s="36"/>
      <c r="S54" s="44"/>
      <c r="T54" s="47"/>
      <c r="U54" s="52">
        <f t="shared" si="5"/>
        <v>0</v>
      </c>
      <c r="V54" s="23" t="str">
        <f t="shared" si="3"/>
        <v>OK</v>
      </c>
    </row>
    <row r="55" spans="1:22" ht="17.25" hidden="1" thickBot="1" x14ac:dyDescent="0.35">
      <c r="A55" s="90" t="s">
        <v>43</v>
      </c>
      <c r="B55" s="76">
        <v>11820</v>
      </c>
      <c r="C55" s="70" t="s">
        <v>67</v>
      </c>
      <c r="D55" s="70"/>
      <c r="E55" s="70"/>
      <c r="F55" s="70"/>
      <c r="G55" s="91"/>
      <c r="H55" s="82"/>
      <c r="I55" s="82">
        <f t="shared" si="4"/>
        <v>0</v>
      </c>
      <c r="J55" s="74"/>
      <c r="K55" s="11"/>
      <c r="L55" s="16"/>
      <c r="M55" s="16"/>
      <c r="N55" s="16"/>
      <c r="O55" s="16"/>
      <c r="P55" s="16"/>
      <c r="Q55" s="16"/>
      <c r="R55" s="35"/>
      <c r="S55" s="43"/>
      <c r="T55" s="46"/>
      <c r="U55" s="75">
        <f t="shared" si="5"/>
        <v>0</v>
      </c>
      <c r="V55" s="93" t="str">
        <f t="shared" si="3"/>
        <v>OK</v>
      </c>
    </row>
    <row r="56" spans="1:22" ht="17.25" hidden="1" thickBot="1" x14ac:dyDescent="0.35">
      <c r="A56" s="54" t="s">
        <v>44</v>
      </c>
      <c r="B56" s="63">
        <v>11816</v>
      </c>
      <c r="C56" s="18" t="s">
        <v>67</v>
      </c>
      <c r="D56" s="18"/>
      <c r="E56" s="18"/>
      <c r="F56" s="18"/>
      <c r="G56" s="92"/>
      <c r="H56" s="22"/>
      <c r="I56" s="22">
        <f t="shared" si="4"/>
        <v>0</v>
      </c>
      <c r="J56" s="69"/>
      <c r="K56" s="11"/>
      <c r="L56" s="22"/>
      <c r="M56" s="22"/>
      <c r="N56" s="22"/>
      <c r="O56" s="22"/>
      <c r="P56" s="22"/>
      <c r="Q56" s="22"/>
      <c r="R56" s="36"/>
      <c r="S56" s="44"/>
      <c r="T56" s="47"/>
      <c r="U56" s="52">
        <f>SUM(L56:T56)</f>
        <v>0</v>
      </c>
      <c r="V56" s="23" t="str">
        <f t="shared" si="3"/>
        <v>OK</v>
      </c>
    </row>
    <row r="57" spans="1:22" ht="17.25" hidden="1" thickBot="1" x14ac:dyDescent="0.35">
      <c r="A57" s="76" t="s">
        <v>77</v>
      </c>
      <c r="B57" s="76">
        <v>11381</v>
      </c>
      <c r="C57" s="77" t="s">
        <v>68</v>
      </c>
      <c r="D57" s="70"/>
      <c r="E57" s="70"/>
      <c r="F57" s="70"/>
      <c r="G57" s="91"/>
      <c r="H57" s="82"/>
      <c r="I57" s="82">
        <f t="shared" si="4"/>
        <v>0</v>
      </c>
      <c r="J57" s="74"/>
      <c r="K57" s="11"/>
      <c r="L57" s="16"/>
      <c r="M57" s="16"/>
      <c r="N57" s="16"/>
      <c r="O57" s="16"/>
      <c r="P57" s="16"/>
      <c r="Q57" s="16"/>
      <c r="R57" s="35"/>
      <c r="S57" s="43"/>
      <c r="T57" s="46"/>
      <c r="U57" s="75">
        <f>SUM(L57:T57)</f>
        <v>0</v>
      </c>
      <c r="V57" s="93" t="str">
        <f t="shared" si="3"/>
        <v>OK</v>
      </c>
    </row>
    <row r="58" spans="1:22" ht="17.25" hidden="1" thickBot="1" x14ac:dyDescent="0.35">
      <c r="A58" s="54" t="s">
        <v>69</v>
      </c>
      <c r="B58" s="63">
        <v>11382</v>
      </c>
      <c r="C58" s="18" t="s">
        <v>68</v>
      </c>
      <c r="D58" s="18"/>
      <c r="E58" s="18"/>
      <c r="F58" s="18"/>
      <c r="G58" s="92"/>
      <c r="H58" s="22"/>
      <c r="I58" s="22">
        <f t="shared" si="4"/>
        <v>0</v>
      </c>
      <c r="J58" s="69"/>
      <c r="K58" s="11"/>
      <c r="L58" s="22"/>
      <c r="M58" s="22"/>
      <c r="N58" s="22"/>
      <c r="O58" s="22"/>
      <c r="P58" s="22"/>
      <c r="Q58" s="22"/>
      <c r="R58" s="36"/>
      <c r="S58" s="44"/>
      <c r="T58" s="47"/>
      <c r="U58" s="52">
        <f>SUM(L58:T58)</f>
        <v>0</v>
      </c>
      <c r="V58" s="23" t="str">
        <f t="shared" si="3"/>
        <v>OK</v>
      </c>
    </row>
    <row r="59" spans="1:22" ht="17.25" hidden="1" thickBot="1" x14ac:dyDescent="0.35">
      <c r="A59" s="96" t="s">
        <v>105</v>
      </c>
      <c r="B59" s="76">
        <v>16586</v>
      </c>
      <c r="C59" s="70" t="s">
        <v>78</v>
      </c>
      <c r="D59" s="70"/>
      <c r="E59" s="70"/>
      <c r="F59" s="70"/>
      <c r="G59" s="91"/>
      <c r="H59" s="82"/>
      <c r="I59" s="82">
        <f t="shared" si="4"/>
        <v>0</v>
      </c>
      <c r="J59" s="74"/>
      <c r="K59" s="11"/>
      <c r="L59" s="16"/>
      <c r="M59" s="16"/>
      <c r="N59" s="16"/>
      <c r="O59" s="16"/>
      <c r="P59" s="16"/>
      <c r="Q59" s="16"/>
      <c r="R59" s="35"/>
      <c r="S59" s="43"/>
      <c r="T59" s="46"/>
      <c r="U59" s="75">
        <f t="shared" ref="U59:U69" si="6">SUM(L59:T59)</f>
        <v>0</v>
      </c>
      <c r="V59" s="93" t="str">
        <f t="shared" si="3"/>
        <v>OK</v>
      </c>
    </row>
    <row r="60" spans="1:22" ht="17.25" hidden="1" thickBot="1" x14ac:dyDescent="0.35">
      <c r="A60" s="54" t="s">
        <v>90</v>
      </c>
      <c r="B60" s="63">
        <v>16587</v>
      </c>
      <c r="C60" s="18" t="s">
        <v>78</v>
      </c>
      <c r="D60" s="18"/>
      <c r="E60" s="18"/>
      <c r="F60" s="18"/>
      <c r="G60" s="92"/>
      <c r="H60" s="22"/>
      <c r="I60" s="22">
        <f t="shared" si="4"/>
        <v>0</v>
      </c>
      <c r="J60" s="69"/>
      <c r="K60" s="11"/>
      <c r="L60" s="22"/>
      <c r="M60" s="22"/>
      <c r="N60" s="22"/>
      <c r="O60" s="22"/>
      <c r="P60" s="22"/>
      <c r="Q60" s="22"/>
      <c r="R60" s="36"/>
      <c r="S60" s="44"/>
      <c r="T60" s="47"/>
      <c r="U60" s="52">
        <f t="shared" si="6"/>
        <v>0</v>
      </c>
      <c r="V60" s="23" t="str">
        <f t="shared" si="3"/>
        <v>OK</v>
      </c>
    </row>
    <row r="61" spans="1:22" ht="17.25" hidden="1" thickBot="1" x14ac:dyDescent="0.35">
      <c r="A61" s="90" t="s">
        <v>91</v>
      </c>
      <c r="B61" s="76">
        <v>17121</v>
      </c>
      <c r="C61" s="70" t="s">
        <v>92</v>
      </c>
      <c r="D61" s="70"/>
      <c r="E61" s="70"/>
      <c r="F61" s="70"/>
      <c r="G61" s="91"/>
      <c r="H61" s="82"/>
      <c r="I61" s="82">
        <f t="shared" si="4"/>
        <v>0</v>
      </c>
      <c r="J61" s="74"/>
      <c r="K61" s="11"/>
      <c r="L61" s="16"/>
      <c r="M61" s="16"/>
      <c r="N61" s="16"/>
      <c r="O61" s="16"/>
      <c r="P61" s="16"/>
      <c r="Q61" s="16"/>
      <c r="R61" s="35"/>
      <c r="S61" s="43"/>
      <c r="T61" s="46"/>
      <c r="U61" s="75">
        <f t="shared" si="6"/>
        <v>0</v>
      </c>
      <c r="V61" s="93" t="str">
        <f t="shared" si="3"/>
        <v>OK</v>
      </c>
    </row>
    <row r="62" spans="1:22" ht="17.25" hidden="1" thickBot="1" x14ac:dyDescent="0.35">
      <c r="A62" s="54" t="s">
        <v>106</v>
      </c>
      <c r="B62" s="63">
        <v>19270</v>
      </c>
      <c r="C62" s="18" t="s">
        <v>68</v>
      </c>
      <c r="D62" s="18"/>
      <c r="E62" s="18"/>
      <c r="F62" s="18"/>
      <c r="G62" s="92"/>
      <c r="H62" s="22"/>
      <c r="I62" s="22">
        <f t="shared" si="4"/>
        <v>0</v>
      </c>
      <c r="J62" s="69"/>
      <c r="K62" s="11"/>
      <c r="L62" s="22"/>
      <c r="M62" s="22"/>
      <c r="N62" s="22"/>
      <c r="O62" s="22"/>
      <c r="P62" s="22"/>
      <c r="Q62" s="22"/>
      <c r="R62" s="36"/>
      <c r="S62" s="44"/>
      <c r="T62" s="47"/>
      <c r="U62" s="71">
        <f t="shared" si="6"/>
        <v>0</v>
      </c>
      <c r="V62" s="23" t="str">
        <f t="shared" si="3"/>
        <v>OK</v>
      </c>
    </row>
    <row r="63" spans="1:22" ht="17.25" hidden="1" thickBot="1" x14ac:dyDescent="0.35">
      <c r="A63" s="90" t="s">
        <v>107</v>
      </c>
      <c r="B63" s="76">
        <v>19276</v>
      </c>
      <c r="C63" s="70" t="s">
        <v>68</v>
      </c>
      <c r="D63" s="70"/>
      <c r="E63" s="70"/>
      <c r="F63" s="70"/>
      <c r="G63" s="91"/>
      <c r="H63" s="82"/>
      <c r="I63" s="82">
        <f t="shared" si="4"/>
        <v>0</v>
      </c>
      <c r="J63" s="74"/>
      <c r="K63" s="11"/>
      <c r="L63" s="16"/>
      <c r="M63" s="16"/>
      <c r="N63" s="16"/>
      <c r="O63" s="16"/>
      <c r="P63" s="16"/>
      <c r="Q63" s="16"/>
      <c r="R63" s="35"/>
      <c r="S63" s="43"/>
      <c r="T63" s="46"/>
      <c r="U63" s="75">
        <f t="shared" si="6"/>
        <v>0</v>
      </c>
      <c r="V63" s="93" t="str">
        <f t="shared" si="3"/>
        <v>OK</v>
      </c>
    </row>
    <row r="64" spans="1:22" ht="17.25" hidden="1" thickBot="1" x14ac:dyDescent="0.35">
      <c r="A64" s="54" t="s">
        <v>108</v>
      </c>
      <c r="B64" s="63">
        <v>19836</v>
      </c>
      <c r="C64" s="18" t="s">
        <v>45</v>
      </c>
      <c r="D64" s="18"/>
      <c r="E64" s="18"/>
      <c r="F64" s="18"/>
      <c r="G64" s="92"/>
      <c r="H64" s="22"/>
      <c r="I64" s="22">
        <f t="shared" si="4"/>
        <v>0</v>
      </c>
      <c r="J64" s="69"/>
      <c r="K64" s="11"/>
      <c r="L64" s="22"/>
      <c r="M64" s="22"/>
      <c r="N64" s="22"/>
      <c r="O64" s="22"/>
      <c r="P64" s="22"/>
      <c r="Q64" s="22"/>
      <c r="R64" s="36"/>
      <c r="S64" s="44"/>
      <c r="T64" s="47"/>
      <c r="U64" s="52">
        <f t="shared" si="6"/>
        <v>0</v>
      </c>
      <c r="V64" s="23" t="str">
        <f t="shared" si="3"/>
        <v>OK</v>
      </c>
    </row>
    <row r="65" spans="1:22" ht="17.25" hidden="1" thickBot="1" x14ac:dyDescent="0.35">
      <c r="A65" s="90" t="s">
        <v>109</v>
      </c>
      <c r="B65" s="76">
        <v>20278</v>
      </c>
      <c r="C65" s="70" t="s">
        <v>110</v>
      </c>
      <c r="D65" s="70"/>
      <c r="E65" s="70"/>
      <c r="F65" s="70"/>
      <c r="G65" s="91"/>
      <c r="H65" s="82"/>
      <c r="I65" s="82">
        <f t="shared" si="4"/>
        <v>0</v>
      </c>
      <c r="J65" s="74"/>
      <c r="K65" s="11"/>
      <c r="L65" s="16"/>
      <c r="M65" s="16"/>
      <c r="N65" s="16"/>
      <c r="O65" s="16"/>
      <c r="P65" s="16"/>
      <c r="Q65" s="16"/>
      <c r="R65" s="35"/>
      <c r="S65" s="43"/>
      <c r="T65" s="46"/>
      <c r="U65" s="75">
        <f t="shared" si="6"/>
        <v>0</v>
      </c>
      <c r="V65" s="93" t="str">
        <f t="shared" si="3"/>
        <v>OK</v>
      </c>
    </row>
    <row r="66" spans="1:22" ht="17.25" hidden="1" thickBot="1" x14ac:dyDescent="0.35">
      <c r="A66" s="54" t="s">
        <v>111</v>
      </c>
      <c r="B66" s="63">
        <v>20272</v>
      </c>
      <c r="C66" s="18" t="s">
        <v>110</v>
      </c>
      <c r="D66" s="18"/>
      <c r="E66" s="18"/>
      <c r="F66" s="18"/>
      <c r="G66" s="92"/>
      <c r="H66" s="22"/>
      <c r="I66" s="22">
        <f t="shared" si="4"/>
        <v>0</v>
      </c>
      <c r="J66" s="69"/>
      <c r="K66" s="11"/>
      <c r="L66" s="22"/>
      <c r="M66" s="22"/>
      <c r="N66" s="22"/>
      <c r="O66" s="22"/>
      <c r="P66" s="22"/>
      <c r="Q66" s="22"/>
      <c r="R66" s="36"/>
      <c r="S66" s="44"/>
      <c r="T66" s="47"/>
      <c r="U66" s="52">
        <f t="shared" si="6"/>
        <v>0</v>
      </c>
      <c r="V66" s="23" t="str">
        <f t="shared" si="3"/>
        <v>OK</v>
      </c>
    </row>
    <row r="67" spans="1:22" ht="17.25" hidden="1" thickBot="1" x14ac:dyDescent="0.35">
      <c r="A67" s="90" t="s">
        <v>112</v>
      </c>
      <c r="B67" s="76">
        <v>20956</v>
      </c>
      <c r="C67" s="70" t="s">
        <v>110</v>
      </c>
      <c r="D67" s="70"/>
      <c r="E67" s="70"/>
      <c r="F67" s="70"/>
      <c r="G67" s="91"/>
      <c r="H67" s="82"/>
      <c r="I67" s="82">
        <f t="shared" si="4"/>
        <v>0</v>
      </c>
      <c r="J67" s="74"/>
      <c r="K67" s="11"/>
      <c r="L67" s="16"/>
      <c r="M67" s="16"/>
      <c r="N67" s="16"/>
      <c r="O67" s="16"/>
      <c r="P67" s="16"/>
      <c r="Q67" s="16"/>
      <c r="R67" s="35"/>
      <c r="S67" s="43"/>
      <c r="T67" s="46"/>
      <c r="U67" s="75">
        <f t="shared" si="6"/>
        <v>0</v>
      </c>
      <c r="V67" s="93" t="str">
        <f t="shared" si="3"/>
        <v>OK</v>
      </c>
    </row>
    <row r="68" spans="1:22" ht="17.25" hidden="1" thickBot="1" x14ac:dyDescent="0.35">
      <c r="A68" s="54" t="s">
        <v>116</v>
      </c>
      <c r="B68" s="63">
        <v>21299</v>
      </c>
      <c r="C68" s="18" t="s">
        <v>78</v>
      </c>
      <c r="D68" s="18"/>
      <c r="E68" s="18"/>
      <c r="F68" s="18"/>
      <c r="G68" s="92"/>
      <c r="H68" s="22"/>
      <c r="I68" s="22">
        <f t="shared" si="4"/>
        <v>0</v>
      </c>
      <c r="J68" s="69"/>
      <c r="K68" s="11"/>
      <c r="L68" s="22"/>
      <c r="M68" s="22"/>
      <c r="N68" s="22"/>
      <c r="O68" s="22"/>
      <c r="P68" s="22"/>
      <c r="Q68" s="22"/>
      <c r="R68" s="36"/>
      <c r="S68" s="44"/>
      <c r="T68" s="47"/>
      <c r="U68" s="71">
        <f t="shared" si="6"/>
        <v>0</v>
      </c>
      <c r="V68" s="23" t="str">
        <f>IF(U68=I68,"OK","NG")</f>
        <v>OK</v>
      </c>
    </row>
    <row r="69" spans="1:22" ht="17.25" hidden="1" thickBot="1" x14ac:dyDescent="0.35">
      <c r="A69" s="99" t="s">
        <v>117</v>
      </c>
      <c r="B69" s="76">
        <v>22115</v>
      </c>
      <c r="C69" s="82" t="s">
        <v>118</v>
      </c>
      <c r="D69" s="82"/>
      <c r="E69" s="82"/>
      <c r="F69" s="82"/>
      <c r="G69" s="82"/>
      <c r="H69" s="82"/>
      <c r="I69" s="82">
        <f t="shared" si="4"/>
        <v>0</v>
      </c>
      <c r="J69" s="97"/>
      <c r="K69" s="112"/>
      <c r="L69" s="82"/>
      <c r="M69" s="82"/>
      <c r="N69" s="82"/>
      <c r="O69" s="82"/>
      <c r="P69" s="82"/>
      <c r="Q69" s="82"/>
      <c r="R69" s="83"/>
      <c r="S69" s="84"/>
      <c r="T69" s="100"/>
      <c r="U69" s="75">
        <f t="shared" si="6"/>
        <v>0</v>
      </c>
      <c r="V69" s="93" t="str">
        <f>IF(U69=I69,"OK","NG")</f>
        <v>OK</v>
      </c>
    </row>
    <row r="70" spans="1:22" ht="17.25" hidden="1" thickBot="1" x14ac:dyDescent="0.35">
      <c r="A70" s="54" t="s">
        <v>120</v>
      </c>
      <c r="B70" s="63">
        <v>22706</v>
      </c>
      <c r="C70" s="18" t="s">
        <v>119</v>
      </c>
      <c r="D70" s="18"/>
      <c r="E70" s="18"/>
      <c r="F70" s="18"/>
      <c r="G70" s="92"/>
      <c r="H70" s="22"/>
      <c r="I70" s="22">
        <f t="shared" si="4"/>
        <v>0</v>
      </c>
      <c r="J70" s="69"/>
      <c r="K70" s="11"/>
      <c r="L70" s="22"/>
      <c r="M70" s="22"/>
      <c r="N70" s="22"/>
      <c r="O70" s="22"/>
      <c r="P70" s="22"/>
      <c r="Q70" s="22"/>
      <c r="R70" s="36"/>
      <c r="S70" s="44"/>
      <c r="T70" s="47"/>
      <c r="U70" s="71">
        <f t="shared" ref="U70" si="7">SUM(L70:T70)</f>
        <v>0</v>
      </c>
      <c r="V70" s="23" t="str">
        <f>IF(U70=I70,"OK","NG")</f>
        <v>OK</v>
      </c>
    </row>
    <row r="71" spans="1:22" ht="17.25" hidden="1" thickBot="1" x14ac:dyDescent="0.35">
      <c r="A71" s="99" t="s">
        <v>121</v>
      </c>
      <c r="B71" s="76">
        <v>22886</v>
      </c>
      <c r="C71" s="82" t="s">
        <v>46</v>
      </c>
      <c r="D71" s="82"/>
      <c r="E71" s="82"/>
      <c r="F71" s="82"/>
      <c r="G71" s="82"/>
      <c r="H71" s="82"/>
      <c r="I71" s="82">
        <f t="shared" ref="I71:I79" si="8">SUM(L71:T71)</f>
        <v>0</v>
      </c>
      <c r="J71" s="97"/>
      <c r="K71" s="112"/>
      <c r="L71" s="82"/>
      <c r="M71" s="82"/>
      <c r="N71" s="82"/>
      <c r="O71" s="82"/>
      <c r="P71" s="82"/>
      <c r="Q71" s="82"/>
      <c r="R71" s="83"/>
      <c r="S71" s="84"/>
      <c r="T71" s="100"/>
      <c r="U71" s="75">
        <f>SUM(L71:T71)</f>
        <v>0</v>
      </c>
      <c r="V71" s="93" t="str">
        <f>IF(U71=I71,"OK","NG")</f>
        <v>OK</v>
      </c>
    </row>
    <row r="72" spans="1:22" ht="17.25" hidden="1" thickBot="1" x14ac:dyDescent="0.35">
      <c r="A72" s="54" t="s">
        <v>122</v>
      </c>
      <c r="B72" s="63">
        <v>17528</v>
      </c>
      <c r="C72" s="18" t="s">
        <v>123</v>
      </c>
      <c r="D72" s="18"/>
      <c r="E72" s="18"/>
      <c r="F72" s="18"/>
      <c r="G72" s="92"/>
      <c r="H72" s="22"/>
      <c r="I72" s="22">
        <f t="shared" si="8"/>
        <v>0</v>
      </c>
      <c r="J72" s="69"/>
      <c r="K72" s="11"/>
      <c r="L72" s="22"/>
      <c r="M72" s="22"/>
      <c r="N72" s="22"/>
      <c r="O72" s="22"/>
      <c r="P72" s="22"/>
      <c r="Q72" s="22"/>
      <c r="R72" s="36"/>
      <c r="S72" s="44"/>
      <c r="T72" s="47"/>
      <c r="U72" s="71">
        <f t="shared" ref="U72:U79" si="9">SUM(L72:T72)</f>
        <v>0</v>
      </c>
      <c r="V72" s="95" t="str">
        <f t="shared" ref="V72:V80" si="10">IF(U72=I72,"OK","NG")</f>
        <v>OK</v>
      </c>
    </row>
    <row r="73" spans="1:22" ht="17.25" hidden="1" thickBot="1" x14ac:dyDescent="0.35">
      <c r="A73" s="99" t="s">
        <v>124</v>
      </c>
      <c r="B73" s="76">
        <v>22380</v>
      </c>
      <c r="C73" s="82" t="s">
        <v>47</v>
      </c>
      <c r="D73" s="82"/>
      <c r="E73" s="82"/>
      <c r="F73" s="82"/>
      <c r="G73" s="82"/>
      <c r="H73" s="82"/>
      <c r="I73" s="82">
        <f t="shared" si="8"/>
        <v>0</v>
      </c>
      <c r="J73" s="97"/>
      <c r="K73" s="112"/>
      <c r="L73" s="82"/>
      <c r="M73" s="82"/>
      <c r="N73" s="82"/>
      <c r="O73" s="82"/>
      <c r="P73" s="82"/>
      <c r="Q73" s="82"/>
      <c r="R73" s="83"/>
      <c r="S73" s="84"/>
      <c r="T73" s="100"/>
      <c r="U73" s="75">
        <f t="shared" si="9"/>
        <v>0</v>
      </c>
      <c r="V73" s="93" t="str">
        <f t="shared" si="10"/>
        <v>OK</v>
      </c>
    </row>
    <row r="74" spans="1:22" ht="17.25" hidden="1" thickBot="1" x14ac:dyDescent="0.35">
      <c r="A74" s="54" t="s">
        <v>125</v>
      </c>
      <c r="B74" s="63">
        <v>19279</v>
      </c>
      <c r="C74" s="18" t="s">
        <v>126</v>
      </c>
      <c r="D74" s="18"/>
      <c r="E74" s="18"/>
      <c r="F74" s="18"/>
      <c r="G74" s="92"/>
      <c r="H74" s="22"/>
      <c r="I74" s="22">
        <f t="shared" si="8"/>
        <v>0</v>
      </c>
      <c r="J74" s="69"/>
      <c r="K74" s="11"/>
      <c r="L74" s="22"/>
      <c r="M74" s="22"/>
      <c r="N74" s="22"/>
      <c r="O74" s="22"/>
      <c r="P74" s="22"/>
      <c r="Q74" s="22"/>
      <c r="R74" s="36"/>
      <c r="S74" s="44"/>
      <c r="T74" s="47"/>
      <c r="U74" s="71">
        <f t="shared" si="9"/>
        <v>0</v>
      </c>
      <c r="V74" s="95" t="str">
        <f t="shared" si="10"/>
        <v>OK</v>
      </c>
    </row>
    <row r="75" spans="1:22" ht="17.25" hidden="1" thickBot="1" x14ac:dyDescent="0.35">
      <c r="A75" s="90" t="s">
        <v>131</v>
      </c>
      <c r="B75" s="76">
        <v>22724</v>
      </c>
      <c r="C75" s="70" t="s">
        <v>119</v>
      </c>
      <c r="D75" s="70"/>
      <c r="E75" s="70"/>
      <c r="F75" s="70"/>
      <c r="G75" s="91"/>
      <c r="H75" s="82"/>
      <c r="I75" s="82">
        <f t="shared" si="8"/>
        <v>0</v>
      </c>
      <c r="J75" s="74"/>
      <c r="K75" s="11"/>
      <c r="L75" s="82"/>
      <c r="M75" s="82"/>
      <c r="N75" s="82"/>
      <c r="O75" s="82"/>
      <c r="P75" s="82"/>
      <c r="Q75" s="82"/>
      <c r="R75" s="83"/>
      <c r="S75" s="84"/>
      <c r="T75" s="85"/>
      <c r="U75" s="75">
        <f>SUM(L75:T75)</f>
        <v>0</v>
      </c>
      <c r="V75" s="93" t="s">
        <v>129</v>
      </c>
    </row>
    <row r="76" spans="1:22" ht="17.25" hidden="1" thickBot="1" x14ac:dyDescent="0.35">
      <c r="A76" s="54" t="s">
        <v>133</v>
      </c>
      <c r="B76" s="63">
        <v>22705</v>
      </c>
      <c r="C76" s="18" t="s">
        <v>119</v>
      </c>
      <c r="D76" s="18"/>
      <c r="E76" s="18"/>
      <c r="F76" s="18"/>
      <c r="G76" s="92"/>
      <c r="H76" s="22"/>
      <c r="I76" s="22">
        <f t="shared" si="8"/>
        <v>0</v>
      </c>
      <c r="J76" s="69"/>
      <c r="K76" s="11"/>
      <c r="L76" s="22"/>
      <c r="M76" s="22"/>
      <c r="N76" s="22"/>
      <c r="O76" s="22"/>
      <c r="P76" s="22"/>
      <c r="Q76" s="22"/>
      <c r="R76" s="36"/>
      <c r="S76" s="44"/>
      <c r="T76" s="47"/>
      <c r="U76" s="71">
        <f t="shared" si="9"/>
        <v>0</v>
      </c>
      <c r="V76" s="95" t="str">
        <f t="shared" si="10"/>
        <v>OK</v>
      </c>
    </row>
    <row r="77" spans="1:22" ht="17.25" hidden="1" thickBot="1" x14ac:dyDescent="0.35">
      <c r="A77" s="99" t="s">
        <v>128</v>
      </c>
      <c r="B77" s="76">
        <v>5655</v>
      </c>
      <c r="C77" s="82" t="s">
        <v>54</v>
      </c>
      <c r="D77" s="82"/>
      <c r="E77" s="82"/>
      <c r="F77" s="82"/>
      <c r="G77" s="82"/>
      <c r="H77" s="82"/>
      <c r="I77" s="82">
        <f t="shared" si="8"/>
        <v>0</v>
      </c>
      <c r="J77" s="97"/>
      <c r="K77" s="112"/>
      <c r="L77" s="82"/>
      <c r="M77" s="82"/>
      <c r="N77" s="82"/>
      <c r="O77" s="82"/>
      <c r="P77" s="82"/>
      <c r="Q77" s="82"/>
      <c r="R77" s="83"/>
      <c r="S77" s="84"/>
      <c r="T77" s="100"/>
      <c r="U77" s="75">
        <f t="shared" si="9"/>
        <v>0</v>
      </c>
      <c r="V77" s="93" t="str">
        <f t="shared" si="10"/>
        <v>OK</v>
      </c>
    </row>
    <row r="78" spans="1:22" ht="17.25" hidden="1" thickBot="1" x14ac:dyDescent="0.35">
      <c r="A78" s="54" t="s">
        <v>136</v>
      </c>
      <c r="B78" s="63">
        <v>22704</v>
      </c>
      <c r="C78" s="18" t="s">
        <v>137</v>
      </c>
      <c r="D78" s="18"/>
      <c r="E78" s="18"/>
      <c r="F78" s="18"/>
      <c r="G78" s="92"/>
      <c r="H78" s="22"/>
      <c r="I78" s="22">
        <f t="shared" si="8"/>
        <v>0</v>
      </c>
      <c r="J78" s="69"/>
      <c r="K78" s="11"/>
      <c r="L78" s="22"/>
      <c r="M78" s="22"/>
      <c r="N78" s="22"/>
      <c r="O78" s="22"/>
      <c r="P78" s="22"/>
      <c r="Q78" s="22"/>
      <c r="R78" s="36"/>
      <c r="S78" s="44"/>
      <c r="T78" s="47"/>
      <c r="U78" s="71">
        <f t="shared" si="9"/>
        <v>0</v>
      </c>
      <c r="V78" s="95" t="str">
        <f t="shared" si="10"/>
        <v>OK</v>
      </c>
    </row>
    <row r="79" spans="1:22" ht="17.25" hidden="1" thickBot="1" x14ac:dyDescent="0.35">
      <c r="A79" s="132" t="s">
        <v>139</v>
      </c>
      <c r="B79" s="133">
        <v>22722</v>
      </c>
      <c r="C79" s="134" t="s">
        <v>119</v>
      </c>
      <c r="D79" s="134"/>
      <c r="E79" s="134"/>
      <c r="F79" s="134"/>
      <c r="G79" s="135"/>
      <c r="H79" s="82"/>
      <c r="I79" s="82">
        <f t="shared" si="8"/>
        <v>0</v>
      </c>
      <c r="J79" s="74"/>
      <c r="K79" s="118"/>
      <c r="L79" s="82"/>
      <c r="M79" s="82"/>
      <c r="N79" s="82"/>
      <c r="O79" s="82"/>
      <c r="P79" s="82"/>
      <c r="Q79" s="82"/>
      <c r="R79" s="83"/>
      <c r="S79" s="84"/>
      <c r="T79" s="85"/>
      <c r="U79" s="75">
        <f t="shared" si="9"/>
        <v>0</v>
      </c>
      <c r="V79" s="93" t="str">
        <f t="shared" si="10"/>
        <v>OK</v>
      </c>
    </row>
    <row r="80" spans="1:22" ht="17.25" hidden="1" customHeight="1" thickBot="1" x14ac:dyDescent="0.35">
      <c r="A80" s="126" t="s">
        <v>134</v>
      </c>
      <c r="B80" s="127">
        <v>22723</v>
      </c>
      <c r="C80" s="128" t="s">
        <v>119</v>
      </c>
      <c r="D80" s="128"/>
      <c r="E80" s="128"/>
      <c r="F80" s="128"/>
      <c r="G80" s="128"/>
      <c r="H80" s="22"/>
      <c r="I80" s="22">
        <f t="shared" ref="I80" si="11">SUM(L80:T80)</f>
        <v>0</v>
      </c>
      <c r="J80" s="45"/>
      <c r="K80" s="112"/>
      <c r="L80" s="22"/>
      <c r="M80" s="22"/>
      <c r="N80" s="22"/>
      <c r="O80" s="22"/>
      <c r="P80" s="22"/>
      <c r="Q80" s="22"/>
      <c r="R80" s="36"/>
      <c r="S80" s="44"/>
      <c r="T80" s="116"/>
      <c r="U80" s="52">
        <f t="shared" ref="U80" si="12">SUM(L80:T80)</f>
        <v>0</v>
      </c>
      <c r="V80" s="23" t="str">
        <f t="shared" si="10"/>
        <v>OK</v>
      </c>
    </row>
    <row r="81" spans="1:22" x14ac:dyDescent="0.3">
      <c r="A81" s="86"/>
      <c r="B81" s="86"/>
      <c r="C81" s="87" t="s">
        <v>9</v>
      </c>
      <c r="D81" s="87"/>
      <c r="E81" s="87"/>
      <c r="F81" s="87"/>
      <c r="G81" s="88">
        <f>SUM(G6:G49)</f>
        <v>0</v>
      </c>
      <c r="H81" s="89">
        <f>SUM(H6:H49)</f>
        <v>0</v>
      </c>
      <c r="I81" s="88">
        <f>SUM(I6:I80)</f>
        <v>10</v>
      </c>
      <c r="J81" s="40">
        <f>SUM(J6:J49)</f>
        <v>0</v>
      </c>
      <c r="K81" s="115">
        <f>SUM(K6:K51)</f>
        <v>0</v>
      </c>
      <c r="L81" s="38">
        <f>SUM(L6:L80)</f>
        <v>0</v>
      </c>
      <c r="M81" s="38">
        <f t="shared" ref="M81:U81" si="13">SUM(M6:M80)</f>
        <v>10</v>
      </c>
      <c r="N81" s="38">
        <f t="shared" si="13"/>
        <v>0</v>
      </c>
      <c r="O81" s="38">
        <f t="shared" si="13"/>
        <v>0</v>
      </c>
      <c r="P81" s="38">
        <f t="shared" si="13"/>
        <v>0</v>
      </c>
      <c r="Q81" s="38">
        <f t="shared" si="13"/>
        <v>0</v>
      </c>
      <c r="R81" s="38">
        <f t="shared" si="13"/>
        <v>0</v>
      </c>
      <c r="S81" s="38">
        <f t="shared" si="13"/>
        <v>0</v>
      </c>
      <c r="T81" s="38">
        <f t="shared" si="13"/>
        <v>0</v>
      </c>
      <c r="U81" s="38">
        <f t="shared" si="13"/>
        <v>10</v>
      </c>
      <c r="V81" s="41" t="str">
        <f>IF(U81=SUM(I81),"OK","NG")</f>
        <v>OK</v>
      </c>
    </row>
  </sheetData>
  <autoFilter ref="A5:V81" xr:uid="{00000000-0001-0000-1C00-000000000000}">
    <filterColumn colId="8">
      <filters>
        <filter val="10"/>
        <filter val="4"/>
        <filter val="6"/>
      </filters>
    </filterColumn>
  </autoFilter>
  <mergeCells count="20">
    <mergeCell ref="O4:O5"/>
    <mergeCell ref="P4:P5"/>
    <mergeCell ref="B3:C3"/>
    <mergeCell ref="N4:N5"/>
    <mergeCell ref="B1:C1"/>
    <mergeCell ref="F1:G1"/>
    <mergeCell ref="H1:J3"/>
    <mergeCell ref="B2:C2"/>
    <mergeCell ref="A4:D4"/>
    <mergeCell ref="E4:G4"/>
    <mergeCell ref="H4:J4"/>
    <mergeCell ref="L4:L5"/>
    <mergeCell ref="M4:M5"/>
    <mergeCell ref="Q4:Q5"/>
    <mergeCell ref="R4:R5"/>
    <mergeCell ref="S4:S5"/>
    <mergeCell ref="T4:T5"/>
    <mergeCell ref="V2:V3"/>
    <mergeCell ref="U4:U5"/>
    <mergeCell ref="V4:V5"/>
  </mergeCells>
  <phoneticPr fontId="3" type="noConversion"/>
  <conditionalFormatting sqref="A4 V6:V81">
    <cfRule type="containsText" dxfId="7" priority="11" operator="containsText" text="NG">
      <formula>NOT(ISERROR(SEARCH("NG",A4)))</formula>
    </cfRule>
    <cfRule type="containsText" dxfId="6" priority="12" operator="containsText" text="OK">
      <formula>NOT(ISERROR(SEARCH("OK",A4)))</formula>
    </cfRule>
  </conditionalFormatting>
  <pageMargins left="0.70866141732283472" right="0.70866141732283472" top="0.74803149606299213" bottom="0.74803149606299213" header="0.31496062992125984" footer="0.31496062992125984"/>
  <pageSetup paperSize="8" scale="10" orientation="landscape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 filterMode="1">
    <pageSetUpPr fitToPage="1"/>
  </sheetPr>
  <dimension ref="A1:V81"/>
  <sheetViews>
    <sheetView showGridLines="0" zoomScale="85" zoomScaleNormal="85" workbookViewId="0">
      <pane ySplit="5" topLeftCell="A60" activePane="bottomLeft" state="frozen"/>
      <selection activeCell="W73" sqref="W73"/>
      <selection pane="bottomLeft" activeCell="W73" sqref="W73"/>
    </sheetView>
  </sheetViews>
  <sheetFormatPr defaultColWidth="9" defaultRowHeight="16.5" x14ac:dyDescent="0.3"/>
  <cols>
    <col min="1" max="1" width="12.625" bestFit="1" customWidth="1"/>
    <col min="2" max="2" width="14.125" bestFit="1" customWidth="1"/>
    <col min="3" max="3" width="35.125" customWidth="1"/>
    <col min="4" max="4" width="11.75" hidden="1" customWidth="1"/>
    <col min="5" max="6" width="9" hidden="1" customWidth="1"/>
    <col min="7" max="7" width="15.375" hidden="1" customWidth="1"/>
    <col min="8" max="8" width="13.25" hidden="1" customWidth="1"/>
    <col min="9" max="9" width="13.25" customWidth="1"/>
    <col min="10" max="10" width="13.25" hidden="1" customWidth="1"/>
    <col min="11" max="11" width="0.875" customWidth="1"/>
    <col min="20" max="20" width="11" bestFit="1" customWidth="1"/>
  </cols>
  <sheetData>
    <row r="1" spans="1:22" ht="22.5" customHeight="1" thickBot="1" x14ac:dyDescent="0.35">
      <c r="A1" s="32" t="s">
        <v>28</v>
      </c>
      <c r="B1" s="153">
        <f>H81</f>
        <v>0</v>
      </c>
      <c r="C1" s="154"/>
      <c r="D1" s="55"/>
      <c r="E1" s="58" t="s">
        <v>1</v>
      </c>
      <c r="F1" s="155">
        <f>G81</f>
        <v>0</v>
      </c>
      <c r="G1" s="155"/>
      <c r="H1" s="156"/>
      <c r="I1" s="156"/>
      <c r="J1" s="156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22.5" customHeight="1" thickBot="1" x14ac:dyDescent="0.35">
      <c r="A2" s="32" t="s">
        <v>29</v>
      </c>
      <c r="B2" s="158">
        <f>I81</f>
        <v>0</v>
      </c>
      <c r="C2" s="159"/>
      <c r="D2" s="56"/>
      <c r="E2" s="59"/>
      <c r="F2" s="2"/>
      <c r="G2" s="2"/>
      <c r="H2" s="156"/>
      <c r="I2" s="156"/>
      <c r="J2" s="156"/>
      <c r="K2" s="113"/>
      <c r="L2" s="3">
        <f>SUBTOTAL(9,L6:L80)</f>
        <v>0</v>
      </c>
      <c r="M2" s="3">
        <f t="shared" ref="M2:T2" si="0">SUBTOTAL(9,M6:M80)</f>
        <v>0</v>
      </c>
      <c r="N2" s="3">
        <f t="shared" si="0"/>
        <v>0</v>
      </c>
      <c r="O2" s="3">
        <f t="shared" si="0"/>
        <v>0</v>
      </c>
      <c r="P2" s="3">
        <f t="shared" si="0"/>
        <v>0</v>
      </c>
      <c r="Q2" s="3">
        <f t="shared" si="0"/>
        <v>0</v>
      </c>
      <c r="R2" s="3">
        <f t="shared" si="0"/>
        <v>0</v>
      </c>
      <c r="S2" s="3">
        <f t="shared" si="0"/>
        <v>0</v>
      </c>
      <c r="T2" s="3">
        <f t="shared" si="0"/>
        <v>0</v>
      </c>
      <c r="U2" s="48">
        <f>SUBTOTAL(9,U6:U80)</f>
        <v>0</v>
      </c>
      <c r="V2" s="145"/>
    </row>
    <row r="3" spans="1:22" ht="22.5" customHeight="1" thickBot="1" x14ac:dyDescent="0.35">
      <c r="A3" s="33" t="s">
        <v>30</v>
      </c>
      <c r="B3" s="151" t="str">
        <f>IF(ISERROR(B2/(B2+B1)*1000000),"",(B2/(B2+B1)*1000000))</f>
        <v/>
      </c>
      <c r="C3" s="152"/>
      <c r="D3" s="57"/>
      <c r="E3" s="60"/>
      <c r="F3" s="27"/>
      <c r="G3" s="27"/>
      <c r="H3" s="157"/>
      <c r="I3" s="157"/>
      <c r="J3" s="157"/>
      <c r="K3" s="114"/>
      <c r="L3" s="4">
        <f t="shared" ref="L3:U3" si="1">SUM(L6:L80)</f>
        <v>0</v>
      </c>
      <c r="M3" s="4">
        <f t="shared" si="1"/>
        <v>0</v>
      </c>
      <c r="N3" s="4">
        <f t="shared" si="1"/>
        <v>0</v>
      </c>
      <c r="O3" s="4">
        <f t="shared" si="1"/>
        <v>0</v>
      </c>
      <c r="P3" s="4">
        <f t="shared" si="1"/>
        <v>0</v>
      </c>
      <c r="Q3" s="4">
        <f t="shared" si="1"/>
        <v>0</v>
      </c>
      <c r="R3" s="4">
        <f t="shared" si="1"/>
        <v>0</v>
      </c>
      <c r="S3" s="4">
        <f t="shared" si="1"/>
        <v>0</v>
      </c>
      <c r="T3" s="4">
        <f t="shared" si="1"/>
        <v>0</v>
      </c>
      <c r="U3" s="49">
        <f t="shared" si="1"/>
        <v>0</v>
      </c>
      <c r="V3" s="146"/>
    </row>
    <row r="4" spans="1:22" ht="43.5" customHeight="1" x14ac:dyDescent="0.3">
      <c r="A4" s="160" t="str">
        <f>V81</f>
        <v>OK</v>
      </c>
      <c r="B4" s="160"/>
      <c r="C4" s="160"/>
      <c r="D4" s="161"/>
      <c r="E4" s="162" t="s">
        <v>15</v>
      </c>
      <c r="F4" s="162"/>
      <c r="G4" s="162"/>
      <c r="H4" s="163" t="s">
        <v>16</v>
      </c>
      <c r="I4" s="163"/>
      <c r="J4" s="163"/>
      <c r="K4" s="113"/>
      <c r="L4" s="164" t="s">
        <v>10</v>
      </c>
      <c r="M4" s="142" t="s">
        <v>17</v>
      </c>
      <c r="N4" s="142" t="s">
        <v>11</v>
      </c>
      <c r="O4" s="138" t="s">
        <v>12</v>
      </c>
      <c r="P4" s="142" t="s">
        <v>13</v>
      </c>
      <c r="Q4" s="138" t="s">
        <v>14</v>
      </c>
      <c r="R4" s="140" t="s">
        <v>20</v>
      </c>
      <c r="S4" s="142" t="s">
        <v>21</v>
      </c>
      <c r="T4" s="143" t="s">
        <v>22</v>
      </c>
      <c r="U4" s="147" t="s">
        <v>18</v>
      </c>
      <c r="V4" s="149" t="s">
        <v>19</v>
      </c>
    </row>
    <row r="5" spans="1:22" ht="33.75" thickBot="1" x14ac:dyDescent="0.35">
      <c r="A5" s="29" t="s">
        <v>3</v>
      </c>
      <c r="B5" s="30" t="s">
        <v>32</v>
      </c>
      <c r="C5" s="29" t="s">
        <v>4</v>
      </c>
      <c r="D5" s="29" t="s">
        <v>31</v>
      </c>
      <c r="E5" s="29" t="s">
        <v>5</v>
      </c>
      <c r="F5" s="29" t="s">
        <v>6</v>
      </c>
      <c r="G5" s="30" t="s">
        <v>7</v>
      </c>
      <c r="H5" s="31" t="s">
        <v>0</v>
      </c>
      <c r="I5" s="31" t="s">
        <v>2</v>
      </c>
      <c r="J5" s="31" t="s">
        <v>8</v>
      </c>
      <c r="K5" s="28"/>
      <c r="L5" s="165"/>
      <c r="M5" s="139"/>
      <c r="N5" s="139"/>
      <c r="O5" s="139"/>
      <c r="P5" s="139"/>
      <c r="Q5" s="139"/>
      <c r="R5" s="141"/>
      <c r="S5" s="139"/>
      <c r="T5" s="144"/>
      <c r="U5" s="148"/>
      <c r="V5" s="150"/>
    </row>
    <row r="6" spans="1:22" hidden="1" x14ac:dyDescent="0.3">
      <c r="A6" s="61" t="s">
        <v>33</v>
      </c>
      <c r="B6" s="61">
        <v>8092</v>
      </c>
      <c r="C6" s="6" t="s">
        <v>45</v>
      </c>
      <c r="D6" s="7"/>
      <c r="E6" s="7"/>
      <c r="F6" s="7"/>
      <c r="G6" s="8"/>
      <c r="H6" s="9"/>
      <c r="I6" s="10">
        <f>SUM(L6:T6)</f>
        <v>0</v>
      </c>
      <c r="J6" s="10"/>
      <c r="K6" s="11"/>
      <c r="L6" s="10"/>
      <c r="M6" s="10"/>
      <c r="N6" s="10"/>
      <c r="O6" s="10"/>
      <c r="P6" s="10"/>
      <c r="Q6" s="10"/>
      <c r="R6" s="34"/>
      <c r="S6" s="42"/>
      <c r="T6" s="45"/>
      <c r="U6" s="50">
        <f t="shared" ref="U6:U36" si="2">SUM(L6:T6)</f>
        <v>0</v>
      </c>
      <c r="V6" s="26" t="str">
        <f t="shared" ref="V6:V67" si="3">IF(U6=I6,"OK","NG")</f>
        <v>OK</v>
      </c>
    </row>
    <row r="7" spans="1:22" hidden="1" x14ac:dyDescent="0.3">
      <c r="A7" s="62" t="s">
        <v>95</v>
      </c>
      <c r="B7" s="62">
        <v>8088</v>
      </c>
      <c r="C7" s="12" t="s">
        <v>46</v>
      </c>
      <c r="D7" s="53"/>
      <c r="E7" s="13"/>
      <c r="F7" s="13"/>
      <c r="G7" s="14"/>
      <c r="H7" s="15"/>
      <c r="I7" s="16">
        <f t="shared" ref="I7:I70" si="4">SUM(L7:T7)</f>
        <v>0</v>
      </c>
      <c r="J7" s="16"/>
      <c r="K7" s="11"/>
      <c r="L7" s="16"/>
      <c r="M7" s="16"/>
      <c r="N7" s="16"/>
      <c r="O7" s="16"/>
      <c r="P7" s="16"/>
      <c r="Q7" s="16"/>
      <c r="R7" s="35"/>
      <c r="S7" s="43"/>
      <c r="T7" s="46"/>
      <c r="U7" s="51">
        <f t="shared" si="2"/>
        <v>0</v>
      </c>
      <c r="V7" s="17" t="str">
        <f t="shared" si="3"/>
        <v>OK</v>
      </c>
    </row>
    <row r="8" spans="1:22" hidden="1" x14ac:dyDescent="0.3">
      <c r="A8" s="63" t="s">
        <v>96</v>
      </c>
      <c r="B8" s="63">
        <v>8081</v>
      </c>
      <c r="C8" s="18" t="s">
        <v>46</v>
      </c>
      <c r="D8" s="19"/>
      <c r="E8" s="19"/>
      <c r="F8" s="19"/>
      <c r="G8" s="20"/>
      <c r="H8" s="21"/>
      <c r="I8" s="22">
        <f t="shared" si="4"/>
        <v>0</v>
      </c>
      <c r="J8" s="22"/>
      <c r="K8" s="11"/>
      <c r="L8" s="22"/>
      <c r="M8" s="22"/>
      <c r="N8" s="22"/>
      <c r="O8" s="22"/>
      <c r="P8" s="22"/>
      <c r="Q8" s="22"/>
      <c r="R8" s="36"/>
      <c r="S8" s="44"/>
      <c r="T8" s="47"/>
      <c r="U8" s="52">
        <f t="shared" si="2"/>
        <v>0</v>
      </c>
      <c r="V8" s="23" t="str">
        <f t="shared" si="3"/>
        <v>OK</v>
      </c>
    </row>
    <row r="9" spans="1:22" hidden="1" x14ac:dyDescent="0.3">
      <c r="A9" s="62" t="s">
        <v>97</v>
      </c>
      <c r="B9" s="62">
        <v>18524</v>
      </c>
      <c r="C9" s="12" t="s">
        <v>46</v>
      </c>
      <c r="D9" s="53"/>
      <c r="E9" s="13"/>
      <c r="F9" s="13"/>
      <c r="G9" s="14"/>
      <c r="H9" s="15"/>
      <c r="I9" s="16">
        <f t="shared" si="4"/>
        <v>0</v>
      </c>
      <c r="J9" s="16"/>
      <c r="K9" s="11"/>
      <c r="L9" s="16"/>
      <c r="M9" s="16"/>
      <c r="N9" s="16"/>
      <c r="O9" s="16"/>
      <c r="P9" s="16"/>
      <c r="Q9" s="16"/>
      <c r="R9" s="35"/>
      <c r="S9" s="43"/>
      <c r="T9" s="46"/>
      <c r="U9" s="51">
        <f t="shared" si="2"/>
        <v>0</v>
      </c>
      <c r="V9" s="17" t="str">
        <f t="shared" si="3"/>
        <v>OK</v>
      </c>
    </row>
    <row r="10" spans="1:22" hidden="1" x14ac:dyDescent="0.3">
      <c r="A10" s="63" t="s">
        <v>34</v>
      </c>
      <c r="B10" s="63">
        <v>6234</v>
      </c>
      <c r="C10" s="18" t="s">
        <v>47</v>
      </c>
      <c r="D10" s="19"/>
      <c r="E10" s="19"/>
      <c r="F10" s="19"/>
      <c r="G10" s="20"/>
      <c r="H10" s="21"/>
      <c r="I10" s="22">
        <f t="shared" si="4"/>
        <v>0</v>
      </c>
      <c r="J10" s="22"/>
      <c r="K10" s="11"/>
      <c r="L10" s="22"/>
      <c r="M10" s="22"/>
      <c r="N10" s="22"/>
      <c r="O10" s="22"/>
      <c r="P10" s="22"/>
      <c r="Q10" s="22"/>
      <c r="R10" s="36"/>
      <c r="S10" s="44"/>
      <c r="T10" s="47"/>
      <c r="U10" s="52">
        <f t="shared" si="2"/>
        <v>0</v>
      </c>
      <c r="V10" s="23" t="str">
        <f t="shared" si="3"/>
        <v>OK</v>
      </c>
    </row>
    <row r="11" spans="1:22" hidden="1" x14ac:dyDescent="0.3">
      <c r="A11" s="62" t="s">
        <v>80</v>
      </c>
      <c r="B11" s="62">
        <v>14830</v>
      </c>
      <c r="C11" s="12" t="s">
        <v>47</v>
      </c>
      <c r="D11" s="53"/>
      <c r="E11" s="13"/>
      <c r="F11" s="13"/>
      <c r="G11" s="14"/>
      <c r="H11" s="15"/>
      <c r="I11" s="16">
        <f t="shared" si="4"/>
        <v>0</v>
      </c>
      <c r="J11" s="16"/>
      <c r="K11" s="11"/>
      <c r="L11" s="16"/>
      <c r="M11" s="16"/>
      <c r="N11" s="16"/>
      <c r="O11" s="16"/>
      <c r="P11" s="16"/>
      <c r="Q11" s="16"/>
      <c r="R11" s="35"/>
      <c r="S11" s="43"/>
      <c r="T11" s="46"/>
      <c r="U11" s="51">
        <f t="shared" si="2"/>
        <v>0</v>
      </c>
      <c r="V11" s="17" t="str">
        <f t="shared" si="3"/>
        <v>OK</v>
      </c>
    </row>
    <row r="12" spans="1:22" hidden="1" x14ac:dyDescent="0.3">
      <c r="A12" s="63" t="s">
        <v>35</v>
      </c>
      <c r="B12" s="63">
        <v>6004</v>
      </c>
      <c r="C12" s="18" t="s">
        <v>48</v>
      </c>
      <c r="D12" s="19"/>
      <c r="E12" s="19"/>
      <c r="F12" s="19"/>
      <c r="G12" s="20"/>
      <c r="H12" s="21"/>
      <c r="I12" s="22">
        <f t="shared" si="4"/>
        <v>0</v>
      </c>
      <c r="J12" s="22"/>
      <c r="K12" s="11"/>
      <c r="L12" s="22"/>
      <c r="M12" s="22"/>
      <c r="N12" s="22"/>
      <c r="O12" s="22"/>
      <c r="P12" s="22"/>
      <c r="Q12" s="22"/>
      <c r="R12" s="36"/>
      <c r="S12" s="44"/>
      <c r="T12" s="47"/>
      <c r="U12" s="52">
        <f t="shared" si="2"/>
        <v>0</v>
      </c>
      <c r="V12" s="23" t="str">
        <f t="shared" si="3"/>
        <v>OK</v>
      </c>
    </row>
    <row r="13" spans="1:22" hidden="1" x14ac:dyDescent="0.3">
      <c r="A13" s="62" t="s">
        <v>36</v>
      </c>
      <c r="B13" s="62">
        <v>11857</v>
      </c>
      <c r="C13" s="12" t="s">
        <v>48</v>
      </c>
      <c r="D13" s="53"/>
      <c r="E13" s="13"/>
      <c r="F13" s="13"/>
      <c r="G13" s="14"/>
      <c r="H13" s="15"/>
      <c r="I13" s="16">
        <f t="shared" si="4"/>
        <v>0</v>
      </c>
      <c r="J13" s="16"/>
      <c r="K13" s="11"/>
      <c r="L13" s="16"/>
      <c r="M13" s="16"/>
      <c r="N13" s="16"/>
      <c r="O13" s="16"/>
      <c r="P13" s="16"/>
      <c r="Q13" s="16"/>
      <c r="R13" s="35"/>
      <c r="S13" s="43"/>
      <c r="T13" s="46"/>
      <c r="U13" s="51">
        <f t="shared" si="2"/>
        <v>0</v>
      </c>
      <c r="V13" s="17" t="str">
        <f t="shared" si="3"/>
        <v>OK</v>
      </c>
    </row>
    <row r="14" spans="1:22" hidden="1" x14ac:dyDescent="0.3">
      <c r="A14" s="63" t="s">
        <v>82</v>
      </c>
      <c r="B14" s="63">
        <v>15004</v>
      </c>
      <c r="C14" s="18" t="s">
        <v>48</v>
      </c>
      <c r="D14" s="19"/>
      <c r="E14" s="19"/>
      <c r="F14" s="19"/>
      <c r="G14" s="20"/>
      <c r="H14" s="21"/>
      <c r="I14" s="22">
        <f t="shared" si="4"/>
        <v>0</v>
      </c>
      <c r="J14" s="22"/>
      <c r="K14" s="11"/>
      <c r="L14" s="22"/>
      <c r="M14" s="22"/>
      <c r="N14" s="22"/>
      <c r="O14" s="22"/>
      <c r="P14" s="22"/>
      <c r="Q14" s="22"/>
      <c r="R14" s="36"/>
      <c r="S14" s="44"/>
      <c r="T14" s="47"/>
      <c r="U14" s="52">
        <f t="shared" si="2"/>
        <v>0</v>
      </c>
      <c r="V14" s="23" t="str">
        <f t="shared" si="3"/>
        <v>OK</v>
      </c>
    </row>
    <row r="15" spans="1:22" hidden="1" x14ac:dyDescent="0.3">
      <c r="A15" s="62" t="s">
        <v>86</v>
      </c>
      <c r="B15" s="62">
        <v>15174</v>
      </c>
      <c r="C15" s="12" t="s">
        <v>45</v>
      </c>
      <c r="D15" s="53"/>
      <c r="E15" s="13"/>
      <c r="F15" s="13"/>
      <c r="G15" s="14"/>
      <c r="H15" s="15"/>
      <c r="I15" s="16">
        <f t="shared" si="4"/>
        <v>0</v>
      </c>
      <c r="J15" s="16"/>
      <c r="K15" s="11"/>
      <c r="L15" s="16"/>
      <c r="M15" s="16"/>
      <c r="N15" s="16"/>
      <c r="O15" s="16"/>
      <c r="P15" s="16"/>
      <c r="Q15" s="16"/>
      <c r="R15" s="35"/>
      <c r="S15" s="43"/>
      <c r="T15" s="46"/>
      <c r="U15" s="51">
        <f t="shared" si="2"/>
        <v>0</v>
      </c>
      <c r="V15" s="17" t="str">
        <f t="shared" si="3"/>
        <v>OK</v>
      </c>
    </row>
    <row r="16" spans="1:22" hidden="1" x14ac:dyDescent="0.3">
      <c r="A16" s="63" t="s">
        <v>87</v>
      </c>
      <c r="B16" s="63">
        <v>15520</v>
      </c>
      <c r="C16" s="18" t="s">
        <v>47</v>
      </c>
      <c r="D16" s="19"/>
      <c r="E16" s="19"/>
      <c r="F16" s="19"/>
      <c r="G16" s="20"/>
      <c r="H16" s="21"/>
      <c r="I16" s="22">
        <f t="shared" si="4"/>
        <v>0</v>
      </c>
      <c r="J16" s="22"/>
      <c r="K16" s="11"/>
      <c r="L16" s="22"/>
      <c r="M16" s="22"/>
      <c r="N16" s="22"/>
      <c r="O16" s="22"/>
      <c r="P16" s="22"/>
      <c r="Q16" s="22"/>
      <c r="R16" s="36"/>
      <c r="S16" s="44"/>
      <c r="T16" s="47"/>
      <c r="U16" s="52">
        <f t="shared" si="2"/>
        <v>0</v>
      </c>
      <c r="V16" s="23" t="str">
        <f t="shared" si="3"/>
        <v>OK</v>
      </c>
    </row>
    <row r="17" spans="1:22" hidden="1" x14ac:dyDescent="0.3">
      <c r="A17" s="62" t="s">
        <v>85</v>
      </c>
      <c r="B17" s="62">
        <v>14989</v>
      </c>
      <c r="C17" s="12" t="s">
        <v>45</v>
      </c>
      <c r="D17" s="53"/>
      <c r="E17" s="13"/>
      <c r="F17" s="13"/>
      <c r="G17" s="14"/>
      <c r="H17" s="15"/>
      <c r="I17" s="16">
        <f t="shared" si="4"/>
        <v>0</v>
      </c>
      <c r="J17" s="16"/>
      <c r="K17" s="11"/>
      <c r="L17" s="16"/>
      <c r="M17" s="16"/>
      <c r="N17" s="16"/>
      <c r="O17" s="16"/>
      <c r="P17" s="16"/>
      <c r="Q17" s="16"/>
      <c r="R17" s="35"/>
      <c r="S17" s="43"/>
      <c r="T17" s="46"/>
      <c r="U17" s="51">
        <f t="shared" si="2"/>
        <v>0</v>
      </c>
      <c r="V17" s="17" t="str">
        <f t="shared" si="3"/>
        <v>OK</v>
      </c>
    </row>
    <row r="18" spans="1:22" hidden="1" x14ac:dyDescent="0.3">
      <c r="A18" s="63" t="s">
        <v>84</v>
      </c>
      <c r="B18" s="63">
        <v>14984</v>
      </c>
      <c r="C18" s="18" t="s">
        <v>46</v>
      </c>
      <c r="D18" s="19"/>
      <c r="E18" s="19"/>
      <c r="F18" s="19"/>
      <c r="G18" s="20"/>
      <c r="H18" s="21"/>
      <c r="I18" s="22">
        <f t="shared" si="4"/>
        <v>0</v>
      </c>
      <c r="J18" s="22"/>
      <c r="K18" s="11"/>
      <c r="L18" s="22"/>
      <c r="M18" s="22"/>
      <c r="N18" s="22"/>
      <c r="O18" s="22"/>
      <c r="P18" s="22"/>
      <c r="Q18" s="22"/>
      <c r="R18" s="36"/>
      <c r="S18" s="44"/>
      <c r="T18" s="47"/>
      <c r="U18" s="52">
        <f t="shared" si="2"/>
        <v>0</v>
      </c>
      <c r="V18" s="23" t="str">
        <f t="shared" si="3"/>
        <v>OK</v>
      </c>
    </row>
    <row r="19" spans="1:22" hidden="1" x14ac:dyDescent="0.3">
      <c r="A19" s="62" t="s">
        <v>88</v>
      </c>
      <c r="B19" s="62">
        <v>16270</v>
      </c>
      <c r="C19" s="12" t="s">
        <v>89</v>
      </c>
      <c r="D19" s="53"/>
      <c r="E19" s="13"/>
      <c r="F19" s="13"/>
      <c r="G19" s="14"/>
      <c r="H19" s="15"/>
      <c r="I19" s="16">
        <f t="shared" si="4"/>
        <v>0</v>
      </c>
      <c r="J19" s="16"/>
      <c r="K19" s="11"/>
      <c r="L19" s="16"/>
      <c r="M19" s="16"/>
      <c r="N19" s="16"/>
      <c r="O19" s="16"/>
      <c r="P19" s="16"/>
      <c r="Q19" s="16"/>
      <c r="R19" s="35"/>
      <c r="S19" s="43"/>
      <c r="T19" s="46"/>
      <c r="U19" s="51">
        <f t="shared" si="2"/>
        <v>0</v>
      </c>
      <c r="V19" s="17" t="str">
        <f t="shared" si="3"/>
        <v>OK</v>
      </c>
    </row>
    <row r="20" spans="1:22" hidden="1" x14ac:dyDescent="0.3">
      <c r="A20" s="63" t="s">
        <v>98</v>
      </c>
      <c r="B20" s="63">
        <v>19060</v>
      </c>
      <c r="C20" s="18" t="s">
        <v>47</v>
      </c>
      <c r="D20" s="19"/>
      <c r="E20" s="19"/>
      <c r="F20" s="19"/>
      <c r="G20" s="20"/>
      <c r="H20" s="21"/>
      <c r="I20" s="22">
        <f t="shared" si="4"/>
        <v>0</v>
      </c>
      <c r="J20" s="22"/>
      <c r="K20" s="11"/>
      <c r="L20" s="22"/>
      <c r="M20" s="22"/>
      <c r="N20" s="22"/>
      <c r="O20" s="22"/>
      <c r="P20" s="22"/>
      <c r="Q20" s="22"/>
      <c r="R20" s="36"/>
      <c r="S20" s="44"/>
      <c r="T20" s="47"/>
      <c r="U20" s="52">
        <f t="shared" si="2"/>
        <v>0</v>
      </c>
      <c r="V20" s="23" t="str">
        <f t="shared" si="3"/>
        <v>OK</v>
      </c>
    </row>
    <row r="21" spans="1:22" hidden="1" x14ac:dyDescent="0.3">
      <c r="A21" s="62" t="s">
        <v>99</v>
      </c>
      <c r="B21" s="62">
        <v>18828</v>
      </c>
      <c r="C21" s="12" t="s">
        <v>94</v>
      </c>
      <c r="D21" s="53"/>
      <c r="E21" s="13"/>
      <c r="F21" s="13"/>
      <c r="G21" s="14"/>
      <c r="H21" s="15"/>
      <c r="I21" s="16">
        <f t="shared" si="4"/>
        <v>0</v>
      </c>
      <c r="J21" s="16"/>
      <c r="K21" s="11"/>
      <c r="L21" s="16"/>
      <c r="M21" s="16"/>
      <c r="N21" s="16"/>
      <c r="O21" s="16"/>
      <c r="P21" s="16"/>
      <c r="Q21" s="16"/>
      <c r="R21" s="35"/>
      <c r="S21" s="43"/>
      <c r="T21" s="46"/>
      <c r="U21" s="51">
        <f t="shared" si="2"/>
        <v>0</v>
      </c>
      <c r="V21" s="17" t="str">
        <f t="shared" si="3"/>
        <v>OK</v>
      </c>
    </row>
    <row r="22" spans="1:22" hidden="1" x14ac:dyDescent="0.3">
      <c r="A22" s="63" t="s">
        <v>23</v>
      </c>
      <c r="B22" s="63">
        <v>5695</v>
      </c>
      <c r="C22" s="18" t="s">
        <v>49</v>
      </c>
      <c r="D22" s="19"/>
      <c r="E22" s="19"/>
      <c r="F22" s="19"/>
      <c r="G22" s="20"/>
      <c r="H22" s="21"/>
      <c r="I22" s="22">
        <f t="shared" si="4"/>
        <v>0</v>
      </c>
      <c r="J22" s="22"/>
      <c r="K22" s="11"/>
      <c r="L22" s="22"/>
      <c r="M22" s="22"/>
      <c r="N22" s="22"/>
      <c r="O22" s="22"/>
      <c r="P22" s="22"/>
      <c r="Q22" s="22"/>
      <c r="R22" s="36"/>
      <c r="S22" s="44"/>
      <c r="T22" s="47"/>
      <c r="U22" s="52">
        <f t="shared" si="2"/>
        <v>0</v>
      </c>
      <c r="V22" s="23" t="str">
        <f t="shared" si="3"/>
        <v>OK</v>
      </c>
    </row>
    <row r="23" spans="1:22" hidden="1" x14ac:dyDescent="0.3">
      <c r="A23" s="62" t="s">
        <v>24</v>
      </c>
      <c r="B23" s="62">
        <v>5691</v>
      </c>
      <c r="C23" s="12" t="s">
        <v>50</v>
      </c>
      <c r="D23" s="53"/>
      <c r="E23" s="13"/>
      <c r="F23" s="13"/>
      <c r="G23" s="14"/>
      <c r="H23" s="15"/>
      <c r="I23" s="16">
        <f t="shared" si="4"/>
        <v>0</v>
      </c>
      <c r="J23" s="16"/>
      <c r="K23" s="11"/>
      <c r="L23" s="16"/>
      <c r="M23" s="16"/>
      <c r="N23" s="16"/>
      <c r="O23" s="16"/>
      <c r="P23" s="16"/>
      <c r="Q23" s="16"/>
      <c r="R23" s="35"/>
      <c r="S23" s="43"/>
      <c r="T23" s="46"/>
      <c r="U23" s="51">
        <f t="shared" si="2"/>
        <v>0</v>
      </c>
      <c r="V23" s="17" t="str">
        <f t="shared" si="3"/>
        <v>OK</v>
      </c>
    </row>
    <row r="24" spans="1:22" hidden="1" x14ac:dyDescent="0.3">
      <c r="A24" s="63" t="s">
        <v>37</v>
      </c>
      <c r="B24" s="63">
        <v>5687</v>
      </c>
      <c r="C24" s="18" t="s">
        <v>51</v>
      </c>
      <c r="D24" s="19"/>
      <c r="E24" s="19"/>
      <c r="F24" s="19"/>
      <c r="G24" s="20"/>
      <c r="H24" s="21"/>
      <c r="I24" s="22">
        <f t="shared" si="4"/>
        <v>0</v>
      </c>
      <c r="J24" s="22"/>
      <c r="K24" s="11"/>
      <c r="L24" s="22"/>
      <c r="M24" s="22"/>
      <c r="N24" s="22"/>
      <c r="O24" s="22"/>
      <c r="P24" s="22"/>
      <c r="Q24" s="22"/>
      <c r="R24" s="36"/>
      <c r="S24" s="44"/>
      <c r="T24" s="47"/>
      <c r="U24" s="52">
        <f t="shared" si="2"/>
        <v>0</v>
      </c>
      <c r="V24" s="23" t="str">
        <f t="shared" si="3"/>
        <v>OK</v>
      </c>
    </row>
    <row r="25" spans="1:22" hidden="1" x14ac:dyDescent="0.3">
      <c r="A25" s="62" t="s">
        <v>38</v>
      </c>
      <c r="B25" s="62">
        <v>5683</v>
      </c>
      <c r="C25" s="12" t="s">
        <v>51</v>
      </c>
      <c r="D25" s="53"/>
      <c r="E25" s="13"/>
      <c r="F25" s="13"/>
      <c r="G25" s="14"/>
      <c r="H25" s="15"/>
      <c r="I25" s="16">
        <f t="shared" si="4"/>
        <v>0</v>
      </c>
      <c r="J25" s="16"/>
      <c r="K25" s="11"/>
      <c r="L25" s="16"/>
      <c r="M25" s="16"/>
      <c r="N25" s="16"/>
      <c r="O25" s="16"/>
      <c r="P25" s="16"/>
      <c r="Q25" s="16"/>
      <c r="R25" s="35"/>
      <c r="S25" s="43"/>
      <c r="T25" s="46"/>
      <c r="U25" s="51">
        <f t="shared" si="2"/>
        <v>0</v>
      </c>
      <c r="V25" s="17" t="str">
        <f t="shared" si="3"/>
        <v>OK</v>
      </c>
    </row>
    <row r="26" spans="1:22" hidden="1" x14ac:dyDescent="0.3">
      <c r="A26" s="63" t="s">
        <v>25</v>
      </c>
      <c r="B26" s="63">
        <v>5679</v>
      </c>
      <c r="C26" s="18" t="s">
        <v>52</v>
      </c>
      <c r="D26" s="19"/>
      <c r="E26" s="19"/>
      <c r="F26" s="19"/>
      <c r="G26" s="20"/>
      <c r="H26" s="21"/>
      <c r="I26" s="22">
        <f t="shared" si="4"/>
        <v>0</v>
      </c>
      <c r="J26" s="22"/>
      <c r="K26" s="11"/>
      <c r="L26" s="22"/>
      <c r="M26" s="22"/>
      <c r="N26" s="22"/>
      <c r="O26" s="22"/>
      <c r="P26" s="22"/>
      <c r="Q26" s="22"/>
      <c r="R26" s="36"/>
      <c r="S26" s="44"/>
      <c r="T26" s="47"/>
      <c r="U26" s="52">
        <f t="shared" si="2"/>
        <v>0</v>
      </c>
      <c r="V26" s="23" t="str">
        <f t="shared" si="3"/>
        <v>OK</v>
      </c>
    </row>
    <row r="27" spans="1:22" hidden="1" x14ac:dyDescent="0.3">
      <c r="A27" s="62" t="s">
        <v>39</v>
      </c>
      <c r="B27" s="62">
        <v>5675</v>
      </c>
      <c r="C27" s="12" t="s">
        <v>53</v>
      </c>
      <c r="D27" s="53"/>
      <c r="E27" s="13"/>
      <c r="F27" s="13"/>
      <c r="G27" s="14"/>
      <c r="H27" s="15"/>
      <c r="I27" s="16">
        <f t="shared" si="4"/>
        <v>0</v>
      </c>
      <c r="J27" s="16"/>
      <c r="K27" s="11"/>
      <c r="L27" s="16"/>
      <c r="M27" s="16"/>
      <c r="N27" s="16"/>
      <c r="O27" s="16"/>
      <c r="P27" s="16"/>
      <c r="Q27" s="16"/>
      <c r="R27" s="35"/>
      <c r="S27" s="43"/>
      <c r="T27" s="46"/>
      <c r="U27" s="51">
        <f t="shared" si="2"/>
        <v>0</v>
      </c>
      <c r="V27" s="17" t="str">
        <f t="shared" si="3"/>
        <v>OK</v>
      </c>
    </row>
    <row r="28" spans="1:22" hidden="1" x14ac:dyDescent="0.3">
      <c r="A28" s="63" t="s">
        <v>26</v>
      </c>
      <c r="B28" s="63">
        <v>5671</v>
      </c>
      <c r="C28" s="18" t="s">
        <v>49</v>
      </c>
      <c r="D28" s="19"/>
      <c r="E28" s="19"/>
      <c r="F28" s="19"/>
      <c r="G28" s="20"/>
      <c r="H28" s="21"/>
      <c r="I28" s="22">
        <f t="shared" si="4"/>
        <v>0</v>
      </c>
      <c r="J28" s="22"/>
      <c r="K28" s="11"/>
      <c r="L28" s="22"/>
      <c r="M28" s="22"/>
      <c r="N28" s="22"/>
      <c r="O28" s="22"/>
      <c r="P28" s="22"/>
      <c r="Q28" s="22"/>
      <c r="R28" s="36"/>
      <c r="S28" s="44"/>
      <c r="T28" s="47"/>
      <c r="U28" s="52">
        <f t="shared" si="2"/>
        <v>0</v>
      </c>
      <c r="V28" s="23" t="str">
        <f t="shared" si="3"/>
        <v>OK</v>
      </c>
    </row>
    <row r="29" spans="1:22" hidden="1" x14ac:dyDescent="0.3">
      <c r="A29" s="62" t="s">
        <v>40</v>
      </c>
      <c r="B29" s="62">
        <v>5667</v>
      </c>
      <c r="C29" s="12" t="s">
        <v>50</v>
      </c>
      <c r="D29" s="53"/>
      <c r="E29" s="13"/>
      <c r="F29" s="13"/>
      <c r="G29" s="14"/>
      <c r="H29" s="15"/>
      <c r="I29" s="16">
        <f t="shared" si="4"/>
        <v>0</v>
      </c>
      <c r="J29" s="16"/>
      <c r="K29" s="11"/>
      <c r="L29" s="16"/>
      <c r="M29" s="16"/>
      <c r="N29" s="16"/>
      <c r="O29" s="16"/>
      <c r="P29" s="16"/>
      <c r="Q29" s="16"/>
      <c r="R29" s="35"/>
      <c r="S29" s="43"/>
      <c r="T29" s="46"/>
      <c r="U29" s="51">
        <f t="shared" si="2"/>
        <v>0</v>
      </c>
      <c r="V29" s="17" t="str">
        <f t="shared" si="3"/>
        <v>OK</v>
      </c>
    </row>
    <row r="30" spans="1:22" hidden="1" x14ac:dyDescent="0.3">
      <c r="A30" s="63" t="s">
        <v>41</v>
      </c>
      <c r="B30" s="63">
        <v>5663</v>
      </c>
      <c r="C30" s="18" t="s">
        <v>51</v>
      </c>
      <c r="D30" s="19"/>
      <c r="E30" s="19"/>
      <c r="F30" s="19"/>
      <c r="G30" s="20"/>
      <c r="H30" s="21"/>
      <c r="I30" s="22">
        <f t="shared" si="4"/>
        <v>0</v>
      </c>
      <c r="J30" s="22"/>
      <c r="K30" s="11"/>
      <c r="L30" s="22"/>
      <c r="M30" s="22"/>
      <c r="N30" s="22"/>
      <c r="O30" s="22"/>
      <c r="P30" s="22"/>
      <c r="Q30" s="22"/>
      <c r="R30" s="36"/>
      <c r="S30" s="44"/>
      <c r="T30" s="47"/>
      <c r="U30" s="52">
        <f t="shared" si="2"/>
        <v>0</v>
      </c>
      <c r="V30" s="23" t="str">
        <f t="shared" si="3"/>
        <v>OK</v>
      </c>
    </row>
    <row r="31" spans="1:22" hidden="1" x14ac:dyDescent="0.3">
      <c r="A31" s="62" t="s">
        <v>42</v>
      </c>
      <c r="B31" s="62">
        <v>5659</v>
      </c>
      <c r="C31" s="12" t="s">
        <v>52</v>
      </c>
      <c r="D31" s="53"/>
      <c r="E31" s="13"/>
      <c r="F31" s="13"/>
      <c r="G31" s="14"/>
      <c r="H31" s="15"/>
      <c r="I31" s="16">
        <f t="shared" si="4"/>
        <v>0</v>
      </c>
      <c r="J31" s="16"/>
      <c r="K31" s="11"/>
      <c r="L31" s="16"/>
      <c r="M31" s="16"/>
      <c r="N31" s="16"/>
      <c r="O31" s="16"/>
      <c r="P31" s="16"/>
      <c r="Q31" s="16"/>
      <c r="R31" s="35"/>
      <c r="S31" s="43"/>
      <c r="T31" s="46"/>
      <c r="U31" s="51">
        <f t="shared" si="2"/>
        <v>0</v>
      </c>
      <c r="V31" s="17" t="str">
        <f t="shared" si="3"/>
        <v>OK</v>
      </c>
    </row>
    <row r="32" spans="1:22" hidden="1" x14ac:dyDescent="0.3">
      <c r="A32" s="63" t="s">
        <v>27</v>
      </c>
      <c r="B32" s="63">
        <v>5655</v>
      </c>
      <c r="C32" s="18" t="s">
        <v>54</v>
      </c>
      <c r="D32" s="19"/>
      <c r="E32" s="19"/>
      <c r="F32" s="19"/>
      <c r="G32" s="20"/>
      <c r="H32" s="21"/>
      <c r="I32" s="22">
        <f t="shared" si="4"/>
        <v>0</v>
      </c>
      <c r="J32" s="22"/>
      <c r="K32" s="11"/>
      <c r="L32" s="22"/>
      <c r="M32" s="22"/>
      <c r="N32" s="22"/>
      <c r="O32" s="22"/>
      <c r="P32" s="22"/>
      <c r="Q32" s="22"/>
      <c r="R32" s="36"/>
      <c r="S32" s="44"/>
      <c r="T32" s="47"/>
      <c r="U32" s="52">
        <f t="shared" si="2"/>
        <v>0</v>
      </c>
      <c r="V32" s="23" t="str">
        <f t="shared" si="3"/>
        <v>OK</v>
      </c>
    </row>
    <row r="33" spans="1:22" hidden="1" x14ac:dyDescent="0.3">
      <c r="A33" s="62" t="s">
        <v>70</v>
      </c>
      <c r="B33" s="62">
        <v>5651</v>
      </c>
      <c r="C33" s="12" t="s">
        <v>55</v>
      </c>
      <c r="D33" s="53"/>
      <c r="E33" s="13"/>
      <c r="F33" s="13"/>
      <c r="G33" s="14"/>
      <c r="H33" s="15"/>
      <c r="I33" s="16">
        <f t="shared" si="4"/>
        <v>0</v>
      </c>
      <c r="J33" s="16"/>
      <c r="K33" s="11"/>
      <c r="L33" s="16"/>
      <c r="M33" s="98"/>
      <c r="N33" s="16"/>
      <c r="O33" s="16"/>
      <c r="P33" s="16"/>
      <c r="Q33" s="16"/>
      <c r="R33" s="35"/>
      <c r="S33" s="43"/>
      <c r="T33" s="46"/>
      <c r="U33" s="51">
        <f t="shared" si="2"/>
        <v>0</v>
      </c>
      <c r="V33" s="17" t="str">
        <f t="shared" si="3"/>
        <v>OK</v>
      </c>
    </row>
    <row r="34" spans="1:22" hidden="1" x14ac:dyDescent="0.3">
      <c r="A34" s="63" t="s">
        <v>71</v>
      </c>
      <c r="B34" s="63">
        <v>5643</v>
      </c>
      <c r="C34" s="18" t="s">
        <v>56</v>
      </c>
      <c r="D34" s="19"/>
      <c r="E34" s="19"/>
      <c r="F34" s="19"/>
      <c r="G34" s="20"/>
      <c r="H34" s="21"/>
      <c r="I34" s="22">
        <f t="shared" si="4"/>
        <v>0</v>
      </c>
      <c r="J34" s="22"/>
      <c r="K34" s="11"/>
      <c r="L34" s="22"/>
      <c r="M34" s="22"/>
      <c r="N34" s="22"/>
      <c r="O34" s="22"/>
      <c r="P34" s="22"/>
      <c r="Q34" s="22"/>
      <c r="R34" s="36"/>
      <c r="S34" s="44"/>
      <c r="T34" s="47"/>
      <c r="U34" s="52">
        <f t="shared" si="2"/>
        <v>0</v>
      </c>
      <c r="V34" s="23" t="str">
        <f t="shared" si="3"/>
        <v>OK</v>
      </c>
    </row>
    <row r="35" spans="1:22" hidden="1" x14ac:dyDescent="0.3">
      <c r="A35" s="62" t="s">
        <v>57</v>
      </c>
      <c r="B35" s="62">
        <v>11350</v>
      </c>
      <c r="C35" s="12" t="s">
        <v>56</v>
      </c>
      <c r="D35" s="53"/>
      <c r="E35" s="13"/>
      <c r="F35" s="13"/>
      <c r="G35" s="14"/>
      <c r="H35" s="15"/>
      <c r="I35" s="16">
        <f t="shared" si="4"/>
        <v>0</v>
      </c>
      <c r="J35" s="16"/>
      <c r="K35" s="11"/>
      <c r="L35" s="16"/>
      <c r="M35" s="16"/>
      <c r="N35" s="16"/>
      <c r="O35" s="16"/>
      <c r="P35" s="16"/>
      <c r="Q35" s="16"/>
      <c r="R35" s="35"/>
      <c r="S35" s="43"/>
      <c r="T35" s="46"/>
      <c r="U35" s="51">
        <f t="shared" si="2"/>
        <v>0</v>
      </c>
      <c r="V35" s="17" t="str">
        <f t="shared" si="3"/>
        <v>OK</v>
      </c>
    </row>
    <row r="36" spans="1:22" hidden="1" x14ac:dyDescent="0.3">
      <c r="A36" s="63" t="s">
        <v>72</v>
      </c>
      <c r="B36" s="63">
        <v>5635</v>
      </c>
      <c r="C36" s="18" t="s">
        <v>55</v>
      </c>
      <c r="D36" s="19"/>
      <c r="E36" s="19"/>
      <c r="F36" s="19"/>
      <c r="G36" s="20"/>
      <c r="H36" s="21"/>
      <c r="I36" s="22">
        <f t="shared" si="4"/>
        <v>0</v>
      </c>
      <c r="J36" s="22"/>
      <c r="K36" s="11"/>
      <c r="L36" s="22"/>
      <c r="M36" s="22"/>
      <c r="N36" s="22"/>
      <c r="O36" s="22"/>
      <c r="P36" s="22"/>
      <c r="Q36" s="22"/>
      <c r="R36" s="36"/>
      <c r="S36" s="44"/>
      <c r="T36" s="47"/>
      <c r="U36" s="52">
        <f t="shared" si="2"/>
        <v>0</v>
      </c>
      <c r="V36" s="23" t="str">
        <f t="shared" si="3"/>
        <v>OK</v>
      </c>
    </row>
    <row r="37" spans="1:22" hidden="1" x14ac:dyDescent="0.3">
      <c r="A37" s="62" t="s">
        <v>58</v>
      </c>
      <c r="B37" s="62">
        <v>11349</v>
      </c>
      <c r="C37" s="12" t="s">
        <v>55</v>
      </c>
      <c r="D37" s="53"/>
      <c r="E37" s="13"/>
      <c r="F37" s="13"/>
      <c r="G37" s="14"/>
      <c r="H37" s="15"/>
      <c r="I37" s="16">
        <f t="shared" si="4"/>
        <v>0</v>
      </c>
      <c r="J37" s="16"/>
      <c r="K37" s="11"/>
      <c r="L37" s="16"/>
      <c r="M37" s="16"/>
      <c r="N37" s="16"/>
      <c r="O37" s="16"/>
      <c r="P37" s="16"/>
      <c r="Q37" s="16"/>
      <c r="R37" s="35"/>
      <c r="S37" s="43"/>
      <c r="T37" s="46"/>
      <c r="U37" s="51">
        <f t="shared" ref="U37:U55" si="5">SUM(L37:T37)</f>
        <v>0</v>
      </c>
      <c r="V37" s="17" t="str">
        <f t="shared" si="3"/>
        <v>OK</v>
      </c>
    </row>
    <row r="38" spans="1:22" hidden="1" x14ac:dyDescent="0.3">
      <c r="A38" s="63" t="s">
        <v>73</v>
      </c>
      <c r="B38" s="63">
        <v>5627</v>
      </c>
      <c r="C38" s="18" t="s">
        <v>56</v>
      </c>
      <c r="D38" s="19"/>
      <c r="E38" s="19"/>
      <c r="F38" s="19"/>
      <c r="G38" s="20"/>
      <c r="H38" s="21"/>
      <c r="I38" s="22">
        <f t="shared" si="4"/>
        <v>0</v>
      </c>
      <c r="J38" s="22"/>
      <c r="K38" s="11"/>
      <c r="L38" s="22"/>
      <c r="M38" s="22"/>
      <c r="N38" s="22"/>
      <c r="O38" s="22"/>
      <c r="P38" s="22"/>
      <c r="Q38" s="22"/>
      <c r="R38" s="36"/>
      <c r="S38" s="44"/>
      <c r="T38" s="47"/>
      <c r="U38" s="52">
        <f t="shared" si="5"/>
        <v>0</v>
      </c>
      <c r="V38" s="23" t="str">
        <f t="shared" si="3"/>
        <v>OK</v>
      </c>
    </row>
    <row r="39" spans="1:22" hidden="1" x14ac:dyDescent="0.3">
      <c r="A39" s="62" t="s">
        <v>59</v>
      </c>
      <c r="B39" s="62">
        <v>11348</v>
      </c>
      <c r="C39" s="12" t="s">
        <v>56</v>
      </c>
      <c r="D39" s="53"/>
      <c r="E39" s="13"/>
      <c r="F39" s="13"/>
      <c r="G39" s="14"/>
      <c r="H39" s="15"/>
      <c r="I39" s="16">
        <f t="shared" si="4"/>
        <v>0</v>
      </c>
      <c r="J39" s="16"/>
      <c r="K39" s="11"/>
      <c r="L39" s="16"/>
      <c r="M39" s="16"/>
      <c r="N39" s="16"/>
      <c r="O39" s="16"/>
      <c r="P39" s="16"/>
      <c r="Q39" s="16"/>
      <c r="R39" s="35"/>
      <c r="S39" s="43"/>
      <c r="T39" s="46"/>
      <c r="U39" s="51">
        <f t="shared" si="5"/>
        <v>0</v>
      </c>
      <c r="V39" s="17" t="str">
        <f t="shared" si="3"/>
        <v>OK</v>
      </c>
    </row>
    <row r="40" spans="1:22" hidden="1" x14ac:dyDescent="0.3">
      <c r="A40" s="63" t="s">
        <v>74</v>
      </c>
      <c r="B40" s="63">
        <v>5619</v>
      </c>
      <c r="C40" s="18" t="s">
        <v>60</v>
      </c>
      <c r="D40" s="19"/>
      <c r="E40" s="19"/>
      <c r="F40" s="19"/>
      <c r="G40" s="20"/>
      <c r="H40" s="21"/>
      <c r="I40" s="22">
        <f t="shared" si="4"/>
        <v>0</v>
      </c>
      <c r="J40" s="22"/>
      <c r="K40" s="11"/>
      <c r="L40" s="22"/>
      <c r="M40" s="22"/>
      <c r="N40" s="22"/>
      <c r="O40" s="22"/>
      <c r="P40" s="22"/>
      <c r="Q40" s="22"/>
      <c r="R40" s="36"/>
      <c r="S40" s="44"/>
      <c r="T40" s="47"/>
      <c r="U40" s="52">
        <f t="shared" si="5"/>
        <v>0</v>
      </c>
      <c r="V40" s="23" t="str">
        <f t="shared" si="3"/>
        <v>OK</v>
      </c>
    </row>
    <row r="41" spans="1:22" hidden="1" x14ac:dyDescent="0.3">
      <c r="A41" s="64" t="s">
        <v>61</v>
      </c>
      <c r="B41" s="62">
        <v>11347</v>
      </c>
      <c r="C41" s="12" t="s">
        <v>60</v>
      </c>
      <c r="D41" s="53"/>
      <c r="E41" s="13"/>
      <c r="F41" s="13"/>
      <c r="G41" s="14"/>
      <c r="H41" s="15"/>
      <c r="I41" s="16">
        <f t="shared" si="4"/>
        <v>0</v>
      </c>
      <c r="J41" s="16"/>
      <c r="K41" s="11"/>
      <c r="L41" s="16"/>
      <c r="M41" s="16"/>
      <c r="N41" s="16"/>
      <c r="O41" s="16"/>
      <c r="P41" s="16"/>
      <c r="Q41" s="16"/>
      <c r="R41" s="35"/>
      <c r="S41" s="43"/>
      <c r="T41" s="46"/>
      <c r="U41" s="51">
        <f t="shared" si="5"/>
        <v>0</v>
      </c>
      <c r="V41" s="17" t="str">
        <f t="shared" si="3"/>
        <v>OK</v>
      </c>
    </row>
    <row r="42" spans="1:22" hidden="1" x14ac:dyDescent="0.3">
      <c r="A42" s="54" t="s">
        <v>75</v>
      </c>
      <c r="B42" s="63">
        <v>5611</v>
      </c>
      <c r="C42" s="18" t="s">
        <v>62</v>
      </c>
      <c r="D42" s="19"/>
      <c r="E42" s="19"/>
      <c r="F42" s="19"/>
      <c r="G42" s="20"/>
      <c r="H42" s="21"/>
      <c r="I42" s="22">
        <f t="shared" si="4"/>
        <v>0</v>
      </c>
      <c r="J42" s="22"/>
      <c r="K42" s="11"/>
      <c r="L42" s="22"/>
      <c r="M42" s="22"/>
      <c r="N42" s="22"/>
      <c r="O42" s="22"/>
      <c r="P42" s="22"/>
      <c r="Q42" s="22"/>
      <c r="R42" s="36"/>
      <c r="S42" s="44"/>
      <c r="T42" s="47"/>
      <c r="U42" s="52">
        <f t="shared" si="5"/>
        <v>0</v>
      </c>
      <c r="V42" s="23" t="str">
        <f t="shared" si="3"/>
        <v>OK</v>
      </c>
    </row>
    <row r="43" spans="1:22" hidden="1" x14ac:dyDescent="0.3">
      <c r="A43" s="12" t="s">
        <v>63</v>
      </c>
      <c r="B43" s="62">
        <v>11336</v>
      </c>
      <c r="C43" s="12" t="s">
        <v>62</v>
      </c>
      <c r="D43" s="53"/>
      <c r="E43" s="13"/>
      <c r="F43" s="13"/>
      <c r="G43" s="14"/>
      <c r="H43" s="15"/>
      <c r="I43" s="16">
        <f t="shared" si="4"/>
        <v>0</v>
      </c>
      <c r="J43" s="16"/>
      <c r="K43" s="11"/>
      <c r="L43" s="16"/>
      <c r="M43" s="16"/>
      <c r="N43" s="16"/>
      <c r="O43" s="16"/>
      <c r="P43" s="16"/>
      <c r="Q43" s="16"/>
      <c r="R43" s="35"/>
      <c r="S43" s="43"/>
      <c r="T43" s="46"/>
      <c r="U43" s="51">
        <f t="shared" si="5"/>
        <v>0</v>
      </c>
      <c r="V43" s="17" t="str">
        <f t="shared" si="3"/>
        <v>OK</v>
      </c>
    </row>
    <row r="44" spans="1:22" hidden="1" x14ac:dyDescent="0.3">
      <c r="A44" s="54" t="s">
        <v>100</v>
      </c>
      <c r="B44" s="63">
        <v>14860</v>
      </c>
      <c r="C44" s="18" t="s">
        <v>56</v>
      </c>
      <c r="D44" s="19"/>
      <c r="E44" s="19"/>
      <c r="F44" s="19"/>
      <c r="G44" s="20"/>
      <c r="H44" s="21"/>
      <c r="I44" s="22">
        <f t="shared" si="4"/>
        <v>0</v>
      </c>
      <c r="J44" s="22"/>
      <c r="K44" s="11"/>
      <c r="L44" s="22"/>
      <c r="M44" s="22"/>
      <c r="N44" s="22"/>
      <c r="O44" s="22"/>
      <c r="P44" s="22"/>
      <c r="Q44" s="22"/>
      <c r="R44" s="36"/>
      <c r="S44" s="44"/>
      <c r="T44" s="47"/>
      <c r="U44" s="52">
        <f t="shared" si="5"/>
        <v>0</v>
      </c>
      <c r="V44" s="23" t="str">
        <f t="shared" si="3"/>
        <v>OK</v>
      </c>
    </row>
    <row r="45" spans="1:22" hidden="1" x14ac:dyDescent="0.3">
      <c r="A45" s="64" t="s">
        <v>83</v>
      </c>
      <c r="B45" s="62">
        <v>14861</v>
      </c>
      <c r="C45" s="12" t="s">
        <v>56</v>
      </c>
      <c r="D45" s="53"/>
      <c r="E45" s="13"/>
      <c r="F45" s="13"/>
      <c r="G45" s="14"/>
      <c r="H45" s="15"/>
      <c r="I45" s="16">
        <f t="shared" si="4"/>
        <v>0</v>
      </c>
      <c r="J45" s="16"/>
      <c r="K45" s="11"/>
      <c r="L45" s="16"/>
      <c r="M45" s="16"/>
      <c r="N45" s="16"/>
      <c r="O45" s="16"/>
      <c r="P45" s="16"/>
      <c r="Q45" s="16"/>
      <c r="R45" s="35"/>
      <c r="S45" s="43"/>
      <c r="T45" s="46"/>
      <c r="U45" s="51">
        <f t="shared" si="5"/>
        <v>0</v>
      </c>
      <c r="V45" s="17" t="str">
        <f t="shared" si="3"/>
        <v>OK</v>
      </c>
    </row>
    <row r="46" spans="1:22" hidden="1" x14ac:dyDescent="0.3">
      <c r="A46" s="54" t="s">
        <v>101</v>
      </c>
      <c r="B46" s="63">
        <v>15096</v>
      </c>
      <c r="C46" s="18" t="s">
        <v>56</v>
      </c>
      <c r="D46" s="19"/>
      <c r="E46" s="19"/>
      <c r="F46" s="19"/>
      <c r="G46" s="20"/>
      <c r="H46" s="21"/>
      <c r="I46" s="22">
        <f t="shared" si="4"/>
        <v>0</v>
      </c>
      <c r="J46" s="22"/>
      <c r="K46" s="11"/>
      <c r="L46" s="22"/>
      <c r="M46" s="22"/>
      <c r="N46" s="22"/>
      <c r="O46" s="22"/>
      <c r="P46" s="22"/>
      <c r="Q46" s="22"/>
      <c r="R46" s="36"/>
      <c r="S46" s="44"/>
      <c r="T46" s="47"/>
      <c r="U46" s="52">
        <f t="shared" si="5"/>
        <v>0</v>
      </c>
      <c r="V46" s="23" t="str">
        <f t="shared" si="3"/>
        <v>OK</v>
      </c>
    </row>
    <row r="47" spans="1:22" hidden="1" x14ac:dyDescent="0.3">
      <c r="A47" s="12" t="s">
        <v>81</v>
      </c>
      <c r="B47" s="62">
        <v>15097</v>
      </c>
      <c r="C47" s="12" t="s">
        <v>56</v>
      </c>
      <c r="D47" s="53"/>
      <c r="E47" s="13"/>
      <c r="F47" s="13"/>
      <c r="G47" s="14"/>
      <c r="H47" s="15"/>
      <c r="I47" s="16">
        <f t="shared" si="4"/>
        <v>0</v>
      </c>
      <c r="J47" s="16"/>
      <c r="K47" s="11"/>
      <c r="L47" s="16"/>
      <c r="M47" s="16"/>
      <c r="N47" s="16"/>
      <c r="O47" s="16"/>
      <c r="P47" s="16"/>
      <c r="Q47" s="16"/>
      <c r="R47" s="35"/>
      <c r="S47" s="43"/>
      <c r="T47" s="46"/>
      <c r="U47" s="51">
        <f t="shared" si="5"/>
        <v>0</v>
      </c>
      <c r="V47" s="17" t="str">
        <f t="shared" si="3"/>
        <v>OK</v>
      </c>
    </row>
    <row r="48" spans="1:22" hidden="1" x14ac:dyDescent="0.3">
      <c r="A48" s="54" t="s">
        <v>76</v>
      </c>
      <c r="B48" s="63">
        <v>5585</v>
      </c>
      <c r="C48" s="18" t="s">
        <v>64</v>
      </c>
      <c r="D48" s="19"/>
      <c r="E48" s="19"/>
      <c r="F48" s="19"/>
      <c r="G48" s="20"/>
      <c r="H48" s="21"/>
      <c r="I48" s="22">
        <f t="shared" si="4"/>
        <v>0</v>
      </c>
      <c r="J48" s="22"/>
      <c r="K48" s="11"/>
      <c r="L48" s="22"/>
      <c r="M48" s="22"/>
      <c r="N48" s="22"/>
      <c r="O48" s="22"/>
      <c r="P48" s="22"/>
      <c r="Q48" s="22"/>
      <c r="R48" s="36"/>
      <c r="S48" s="44"/>
      <c r="T48" s="47"/>
      <c r="U48" s="52">
        <f t="shared" si="5"/>
        <v>0</v>
      </c>
      <c r="V48" s="23" t="str">
        <f t="shared" si="3"/>
        <v>OK</v>
      </c>
    </row>
    <row r="49" spans="1:22" hidden="1" x14ac:dyDescent="0.3">
      <c r="A49" s="12" t="s">
        <v>65</v>
      </c>
      <c r="B49" s="62">
        <v>11351</v>
      </c>
      <c r="C49" s="12" t="s">
        <v>64</v>
      </c>
      <c r="D49" s="53"/>
      <c r="E49" s="13"/>
      <c r="F49" s="13"/>
      <c r="G49" s="14"/>
      <c r="H49" s="15"/>
      <c r="I49" s="16">
        <f t="shared" si="4"/>
        <v>0</v>
      </c>
      <c r="J49" s="16"/>
      <c r="K49" s="11"/>
      <c r="L49" s="16"/>
      <c r="M49" s="16"/>
      <c r="N49" s="16"/>
      <c r="O49" s="16"/>
      <c r="P49" s="16"/>
      <c r="Q49" s="16"/>
      <c r="R49" s="35"/>
      <c r="S49" s="43"/>
      <c r="T49" s="46"/>
      <c r="U49" s="51">
        <f t="shared" si="5"/>
        <v>0</v>
      </c>
      <c r="V49" s="17" t="str">
        <f t="shared" si="3"/>
        <v>OK</v>
      </c>
    </row>
    <row r="50" spans="1:22" hidden="1" x14ac:dyDescent="0.3">
      <c r="A50" s="54" t="s">
        <v>66</v>
      </c>
      <c r="B50" s="63">
        <v>11352</v>
      </c>
      <c r="C50" s="18" t="s">
        <v>64</v>
      </c>
      <c r="D50" s="19"/>
      <c r="E50" s="19"/>
      <c r="F50" s="19"/>
      <c r="G50" s="20"/>
      <c r="H50" s="21"/>
      <c r="I50" s="22">
        <f t="shared" si="4"/>
        <v>0</v>
      </c>
      <c r="J50" s="22"/>
      <c r="K50" s="11"/>
      <c r="L50" s="22"/>
      <c r="M50" s="22"/>
      <c r="N50" s="22"/>
      <c r="O50" s="22"/>
      <c r="P50" s="22"/>
      <c r="Q50" s="22"/>
      <c r="R50" s="36"/>
      <c r="S50" s="44"/>
      <c r="T50" s="47"/>
      <c r="U50" s="52">
        <f t="shared" si="5"/>
        <v>0</v>
      </c>
      <c r="V50" s="23" t="str">
        <f t="shared" si="3"/>
        <v>OK</v>
      </c>
    </row>
    <row r="51" spans="1:22" hidden="1" x14ac:dyDescent="0.3">
      <c r="A51" s="90" t="s">
        <v>102</v>
      </c>
      <c r="B51" s="76">
        <v>13515</v>
      </c>
      <c r="C51" s="70" t="s">
        <v>78</v>
      </c>
      <c r="D51" s="70"/>
      <c r="E51" s="70"/>
      <c r="F51" s="70"/>
      <c r="G51" s="91"/>
      <c r="H51" s="82"/>
      <c r="I51" s="82">
        <f t="shared" si="4"/>
        <v>0</v>
      </c>
      <c r="J51" s="74"/>
      <c r="K51" s="11"/>
      <c r="L51" s="16"/>
      <c r="M51" s="16"/>
      <c r="N51" s="16"/>
      <c r="O51" s="16"/>
      <c r="P51" s="16"/>
      <c r="Q51" s="16"/>
      <c r="R51" s="35"/>
      <c r="S51" s="43"/>
      <c r="T51" s="46"/>
      <c r="U51" s="75">
        <f t="shared" si="5"/>
        <v>0</v>
      </c>
      <c r="V51" s="93" t="str">
        <f t="shared" si="3"/>
        <v>OK</v>
      </c>
    </row>
    <row r="52" spans="1:22" hidden="1" x14ac:dyDescent="0.3">
      <c r="A52" s="54" t="s">
        <v>103</v>
      </c>
      <c r="B52" s="63">
        <v>13516</v>
      </c>
      <c r="C52" s="18" t="s">
        <v>78</v>
      </c>
      <c r="D52" s="18"/>
      <c r="E52" s="18"/>
      <c r="F52" s="18"/>
      <c r="G52" s="92"/>
      <c r="H52" s="22"/>
      <c r="I52" s="22">
        <f t="shared" si="4"/>
        <v>0</v>
      </c>
      <c r="J52" s="69"/>
      <c r="K52" s="11"/>
      <c r="L52" s="22"/>
      <c r="M52" s="22"/>
      <c r="N52" s="22"/>
      <c r="O52" s="22"/>
      <c r="P52" s="22"/>
      <c r="Q52" s="22"/>
      <c r="R52" s="36"/>
      <c r="S52" s="44"/>
      <c r="T52" s="47"/>
      <c r="U52" s="52">
        <f t="shared" si="5"/>
        <v>0</v>
      </c>
      <c r="V52" s="23" t="str">
        <f t="shared" si="3"/>
        <v>OK</v>
      </c>
    </row>
    <row r="53" spans="1:22" hidden="1" x14ac:dyDescent="0.3">
      <c r="A53" s="90" t="s">
        <v>104</v>
      </c>
      <c r="B53" s="76">
        <v>13468</v>
      </c>
      <c r="C53" s="70" t="s">
        <v>78</v>
      </c>
      <c r="D53" s="70"/>
      <c r="E53" s="70"/>
      <c r="F53" s="70"/>
      <c r="G53" s="91"/>
      <c r="H53" s="82"/>
      <c r="I53" s="82">
        <f t="shared" si="4"/>
        <v>0</v>
      </c>
      <c r="J53" s="74"/>
      <c r="K53" s="11"/>
      <c r="L53" s="16"/>
      <c r="M53" s="16"/>
      <c r="N53" s="16"/>
      <c r="O53" s="16"/>
      <c r="P53" s="16"/>
      <c r="Q53" s="16"/>
      <c r="R53" s="35"/>
      <c r="S53" s="43"/>
      <c r="T53" s="46"/>
      <c r="U53" s="75">
        <f t="shared" si="5"/>
        <v>0</v>
      </c>
      <c r="V53" s="93" t="str">
        <f t="shared" si="3"/>
        <v>OK</v>
      </c>
    </row>
    <row r="54" spans="1:22" hidden="1" x14ac:dyDescent="0.3">
      <c r="A54" s="54" t="s">
        <v>79</v>
      </c>
      <c r="B54" s="63">
        <v>13469</v>
      </c>
      <c r="C54" s="18" t="s">
        <v>78</v>
      </c>
      <c r="D54" s="18"/>
      <c r="E54" s="18"/>
      <c r="F54" s="18"/>
      <c r="G54" s="92"/>
      <c r="H54" s="22"/>
      <c r="I54" s="22">
        <f t="shared" si="4"/>
        <v>0</v>
      </c>
      <c r="J54" s="69"/>
      <c r="K54" s="11"/>
      <c r="L54" s="22"/>
      <c r="M54" s="22"/>
      <c r="N54" s="22"/>
      <c r="O54" s="22"/>
      <c r="P54" s="22"/>
      <c r="Q54" s="22"/>
      <c r="R54" s="36"/>
      <c r="S54" s="44"/>
      <c r="T54" s="47"/>
      <c r="U54" s="52">
        <f t="shared" si="5"/>
        <v>0</v>
      </c>
      <c r="V54" s="23" t="str">
        <f t="shared" si="3"/>
        <v>OK</v>
      </c>
    </row>
    <row r="55" spans="1:22" hidden="1" x14ac:dyDescent="0.3">
      <c r="A55" s="90" t="s">
        <v>43</v>
      </c>
      <c r="B55" s="76">
        <v>11820</v>
      </c>
      <c r="C55" s="70" t="s">
        <v>67</v>
      </c>
      <c r="D55" s="70"/>
      <c r="E55" s="70"/>
      <c r="F55" s="70"/>
      <c r="G55" s="91"/>
      <c r="H55" s="82"/>
      <c r="I55" s="82">
        <f t="shared" si="4"/>
        <v>0</v>
      </c>
      <c r="J55" s="74"/>
      <c r="K55" s="11"/>
      <c r="L55" s="16"/>
      <c r="M55" s="16"/>
      <c r="N55" s="16"/>
      <c r="O55" s="16"/>
      <c r="P55" s="16"/>
      <c r="Q55" s="16"/>
      <c r="R55" s="35"/>
      <c r="S55" s="43"/>
      <c r="T55" s="46"/>
      <c r="U55" s="75">
        <f t="shared" si="5"/>
        <v>0</v>
      </c>
      <c r="V55" s="93" t="str">
        <f t="shared" si="3"/>
        <v>OK</v>
      </c>
    </row>
    <row r="56" spans="1:22" hidden="1" x14ac:dyDescent="0.3">
      <c r="A56" s="54" t="s">
        <v>44</v>
      </c>
      <c r="B56" s="63">
        <v>11816</v>
      </c>
      <c r="C56" s="18" t="s">
        <v>67</v>
      </c>
      <c r="D56" s="18"/>
      <c r="E56" s="18"/>
      <c r="F56" s="18"/>
      <c r="G56" s="92"/>
      <c r="H56" s="22"/>
      <c r="I56" s="22">
        <f t="shared" si="4"/>
        <v>0</v>
      </c>
      <c r="J56" s="69"/>
      <c r="K56" s="11"/>
      <c r="L56" s="22"/>
      <c r="M56" s="22"/>
      <c r="N56" s="22"/>
      <c r="O56" s="22"/>
      <c r="P56" s="22"/>
      <c r="Q56" s="22"/>
      <c r="R56" s="36"/>
      <c r="S56" s="44"/>
      <c r="T56" s="47"/>
      <c r="U56" s="52">
        <f>SUM(L56:T56)</f>
        <v>0</v>
      </c>
      <c r="V56" s="23" t="str">
        <f t="shared" si="3"/>
        <v>OK</v>
      </c>
    </row>
    <row r="57" spans="1:22" hidden="1" x14ac:dyDescent="0.3">
      <c r="A57" s="76" t="s">
        <v>77</v>
      </c>
      <c r="B57" s="76">
        <v>11381</v>
      </c>
      <c r="C57" s="77" t="s">
        <v>68</v>
      </c>
      <c r="D57" s="70"/>
      <c r="E57" s="70"/>
      <c r="F57" s="70"/>
      <c r="G57" s="91"/>
      <c r="H57" s="82"/>
      <c r="I57" s="82">
        <f t="shared" si="4"/>
        <v>0</v>
      </c>
      <c r="J57" s="74"/>
      <c r="K57" s="11"/>
      <c r="L57" s="16"/>
      <c r="M57" s="16"/>
      <c r="N57" s="16"/>
      <c r="O57" s="16"/>
      <c r="P57" s="16"/>
      <c r="Q57" s="16"/>
      <c r="R57" s="35"/>
      <c r="S57" s="43"/>
      <c r="T57" s="46"/>
      <c r="U57" s="75">
        <f>SUM(L57:T57)</f>
        <v>0</v>
      </c>
      <c r="V57" s="93" t="str">
        <f t="shared" si="3"/>
        <v>OK</v>
      </c>
    </row>
    <row r="58" spans="1:22" hidden="1" x14ac:dyDescent="0.3">
      <c r="A58" s="54" t="s">
        <v>69</v>
      </c>
      <c r="B58" s="63">
        <v>11382</v>
      </c>
      <c r="C58" s="18" t="s">
        <v>68</v>
      </c>
      <c r="D58" s="18"/>
      <c r="E58" s="18"/>
      <c r="F58" s="18"/>
      <c r="G58" s="92"/>
      <c r="H58" s="22"/>
      <c r="I58" s="22">
        <f t="shared" si="4"/>
        <v>0</v>
      </c>
      <c r="J58" s="69"/>
      <c r="K58" s="11"/>
      <c r="L58" s="22"/>
      <c r="M58" s="22"/>
      <c r="N58" s="22"/>
      <c r="O58" s="22"/>
      <c r="P58" s="22"/>
      <c r="Q58" s="22"/>
      <c r="R58" s="36"/>
      <c r="S58" s="44"/>
      <c r="T58" s="47"/>
      <c r="U58" s="52">
        <f>SUM(L58:T58)</f>
        <v>0</v>
      </c>
      <c r="V58" s="23" t="str">
        <f t="shared" si="3"/>
        <v>OK</v>
      </c>
    </row>
    <row r="59" spans="1:22" hidden="1" x14ac:dyDescent="0.3">
      <c r="A59" s="96" t="s">
        <v>105</v>
      </c>
      <c r="B59" s="76">
        <v>16586</v>
      </c>
      <c r="C59" s="70" t="s">
        <v>78</v>
      </c>
      <c r="D59" s="70"/>
      <c r="E59" s="70"/>
      <c r="F59" s="70"/>
      <c r="G59" s="91"/>
      <c r="H59" s="82"/>
      <c r="I59" s="82">
        <f t="shared" si="4"/>
        <v>0</v>
      </c>
      <c r="J59" s="74"/>
      <c r="K59" s="11"/>
      <c r="L59" s="16"/>
      <c r="M59" s="16"/>
      <c r="N59" s="16"/>
      <c r="O59" s="16"/>
      <c r="P59" s="16"/>
      <c r="Q59" s="16"/>
      <c r="R59" s="35"/>
      <c r="S59" s="43"/>
      <c r="T59" s="46"/>
      <c r="U59" s="75">
        <f t="shared" ref="U59:U69" si="6">SUM(L59:T59)</f>
        <v>0</v>
      </c>
      <c r="V59" s="93" t="str">
        <f t="shared" si="3"/>
        <v>OK</v>
      </c>
    </row>
    <row r="60" spans="1:22" x14ac:dyDescent="0.3">
      <c r="A60" s="54" t="s">
        <v>90</v>
      </c>
      <c r="B60" s="63">
        <v>16587</v>
      </c>
      <c r="C60" s="18" t="s">
        <v>78</v>
      </c>
      <c r="D60" s="18"/>
      <c r="E60" s="18"/>
      <c r="F60" s="18"/>
      <c r="G60" s="92"/>
      <c r="H60" s="22"/>
      <c r="I60" s="22">
        <f t="shared" si="4"/>
        <v>0</v>
      </c>
      <c r="J60" s="69"/>
      <c r="K60" s="11"/>
      <c r="L60" s="22"/>
      <c r="M60" s="22"/>
      <c r="N60" s="22"/>
      <c r="O60" s="22"/>
      <c r="P60" s="22"/>
      <c r="Q60" s="22"/>
      <c r="R60" s="36"/>
      <c r="S60" s="44"/>
      <c r="T60" s="47"/>
      <c r="U60" s="52">
        <f t="shared" si="6"/>
        <v>0</v>
      </c>
      <c r="V60" s="23" t="str">
        <f t="shared" si="3"/>
        <v>OK</v>
      </c>
    </row>
    <row r="61" spans="1:22" hidden="1" x14ac:dyDescent="0.3">
      <c r="A61" s="90" t="s">
        <v>91</v>
      </c>
      <c r="B61" s="76">
        <v>17121</v>
      </c>
      <c r="C61" s="70" t="s">
        <v>92</v>
      </c>
      <c r="D61" s="70"/>
      <c r="E61" s="70"/>
      <c r="F61" s="70"/>
      <c r="G61" s="91"/>
      <c r="H61" s="82"/>
      <c r="I61" s="82">
        <f t="shared" si="4"/>
        <v>0</v>
      </c>
      <c r="J61" s="74"/>
      <c r="K61" s="11"/>
      <c r="L61" s="16"/>
      <c r="M61" s="16"/>
      <c r="N61" s="16"/>
      <c r="O61" s="16"/>
      <c r="P61" s="16"/>
      <c r="Q61" s="16"/>
      <c r="R61" s="35"/>
      <c r="S61" s="43"/>
      <c r="T61" s="46"/>
      <c r="U61" s="75">
        <f t="shared" si="6"/>
        <v>0</v>
      </c>
      <c r="V61" s="93" t="str">
        <f t="shared" si="3"/>
        <v>OK</v>
      </c>
    </row>
    <row r="62" spans="1:22" hidden="1" x14ac:dyDescent="0.3">
      <c r="A62" s="54" t="s">
        <v>106</v>
      </c>
      <c r="B62" s="63">
        <v>19270</v>
      </c>
      <c r="C62" s="18" t="s">
        <v>68</v>
      </c>
      <c r="D62" s="18"/>
      <c r="E62" s="18"/>
      <c r="F62" s="18"/>
      <c r="G62" s="92"/>
      <c r="H62" s="22"/>
      <c r="I62" s="22">
        <f t="shared" si="4"/>
        <v>0</v>
      </c>
      <c r="J62" s="69"/>
      <c r="K62" s="11"/>
      <c r="L62" s="22"/>
      <c r="M62" s="22"/>
      <c r="N62" s="22"/>
      <c r="O62" s="22"/>
      <c r="P62" s="22"/>
      <c r="Q62" s="22"/>
      <c r="R62" s="36"/>
      <c r="S62" s="44"/>
      <c r="T62" s="47"/>
      <c r="U62" s="71">
        <f t="shared" si="6"/>
        <v>0</v>
      </c>
      <c r="V62" s="23" t="str">
        <f t="shared" si="3"/>
        <v>OK</v>
      </c>
    </row>
    <row r="63" spans="1:22" hidden="1" x14ac:dyDescent="0.3">
      <c r="A63" s="90" t="s">
        <v>107</v>
      </c>
      <c r="B63" s="76">
        <v>19276</v>
      </c>
      <c r="C63" s="70" t="s">
        <v>68</v>
      </c>
      <c r="D63" s="70"/>
      <c r="E63" s="70"/>
      <c r="F63" s="70"/>
      <c r="G63" s="91"/>
      <c r="H63" s="82"/>
      <c r="I63" s="82">
        <f t="shared" si="4"/>
        <v>0</v>
      </c>
      <c r="J63" s="74"/>
      <c r="K63" s="11"/>
      <c r="L63" s="16"/>
      <c r="M63" s="16"/>
      <c r="N63" s="16"/>
      <c r="O63" s="16"/>
      <c r="P63" s="16"/>
      <c r="Q63" s="16"/>
      <c r="R63" s="35"/>
      <c r="S63" s="43"/>
      <c r="T63" s="46"/>
      <c r="U63" s="75">
        <f t="shared" si="6"/>
        <v>0</v>
      </c>
      <c r="V63" s="93" t="str">
        <f t="shared" si="3"/>
        <v>OK</v>
      </c>
    </row>
    <row r="64" spans="1:22" ht="17.25" thickBot="1" x14ac:dyDescent="0.35">
      <c r="A64" s="54" t="s">
        <v>108</v>
      </c>
      <c r="B64" s="63">
        <v>19836</v>
      </c>
      <c r="C64" s="18" t="s">
        <v>45</v>
      </c>
      <c r="D64" s="18"/>
      <c r="E64" s="18"/>
      <c r="F64" s="18"/>
      <c r="G64" s="92"/>
      <c r="H64" s="22"/>
      <c r="I64" s="22">
        <f t="shared" si="4"/>
        <v>0</v>
      </c>
      <c r="J64" s="69"/>
      <c r="K64" s="11"/>
      <c r="L64" s="22"/>
      <c r="M64" s="22"/>
      <c r="N64" s="22"/>
      <c r="O64" s="22"/>
      <c r="P64" s="22"/>
      <c r="Q64" s="22"/>
      <c r="R64" s="36"/>
      <c r="S64" s="44"/>
      <c r="T64" s="47"/>
      <c r="U64" s="52">
        <f t="shared" si="6"/>
        <v>0</v>
      </c>
      <c r="V64" s="23" t="str">
        <f t="shared" si="3"/>
        <v>OK</v>
      </c>
    </row>
    <row r="65" spans="1:22" ht="17.25" hidden="1" thickBot="1" x14ac:dyDescent="0.35">
      <c r="A65" s="90" t="s">
        <v>109</v>
      </c>
      <c r="B65" s="76">
        <v>20278</v>
      </c>
      <c r="C65" s="70" t="s">
        <v>110</v>
      </c>
      <c r="D65" s="70"/>
      <c r="E65" s="70"/>
      <c r="F65" s="70"/>
      <c r="G65" s="91"/>
      <c r="H65" s="82"/>
      <c r="I65" s="82">
        <f t="shared" si="4"/>
        <v>0</v>
      </c>
      <c r="J65" s="74"/>
      <c r="K65" s="11"/>
      <c r="L65" s="16"/>
      <c r="M65" s="16"/>
      <c r="N65" s="16"/>
      <c r="O65" s="16"/>
      <c r="P65" s="16"/>
      <c r="Q65" s="16"/>
      <c r="R65" s="35"/>
      <c r="S65" s="43"/>
      <c r="T65" s="46"/>
      <c r="U65" s="75">
        <f t="shared" si="6"/>
        <v>0</v>
      </c>
      <c r="V65" s="93" t="str">
        <f t="shared" si="3"/>
        <v>OK</v>
      </c>
    </row>
    <row r="66" spans="1:22" ht="17.25" hidden="1" thickBot="1" x14ac:dyDescent="0.35">
      <c r="A66" s="54" t="s">
        <v>111</v>
      </c>
      <c r="B66" s="63">
        <v>20272</v>
      </c>
      <c r="C66" s="18" t="s">
        <v>110</v>
      </c>
      <c r="D66" s="18"/>
      <c r="E66" s="18"/>
      <c r="F66" s="18"/>
      <c r="G66" s="92"/>
      <c r="H66" s="22"/>
      <c r="I66" s="22">
        <f t="shared" si="4"/>
        <v>0</v>
      </c>
      <c r="J66" s="69"/>
      <c r="K66" s="11"/>
      <c r="L66" s="22"/>
      <c r="M66" s="22"/>
      <c r="N66" s="22"/>
      <c r="O66" s="22"/>
      <c r="P66" s="22"/>
      <c r="Q66" s="22"/>
      <c r="R66" s="36"/>
      <c r="S66" s="44"/>
      <c r="T66" s="47"/>
      <c r="U66" s="52">
        <f t="shared" si="6"/>
        <v>0</v>
      </c>
      <c r="V66" s="23" t="str">
        <f t="shared" si="3"/>
        <v>OK</v>
      </c>
    </row>
    <row r="67" spans="1:22" ht="17.25" hidden="1" thickBot="1" x14ac:dyDescent="0.35">
      <c r="A67" s="90" t="s">
        <v>112</v>
      </c>
      <c r="B67" s="76">
        <v>20956</v>
      </c>
      <c r="C67" s="70" t="s">
        <v>110</v>
      </c>
      <c r="D67" s="70"/>
      <c r="E67" s="70"/>
      <c r="F67" s="70"/>
      <c r="G67" s="91"/>
      <c r="H67" s="82"/>
      <c r="I67" s="82">
        <f t="shared" si="4"/>
        <v>0</v>
      </c>
      <c r="J67" s="74"/>
      <c r="K67" s="11"/>
      <c r="L67" s="16"/>
      <c r="M67" s="16"/>
      <c r="N67" s="16"/>
      <c r="O67" s="16"/>
      <c r="P67" s="16"/>
      <c r="Q67" s="16"/>
      <c r="R67" s="35"/>
      <c r="S67" s="43"/>
      <c r="T67" s="46"/>
      <c r="U67" s="75">
        <f t="shared" si="6"/>
        <v>0</v>
      </c>
      <c r="V67" s="93" t="str">
        <f t="shared" si="3"/>
        <v>OK</v>
      </c>
    </row>
    <row r="68" spans="1:22" ht="17.25" hidden="1" thickBot="1" x14ac:dyDescent="0.35">
      <c r="A68" s="54" t="s">
        <v>116</v>
      </c>
      <c r="B68" s="63">
        <v>21299</v>
      </c>
      <c r="C68" s="18" t="s">
        <v>78</v>
      </c>
      <c r="D68" s="18"/>
      <c r="E68" s="18"/>
      <c r="F68" s="18"/>
      <c r="G68" s="92"/>
      <c r="H68" s="22"/>
      <c r="I68" s="22">
        <f t="shared" si="4"/>
        <v>0</v>
      </c>
      <c r="J68" s="69"/>
      <c r="K68" s="11"/>
      <c r="L68" s="22"/>
      <c r="M68" s="22"/>
      <c r="N68" s="22"/>
      <c r="O68" s="22"/>
      <c r="P68" s="22"/>
      <c r="Q68" s="22"/>
      <c r="R68" s="36"/>
      <c r="S68" s="44"/>
      <c r="T68" s="47"/>
      <c r="U68" s="71">
        <f t="shared" si="6"/>
        <v>0</v>
      </c>
      <c r="V68" s="23" t="str">
        <f>IF(U68=I68,"OK","NG")</f>
        <v>OK</v>
      </c>
    </row>
    <row r="69" spans="1:22" ht="17.25" hidden="1" thickBot="1" x14ac:dyDescent="0.35">
      <c r="A69" s="99" t="s">
        <v>117</v>
      </c>
      <c r="B69" s="76">
        <v>22115</v>
      </c>
      <c r="C69" s="82" t="s">
        <v>118</v>
      </c>
      <c r="D69" s="82"/>
      <c r="E69" s="82"/>
      <c r="F69" s="82"/>
      <c r="G69" s="82"/>
      <c r="H69" s="82"/>
      <c r="I69" s="82">
        <f t="shared" si="4"/>
        <v>0</v>
      </c>
      <c r="J69" s="97"/>
      <c r="K69" s="112"/>
      <c r="L69" s="82"/>
      <c r="M69" s="82"/>
      <c r="N69" s="82"/>
      <c r="O69" s="82"/>
      <c r="P69" s="82"/>
      <c r="Q69" s="82"/>
      <c r="R69" s="83"/>
      <c r="S69" s="84"/>
      <c r="T69" s="100"/>
      <c r="U69" s="75">
        <f t="shared" si="6"/>
        <v>0</v>
      </c>
      <c r="V69" s="93" t="str">
        <f>IF(U69=I69,"OK","NG")</f>
        <v>OK</v>
      </c>
    </row>
    <row r="70" spans="1:22" ht="17.25" hidden="1" thickBot="1" x14ac:dyDescent="0.35">
      <c r="A70" s="54" t="s">
        <v>120</v>
      </c>
      <c r="B70" s="63">
        <v>22706</v>
      </c>
      <c r="C70" s="18" t="s">
        <v>119</v>
      </c>
      <c r="D70" s="18"/>
      <c r="E70" s="18"/>
      <c r="F70" s="18"/>
      <c r="G70" s="92"/>
      <c r="H70" s="22"/>
      <c r="I70" s="22">
        <f t="shared" si="4"/>
        <v>0</v>
      </c>
      <c r="J70" s="69"/>
      <c r="K70" s="11"/>
      <c r="L70" s="22"/>
      <c r="M70" s="22"/>
      <c r="N70" s="22"/>
      <c r="O70" s="22"/>
      <c r="P70" s="22"/>
      <c r="Q70" s="22"/>
      <c r="R70" s="36"/>
      <c r="S70" s="44"/>
      <c r="T70" s="47"/>
      <c r="U70" s="71">
        <f t="shared" ref="U70" si="7">SUM(L70:T70)</f>
        <v>0</v>
      </c>
      <c r="V70" s="23" t="str">
        <f>IF(U70=I70,"OK","NG")</f>
        <v>OK</v>
      </c>
    </row>
    <row r="71" spans="1:22" ht="17.25" hidden="1" thickBot="1" x14ac:dyDescent="0.35">
      <c r="A71" s="99" t="s">
        <v>121</v>
      </c>
      <c r="B71" s="76">
        <v>22886</v>
      </c>
      <c r="C71" s="82" t="s">
        <v>46</v>
      </c>
      <c r="D71" s="82"/>
      <c r="E71" s="82"/>
      <c r="F71" s="82"/>
      <c r="G71" s="82"/>
      <c r="H71" s="82"/>
      <c r="I71" s="82">
        <f t="shared" ref="I71:I79" si="8">SUM(L71:T71)</f>
        <v>0</v>
      </c>
      <c r="J71" s="97"/>
      <c r="K71" s="112"/>
      <c r="L71" s="82"/>
      <c r="M71" s="82"/>
      <c r="N71" s="82"/>
      <c r="O71" s="82"/>
      <c r="P71" s="82"/>
      <c r="Q71" s="82"/>
      <c r="R71" s="83"/>
      <c r="S71" s="84"/>
      <c r="T71" s="100"/>
      <c r="U71" s="75">
        <f>SUM(L71:T71)</f>
        <v>0</v>
      </c>
      <c r="V71" s="93" t="str">
        <f>IF(U71=I71,"OK","NG")</f>
        <v>OK</v>
      </c>
    </row>
    <row r="72" spans="1:22" ht="17.25" hidden="1" thickBot="1" x14ac:dyDescent="0.35">
      <c r="A72" s="54" t="s">
        <v>122</v>
      </c>
      <c r="B72" s="63">
        <v>17528</v>
      </c>
      <c r="C72" s="18" t="s">
        <v>123</v>
      </c>
      <c r="D72" s="18"/>
      <c r="E72" s="18"/>
      <c r="F72" s="18"/>
      <c r="G72" s="92"/>
      <c r="H72" s="22"/>
      <c r="I72" s="22">
        <f t="shared" si="8"/>
        <v>0</v>
      </c>
      <c r="J72" s="69"/>
      <c r="K72" s="11"/>
      <c r="L72" s="22"/>
      <c r="M72" s="22"/>
      <c r="N72" s="22"/>
      <c r="O72" s="22"/>
      <c r="P72" s="22"/>
      <c r="Q72" s="22"/>
      <c r="R72" s="36"/>
      <c r="S72" s="44"/>
      <c r="T72" s="47"/>
      <c r="U72" s="71">
        <f t="shared" ref="U72:U79" si="9">SUM(L72:T72)</f>
        <v>0</v>
      </c>
      <c r="V72" s="95" t="str">
        <f t="shared" ref="V72:V80" si="10">IF(U72=I72,"OK","NG")</f>
        <v>OK</v>
      </c>
    </row>
    <row r="73" spans="1:22" ht="17.25" hidden="1" thickBot="1" x14ac:dyDescent="0.35">
      <c r="A73" s="99" t="s">
        <v>124</v>
      </c>
      <c r="B73" s="76">
        <v>22380</v>
      </c>
      <c r="C73" s="82" t="s">
        <v>47</v>
      </c>
      <c r="D73" s="82"/>
      <c r="E73" s="82"/>
      <c r="F73" s="82"/>
      <c r="G73" s="82"/>
      <c r="H73" s="82"/>
      <c r="I73" s="82">
        <f t="shared" si="8"/>
        <v>0</v>
      </c>
      <c r="J73" s="97"/>
      <c r="K73" s="112"/>
      <c r="L73" s="82"/>
      <c r="M73" s="82"/>
      <c r="N73" s="82"/>
      <c r="O73" s="82"/>
      <c r="P73" s="82"/>
      <c r="Q73" s="82"/>
      <c r="R73" s="83"/>
      <c r="S73" s="84"/>
      <c r="T73" s="100"/>
      <c r="U73" s="75">
        <f t="shared" si="9"/>
        <v>0</v>
      </c>
      <c r="V73" s="93" t="str">
        <f t="shared" si="10"/>
        <v>OK</v>
      </c>
    </row>
    <row r="74" spans="1:22" ht="17.25" hidden="1" thickBot="1" x14ac:dyDescent="0.35">
      <c r="A74" s="54" t="s">
        <v>125</v>
      </c>
      <c r="B74" s="63">
        <v>19279</v>
      </c>
      <c r="C74" s="18" t="s">
        <v>126</v>
      </c>
      <c r="D74" s="18"/>
      <c r="E74" s="18"/>
      <c r="F74" s="18"/>
      <c r="G74" s="92"/>
      <c r="H74" s="22"/>
      <c r="I74" s="22">
        <f t="shared" si="8"/>
        <v>0</v>
      </c>
      <c r="J74" s="69"/>
      <c r="K74" s="11"/>
      <c r="L74" s="22"/>
      <c r="M74" s="22"/>
      <c r="N74" s="22"/>
      <c r="O74" s="22"/>
      <c r="P74" s="22"/>
      <c r="Q74" s="22"/>
      <c r="R74" s="36"/>
      <c r="S74" s="44"/>
      <c r="T74" s="47"/>
      <c r="U74" s="71">
        <f t="shared" si="9"/>
        <v>0</v>
      </c>
      <c r="V74" s="95" t="str">
        <f t="shared" si="10"/>
        <v>OK</v>
      </c>
    </row>
    <row r="75" spans="1:22" ht="17.25" hidden="1" thickBot="1" x14ac:dyDescent="0.35">
      <c r="A75" s="90" t="s">
        <v>131</v>
      </c>
      <c r="B75" s="76">
        <v>22724</v>
      </c>
      <c r="C75" s="70" t="s">
        <v>119</v>
      </c>
      <c r="D75" s="70"/>
      <c r="E75" s="70"/>
      <c r="F75" s="70"/>
      <c r="G75" s="91"/>
      <c r="H75" s="82"/>
      <c r="I75" s="82">
        <f t="shared" si="8"/>
        <v>0</v>
      </c>
      <c r="J75" s="74"/>
      <c r="K75" s="11"/>
      <c r="L75" s="82"/>
      <c r="M75" s="82"/>
      <c r="N75" s="82"/>
      <c r="O75" s="82"/>
      <c r="P75" s="82"/>
      <c r="Q75" s="82"/>
      <c r="R75" s="83"/>
      <c r="S75" s="84"/>
      <c r="T75" s="85"/>
      <c r="U75" s="75">
        <f>SUM(L75:T75)</f>
        <v>0</v>
      </c>
      <c r="V75" s="93" t="s">
        <v>129</v>
      </c>
    </row>
    <row r="76" spans="1:22" ht="17.25" hidden="1" thickBot="1" x14ac:dyDescent="0.35">
      <c r="A76" s="54" t="s">
        <v>133</v>
      </c>
      <c r="B76" s="63">
        <v>22705</v>
      </c>
      <c r="C76" s="18" t="s">
        <v>119</v>
      </c>
      <c r="D76" s="18"/>
      <c r="E76" s="18"/>
      <c r="F76" s="18"/>
      <c r="G76" s="92"/>
      <c r="H76" s="22"/>
      <c r="I76" s="22">
        <f t="shared" si="8"/>
        <v>0</v>
      </c>
      <c r="J76" s="69"/>
      <c r="K76" s="11"/>
      <c r="L76" s="22"/>
      <c r="M76" s="22"/>
      <c r="N76" s="22"/>
      <c r="O76" s="22"/>
      <c r="P76" s="22"/>
      <c r="Q76" s="22"/>
      <c r="R76" s="36"/>
      <c r="S76" s="44"/>
      <c r="T76" s="47"/>
      <c r="U76" s="71">
        <f t="shared" si="9"/>
        <v>0</v>
      </c>
      <c r="V76" s="95" t="str">
        <f t="shared" si="10"/>
        <v>OK</v>
      </c>
    </row>
    <row r="77" spans="1:22" ht="17.25" hidden="1" thickBot="1" x14ac:dyDescent="0.35">
      <c r="A77" s="99" t="s">
        <v>128</v>
      </c>
      <c r="B77" s="76">
        <v>5655</v>
      </c>
      <c r="C77" s="82" t="s">
        <v>54</v>
      </c>
      <c r="D77" s="82"/>
      <c r="E77" s="82"/>
      <c r="F77" s="82"/>
      <c r="G77" s="82"/>
      <c r="H77" s="82"/>
      <c r="I77" s="82">
        <f t="shared" si="8"/>
        <v>0</v>
      </c>
      <c r="J77" s="97"/>
      <c r="K77" s="112"/>
      <c r="L77" s="82"/>
      <c r="M77" s="82"/>
      <c r="N77" s="82"/>
      <c r="O77" s="82"/>
      <c r="P77" s="82"/>
      <c r="Q77" s="82"/>
      <c r="R77" s="83"/>
      <c r="S77" s="84"/>
      <c r="T77" s="100"/>
      <c r="U77" s="75">
        <f t="shared" si="9"/>
        <v>0</v>
      </c>
      <c r="V77" s="93" t="str">
        <f t="shared" si="10"/>
        <v>OK</v>
      </c>
    </row>
    <row r="78" spans="1:22" ht="17.25" hidden="1" thickBot="1" x14ac:dyDescent="0.35">
      <c r="A78" s="54" t="s">
        <v>136</v>
      </c>
      <c r="B78" s="63">
        <v>22704</v>
      </c>
      <c r="C78" s="18" t="s">
        <v>137</v>
      </c>
      <c r="D78" s="18"/>
      <c r="E78" s="18"/>
      <c r="F78" s="18"/>
      <c r="G78" s="92"/>
      <c r="H78" s="22"/>
      <c r="I78" s="22">
        <f t="shared" si="8"/>
        <v>0</v>
      </c>
      <c r="J78" s="69"/>
      <c r="K78" s="11"/>
      <c r="L78" s="22"/>
      <c r="M78" s="22"/>
      <c r="N78" s="22"/>
      <c r="O78" s="22"/>
      <c r="P78" s="22"/>
      <c r="Q78" s="22"/>
      <c r="R78" s="36"/>
      <c r="S78" s="44"/>
      <c r="T78" s="47"/>
      <c r="U78" s="71">
        <f t="shared" si="9"/>
        <v>0</v>
      </c>
      <c r="V78" s="95" t="str">
        <f t="shared" si="10"/>
        <v>OK</v>
      </c>
    </row>
    <row r="79" spans="1:22" ht="17.25" hidden="1" thickBot="1" x14ac:dyDescent="0.35">
      <c r="A79" s="132" t="s">
        <v>139</v>
      </c>
      <c r="B79" s="133">
        <v>22722</v>
      </c>
      <c r="C79" s="134" t="s">
        <v>119</v>
      </c>
      <c r="D79" s="134"/>
      <c r="E79" s="134"/>
      <c r="F79" s="134"/>
      <c r="G79" s="135"/>
      <c r="H79" s="82"/>
      <c r="I79" s="82">
        <f t="shared" si="8"/>
        <v>0</v>
      </c>
      <c r="J79" s="74"/>
      <c r="K79" s="118"/>
      <c r="L79" s="82"/>
      <c r="M79" s="82"/>
      <c r="N79" s="82"/>
      <c r="O79" s="82"/>
      <c r="P79" s="82"/>
      <c r="Q79" s="82"/>
      <c r="R79" s="83"/>
      <c r="S79" s="84"/>
      <c r="T79" s="85"/>
      <c r="U79" s="75">
        <f t="shared" si="9"/>
        <v>0</v>
      </c>
      <c r="V79" s="93" t="str">
        <f t="shared" si="10"/>
        <v>OK</v>
      </c>
    </row>
    <row r="80" spans="1:22" ht="17.25" hidden="1" customHeight="1" thickBot="1" x14ac:dyDescent="0.35">
      <c r="A80" s="126" t="s">
        <v>134</v>
      </c>
      <c r="B80" s="127">
        <v>22723</v>
      </c>
      <c r="C80" s="128" t="s">
        <v>119</v>
      </c>
      <c r="D80" s="128"/>
      <c r="E80" s="128"/>
      <c r="F80" s="128"/>
      <c r="G80" s="128"/>
      <c r="H80" s="22"/>
      <c r="I80" s="22">
        <f t="shared" ref="I80" si="11">SUM(L80:T80)</f>
        <v>0</v>
      </c>
      <c r="J80" s="45"/>
      <c r="K80" s="112"/>
      <c r="L80" s="22"/>
      <c r="M80" s="22"/>
      <c r="N80" s="22"/>
      <c r="O80" s="22"/>
      <c r="P80" s="22"/>
      <c r="Q80" s="22"/>
      <c r="R80" s="36"/>
      <c r="S80" s="44"/>
      <c r="T80" s="116"/>
      <c r="U80" s="52">
        <f t="shared" ref="U80" si="12">SUM(L80:T80)</f>
        <v>0</v>
      </c>
      <c r="V80" s="23" t="str">
        <f t="shared" si="10"/>
        <v>OK</v>
      </c>
    </row>
    <row r="81" spans="1:22" x14ac:dyDescent="0.3">
      <c r="A81" s="86"/>
      <c r="B81" s="86"/>
      <c r="C81" s="87" t="s">
        <v>9</v>
      </c>
      <c r="D81" s="87"/>
      <c r="E81" s="87"/>
      <c r="F81" s="87"/>
      <c r="G81" s="88">
        <f>SUM(G6:G49)</f>
        <v>0</v>
      </c>
      <c r="H81" s="89">
        <f>SUM(H6:H49)</f>
        <v>0</v>
      </c>
      <c r="I81" s="88">
        <f>SUM(I6:I80)</f>
        <v>0</v>
      </c>
      <c r="J81" s="40">
        <f>SUM(J6:J49)</f>
        <v>0</v>
      </c>
      <c r="K81" s="115">
        <f>SUM(K6:K51)</f>
        <v>0</v>
      </c>
      <c r="L81" s="38">
        <f>SUM(L6:L80)</f>
        <v>0</v>
      </c>
      <c r="M81" s="38">
        <f t="shared" ref="M81:U81" si="13">SUM(M6:M80)</f>
        <v>0</v>
      </c>
      <c r="N81" s="38">
        <f t="shared" si="13"/>
        <v>0</v>
      </c>
      <c r="O81" s="38">
        <f t="shared" si="13"/>
        <v>0</v>
      </c>
      <c r="P81" s="38">
        <f t="shared" si="13"/>
        <v>0</v>
      </c>
      <c r="Q81" s="38">
        <f t="shared" si="13"/>
        <v>0</v>
      </c>
      <c r="R81" s="38">
        <f t="shared" si="13"/>
        <v>0</v>
      </c>
      <c r="S81" s="38">
        <f t="shared" si="13"/>
        <v>0</v>
      </c>
      <c r="T81" s="38">
        <f t="shared" si="13"/>
        <v>0</v>
      </c>
      <c r="U81" s="38">
        <f t="shared" si="13"/>
        <v>0</v>
      </c>
      <c r="V81" s="41" t="str">
        <f>IF(U81=SUM(I81),"OK","NG")</f>
        <v>OK</v>
      </c>
    </row>
  </sheetData>
  <autoFilter ref="A5:V81" xr:uid="{00000000-0001-0000-1D00-000000000000}">
    <filterColumn colId="8">
      <filters>
        <filter val="21"/>
        <filter val="28"/>
        <filter val="7"/>
      </filters>
    </filterColumn>
  </autoFilter>
  <mergeCells count="20">
    <mergeCell ref="O4:O5"/>
    <mergeCell ref="P4:P5"/>
    <mergeCell ref="B3:C3"/>
    <mergeCell ref="N4:N5"/>
    <mergeCell ref="B1:C1"/>
    <mergeCell ref="F1:G1"/>
    <mergeCell ref="H1:J3"/>
    <mergeCell ref="B2:C2"/>
    <mergeCell ref="A4:D4"/>
    <mergeCell ref="E4:G4"/>
    <mergeCell ref="H4:J4"/>
    <mergeCell ref="L4:L5"/>
    <mergeCell ref="M4:M5"/>
    <mergeCell ref="Q4:Q5"/>
    <mergeCell ref="R4:R5"/>
    <mergeCell ref="S4:S5"/>
    <mergeCell ref="T4:T5"/>
    <mergeCell ref="V2:V3"/>
    <mergeCell ref="U4:U5"/>
    <mergeCell ref="V4:V5"/>
  </mergeCells>
  <phoneticPr fontId="3" type="noConversion"/>
  <conditionalFormatting sqref="A4 V6:V81">
    <cfRule type="containsText" dxfId="5" priority="11" operator="containsText" text="NG">
      <formula>NOT(ISERROR(SEARCH("NG",A4)))</formula>
    </cfRule>
    <cfRule type="containsText" dxfId="4" priority="12" operator="containsText" text="OK">
      <formula>NOT(ISERROR(SEARCH("OK",A4)))</formula>
    </cfRule>
  </conditionalFormatting>
  <pageMargins left="0.70866141732283472" right="0.70866141732283472" top="0.74803149606299213" bottom="0.74803149606299213" header="0.31496062992125984" footer="0.31496062992125984"/>
  <pageSetup paperSize="8" scale="10" orientation="landscape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1">
    <pageSetUpPr fitToPage="1"/>
  </sheetPr>
  <dimension ref="A1:V81"/>
  <sheetViews>
    <sheetView showGridLines="0" zoomScale="85" zoomScaleNormal="85" workbookViewId="0">
      <pane ySplit="5" topLeftCell="A64" activePane="bottomLeft" state="frozen"/>
      <selection activeCell="W73" sqref="W73"/>
      <selection pane="bottomLeft" activeCell="W73" sqref="W73"/>
    </sheetView>
  </sheetViews>
  <sheetFormatPr defaultColWidth="9" defaultRowHeight="16.5" x14ac:dyDescent="0.3"/>
  <cols>
    <col min="1" max="1" width="12.625" bestFit="1" customWidth="1"/>
    <col min="2" max="2" width="14.125" bestFit="1" customWidth="1"/>
    <col min="3" max="3" width="35.125" customWidth="1"/>
    <col min="4" max="4" width="11.75" hidden="1" customWidth="1"/>
    <col min="5" max="6" width="9" hidden="1" customWidth="1"/>
    <col min="7" max="7" width="15.375" hidden="1" customWidth="1"/>
    <col min="8" max="8" width="13.25" hidden="1" customWidth="1"/>
    <col min="9" max="9" width="13.25" customWidth="1"/>
    <col min="10" max="10" width="13.25" hidden="1" customWidth="1"/>
    <col min="11" max="11" width="0.875" customWidth="1"/>
    <col min="20" max="20" width="11" bestFit="1" customWidth="1"/>
  </cols>
  <sheetData>
    <row r="1" spans="1:22" ht="22.5" customHeight="1" thickBot="1" x14ac:dyDescent="0.35">
      <c r="A1" s="32" t="s">
        <v>28</v>
      </c>
      <c r="B1" s="153">
        <f>H81</f>
        <v>0</v>
      </c>
      <c r="C1" s="154"/>
      <c r="D1" s="55"/>
      <c r="E1" s="58" t="s">
        <v>1</v>
      </c>
      <c r="F1" s="155">
        <f>G81</f>
        <v>0</v>
      </c>
      <c r="G1" s="155"/>
      <c r="H1" s="156"/>
      <c r="I1" s="156"/>
      <c r="J1" s="156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22.5" customHeight="1" thickBot="1" x14ac:dyDescent="0.35">
      <c r="A2" s="32" t="s">
        <v>29</v>
      </c>
      <c r="B2" s="158">
        <f>I81</f>
        <v>0</v>
      </c>
      <c r="C2" s="159"/>
      <c r="D2" s="56"/>
      <c r="E2" s="59"/>
      <c r="F2" s="2"/>
      <c r="G2" s="2"/>
      <c r="H2" s="156"/>
      <c r="I2" s="156"/>
      <c r="J2" s="156"/>
      <c r="K2" s="113"/>
      <c r="L2" s="3">
        <f>SUBTOTAL(9,L6:L80)</f>
        <v>0</v>
      </c>
      <c r="M2" s="3">
        <f t="shared" ref="M2:T2" si="0">SUBTOTAL(9,M6:M80)</f>
        <v>0</v>
      </c>
      <c r="N2" s="3">
        <f t="shared" si="0"/>
        <v>0</v>
      </c>
      <c r="O2" s="3">
        <f t="shared" si="0"/>
        <v>0</v>
      </c>
      <c r="P2" s="3">
        <f t="shared" si="0"/>
        <v>0</v>
      </c>
      <c r="Q2" s="3">
        <f t="shared" si="0"/>
        <v>0</v>
      </c>
      <c r="R2" s="3">
        <f t="shared" si="0"/>
        <v>0</v>
      </c>
      <c r="S2" s="3">
        <f t="shared" si="0"/>
        <v>0</v>
      </c>
      <c r="T2" s="3">
        <f t="shared" si="0"/>
        <v>0</v>
      </c>
      <c r="U2" s="48">
        <f>SUBTOTAL(9,U6:U80)</f>
        <v>0</v>
      </c>
      <c r="V2" s="145"/>
    </row>
    <row r="3" spans="1:22" ht="22.5" customHeight="1" thickBot="1" x14ac:dyDescent="0.35">
      <c r="A3" s="33" t="s">
        <v>30</v>
      </c>
      <c r="B3" s="151" t="str">
        <f>IF(ISERROR(B2/(B2+B1)*1000000),"",(B2/(B2+B1)*1000000))</f>
        <v/>
      </c>
      <c r="C3" s="152"/>
      <c r="D3" s="57"/>
      <c r="E3" s="60"/>
      <c r="F3" s="27"/>
      <c r="G3" s="27"/>
      <c r="H3" s="157"/>
      <c r="I3" s="157"/>
      <c r="J3" s="157"/>
      <c r="K3" s="114"/>
      <c r="L3" s="4">
        <f t="shared" ref="L3:U3" si="1">SUM(L6:L80)</f>
        <v>0</v>
      </c>
      <c r="M3" s="4">
        <f t="shared" si="1"/>
        <v>0</v>
      </c>
      <c r="N3" s="4">
        <f t="shared" si="1"/>
        <v>0</v>
      </c>
      <c r="O3" s="4">
        <f t="shared" si="1"/>
        <v>0</v>
      </c>
      <c r="P3" s="4">
        <f t="shared" si="1"/>
        <v>0</v>
      </c>
      <c r="Q3" s="4">
        <f t="shared" si="1"/>
        <v>0</v>
      </c>
      <c r="R3" s="4">
        <f t="shared" si="1"/>
        <v>0</v>
      </c>
      <c r="S3" s="4">
        <f t="shared" si="1"/>
        <v>0</v>
      </c>
      <c r="T3" s="4">
        <f t="shared" si="1"/>
        <v>0</v>
      </c>
      <c r="U3" s="49">
        <f t="shared" si="1"/>
        <v>0</v>
      </c>
      <c r="V3" s="146"/>
    </row>
    <row r="4" spans="1:22" ht="43.5" customHeight="1" x14ac:dyDescent="0.3">
      <c r="A4" s="160" t="str">
        <f>V81</f>
        <v>OK</v>
      </c>
      <c r="B4" s="160"/>
      <c r="C4" s="160"/>
      <c r="D4" s="161"/>
      <c r="E4" s="162" t="s">
        <v>15</v>
      </c>
      <c r="F4" s="162"/>
      <c r="G4" s="162"/>
      <c r="H4" s="163" t="s">
        <v>16</v>
      </c>
      <c r="I4" s="163"/>
      <c r="J4" s="163"/>
      <c r="K4" s="113"/>
      <c r="L4" s="164" t="s">
        <v>10</v>
      </c>
      <c r="M4" s="142" t="s">
        <v>17</v>
      </c>
      <c r="N4" s="142" t="s">
        <v>11</v>
      </c>
      <c r="O4" s="138" t="s">
        <v>12</v>
      </c>
      <c r="P4" s="142" t="s">
        <v>13</v>
      </c>
      <c r="Q4" s="138" t="s">
        <v>14</v>
      </c>
      <c r="R4" s="140" t="s">
        <v>20</v>
      </c>
      <c r="S4" s="142" t="s">
        <v>21</v>
      </c>
      <c r="T4" s="143" t="s">
        <v>22</v>
      </c>
      <c r="U4" s="147" t="s">
        <v>18</v>
      </c>
      <c r="V4" s="149" t="s">
        <v>19</v>
      </c>
    </row>
    <row r="5" spans="1:22" ht="33.75" thickBot="1" x14ac:dyDescent="0.35">
      <c r="A5" s="29" t="s">
        <v>3</v>
      </c>
      <c r="B5" s="30" t="s">
        <v>32</v>
      </c>
      <c r="C5" s="29" t="s">
        <v>4</v>
      </c>
      <c r="D5" s="29" t="s">
        <v>31</v>
      </c>
      <c r="E5" s="29" t="s">
        <v>5</v>
      </c>
      <c r="F5" s="29" t="s">
        <v>6</v>
      </c>
      <c r="G5" s="30" t="s">
        <v>7</v>
      </c>
      <c r="H5" s="31" t="s">
        <v>0</v>
      </c>
      <c r="I5" s="31" t="s">
        <v>2</v>
      </c>
      <c r="J5" s="31" t="s">
        <v>8</v>
      </c>
      <c r="K5" s="28"/>
      <c r="L5" s="165"/>
      <c r="M5" s="139"/>
      <c r="N5" s="139"/>
      <c r="O5" s="139"/>
      <c r="P5" s="139"/>
      <c r="Q5" s="139"/>
      <c r="R5" s="141"/>
      <c r="S5" s="139"/>
      <c r="T5" s="144"/>
      <c r="U5" s="148"/>
      <c r="V5" s="150"/>
    </row>
    <row r="6" spans="1:22" x14ac:dyDescent="0.3">
      <c r="A6" s="61" t="s">
        <v>33</v>
      </c>
      <c r="B6" s="61">
        <v>8092</v>
      </c>
      <c r="C6" s="6" t="s">
        <v>45</v>
      </c>
      <c r="D6" s="7"/>
      <c r="E6" s="7"/>
      <c r="F6" s="7"/>
      <c r="G6" s="8"/>
      <c r="H6" s="9"/>
      <c r="I6" s="10">
        <f>SUM(L6:T6)</f>
        <v>0</v>
      </c>
      <c r="J6" s="10"/>
      <c r="K6" s="11"/>
      <c r="L6" s="10"/>
      <c r="M6" s="10"/>
      <c r="N6" s="10"/>
      <c r="O6" s="10"/>
      <c r="P6" s="10"/>
      <c r="Q6" s="10"/>
      <c r="R6" s="34"/>
      <c r="S6" s="42"/>
      <c r="T6" s="45"/>
      <c r="U6" s="50">
        <f t="shared" ref="U6:U36" si="2">SUM(L6:T6)</f>
        <v>0</v>
      </c>
      <c r="V6" s="26" t="str">
        <f t="shared" ref="V6:V67" si="3">IF(U6=I6,"OK","NG")</f>
        <v>OK</v>
      </c>
    </row>
    <row r="7" spans="1:22" x14ac:dyDescent="0.3">
      <c r="A7" s="62" t="s">
        <v>95</v>
      </c>
      <c r="B7" s="62">
        <v>8088</v>
      </c>
      <c r="C7" s="12" t="s">
        <v>46</v>
      </c>
      <c r="D7" s="53"/>
      <c r="E7" s="13"/>
      <c r="F7" s="13"/>
      <c r="G7" s="14"/>
      <c r="H7" s="15"/>
      <c r="I7" s="16">
        <f t="shared" ref="I7:I70" si="4">SUM(L7:T7)</f>
        <v>0</v>
      </c>
      <c r="J7" s="16"/>
      <c r="K7" s="11"/>
      <c r="L7" s="16"/>
      <c r="M7" s="16"/>
      <c r="N7" s="16"/>
      <c r="O7" s="16"/>
      <c r="P7" s="16"/>
      <c r="Q7" s="16"/>
      <c r="R7" s="35"/>
      <c r="S7" s="43"/>
      <c r="T7" s="46"/>
      <c r="U7" s="51">
        <f t="shared" si="2"/>
        <v>0</v>
      </c>
      <c r="V7" s="17" t="str">
        <f t="shared" si="3"/>
        <v>OK</v>
      </c>
    </row>
    <row r="8" spans="1:22" x14ac:dyDescent="0.3">
      <c r="A8" s="63" t="s">
        <v>96</v>
      </c>
      <c r="B8" s="63">
        <v>8081</v>
      </c>
      <c r="C8" s="18" t="s">
        <v>46</v>
      </c>
      <c r="D8" s="19"/>
      <c r="E8" s="19"/>
      <c r="F8" s="19"/>
      <c r="G8" s="20"/>
      <c r="H8" s="21"/>
      <c r="I8" s="22">
        <f t="shared" si="4"/>
        <v>0</v>
      </c>
      <c r="J8" s="22"/>
      <c r="K8" s="11"/>
      <c r="L8" s="22"/>
      <c r="M8" s="22"/>
      <c r="N8" s="22"/>
      <c r="O8" s="22"/>
      <c r="P8" s="22"/>
      <c r="Q8" s="22"/>
      <c r="R8" s="36"/>
      <c r="S8" s="44"/>
      <c r="T8" s="47"/>
      <c r="U8" s="52">
        <f t="shared" si="2"/>
        <v>0</v>
      </c>
      <c r="V8" s="23" t="str">
        <f t="shared" si="3"/>
        <v>OK</v>
      </c>
    </row>
    <row r="9" spans="1:22" x14ac:dyDescent="0.3">
      <c r="A9" s="62" t="s">
        <v>97</v>
      </c>
      <c r="B9" s="62">
        <v>18524</v>
      </c>
      <c r="C9" s="12" t="s">
        <v>46</v>
      </c>
      <c r="D9" s="53"/>
      <c r="E9" s="13"/>
      <c r="F9" s="13"/>
      <c r="G9" s="14"/>
      <c r="H9" s="15"/>
      <c r="I9" s="16">
        <f t="shared" si="4"/>
        <v>0</v>
      </c>
      <c r="J9" s="16"/>
      <c r="K9" s="11"/>
      <c r="L9" s="16"/>
      <c r="M9" s="16"/>
      <c r="N9" s="16"/>
      <c r="O9" s="16"/>
      <c r="P9" s="16"/>
      <c r="Q9" s="16"/>
      <c r="R9" s="35"/>
      <c r="S9" s="43"/>
      <c r="T9" s="46"/>
      <c r="U9" s="51">
        <f t="shared" si="2"/>
        <v>0</v>
      </c>
      <c r="V9" s="17" t="str">
        <f t="shared" si="3"/>
        <v>OK</v>
      </c>
    </row>
    <row r="10" spans="1:22" x14ac:dyDescent="0.3">
      <c r="A10" s="63" t="s">
        <v>34</v>
      </c>
      <c r="B10" s="63">
        <v>6234</v>
      </c>
      <c r="C10" s="18" t="s">
        <v>47</v>
      </c>
      <c r="D10" s="19"/>
      <c r="E10" s="19"/>
      <c r="F10" s="19"/>
      <c r="G10" s="20"/>
      <c r="H10" s="21"/>
      <c r="I10" s="22">
        <f t="shared" si="4"/>
        <v>0</v>
      </c>
      <c r="J10" s="22"/>
      <c r="K10" s="11"/>
      <c r="L10" s="22"/>
      <c r="M10" s="22"/>
      <c r="N10" s="22"/>
      <c r="O10" s="22"/>
      <c r="P10" s="22"/>
      <c r="Q10" s="22"/>
      <c r="R10" s="36"/>
      <c r="S10" s="44"/>
      <c r="T10" s="47"/>
      <c r="U10" s="52">
        <f t="shared" si="2"/>
        <v>0</v>
      </c>
      <c r="V10" s="23" t="str">
        <f t="shared" si="3"/>
        <v>OK</v>
      </c>
    </row>
    <row r="11" spans="1:22" x14ac:dyDescent="0.3">
      <c r="A11" s="62" t="s">
        <v>80</v>
      </c>
      <c r="B11" s="62">
        <v>14830</v>
      </c>
      <c r="C11" s="12" t="s">
        <v>47</v>
      </c>
      <c r="D11" s="53"/>
      <c r="E11" s="13"/>
      <c r="F11" s="13"/>
      <c r="G11" s="14"/>
      <c r="H11" s="15"/>
      <c r="I11" s="16">
        <f t="shared" si="4"/>
        <v>0</v>
      </c>
      <c r="J11" s="16"/>
      <c r="K11" s="11"/>
      <c r="L11" s="16"/>
      <c r="M11" s="16"/>
      <c r="N11" s="16"/>
      <c r="O11" s="16"/>
      <c r="P11" s="16"/>
      <c r="Q11" s="16"/>
      <c r="R11" s="35"/>
      <c r="S11" s="43"/>
      <c r="T11" s="46"/>
      <c r="U11" s="51">
        <f t="shared" si="2"/>
        <v>0</v>
      </c>
      <c r="V11" s="17" t="str">
        <f t="shared" si="3"/>
        <v>OK</v>
      </c>
    </row>
    <row r="12" spans="1:22" x14ac:dyDescent="0.3">
      <c r="A12" s="63" t="s">
        <v>35</v>
      </c>
      <c r="B12" s="63">
        <v>6004</v>
      </c>
      <c r="C12" s="18" t="s">
        <v>48</v>
      </c>
      <c r="D12" s="19"/>
      <c r="E12" s="19"/>
      <c r="F12" s="19"/>
      <c r="G12" s="20"/>
      <c r="H12" s="21"/>
      <c r="I12" s="22">
        <f t="shared" si="4"/>
        <v>0</v>
      </c>
      <c r="J12" s="22"/>
      <c r="K12" s="11"/>
      <c r="L12" s="22"/>
      <c r="M12" s="22"/>
      <c r="N12" s="22"/>
      <c r="O12" s="22"/>
      <c r="P12" s="22"/>
      <c r="Q12" s="22"/>
      <c r="R12" s="36"/>
      <c r="S12" s="44"/>
      <c r="T12" s="47"/>
      <c r="U12" s="52">
        <f t="shared" si="2"/>
        <v>0</v>
      </c>
      <c r="V12" s="23" t="str">
        <f t="shared" si="3"/>
        <v>OK</v>
      </c>
    </row>
    <row r="13" spans="1:22" x14ac:dyDescent="0.3">
      <c r="A13" s="62" t="s">
        <v>36</v>
      </c>
      <c r="B13" s="62">
        <v>11857</v>
      </c>
      <c r="C13" s="12" t="s">
        <v>48</v>
      </c>
      <c r="D13" s="53"/>
      <c r="E13" s="13"/>
      <c r="F13" s="13"/>
      <c r="G13" s="14"/>
      <c r="H13" s="15"/>
      <c r="I13" s="16">
        <f t="shared" si="4"/>
        <v>0</v>
      </c>
      <c r="J13" s="16"/>
      <c r="K13" s="11"/>
      <c r="L13" s="16"/>
      <c r="M13" s="16"/>
      <c r="N13" s="16"/>
      <c r="O13" s="16"/>
      <c r="P13" s="16"/>
      <c r="Q13" s="16"/>
      <c r="R13" s="35"/>
      <c r="S13" s="43"/>
      <c r="T13" s="46"/>
      <c r="U13" s="51">
        <f t="shared" si="2"/>
        <v>0</v>
      </c>
      <c r="V13" s="17" t="str">
        <f t="shared" si="3"/>
        <v>OK</v>
      </c>
    </row>
    <row r="14" spans="1:22" x14ac:dyDescent="0.3">
      <c r="A14" s="63" t="s">
        <v>82</v>
      </c>
      <c r="B14" s="63">
        <v>15004</v>
      </c>
      <c r="C14" s="18" t="s">
        <v>48</v>
      </c>
      <c r="D14" s="19"/>
      <c r="E14" s="19"/>
      <c r="F14" s="19"/>
      <c r="G14" s="20"/>
      <c r="H14" s="21"/>
      <c r="I14" s="22">
        <f t="shared" si="4"/>
        <v>0</v>
      </c>
      <c r="J14" s="22"/>
      <c r="K14" s="11"/>
      <c r="L14" s="22"/>
      <c r="M14" s="22"/>
      <c r="N14" s="22"/>
      <c r="O14" s="22"/>
      <c r="P14" s="22"/>
      <c r="Q14" s="22"/>
      <c r="R14" s="36"/>
      <c r="S14" s="44"/>
      <c r="T14" s="47"/>
      <c r="U14" s="52">
        <f t="shared" si="2"/>
        <v>0</v>
      </c>
      <c r="V14" s="23" t="str">
        <f t="shared" si="3"/>
        <v>OK</v>
      </c>
    </row>
    <row r="15" spans="1:22" x14ac:dyDescent="0.3">
      <c r="A15" s="62" t="s">
        <v>86</v>
      </c>
      <c r="B15" s="62">
        <v>15174</v>
      </c>
      <c r="C15" s="12" t="s">
        <v>45</v>
      </c>
      <c r="D15" s="53"/>
      <c r="E15" s="13"/>
      <c r="F15" s="13"/>
      <c r="G15" s="14"/>
      <c r="H15" s="15"/>
      <c r="I15" s="16">
        <f t="shared" si="4"/>
        <v>0</v>
      </c>
      <c r="J15" s="16"/>
      <c r="K15" s="11"/>
      <c r="L15" s="16"/>
      <c r="M15" s="16"/>
      <c r="N15" s="16"/>
      <c r="O15" s="16"/>
      <c r="P15" s="16"/>
      <c r="Q15" s="16"/>
      <c r="R15" s="35"/>
      <c r="S15" s="43"/>
      <c r="T15" s="46"/>
      <c r="U15" s="51">
        <f t="shared" si="2"/>
        <v>0</v>
      </c>
      <c r="V15" s="17" t="str">
        <f t="shared" si="3"/>
        <v>OK</v>
      </c>
    </row>
    <row r="16" spans="1:22" x14ac:dyDescent="0.3">
      <c r="A16" s="63" t="s">
        <v>87</v>
      </c>
      <c r="B16" s="63">
        <v>15520</v>
      </c>
      <c r="C16" s="18" t="s">
        <v>47</v>
      </c>
      <c r="D16" s="19"/>
      <c r="E16" s="19"/>
      <c r="F16" s="19"/>
      <c r="G16" s="20"/>
      <c r="H16" s="21"/>
      <c r="I16" s="22">
        <f t="shared" si="4"/>
        <v>0</v>
      </c>
      <c r="J16" s="22"/>
      <c r="K16" s="11"/>
      <c r="L16" s="22"/>
      <c r="M16" s="22"/>
      <c r="N16" s="22"/>
      <c r="O16" s="22"/>
      <c r="P16" s="22"/>
      <c r="Q16" s="22"/>
      <c r="R16" s="36"/>
      <c r="S16" s="44"/>
      <c r="T16" s="47"/>
      <c r="U16" s="52">
        <f t="shared" si="2"/>
        <v>0</v>
      </c>
      <c r="V16" s="23" t="str">
        <f t="shared" si="3"/>
        <v>OK</v>
      </c>
    </row>
    <row r="17" spans="1:22" x14ac:dyDescent="0.3">
      <c r="A17" s="62" t="s">
        <v>85</v>
      </c>
      <c r="B17" s="62">
        <v>14989</v>
      </c>
      <c r="C17" s="12" t="s">
        <v>45</v>
      </c>
      <c r="D17" s="53"/>
      <c r="E17" s="13"/>
      <c r="F17" s="13"/>
      <c r="G17" s="14"/>
      <c r="H17" s="15"/>
      <c r="I17" s="16">
        <f t="shared" si="4"/>
        <v>0</v>
      </c>
      <c r="J17" s="16"/>
      <c r="K17" s="11"/>
      <c r="L17" s="16"/>
      <c r="M17" s="16"/>
      <c r="N17" s="16"/>
      <c r="O17" s="16"/>
      <c r="P17" s="16"/>
      <c r="Q17" s="16"/>
      <c r="R17" s="35"/>
      <c r="S17" s="43"/>
      <c r="T17" s="46"/>
      <c r="U17" s="51">
        <f t="shared" si="2"/>
        <v>0</v>
      </c>
      <c r="V17" s="17" t="str">
        <f t="shared" si="3"/>
        <v>OK</v>
      </c>
    </row>
    <row r="18" spans="1:22" x14ac:dyDescent="0.3">
      <c r="A18" s="63" t="s">
        <v>84</v>
      </c>
      <c r="B18" s="63">
        <v>14984</v>
      </c>
      <c r="C18" s="18" t="s">
        <v>46</v>
      </c>
      <c r="D18" s="19"/>
      <c r="E18" s="19"/>
      <c r="F18" s="19"/>
      <c r="G18" s="20"/>
      <c r="H18" s="21"/>
      <c r="I18" s="22">
        <f t="shared" si="4"/>
        <v>0</v>
      </c>
      <c r="J18" s="22"/>
      <c r="K18" s="11"/>
      <c r="L18" s="22"/>
      <c r="M18" s="22"/>
      <c r="N18" s="22"/>
      <c r="O18" s="22"/>
      <c r="P18" s="22"/>
      <c r="Q18" s="22"/>
      <c r="R18" s="36"/>
      <c r="S18" s="44"/>
      <c r="T18" s="47"/>
      <c r="U18" s="52">
        <f t="shared" si="2"/>
        <v>0</v>
      </c>
      <c r="V18" s="23" t="str">
        <f t="shared" si="3"/>
        <v>OK</v>
      </c>
    </row>
    <row r="19" spans="1:22" x14ac:dyDescent="0.3">
      <c r="A19" s="62" t="s">
        <v>88</v>
      </c>
      <c r="B19" s="62">
        <v>16270</v>
      </c>
      <c r="C19" s="12" t="s">
        <v>89</v>
      </c>
      <c r="D19" s="53"/>
      <c r="E19" s="13"/>
      <c r="F19" s="13"/>
      <c r="G19" s="14"/>
      <c r="H19" s="15"/>
      <c r="I19" s="16">
        <f t="shared" si="4"/>
        <v>0</v>
      </c>
      <c r="J19" s="16"/>
      <c r="K19" s="11"/>
      <c r="L19" s="16"/>
      <c r="M19" s="16"/>
      <c r="N19" s="16"/>
      <c r="O19" s="16"/>
      <c r="P19" s="16"/>
      <c r="Q19" s="16"/>
      <c r="R19" s="35"/>
      <c r="S19" s="43"/>
      <c r="T19" s="46"/>
      <c r="U19" s="51">
        <f t="shared" si="2"/>
        <v>0</v>
      </c>
      <c r="V19" s="17" t="str">
        <f t="shared" si="3"/>
        <v>OK</v>
      </c>
    </row>
    <row r="20" spans="1:22" x14ac:dyDescent="0.3">
      <c r="A20" s="63" t="s">
        <v>98</v>
      </c>
      <c r="B20" s="63">
        <v>19060</v>
      </c>
      <c r="C20" s="18" t="s">
        <v>47</v>
      </c>
      <c r="D20" s="19"/>
      <c r="E20" s="19"/>
      <c r="F20" s="19"/>
      <c r="G20" s="20"/>
      <c r="H20" s="21"/>
      <c r="I20" s="22">
        <f t="shared" si="4"/>
        <v>0</v>
      </c>
      <c r="J20" s="22"/>
      <c r="K20" s="11"/>
      <c r="L20" s="22"/>
      <c r="M20" s="22"/>
      <c r="N20" s="22"/>
      <c r="O20" s="22"/>
      <c r="P20" s="22"/>
      <c r="Q20" s="22"/>
      <c r="R20" s="36"/>
      <c r="S20" s="44"/>
      <c r="T20" s="47"/>
      <c r="U20" s="52">
        <f t="shared" si="2"/>
        <v>0</v>
      </c>
      <c r="V20" s="23" t="str">
        <f t="shared" si="3"/>
        <v>OK</v>
      </c>
    </row>
    <row r="21" spans="1:22" x14ac:dyDescent="0.3">
      <c r="A21" s="62" t="s">
        <v>99</v>
      </c>
      <c r="B21" s="62">
        <v>18828</v>
      </c>
      <c r="C21" s="12" t="s">
        <v>94</v>
      </c>
      <c r="D21" s="53"/>
      <c r="E21" s="13"/>
      <c r="F21" s="13"/>
      <c r="G21" s="14"/>
      <c r="H21" s="15"/>
      <c r="I21" s="16">
        <f t="shared" si="4"/>
        <v>0</v>
      </c>
      <c r="J21" s="16"/>
      <c r="K21" s="11"/>
      <c r="L21" s="16"/>
      <c r="M21" s="16"/>
      <c r="N21" s="16"/>
      <c r="O21" s="16"/>
      <c r="P21" s="16"/>
      <c r="Q21" s="16"/>
      <c r="R21" s="35"/>
      <c r="S21" s="43"/>
      <c r="T21" s="46"/>
      <c r="U21" s="51">
        <f t="shared" si="2"/>
        <v>0</v>
      </c>
      <c r="V21" s="17" t="str">
        <f t="shared" si="3"/>
        <v>OK</v>
      </c>
    </row>
    <row r="22" spans="1:22" x14ac:dyDescent="0.3">
      <c r="A22" s="63" t="s">
        <v>23</v>
      </c>
      <c r="B22" s="63">
        <v>5695</v>
      </c>
      <c r="C22" s="18" t="s">
        <v>49</v>
      </c>
      <c r="D22" s="19"/>
      <c r="E22" s="19"/>
      <c r="F22" s="19"/>
      <c r="G22" s="20"/>
      <c r="H22" s="21"/>
      <c r="I22" s="22">
        <f t="shared" si="4"/>
        <v>0</v>
      </c>
      <c r="J22" s="22"/>
      <c r="K22" s="11"/>
      <c r="L22" s="22"/>
      <c r="M22" s="22"/>
      <c r="N22" s="22"/>
      <c r="O22" s="22"/>
      <c r="P22" s="22"/>
      <c r="Q22" s="22"/>
      <c r="R22" s="36"/>
      <c r="S22" s="44"/>
      <c r="T22" s="47"/>
      <c r="U22" s="52">
        <f t="shared" si="2"/>
        <v>0</v>
      </c>
      <c r="V22" s="23" t="str">
        <f t="shared" si="3"/>
        <v>OK</v>
      </c>
    </row>
    <row r="23" spans="1:22" x14ac:dyDescent="0.3">
      <c r="A23" s="62" t="s">
        <v>24</v>
      </c>
      <c r="B23" s="62">
        <v>5691</v>
      </c>
      <c r="C23" s="12" t="s">
        <v>50</v>
      </c>
      <c r="D23" s="53"/>
      <c r="E23" s="13"/>
      <c r="F23" s="13"/>
      <c r="G23" s="14"/>
      <c r="H23" s="15"/>
      <c r="I23" s="16">
        <f t="shared" si="4"/>
        <v>0</v>
      </c>
      <c r="J23" s="16"/>
      <c r="K23" s="11"/>
      <c r="L23" s="16"/>
      <c r="M23" s="16"/>
      <c r="N23" s="16"/>
      <c r="O23" s="16"/>
      <c r="P23" s="16"/>
      <c r="Q23" s="16"/>
      <c r="R23" s="35"/>
      <c r="S23" s="43"/>
      <c r="T23" s="46"/>
      <c r="U23" s="51">
        <f t="shared" si="2"/>
        <v>0</v>
      </c>
      <c r="V23" s="17" t="str">
        <f t="shared" si="3"/>
        <v>OK</v>
      </c>
    </row>
    <row r="24" spans="1:22" x14ac:dyDescent="0.3">
      <c r="A24" s="63" t="s">
        <v>37</v>
      </c>
      <c r="B24" s="63">
        <v>5687</v>
      </c>
      <c r="C24" s="18" t="s">
        <v>51</v>
      </c>
      <c r="D24" s="19"/>
      <c r="E24" s="19"/>
      <c r="F24" s="19"/>
      <c r="G24" s="20"/>
      <c r="H24" s="21"/>
      <c r="I24" s="22">
        <f t="shared" si="4"/>
        <v>0</v>
      </c>
      <c r="J24" s="22"/>
      <c r="K24" s="11"/>
      <c r="L24" s="22"/>
      <c r="M24" s="22"/>
      <c r="N24" s="22"/>
      <c r="O24" s="22"/>
      <c r="P24" s="22"/>
      <c r="Q24" s="22"/>
      <c r="R24" s="36"/>
      <c r="S24" s="44"/>
      <c r="T24" s="47"/>
      <c r="U24" s="52">
        <f t="shared" si="2"/>
        <v>0</v>
      </c>
      <c r="V24" s="23" t="str">
        <f t="shared" si="3"/>
        <v>OK</v>
      </c>
    </row>
    <row r="25" spans="1:22" x14ac:dyDescent="0.3">
      <c r="A25" s="62" t="s">
        <v>38</v>
      </c>
      <c r="B25" s="62">
        <v>5683</v>
      </c>
      <c r="C25" s="12" t="s">
        <v>51</v>
      </c>
      <c r="D25" s="53"/>
      <c r="E25" s="13"/>
      <c r="F25" s="13"/>
      <c r="G25" s="14"/>
      <c r="H25" s="15"/>
      <c r="I25" s="16">
        <f t="shared" si="4"/>
        <v>0</v>
      </c>
      <c r="J25" s="16"/>
      <c r="K25" s="11"/>
      <c r="L25" s="16"/>
      <c r="M25" s="16"/>
      <c r="N25" s="16"/>
      <c r="O25" s="16"/>
      <c r="P25" s="16"/>
      <c r="Q25" s="16"/>
      <c r="R25" s="35"/>
      <c r="S25" s="43"/>
      <c r="T25" s="46"/>
      <c r="U25" s="51">
        <f t="shared" si="2"/>
        <v>0</v>
      </c>
      <c r="V25" s="17" t="str">
        <f t="shared" si="3"/>
        <v>OK</v>
      </c>
    </row>
    <row r="26" spans="1:22" x14ac:dyDescent="0.3">
      <c r="A26" s="63" t="s">
        <v>25</v>
      </c>
      <c r="B26" s="63">
        <v>5679</v>
      </c>
      <c r="C26" s="18" t="s">
        <v>52</v>
      </c>
      <c r="D26" s="19"/>
      <c r="E26" s="19"/>
      <c r="F26" s="19"/>
      <c r="G26" s="20"/>
      <c r="H26" s="21"/>
      <c r="I26" s="22">
        <f t="shared" si="4"/>
        <v>0</v>
      </c>
      <c r="J26" s="22"/>
      <c r="K26" s="11"/>
      <c r="L26" s="22"/>
      <c r="M26" s="22"/>
      <c r="N26" s="22"/>
      <c r="O26" s="22"/>
      <c r="P26" s="22"/>
      <c r="Q26" s="22"/>
      <c r="R26" s="36"/>
      <c r="S26" s="44"/>
      <c r="T26" s="47"/>
      <c r="U26" s="52">
        <f t="shared" si="2"/>
        <v>0</v>
      </c>
      <c r="V26" s="23" t="str">
        <f t="shared" si="3"/>
        <v>OK</v>
      </c>
    </row>
    <row r="27" spans="1:22" x14ac:dyDescent="0.3">
      <c r="A27" s="62" t="s">
        <v>39</v>
      </c>
      <c r="B27" s="62">
        <v>5675</v>
      </c>
      <c r="C27" s="12" t="s">
        <v>53</v>
      </c>
      <c r="D27" s="53"/>
      <c r="E27" s="13"/>
      <c r="F27" s="13"/>
      <c r="G27" s="14"/>
      <c r="H27" s="15"/>
      <c r="I27" s="16">
        <f t="shared" si="4"/>
        <v>0</v>
      </c>
      <c r="J27" s="16"/>
      <c r="K27" s="11"/>
      <c r="L27" s="16"/>
      <c r="M27" s="16"/>
      <c r="N27" s="16"/>
      <c r="O27" s="16"/>
      <c r="P27" s="16"/>
      <c r="Q27" s="16"/>
      <c r="R27" s="35"/>
      <c r="S27" s="43"/>
      <c r="T27" s="46"/>
      <c r="U27" s="51">
        <f t="shared" si="2"/>
        <v>0</v>
      </c>
      <c r="V27" s="17" t="str">
        <f t="shared" si="3"/>
        <v>OK</v>
      </c>
    </row>
    <row r="28" spans="1:22" x14ac:dyDescent="0.3">
      <c r="A28" s="63" t="s">
        <v>26</v>
      </c>
      <c r="B28" s="63">
        <v>5671</v>
      </c>
      <c r="C28" s="18" t="s">
        <v>49</v>
      </c>
      <c r="D28" s="19"/>
      <c r="E28" s="19"/>
      <c r="F28" s="19"/>
      <c r="G28" s="20"/>
      <c r="H28" s="21"/>
      <c r="I28" s="22">
        <f t="shared" si="4"/>
        <v>0</v>
      </c>
      <c r="J28" s="22"/>
      <c r="K28" s="11"/>
      <c r="L28" s="22"/>
      <c r="M28" s="22"/>
      <c r="N28" s="22"/>
      <c r="O28" s="22"/>
      <c r="P28" s="22"/>
      <c r="Q28" s="22"/>
      <c r="R28" s="36"/>
      <c r="S28" s="44"/>
      <c r="T28" s="47"/>
      <c r="U28" s="52">
        <f t="shared" si="2"/>
        <v>0</v>
      </c>
      <c r="V28" s="23" t="str">
        <f t="shared" si="3"/>
        <v>OK</v>
      </c>
    </row>
    <row r="29" spans="1:22" x14ac:dyDescent="0.3">
      <c r="A29" s="62" t="s">
        <v>40</v>
      </c>
      <c r="B29" s="62">
        <v>5667</v>
      </c>
      <c r="C29" s="12" t="s">
        <v>50</v>
      </c>
      <c r="D29" s="53"/>
      <c r="E29" s="13"/>
      <c r="F29" s="13"/>
      <c r="G29" s="14"/>
      <c r="H29" s="15"/>
      <c r="I29" s="16">
        <f t="shared" si="4"/>
        <v>0</v>
      </c>
      <c r="J29" s="16"/>
      <c r="K29" s="11"/>
      <c r="L29" s="16"/>
      <c r="M29" s="16"/>
      <c r="N29" s="16"/>
      <c r="O29" s="16"/>
      <c r="P29" s="16"/>
      <c r="Q29" s="16"/>
      <c r="R29" s="35"/>
      <c r="S29" s="43"/>
      <c r="T29" s="46"/>
      <c r="U29" s="51">
        <f t="shared" si="2"/>
        <v>0</v>
      </c>
      <c r="V29" s="17" t="str">
        <f t="shared" si="3"/>
        <v>OK</v>
      </c>
    </row>
    <row r="30" spans="1:22" x14ac:dyDescent="0.3">
      <c r="A30" s="63" t="s">
        <v>41</v>
      </c>
      <c r="B30" s="63">
        <v>5663</v>
      </c>
      <c r="C30" s="18" t="s">
        <v>51</v>
      </c>
      <c r="D30" s="19"/>
      <c r="E30" s="19"/>
      <c r="F30" s="19"/>
      <c r="G30" s="20"/>
      <c r="H30" s="21"/>
      <c r="I30" s="22">
        <f t="shared" si="4"/>
        <v>0</v>
      </c>
      <c r="J30" s="22"/>
      <c r="K30" s="11"/>
      <c r="L30" s="22"/>
      <c r="M30" s="22"/>
      <c r="N30" s="22"/>
      <c r="O30" s="22"/>
      <c r="P30" s="22"/>
      <c r="Q30" s="22"/>
      <c r="R30" s="36"/>
      <c r="S30" s="44"/>
      <c r="T30" s="47"/>
      <c r="U30" s="52">
        <f t="shared" si="2"/>
        <v>0</v>
      </c>
      <c r="V30" s="23" t="str">
        <f t="shared" si="3"/>
        <v>OK</v>
      </c>
    </row>
    <row r="31" spans="1:22" x14ac:dyDescent="0.3">
      <c r="A31" s="62" t="s">
        <v>42</v>
      </c>
      <c r="B31" s="62">
        <v>5659</v>
      </c>
      <c r="C31" s="12" t="s">
        <v>52</v>
      </c>
      <c r="D31" s="53"/>
      <c r="E31" s="13"/>
      <c r="F31" s="13"/>
      <c r="G31" s="14"/>
      <c r="H31" s="15"/>
      <c r="I31" s="16">
        <f t="shared" si="4"/>
        <v>0</v>
      </c>
      <c r="J31" s="16"/>
      <c r="K31" s="11"/>
      <c r="L31" s="16"/>
      <c r="M31" s="16"/>
      <c r="N31" s="16"/>
      <c r="O31" s="16"/>
      <c r="P31" s="16"/>
      <c r="Q31" s="16"/>
      <c r="R31" s="35"/>
      <c r="S31" s="43"/>
      <c r="T31" s="46"/>
      <c r="U31" s="51">
        <f t="shared" si="2"/>
        <v>0</v>
      </c>
      <c r="V31" s="17" t="str">
        <f t="shared" si="3"/>
        <v>OK</v>
      </c>
    </row>
    <row r="32" spans="1:22" x14ac:dyDescent="0.3">
      <c r="A32" s="63" t="s">
        <v>27</v>
      </c>
      <c r="B32" s="63">
        <v>5655</v>
      </c>
      <c r="C32" s="18" t="s">
        <v>54</v>
      </c>
      <c r="D32" s="19"/>
      <c r="E32" s="19"/>
      <c r="F32" s="19"/>
      <c r="G32" s="20"/>
      <c r="H32" s="21"/>
      <c r="I32" s="22">
        <f t="shared" si="4"/>
        <v>0</v>
      </c>
      <c r="J32" s="22"/>
      <c r="K32" s="11"/>
      <c r="L32" s="22"/>
      <c r="M32" s="22"/>
      <c r="N32" s="22"/>
      <c r="O32" s="22"/>
      <c r="P32" s="22"/>
      <c r="Q32" s="22"/>
      <c r="R32" s="36"/>
      <c r="S32" s="44"/>
      <c r="T32" s="47"/>
      <c r="U32" s="52">
        <f t="shared" si="2"/>
        <v>0</v>
      </c>
      <c r="V32" s="23" t="str">
        <f t="shared" si="3"/>
        <v>OK</v>
      </c>
    </row>
    <row r="33" spans="1:22" x14ac:dyDescent="0.3">
      <c r="A33" s="62" t="s">
        <v>70</v>
      </c>
      <c r="B33" s="62">
        <v>5651</v>
      </c>
      <c r="C33" s="12" t="s">
        <v>55</v>
      </c>
      <c r="D33" s="53"/>
      <c r="E33" s="13"/>
      <c r="F33" s="13"/>
      <c r="G33" s="14"/>
      <c r="H33" s="15"/>
      <c r="I33" s="16">
        <f t="shared" si="4"/>
        <v>0</v>
      </c>
      <c r="J33" s="16"/>
      <c r="K33" s="11"/>
      <c r="L33" s="16"/>
      <c r="M33" s="16"/>
      <c r="N33" s="16"/>
      <c r="O33" s="16"/>
      <c r="P33" s="16"/>
      <c r="Q33" s="16"/>
      <c r="R33" s="35"/>
      <c r="S33" s="43"/>
      <c r="T33" s="46"/>
      <c r="U33" s="51">
        <f t="shared" si="2"/>
        <v>0</v>
      </c>
      <c r="V33" s="17" t="str">
        <f t="shared" si="3"/>
        <v>OK</v>
      </c>
    </row>
    <row r="34" spans="1:22" x14ac:dyDescent="0.3">
      <c r="A34" s="63" t="s">
        <v>71</v>
      </c>
      <c r="B34" s="63">
        <v>5643</v>
      </c>
      <c r="C34" s="18" t="s">
        <v>56</v>
      </c>
      <c r="D34" s="19"/>
      <c r="E34" s="19"/>
      <c r="F34" s="19"/>
      <c r="G34" s="20"/>
      <c r="H34" s="21"/>
      <c r="I34" s="22">
        <f t="shared" si="4"/>
        <v>0</v>
      </c>
      <c r="J34" s="22"/>
      <c r="K34" s="11"/>
      <c r="L34" s="22"/>
      <c r="M34" s="22"/>
      <c r="N34" s="22"/>
      <c r="O34" s="22"/>
      <c r="P34" s="22"/>
      <c r="Q34" s="22"/>
      <c r="R34" s="36"/>
      <c r="S34" s="44"/>
      <c r="T34" s="47"/>
      <c r="U34" s="52">
        <f t="shared" si="2"/>
        <v>0</v>
      </c>
      <c r="V34" s="23" t="str">
        <f t="shared" si="3"/>
        <v>OK</v>
      </c>
    </row>
    <row r="35" spans="1:22" x14ac:dyDescent="0.3">
      <c r="A35" s="62" t="s">
        <v>57</v>
      </c>
      <c r="B35" s="62">
        <v>11350</v>
      </c>
      <c r="C35" s="12" t="s">
        <v>56</v>
      </c>
      <c r="D35" s="53"/>
      <c r="E35" s="13"/>
      <c r="F35" s="13"/>
      <c r="G35" s="14"/>
      <c r="H35" s="15"/>
      <c r="I35" s="16">
        <f t="shared" si="4"/>
        <v>0</v>
      </c>
      <c r="J35" s="16"/>
      <c r="K35" s="11"/>
      <c r="L35" s="16"/>
      <c r="M35" s="16"/>
      <c r="N35" s="16"/>
      <c r="O35" s="16"/>
      <c r="P35" s="16"/>
      <c r="Q35" s="16"/>
      <c r="R35" s="35"/>
      <c r="S35" s="43"/>
      <c r="T35" s="46"/>
      <c r="U35" s="51">
        <f t="shared" si="2"/>
        <v>0</v>
      </c>
      <c r="V35" s="17" t="str">
        <f t="shared" si="3"/>
        <v>OK</v>
      </c>
    </row>
    <row r="36" spans="1:22" x14ac:dyDescent="0.3">
      <c r="A36" s="63" t="s">
        <v>72</v>
      </c>
      <c r="B36" s="63">
        <v>5635</v>
      </c>
      <c r="C36" s="18" t="s">
        <v>55</v>
      </c>
      <c r="D36" s="19"/>
      <c r="E36" s="19"/>
      <c r="F36" s="19"/>
      <c r="G36" s="20"/>
      <c r="H36" s="21"/>
      <c r="I36" s="22">
        <f t="shared" si="4"/>
        <v>0</v>
      </c>
      <c r="J36" s="22"/>
      <c r="K36" s="11"/>
      <c r="L36" s="22"/>
      <c r="M36" s="22"/>
      <c r="N36" s="22"/>
      <c r="O36" s="22"/>
      <c r="P36" s="22"/>
      <c r="Q36" s="22"/>
      <c r="R36" s="36"/>
      <c r="S36" s="44"/>
      <c r="T36" s="47"/>
      <c r="U36" s="52">
        <f t="shared" si="2"/>
        <v>0</v>
      </c>
      <c r="V36" s="23" t="str">
        <f t="shared" si="3"/>
        <v>OK</v>
      </c>
    </row>
    <row r="37" spans="1:22" x14ac:dyDescent="0.3">
      <c r="A37" s="62" t="s">
        <v>58</v>
      </c>
      <c r="B37" s="62">
        <v>11349</v>
      </c>
      <c r="C37" s="12" t="s">
        <v>55</v>
      </c>
      <c r="D37" s="53"/>
      <c r="E37" s="13"/>
      <c r="F37" s="13"/>
      <c r="G37" s="14"/>
      <c r="H37" s="15"/>
      <c r="I37" s="16">
        <f t="shared" si="4"/>
        <v>0</v>
      </c>
      <c r="J37" s="16"/>
      <c r="K37" s="11"/>
      <c r="L37" s="16"/>
      <c r="M37" s="16"/>
      <c r="N37" s="16"/>
      <c r="O37" s="16"/>
      <c r="P37" s="16"/>
      <c r="Q37" s="16"/>
      <c r="R37" s="35"/>
      <c r="S37" s="43"/>
      <c r="T37" s="46"/>
      <c r="U37" s="51">
        <f t="shared" ref="U37:U55" si="5">SUM(L37:T37)</f>
        <v>0</v>
      </c>
      <c r="V37" s="17" t="str">
        <f t="shared" si="3"/>
        <v>OK</v>
      </c>
    </row>
    <row r="38" spans="1:22" x14ac:dyDescent="0.3">
      <c r="A38" s="63" t="s">
        <v>73</v>
      </c>
      <c r="B38" s="63">
        <v>5627</v>
      </c>
      <c r="C38" s="18" t="s">
        <v>56</v>
      </c>
      <c r="D38" s="19"/>
      <c r="E38" s="19"/>
      <c r="F38" s="19"/>
      <c r="G38" s="20"/>
      <c r="H38" s="21"/>
      <c r="I38" s="22">
        <f t="shared" si="4"/>
        <v>0</v>
      </c>
      <c r="J38" s="22"/>
      <c r="K38" s="11"/>
      <c r="L38" s="22"/>
      <c r="M38" s="22"/>
      <c r="N38" s="22"/>
      <c r="O38" s="22"/>
      <c r="P38" s="22"/>
      <c r="Q38" s="22"/>
      <c r="R38" s="36"/>
      <c r="S38" s="44"/>
      <c r="T38" s="47"/>
      <c r="U38" s="52">
        <f t="shared" si="5"/>
        <v>0</v>
      </c>
      <c r="V38" s="23" t="str">
        <f t="shared" si="3"/>
        <v>OK</v>
      </c>
    </row>
    <row r="39" spans="1:22" x14ac:dyDescent="0.3">
      <c r="A39" s="62" t="s">
        <v>59</v>
      </c>
      <c r="B39" s="62">
        <v>11348</v>
      </c>
      <c r="C39" s="12" t="s">
        <v>56</v>
      </c>
      <c r="D39" s="53"/>
      <c r="E39" s="13"/>
      <c r="F39" s="13"/>
      <c r="G39" s="14"/>
      <c r="H39" s="15"/>
      <c r="I39" s="16">
        <f t="shared" si="4"/>
        <v>0</v>
      </c>
      <c r="J39" s="16"/>
      <c r="K39" s="11"/>
      <c r="L39" s="16"/>
      <c r="M39" s="16"/>
      <c r="N39" s="16"/>
      <c r="O39" s="16"/>
      <c r="P39" s="16"/>
      <c r="Q39" s="16"/>
      <c r="R39" s="35"/>
      <c r="S39" s="43"/>
      <c r="T39" s="46"/>
      <c r="U39" s="51">
        <f t="shared" si="5"/>
        <v>0</v>
      </c>
      <c r="V39" s="17" t="str">
        <f t="shared" si="3"/>
        <v>OK</v>
      </c>
    </row>
    <row r="40" spans="1:22" x14ac:dyDescent="0.3">
      <c r="A40" s="63" t="s">
        <v>74</v>
      </c>
      <c r="B40" s="63">
        <v>5619</v>
      </c>
      <c r="C40" s="18" t="s">
        <v>60</v>
      </c>
      <c r="D40" s="19"/>
      <c r="E40" s="19"/>
      <c r="F40" s="19"/>
      <c r="G40" s="20"/>
      <c r="H40" s="21"/>
      <c r="I40" s="22">
        <f t="shared" si="4"/>
        <v>0</v>
      </c>
      <c r="J40" s="22"/>
      <c r="K40" s="11"/>
      <c r="L40" s="22"/>
      <c r="M40" s="22"/>
      <c r="N40" s="22"/>
      <c r="O40" s="22"/>
      <c r="P40" s="22"/>
      <c r="Q40" s="22"/>
      <c r="R40" s="36"/>
      <c r="S40" s="44"/>
      <c r="T40" s="47"/>
      <c r="U40" s="52">
        <f t="shared" si="5"/>
        <v>0</v>
      </c>
      <c r="V40" s="23" t="str">
        <f t="shared" si="3"/>
        <v>OK</v>
      </c>
    </row>
    <row r="41" spans="1:22" x14ac:dyDescent="0.3">
      <c r="A41" s="64" t="s">
        <v>61</v>
      </c>
      <c r="B41" s="62">
        <v>11347</v>
      </c>
      <c r="C41" s="12" t="s">
        <v>60</v>
      </c>
      <c r="D41" s="53"/>
      <c r="E41" s="13"/>
      <c r="F41" s="13"/>
      <c r="G41" s="14"/>
      <c r="H41" s="15"/>
      <c r="I41" s="16">
        <f t="shared" si="4"/>
        <v>0</v>
      </c>
      <c r="J41" s="16"/>
      <c r="K41" s="11"/>
      <c r="L41" s="16"/>
      <c r="M41" s="16"/>
      <c r="N41" s="16"/>
      <c r="O41" s="16"/>
      <c r="P41" s="16"/>
      <c r="Q41" s="16"/>
      <c r="R41" s="35"/>
      <c r="S41" s="43"/>
      <c r="T41" s="46"/>
      <c r="U41" s="51">
        <f t="shared" si="5"/>
        <v>0</v>
      </c>
      <c r="V41" s="17" t="str">
        <f t="shared" si="3"/>
        <v>OK</v>
      </c>
    </row>
    <row r="42" spans="1:22" x14ac:dyDescent="0.3">
      <c r="A42" s="54" t="s">
        <v>75</v>
      </c>
      <c r="B42" s="63">
        <v>5611</v>
      </c>
      <c r="C42" s="18" t="s">
        <v>62</v>
      </c>
      <c r="D42" s="19"/>
      <c r="E42" s="19"/>
      <c r="F42" s="19"/>
      <c r="G42" s="20"/>
      <c r="H42" s="21"/>
      <c r="I42" s="22">
        <f t="shared" si="4"/>
        <v>0</v>
      </c>
      <c r="J42" s="22"/>
      <c r="K42" s="11"/>
      <c r="L42" s="22"/>
      <c r="M42" s="22"/>
      <c r="N42" s="22"/>
      <c r="O42" s="22"/>
      <c r="P42" s="22"/>
      <c r="Q42" s="22"/>
      <c r="R42" s="36"/>
      <c r="S42" s="44"/>
      <c r="T42" s="47"/>
      <c r="U42" s="52">
        <f t="shared" si="5"/>
        <v>0</v>
      </c>
      <c r="V42" s="23" t="str">
        <f t="shared" si="3"/>
        <v>OK</v>
      </c>
    </row>
    <row r="43" spans="1:22" x14ac:dyDescent="0.3">
      <c r="A43" s="12" t="s">
        <v>63</v>
      </c>
      <c r="B43" s="62">
        <v>11336</v>
      </c>
      <c r="C43" s="12" t="s">
        <v>62</v>
      </c>
      <c r="D43" s="53"/>
      <c r="E43" s="13"/>
      <c r="F43" s="13"/>
      <c r="G43" s="14"/>
      <c r="H43" s="15"/>
      <c r="I43" s="16">
        <f t="shared" si="4"/>
        <v>0</v>
      </c>
      <c r="J43" s="16"/>
      <c r="K43" s="11"/>
      <c r="L43" s="16"/>
      <c r="M43" s="16"/>
      <c r="N43" s="16"/>
      <c r="O43" s="16"/>
      <c r="P43" s="16"/>
      <c r="Q43" s="16"/>
      <c r="R43" s="35"/>
      <c r="S43" s="43"/>
      <c r="T43" s="46"/>
      <c r="U43" s="51">
        <f t="shared" si="5"/>
        <v>0</v>
      </c>
      <c r="V43" s="17" t="str">
        <f t="shared" si="3"/>
        <v>OK</v>
      </c>
    </row>
    <row r="44" spans="1:22" x14ac:dyDescent="0.3">
      <c r="A44" s="54" t="s">
        <v>100</v>
      </c>
      <c r="B44" s="63">
        <v>14860</v>
      </c>
      <c r="C44" s="18" t="s">
        <v>56</v>
      </c>
      <c r="D44" s="19"/>
      <c r="E44" s="19"/>
      <c r="F44" s="19"/>
      <c r="G44" s="20"/>
      <c r="H44" s="21"/>
      <c r="I44" s="22">
        <f t="shared" si="4"/>
        <v>0</v>
      </c>
      <c r="J44" s="22"/>
      <c r="K44" s="11"/>
      <c r="L44" s="22"/>
      <c r="M44" s="22"/>
      <c r="N44" s="22"/>
      <c r="O44" s="22"/>
      <c r="P44" s="22"/>
      <c r="Q44" s="22"/>
      <c r="R44" s="36"/>
      <c r="S44" s="44"/>
      <c r="T44" s="47"/>
      <c r="U44" s="52">
        <f t="shared" si="5"/>
        <v>0</v>
      </c>
      <c r="V44" s="23" t="str">
        <f t="shared" si="3"/>
        <v>OK</v>
      </c>
    </row>
    <row r="45" spans="1:22" x14ac:dyDescent="0.3">
      <c r="A45" s="64" t="s">
        <v>83</v>
      </c>
      <c r="B45" s="62">
        <v>14861</v>
      </c>
      <c r="C45" s="12" t="s">
        <v>56</v>
      </c>
      <c r="D45" s="53"/>
      <c r="E45" s="13"/>
      <c r="F45" s="13"/>
      <c r="G45" s="14"/>
      <c r="H45" s="15"/>
      <c r="I45" s="16">
        <f t="shared" si="4"/>
        <v>0</v>
      </c>
      <c r="J45" s="16"/>
      <c r="K45" s="11"/>
      <c r="L45" s="16"/>
      <c r="M45" s="16"/>
      <c r="N45" s="16"/>
      <c r="O45" s="16"/>
      <c r="P45" s="16"/>
      <c r="Q45" s="16"/>
      <c r="R45" s="35"/>
      <c r="S45" s="43"/>
      <c r="T45" s="46"/>
      <c r="U45" s="51">
        <f t="shared" si="5"/>
        <v>0</v>
      </c>
      <c r="V45" s="17" t="str">
        <f t="shared" si="3"/>
        <v>OK</v>
      </c>
    </row>
    <row r="46" spans="1:22" x14ac:dyDescent="0.3">
      <c r="A46" s="54" t="s">
        <v>101</v>
      </c>
      <c r="B46" s="63">
        <v>15096</v>
      </c>
      <c r="C46" s="18" t="s">
        <v>56</v>
      </c>
      <c r="D46" s="19"/>
      <c r="E46" s="19"/>
      <c r="F46" s="19"/>
      <c r="G46" s="20"/>
      <c r="H46" s="21"/>
      <c r="I46" s="22">
        <f t="shared" si="4"/>
        <v>0</v>
      </c>
      <c r="J46" s="22"/>
      <c r="K46" s="11"/>
      <c r="L46" s="22"/>
      <c r="M46" s="22"/>
      <c r="N46" s="22"/>
      <c r="O46" s="22"/>
      <c r="P46" s="22"/>
      <c r="Q46" s="22"/>
      <c r="R46" s="36"/>
      <c r="S46" s="44"/>
      <c r="T46" s="47"/>
      <c r="U46" s="52">
        <f t="shared" si="5"/>
        <v>0</v>
      </c>
      <c r="V46" s="23" t="str">
        <f t="shared" si="3"/>
        <v>OK</v>
      </c>
    </row>
    <row r="47" spans="1:22" x14ac:dyDescent="0.3">
      <c r="A47" s="12" t="s">
        <v>81</v>
      </c>
      <c r="B47" s="62">
        <v>15097</v>
      </c>
      <c r="C47" s="12" t="s">
        <v>56</v>
      </c>
      <c r="D47" s="53"/>
      <c r="E47" s="13"/>
      <c r="F47" s="13"/>
      <c r="G47" s="14"/>
      <c r="H47" s="15"/>
      <c r="I47" s="16">
        <f t="shared" si="4"/>
        <v>0</v>
      </c>
      <c r="J47" s="16"/>
      <c r="K47" s="11"/>
      <c r="L47" s="16"/>
      <c r="M47" s="16"/>
      <c r="N47" s="16"/>
      <c r="O47" s="16"/>
      <c r="P47" s="16"/>
      <c r="Q47" s="16"/>
      <c r="R47" s="35"/>
      <c r="S47" s="43"/>
      <c r="T47" s="46"/>
      <c r="U47" s="51">
        <f t="shared" si="5"/>
        <v>0</v>
      </c>
      <c r="V47" s="17" t="str">
        <f t="shared" si="3"/>
        <v>OK</v>
      </c>
    </row>
    <row r="48" spans="1:22" x14ac:dyDescent="0.3">
      <c r="A48" s="54" t="s">
        <v>76</v>
      </c>
      <c r="B48" s="63">
        <v>5585</v>
      </c>
      <c r="C48" s="18" t="s">
        <v>64</v>
      </c>
      <c r="D48" s="19"/>
      <c r="E48" s="19"/>
      <c r="F48" s="19"/>
      <c r="G48" s="20"/>
      <c r="H48" s="21"/>
      <c r="I48" s="22">
        <f t="shared" si="4"/>
        <v>0</v>
      </c>
      <c r="J48" s="22"/>
      <c r="K48" s="11"/>
      <c r="L48" s="22"/>
      <c r="M48" s="22"/>
      <c r="N48" s="22"/>
      <c r="O48" s="22"/>
      <c r="P48" s="22"/>
      <c r="Q48" s="22"/>
      <c r="R48" s="36"/>
      <c r="S48" s="44"/>
      <c r="T48" s="47"/>
      <c r="U48" s="52">
        <f t="shared" si="5"/>
        <v>0</v>
      </c>
      <c r="V48" s="23" t="str">
        <f t="shared" si="3"/>
        <v>OK</v>
      </c>
    </row>
    <row r="49" spans="1:22" x14ac:dyDescent="0.3">
      <c r="A49" s="12" t="s">
        <v>65</v>
      </c>
      <c r="B49" s="62">
        <v>11351</v>
      </c>
      <c r="C49" s="12" t="s">
        <v>64</v>
      </c>
      <c r="D49" s="53"/>
      <c r="E49" s="13"/>
      <c r="F49" s="13"/>
      <c r="G49" s="14"/>
      <c r="H49" s="15"/>
      <c r="I49" s="16">
        <f t="shared" si="4"/>
        <v>0</v>
      </c>
      <c r="J49" s="16"/>
      <c r="K49" s="11"/>
      <c r="L49" s="16"/>
      <c r="M49" s="16"/>
      <c r="N49" s="16"/>
      <c r="O49" s="16"/>
      <c r="P49" s="16"/>
      <c r="Q49" s="16"/>
      <c r="R49" s="35"/>
      <c r="S49" s="43"/>
      <c r="T49" s="46"/>
      <c r="U49" s="51">
        <f t="shared" si="5"/>
        <v>0</v>
      </c>
      <c r="V49" s="17" t="str">
        <f t="shared" si="3"/>
        <v>OK</v>
      </c>
    </row>
    <row r="50" spans="1:22" x14ac:dyDescent="0.3">
      <c r="A50" s="54" t="s">
        <v>66</v>
      </c>
      <c r="B50" s="63">
        <v>11352</v>
      </c>
      <c r="C50" s="18" t="s">
        <v>64</v>
      </c>
      <c r="D50" s="19"/>
      <c r="E50" s="19"/>
      <c r="F50" s="19"/>
      <c r="G50" s="20"/>
      <c r="H50" s="21"/>
      <c r="I50" s="22">
        <f t="shared" si="4"/>
        <v>0</v>
      </c>
      <c r="J50" s="22"/>
      <c r="K50" s="11"/>
      <c r="L50" s="22"/>
      <c r="M50" s="22"/>
      <c r="N50" s="22"/>
      <c r="O50" s="22"/>
      <c r="P50" s="22"/>
      <c r="Q50" s="22"/>
      <c r="R50" s="36"/>
      <c r="S50" s="44"/>
      <c r="T50" s="47"/>
      <c r="U50" s="52">
        <f t="shared" si="5"/>
        <v>0</v>
      </c>
      <c r="V50" s="23" t="str">
        <f t="shared" si="3"/>
        <v>OK</v>
      </c>
    </row>
    <row r="51" spans="1:22" x14ac:dyDescent="0.3">
      <c r="A51" s="90" t="s">
        <v>102</v>
      </c>
      <c r="B51" s="76">
        <v>13515</v>
      </c>
      <c r="C51" s="70" t="s">
        <v>78</v>
      </c>
      <c r="D51" s="70"/>
      <c r="E51" s="70"/>
      <c r="F51" s="70"/>
      <c r="G51" s="91"/>
      <c r="H51" s="82"/>
      <c r="I51" s="82">
        <f t="shared" si="4"/>
        <v>0</v>
      </c>
      <c r="J51" s="74"/>
      <c r="K51" s="11"/>
      <c r="L51" s="16"/>
      <c r="M51" s="16"/>
      <c r="N51" s="16"/>
      <c r="O51" s="16"/>
      <c r="P51" s="16"/>
      <c r="Q51" s="16"/>
      <c r="R51" s="35"/>
      <c r="S51" s="43"/>
      <c r="T51" s="46"/>
      <c r="U51" s="75">
        <f t="shared" si="5"/>
        <v>0</v>
      </c>
      <c r="V51" s="93" t="str">
        <f t="shared" si="3"/>
        <v>OK</v>
      </c>
    </row>
    <row r="52" spans="1:22" x14ac:dyDescent="0.3">
      <c r="A52" s="54" t="s">
        <v>103</v>
      </c>
      <c r="B52" s="63">
        <v>13516</v>
      </c>
      <c r="C52" s="18" t="s">
        <v>78</v>
      </c>
      <c r="D52" s="18"/>
      <c r="E52" s="18"/>
      <c r="F52" s="18"/>
      <c r="G52" s="92"/>
      <c r="H52" s="22"/>
      <c r="I52" s="22">
        <f t="shared" si="4"/>
        <v>0</v>
      </c>
      <c r="J52" s="69"/>
      <c r="K52" s="11"/>
      <c r="L52" s="22"/>
      <c r="M52" s="22"/>
      <c r="N52" s="22"/>
      <c r="O52" s="22"/>
      <c r="P52" s="22"/>
      <c r="Q52" s="22"/>
      <c r="R52" s="36"/>
      <c r="S52" s="44"/>
      <c r="T52" s="47"/>
      <c r="U52" s="52">
        <f t="shared" si="5"/>
        <v>0</v>
      </c>
      <c r="V52" s="23" t="str">
        <f t="shared" si="3"/>
        <v>OK</v>
      </c>
    </row>
    <row r="53" spans="1:22" x14ac:dyDescent="0.3">
      <c r="A53" s="90" t="s">
        <v>104</v>
      </c>
      <c r="B53" s="76">
        <v>13468</v>
      </c>
      <c r="C53" s="70" t="s">
        <v>78</v>
      </c>
      <c r="D53" s="70"/>
      <c r="E53" s="70"/>
      <c r="F53" s="70"/>
      <c r="G53" s="91"/>
      <c r="H53" s="82"/>
      <c r="I53" s="82">
        <f t="shared" si="4"/>
        <v>0</v>
      </c>
      <c r="J53" s="74"/>
      <c r="K53" s="11"/>
      <c r="L53" s="16"/>
      <c r="M53" s="16"/>
      <c r="N53" s="16"/>
      <c r="O53" s="16"/>
      <c r="P53" s="16"/>
      <c r="Q53" s="16"/>
      <c r="R53" s="35"/>
      <c r="S53" s="43"/>
      <c r="T53" s="46"/>
      <c r="U53" s="75">
        <f t="shared" si="5"/>
        <v>0</v>
      </c>
      <c r="V53" s="93" t="str">
        <f t="shared" si="3"/>
        <v>OK</v>
      </c>
    </row>
    <row r="54" spans="1:22" x14ac:dyDescent="0.3">
      <c r="A54" s="54" t="s">
        <v>79</v>
      </c>
      <c r="B54" s="63">
        <v>13469</v>
      </c>
      <c r="C54" s="18" t="s">
        <v>78</v>
      </c>
      <c r="D54" s="18"/>
      <c r="E54" s="18"/>
      <c r="F54" s="18"/>
      <c r="G54" s="92"/>
      <c r="H54" s="22"/>
      <c r="I54" s="22">
        <f t="shared" si="4"/>
        <v>0</v>
      </c>
      <c r="J54" s="69"/>
      <c r="K54" s="11"/>
      <c r="L54" s="22"/>
      <c r="M54" s="22"/>
      <c r="N54" s="22"/>
      <c r="O54" s="22"/>
      <c r="P54" s="22"/>
      <c r="Q54" s="22"/>
      <c r="R54" s="36"/>
      <c r="S54" s="44"/>
      <c r="T54" s="47"/>
      <c r="U54" s="52">
        <f t="shared" si="5"/>
        <v>0</v>
      </c>
      <c r="V54" s="23" t="str">
        <f t="shared" si="3"/>
        <v>OK</v>
      </c>
    </row>
    <row r="55" spans="1:22" x14ac:dyDescent="0.3">
      <c r="A55" s="90" t="s">
        <v>43</v>
      </c>
      <c r="B55" s="76">
        <v>11820</v>
      </c>
      <c r="C55" s="70" t="s">
        <v>67</v>
      </c>
      <c r="D55" s="70"/>
      <c r="E55" s="70"/>
      <c r="F55" s="70"/>
      <c r="G55" s="91"/>
      <c r="H55" s="82"/>
      <c r="I55" s="82">
        <f t="shared" si="4"/>
        <v>0</v>
      </c>
      <c r="J55" s="74"/>
      <c r="K55" s="11"/>
      <c r="L55" s="16"/>
      <c r="M55" s="16"/>
      <c r="N55" s="16"/>
      <c r="O55" s="16"/>
      <c r="P55" s="16"/>
      <c r="Q55" s="16"/>
      <c r="R55" s="35"/>
      <c r="S55" s="43"/>
      <c r="T55" s="46"/>
      <c r="U55" s="75">
        <f t="shared" si="5"/>
        <v>0</v>
      </c>
      <c r="V55" s="93" t="str">
        <f t="shared" si="3"/>
        <v>OK</v>
      </c>
    </row>
    <row r="56" spans="1:22" x14ac:dyDescent="0.3">
      <c r="A56" s="54" t="s">
        <v>44</v>
      </c>
      <c r="B56" s="63">
        <v>11816</v>
      </c>
      <c r="C56" s="18" t="s">
        <v>67</v>
      </c>
      <c r="D56" s="18"/>
      <c r="E56" s="18"/>
      <c r="F56" s="18"/>
      <c r="G56" s="92"/>
      <c r="H56" s="22"/>
      <c r="I56" s="22">
        <f t="shared" si="4"/>
        <v>0</v>
      </c>
      <c r="J56" s="69"/>
      <c r="K56" s="11"/>
      <c r="L56" s="22"/>
      <c r="M56" s="22"/>
      <c r="N56" s="22"/>
      <c r="O56" s="22"/>
      <c r="P56" s="22"/>
      <c r="Q56" s="22"/>
      <c r="R56" s="36"/>
      <c r="S56" s="44"/>
      <c r="T56" s="47"/>
      <c r="U56" s="52">
        <f>SUM(L56:T56)</f>
        <v>0</v>
      </c>
      <c r="V56" s="23" t="str">
        <f t="shared" si="3"/>
        <v>OK</v>
      </c>
    </row>
    <row r="57" spans="1:22" x14ac:dyDescent="0.3">
      <c r="A57" s="76" t="s">
        <v>77</v>
      </c>
      <c r="B57" s="76">
        <v>11381</v>
      </c>
      <c r="C57" s="77" t="s">
        <v>68</v>
      </c>
      <c r="D57" s="70"/>
      <c r="E57" s="70"/>
      <c r="F57" s="70"/>
      <c r="G57" s="91"/>
      <c r="H57" s="82"/>
      <c r="I57" s="82">
        <f t="shared" si="4"/>
        <v>0</v>
      </c>
      <c r="J57" s="74"/>
      <c r="K57" s="11"/>
      <c r="L57" s="16"/>
      <c r="M57" s="16"/>
      <c r="N57" s="16"/>
      <c r="O57" s="16"/>
      <c r="P57" s="16"/>
      <c r="Q57" s="16"/>
      <c r="R57" s="35"/>
      <c r="S57" s="43"/>
      <c r="T57" s="46"/>
      <c r="U57" s="75">
        <f>SUM(L57:T57)</f>
        <v>0</v>
      </c>
      <c r="V57" s="93" t="str">
        <f t="shared" si="3"/>
        <v>OK</v>
      </c>
    </row>
    <row r="58" spans="1:22" x14ac:dyDescent="0.3">
      <c r="A58" s="54" t="s">
        <v>69</v>
      </c>
      <c r="B58" s="63">
        <v>11382</v>
      </c>
      <c r="C58" s="18" t="s">
        <v>68</v>
      </c>
      <c r="D58" s="18"/>
      <c r="E58" s="18"/>
      <c r="F58" s="18"/>
      <c r="G58" s="92"/>
      <c r="H58" s="22"/>
      <c r="I58" s="22">
        <f t="shared" si="4"/>
        <v>0</v>
      </c>
      <c r="J58" s="69"/>
      <c r="K58" s="11"/>
      <c r="L58" s="22"/>
      <c r="M58" s="22"/>
      <c r="N58" s="22"/>
      <c r="O58" s="22"/>
      <c r="P58" s="22"/>
      <c r="Q58" s="22"/>
      <c r="R58" s="36"/>
      <c r="S58" s="44"/>
      <c r="T58" s="47"/>
      <c r="U58" s="52">
        <f>SUM(L58:T58)</f>
        <v>0</v>
      </c>
      <c r="V58" s="23" t="str">
        <f t="shared" si="3"/>
        <v>OK</v>
      </c>
    </row>
    <row r="59" spans="1:22" x14ac:dyDescent="0.3">
      <c r="A59" s="96" t="s">
        <v>105</v>
      </c>
      <c r="B59" s="76">
        <v>16586</v>
      </c>
      <c r="C59" s="70" t="s">
        <v>78</v>
      </c>
      <c r="D59" s="70"/>
      <c r="E59" s="70"/>
      <c r="F59" s="70"/>
      <c r="G59" s="91"/>
      <c r="H59" s="82"/>
      <c r="I59" s="82">
        <f t="shared" si="4"/>
        <v>0</v>
      </c>
      <c r="J59" s="74"/>
      <c r="K59" s="11"/>
      <c r="L59" s="16"/>
      <c r="M59" s="16"/>
      <c r="N59" s="16"/>
      <c r="O59" s="16"/>
      <c r="P59" s="16"/>
      <c r="Q59" s="16"/>
      <c r="R59" s="35"/>
      <c r="S59" s="43"/>
      <c r="T59" s="46"/>
      <c r="U59" s="75">
        <f t="shared" ref="U59:U69" si="6">SUM(L59:T59)</f>
        <v>0</v>
      </c>
      <c r="V59" s="93" t="str">
        <f t="shared" si="3"/>
        <v>OK</v>
      </c>
    </row>
    <row r="60" spans="1:22" x14ac:dyDescent="0.3">
      <c r="A60" s="54" t="s">
        <v>90</v>
      </c>
      <c r="B60" s="63">
        <v>16587</v>
      </c>
      <c r="C60" s="18" t="s">
        <v>78</v>
      </c>
      <c r="D60" s="18"/>
      <c r="E60" s="18"/>
      <c r="F60" s="18"/>
      <c r="G60" s="92"/>
      <c r="H60" s="22"/>
      <c r="I60" s="22">
        <f t="shared" si="4"/>
        <v>0</v>
      </c>
      <c r="J60" s="69"/>
      <c r="K60" s="11"/>
      <c r="L60" s="22"/>
      <c r="M60" s="22"/>
      <c r="N60" s="22"/>
      <c r="O60" s="22"/>
      <c r="P60" s="22"/>
      <c r="Q60" s="22"/>
      <c r="R60" s="36"/>
      <c r="S60" s="44"/>
      <c r="T60" s="47"/>
      <c r="U60" s="52">
        <f t="shared" si="6"/>
        <v>0</v>
      </c>
      <c r="V60" s="23" t="str">
        <f t="shared" si="3"/>
        <v>OK</v>
      </c>
    </row>
    <row r="61" spans="1:22" x14ac:dyDescent="0.3">
      <c r="A61" s="90" t="s">
        <v>91</v>
      </c>
      <c r="B61" s="76">
        <v>17121</v>
      </c>
      <c r="C61" s="70" t="s">
        <v>92</v>
      </c>
      <c r="D61" s="70"/>
      <c r="E61" s="70"/>
      <c r="F61" s="70"/>
      <c r="G61" s="91"/>
      <c r="H61" s="82"/>
      <c r="I61" s="82">
        <f t="shared" si="4"/>
        <v>0</v>
      </c>
      <c r="J61" s="74"/>
      <c r="K61" s="11"/>
      <c r="L61" s="16"/>
      <c r="M61" s="16"/>
      <c r="N61" s="16"/>
      <c r="O61" s="16"/>
      <c r="P61" s="16"/>
      <c r="Q61" s="16"/>
      <c r="R61" s="35"/>
      <c r="S61" s="43"/>
      <c r="T61" s="46"/>
      <c r="U61" s="75">
        <f t="shared" si="6"/>
        <v>0</v>
      </c>
      <c r="V61" s="93" t="str">
        <f t="shared" si="3"/>
        <v>OK</v>
      </c>
    </row>
    <row r="62" spans="1:22" x14ac:dyDescent="0.3">
      <c r="A62" s="54" t="s">
        <v>106</v>
      </c>
      <c r="B62" s="63">
        <v>19270</v>
      </c>
      <c r="C62" s="18" t="s">
        <v>68</v>
      </c>
      <c r="D62" s="18"/>
      <c r="E62" s="18"/>
      <c r="F62" s="18"/>
      <c r="G62" s="92"/>
      <c r="H62" s="22"/>
      <c r="I62" s="22">
        <f t="shared" si="4"/>
        <v>0</v>
      </c>
      <c r="J62" s="69"/>
      <c r="K62" s="11"/>
      <c r="L62" s="22"/>
      <c r="M62" s="22"/>
      <c r="N62" s="22"/>
      <c r="O62" s="22"/>
      <c r="P62" s="22"/>
      <c r="Q62" s="22"/>
      <c r="R62" s="36"/>
      <c r="S62" s="44"/>
      <c r="T62" s="47"/>
      <c r="U62" s="71">
        <f t="shared" si="6"/>
        <v>0</v>
      </c>
      <c r="V62" s="23" t="str">
        <f t="shared" si="3"/>
        <v>OK</v>
      </c>
    </row>
    <row r="63" spans="1:22" x14ac:dyDescent="0.3">
      <c r="A63" s="90" t="s">
        <v>107</v>
      </c>
      <c r="B63" s="76">
        <v>19276</v>
      </c>
      <c r="C63" s="70" t="s">
        <v>68</v>
      </c>
      <c r="D63" s="70"/>
      <c r="E63" s="70"/>
      <c r="F63" s="70"/>
      <c r="G63" s="91"/>
      <c r="H63" s="82"/>
      <c r="I63" s="82">
        <f t="shared" si="4"/>
        <v>0</v>
      </c>
      <c r="J63" s="74"/>
      <c r="K63" s="11"/>
      <c r="L63" s="16"/>
      <c r="M63" s="16"/>
      <c r="N63" s="16"/>
      <c r="O63" s="16"/>
      <c r="P63" s="16"/>
      <c r="Q63" s="16"/>
      <c r="R63" s="35"/>
      <c r="S63" s="43"/>
      <c r="T63" s="46"/>
      <c r="U63" s="75">
        <f t="shared" si="6"/>
        <v>0</v>
      </c>
      <c r="V63" s="93" t="str">
        <f t="shared" si="3"/>
        <v>OK</v>
      </c>
    </row>
    <row r="64" spans="1:22" x14ac:dyDescent="0.3">
      <c r="A64" s="54" t="s">
        <v>108</v>
      </c>
      <c r="B64" s="63">
        <v>19836</v>
      </c>
      <c r="C64" s="18" t="s">
        <v>45</v>
      </c>
      <c r="D64" s="18"/>
      <c r="E64" s="18"/>
      <c r="F64" s="18"/>
      <c r="G64" s="92"/>
      <c r="H64" s="22"/>
      <c r="I64" s="22">
        <f t="shared" si="4"/>
        <v>0</v>
      </c>
      <c r="J64" s="69"/>
      <c r="K64" s="11"/>
      <c r="L64" s="22"/>
      <c r="M64" s="22"/>
      <c r="N64" s="22"/>
      <c r="O64" s="22"/>
      <c r="P64" s="22"/>
      <c r="Q64" s="22"/>
      <c r="R64" s="36"/>
      <c r="S64" s="44"/>
      <c r="T64" s="47"/>
      <c r="U64" s="52">
        <f t="shared" si="6"/>
        <v>0</v>
      </c>
      <c r="V64" s="23" t="str">
        <f t="shared" si="3"/>
        <v>OK</v>
      </c>
    </row>
    <row r="65" spans="1:22" x14ac:dyDescent="0.3">
      <c r="A65" s="90" t="s">
        <v>109</v>
      </c>
      <c r="B65" s="76">
        <v>20278</v>
      </c>
      <c r="C65" s="70" t="s">
        <v>110</v>
      </c>
      <c r="D65" s="70"/>
      <c r="E65" s="70"/>
      <c r="F65" s="70"/>
      <c r="G65" s="91"/>
      <c r="H65" s="82"/>
      <c r="I65" s="82">
        <f t="shared" si="4"/>
        <v>0</v>
      </c>
      <c r="J65" s="74"/>
      <c r="K65" s="11"/>
      <c r="L65" s="16"/>
      <c r="M65" s="16"/>
      <c r="N65" s="16"/>
      <c r="O65" s="16"/>
      <c r="P65" s="16"/>
      <c r="Q65" s="16"/>
      <c r="R65" s="35"/>
      <c r="S65" s="43"/>
      <c r="T65" s="46"/>
      <c r="U65" s="75">
        <f t="shared" si="6"/>
        <v>0</v>
      </c>
      <c r="V65" s="93" t="str">
        <f t="shared" si="3"/>
        <v>OK</v>
      </c>
    </row>
    <row r="66" spans="1:22" x14ac:dyDescent="0.3">
      <c r="A66" s="54" t="s">
        <v>111</v>
      </c>
      <c r="B66" s="63">
        <v>20272</v>
      </c>
      <c r="C66" s="18" t="s">
        <v>110</v>
      </c>
      <c r="D66" s="18"/>
      <c r="E66" s="18"/>
      <c r="F66" s="18"/>
      <c r="G66" s="92"/>
      <c r="H66" s="22"/>
      <c r="I66" s="22">
        <f t="shared" si="4"/>
        <v>0</v>
      </c>
      <c r="J66" s="69"/>
      <c r="K66" s="11"/>
      <c r="L66" s="22"/>
      <c r="M66" s="22"/>
      <c r="N66" s="22"/>
      <c r="O66" s="22"/>
      <c r="P66" s="22"/>
      <c r="Q66" s="22"/>
      <c r="R66" s="36"/>
      <c r="S66" s="44"/>
      <c r="T66" s="47"/>
      <c r="U66" s="52">
        <f t="shared" si="6"/>
        <v>0</v>
      </c>
      <c r="V66" s="23" t="str">
        <f t="shared" si="3"/>
        <v>OK</v>
      </c>
    </row>
    <row r="67" spans="1:22" x14ac:dyDescent="0.3">
      <c r="A67" s="90" t="s">
        <v>112</v>
      </c>
      <c r="B67" s="76">
        <v>20956</v>
      </c>
      <c r="C67" s="70" t="s">
        <v>110</v>
      </c>
      <c r="D67" s="70"/>
      <c r="E67" s="70"/>
      <c r="F67" s="70"/>
      <c r="G67" s="91"/>
      <c r="H67" s="82"/>
      <c r="I67" s="82">
        <f t="shared" si="4"/>
        <v>0</v>
      </c>
      <c r="J67" s="74"/>
      <c r="K67" s="11"/>
      <c r="L67" s="16"/>
      <c r="M67" s="16"/>
      <c r="N67" s="16"/>
      <c r="O67" s="16"/>
      <c r="P67" s="16"/>
      <c r="Q67" s="16"/>
      <c r="R67" s="35"/>
      <c r="S67" s="43"/>
      <c r="T67" s="46"/>
      <c r="U67" s="75">
        <f t="shared" si="6"/>
        <v>0</v>
      </c>
      <c r="V67" s="93" t="str">
        <f t="shared" si="3"/>
        <v>OK</v>
      </c>
    </row>
    <row r="68" spans="1:22" x14ac:dyDescent="0.3">
      <c r="A68" s="54" t="s">
        <v>116</v>
      </c>
      <c r="B68" s="63">
        <v>21299</v>
      </c>
      <c r="C68" s="18" t="s">
        <v>78</v>
      </c>
      <c r="D68" s="18"/>
      <c r="E68" s="18"/>
      <c r="F68" s="18"/>
      <c r="G68" s="92"/>
      <c r="H68" s="22"/>
      <c r="I68" s="22">
        <f t="shared" si="4"/>
        <v>0</v>
      </c>
      <c r="J68" s="69"/>
      <c r="K68" s="11"/>
      <c r="L68" s="22"/>
      <c r="M68" s="22"/>
      <c r="N68" s="22"/>
      <c r="O68" s="22"/>
      <c r="P68" s="22"/>
      <c r="Q68" s="22"/>
      <c r="R68" s="36"/>
      <c r="S68" s="44"/>
      <c r="T68" s="47"/>
      <c r="U68" s="71">
        <f t="shared" si="6"/>
        <v>0</v>
      </c>
      <c r="V68" s="23" t="str">
        <f>IF(U68=I68,"OK","NG")</f>
        <v>OK</v>
      </c>
    </row>
    <row r="69" spans="1:22" x14ac:dyDescent="0.3">
      <c r="A69" s="99" t="s">
        <v>117</v>
      </c>
      <c r="B69" s="76">
        <v>22115</v>
      </c>
      <c r="C69" s="82" t="s">
        <v>118</v>
      </c>
      <c r="D69" s="82"/>
      <c r="E69" s="82"/>
      <c r="F69" s="82"/>
      <c r="G69" s="82"/>
      <c r="H69" s="82"/>
      <c r="I69" s="82">
        <f t="shared" si="4"/>
        <v>0</v>
      </c>
      <c r="J69" s="97"/>
      <c r="K69" s="112"/>
      <c r="L69" s="82"/>
      <c r="M69" s="82"/>
      <c r="N69" s="82"/>
      <c r="O69" s="82"/>
      <c r="P69" s="82"/>
      <c r="Q69" s="82"/>
      <c r="R69" s="83"/>
      <c r="S69" s="84"/>
      <c r="T69" s="100"/>
      <c r="U69" s="75">
        <f t="shared" si="6"/>
        <v>0</v>
      </c>
      <c r="V69" s="93" t="str">
        <f>IF(U69=I69,"OK","NG")</f>
        <v>OK</v>
      </c>
    </row>
    <row r="70" spans="1:22" x14ac:dyDescent="0.3">
      <c r="A70" s="54" t="s">
        <v>120</v>
      </c>
      <c r="B70" s="63">
        <v>22706</v>
      </c>
      <c r="C70" s="18" t="s">
        <v>119</v>
      </c>
      <c r="D70" s="18"/>
      <c r="E70" s="18"/>
      <c r="F70" s="18"/>
      <c r="G70" s="92"/>
      <c r="H70" s="22"/>
      <c r="I70" s="22">
        <f t="shared" si="4"/>
        <v>0</v>
      </c>
      <c r="J70" s="69"/>
      <c r="K70" s="11"/>
      <c r="L70" s="22"/>
      <c r="M70" s="22"/>
      <c r="N70" s="22"/>
      <c r="O70" s="22"/>
      <c r="P70" s="22"/>
      <c r="Q70" s="22"/>
      <c r="R70" s="36"/>
      <c r="S70" s="44"/>
      <c r="T70" s="47"/>
      <c r="U70" s="71">
        <f t="shared" ref="U70" si="7">SUM(L70:T70)</f>
        <v>0</v>
      </c>
      <c r="V70" s="23" t="str">
        <f>IF(U70=I70,"OK","NG")</f>
        <v>OK</v>
      </c>
    </row>
    <row r="71" spans="1:22" x14ac:dyDescent="0.3">
      <c r="A71" s="99" t="s">
        <v>121</v>
      </c>
      <c r="B71" s="76">
        <v>22886</v>
      </c>
      <c r="C71" s="82" t="s">
        <v>46</v>
      </c>
      <c r="D71" s="82"/>
      <c r="E71" s="82"/>
      <c r="F71" s="82"/>
      <c r="G71" s="82"/>
      <c r="H71" s="82"/>
      <c r="I71" s="82">
        <f t="shared" ref="I71:I79" si="8">SUM(L71:T71)</f>
        <v>0</v>
      </c>
      <c r="J71" s="97"/>
      <c r="K71" s="112"/>
      <c r="L71" s="82"/>
      <c r="M71" s="82"/>
      <c r="N71" s="82"/>
      <c r="O71" s="82"/>
      <c r="P71" s="82"/>
      <c r="Q71" s="82"/>
      <c r="R71" s="83"/>
      <c r="S71" s="84"/>
      <c r="T71" s="100"/>
      <c r="U71" s="75">
        <f>SUM(L71:T71)</f>
        <v>0</v>
      </c>
      <c r="V71" s="93" t="str">
        <f>IF(U71=I71,"OK","NG")</f>
        <v>OK</v>
      </c>
    </row>
    <row r="72" spans="1:22" x14ac:dyDescent="0.3">
      <c r="A72" s="54" t="s">
        <v>122</v>
      </c>
      <c r="B72" s="63">
        <v>17528</v>
      </c>
      <c r="C72" s="18" t="s">
        <v>123</v>
      </c>
      <c r="D72" s="18"/>
      <c r="E72" s="18"/>
      <c r="F72" s="18"/>
      <c r="G72" s="92"/>
      <c r="H72" s="22"/>
      <c r="I72" s="22">
        <f t="shared" si="8"/>
        <v>0</v>
      </c>
      <c r="J72" s="69"/>
      <c r="K72" s="11"/>
      <c r="L72" s="22"/>
      <c r="M72" s="22"/>
      <c r="N72" s="22"/>
      <c r="O72" s="22"/>
      <c r="P72" s="22"/>
      <c r="Q72" s="22"/>
      <c r="R72" s="36"/>
      <c r="S72" s="44"/>
      <c r="T72" s="47"/>
      <c r="U72" s="71">
        <f t="shared" ref="U72:U79" si="9">SUM(L72:T72)</f>
        <v>0</v>
      </c>
      <c r="V72" s="95" t="str">
        <f t="shared" ref="V72:V80" si="10">IF(U72=I72,"OK","NG")</f>
        <v>OK</v>
      </c>
    </row>
    <row r="73" spans="1:22" x14ac:dyDescent="0.3">
      <c r="A73" s="99" t="s">
        <v>124</v>
      </c>
      <c r="B73" s="76">
        <v>22380</v>
      </c>
      <c r="C73" s="82" t="s">
        <v>47</v>
      </c>
      <c r="D73" s="82"/>
      <c r="E73" s="82"/>
      <c r="F73" s="82"/>
      <c r="G73" s="82"/>
      <c r="H73" s="82"/>
      <c r="I73" s="82">
        <f t="shared" si="8"/>
        <v>0</v>
      </c>
      <c r="J73" s="97"/>
      <c r="K73" s="112"/>
      <c r="L73" s="82"/>
      <c r="M73" s="82"/>
      <c r="N73" s="82"/>
      <c r="O73" s="82"/>
      <c r="P73" s="82"/>
      <c r="Q73" s="82"/>
      <c r="R73" s="83"/>
      <c r="S73" s="84"/>
      <c r="T73" s="100"/>
      <c r="U73" s="75">
        <f t="shared" si="9"/>
        <v>0</v>
      </c>
      <c r="V73" s="93" t="str">
        <f t="shared" si="10"/>
        <v>OK</v>
      </c>
    </row>
    <row r="74" spans="1:22" x14ac:dyDescent="0.3">
      <c r="A74" s="54" t="s">
        <v>125</v>
      </c>
      <c r="B74" s="63">
        <v>19279</v>
      </c>
      <c r="C74" s="18" t="s">
        <v>126</v>
      </c>
      <c r="D74" s="18"/>
      <c r="E74" s="18"/>
      <c r="F74" s="18"/>
      <c r="G74" s="92"/>
      <c r="H74" s="22"/>
      <c r="I74" s="22">
        <f t="shared" si="8"/>
        <v>0</v>
      </c>
      <c r="J74" s="69"/>
      <c r="K74" s="11"/>
      <c r="L74" s="22"/>
      <c r="M74" s="22"/>
      <c r="N74" s="22"/>
      <c r="O74" s="22"/>
      <c r="P74" s="22"/>
      <c r="Q74" s="22"/>
      <c r="R74" s="36"/>
      <c r="S74" s="44"/>
      <c r="T74" s="47"/>
      <c r="U74" s="71">
        <f t="shared" si="9"/>
        <v>0</v>
      </c>
      <c r="V74" s="95" t="str">
        <f t="shared" si="10"/>
        <v>OK</v>
      </c>
    </row>
    <row r="75" spans="1:22" x14ac:dyDescent="0.3">
      <c r="A75" s="90" t="s">
        <v>131</v>
      </c>
      <c r="B75" s="76">
        <v>22724</v>
      </c>
      <c r="C75" s="70" t="s">
        <v>119</v>
      </c>
      <c r="D75" s="70"/>
      <c r="E75" s="70"/>
      <c r="F75" s="70"/>
      <c r="G75" s="91"/>
      <c r="H75" s="82"/>
      <c r="I75" s="82">
        <f t="shared" si="8"/>
        <v>0</v>
      </c>
      <c r="J75" s="74"/>
      <c r="K75" s="11"/>
      <c r="L75" s="82"/>
      <c r="M75" s="82"/>
      <c r="N75" s="82"/>
      <c r="O75" s="82"/>
      <c r="P75" s="82"/>
      <c r="Q75" s="82"/>
      <c r="R75" s="83"/>
      <c r="S75" s="84"/>
      <c r="T75" s="85"/>
      <c r="U75" s="75">
        <f>SUM(L75:T75)</f>
        <v>0</v>
      </c>
      <c r="V75" s="93" t="s">
        <v>129</v>
      </c>
    </row>
    <row r="76" spans="1:22" x14ac:dyDescent="0.3">
      <c r="A76" s="54" t="s">
        <v>133</v>
      </c>
      <c r="B76" s="63">
        <v>22705</v>
      </c>
      <c r="C76" s="18" t="s">
        <v>119</v>
      </c>
      <c r="D76" s="18"/>
      <c r="E76" s="18"/>
      <c r="F76" s="18"/>
      <c r="G76" s="92"/>
      <c r="H76" s="22"/>
      <c r="I76" s="22">
        <f t="shared" si="8"/>
        <v>0</v>
      </c>
      <c r="J76" s="69"/>
      <c r="K76" s="11"/>
      <c r="L76" s="22"/>
      <c r="M76" s="22"/>
      <c r="N76" s="22"/>
      <c r="O76" s="22"/>
      <c r="P76" s="22"/>
      <c r="Q76" s="22"/>
      <c r="R76" s="36"/>
      <c r="S76" s="44"/>
      <c r="T76" s="47"/>
      <c r="U76" s="71">
        <f t="shared" si="9"/>
        <v>0</v>
      </c>
      <c r="V76" s="95" t="str">
        <f t="shared" si="10"/>
        <v>OK</v>
      </c>
    </row>
    <row r="77" spans="1:22" x14ac:dyDescent="0.3">
      <c r="A77" s="99" t="s">
        <v>128</v>
      </c>
      <c r="B77" s="76">
        <v>5655</v>
      </c>
      <c r="C77" s="82" t="s">
        <v>54</v>
      </c>
      <c r="D77" s="82"/>
      <c r="E77" s="82"/>
      <c r="F77" s="82"/>
      <c r="G77" s="82"/>
      <c r="H77" s="82"/>
      <c r="I77" s="82">
        <f t="shared" si="8"/>
        <v>0</v>
      </c>
      <c r="J77" s="97"/>
      <c r="K77" s="112"/>
      <c r="L77" s="82"/>
      <c r="M77" s="82"/>
      <c r="N77" s="82"/>
      <c r="O77" s="82"/>
      <c r="P77" s="82"/>
      <c r="Q77" s="82"/>
      <c r="R77" s="83"/>
      <c r="S77" s="84"/>
      <c r="T77" s="100"/>
      <c r="U77" s="75">
        <f t="shared" si="9"/>
        <v>0</v>
      </c>
      <c r="V77" s="93" t="str">
        <f t="shared" si="10"/>
        <v>OK</v>
      </c>
    </row>
    <row r="78" spans="1:22" x14ac:dyDescent="0.3">
      <c r="A78" s="54" t="s">
        <v>136</v>
      </c>
      <c r="B78" s="63">
        <v>22704</v>
      </c>
      <c r="C78" s="18" t="s">
        <v>137</v>
      </c>
      <c r="D78" s="18"/>
      <c r="E78" s="18"/>
      <c r="F78" s="18"/>
      <c r="G78" s="92"/>
      <c r="H78" s="22"/>
      <c r="I78" s="22">
        <f t="shared" si="8"/>
        <v>0</v>
      </c>
      <c r="J78" s="69"/>
      <c r="K78" s="11"/>
      <c r="L78" s="22"/>
      <c r="M78" s="22"/>
      <c r="N78" s="22"/>
      <c r="O78" s="22"/>
      <c r="P78" s="22"/>
      <c r="Q78" s="22"/>
      <c r="R78" s="36"/>
      <c r="S78" s="44"/>
      <c r="T78" s="47"/>
      <c r="U78" s="71">
        <f t="shared" si="9"/>
        <v>0</v>
      </c>
      <c r="V78" s="95" t="str">
        <f t="shared" si="10"/>
        <v>OK</v>
      </c>
    </row>
    <row r="79" spans="1:22" x14ac:dyDescent="0.3">
      <c r="A79" s="90" t="s">
        <v>139</v>
      </c>
      <c r="B79" s="76">
        <v>22722</v>
      </c>
      <c r="C79" s="70" t="s">
        <v>119</v>
      </c>
      <c r="D79" s="70"/>
      <c r="E79" s="70"/>
      <c r="F79" s="70"/>
      <c r="G79" s="91"/>
      <c r="H79" s="82"/>
      <c r="I79" s="82">
        <f t="shared" si="8"/>
        <v>0</v>
      </c>
      <c r="J79" s="74"/>
      <c r="K79" s="118"/>
      <c r="L79" s="82"/>
      <c r="M79" s="82"/>
      <c r="N79" s="82"/>
      <c r="O79" s="82"/>
      <c r="P79" s="82"/>
      <c r="Q79" s="82"/>
      <c r="R79" s="83"/>
      <c r="S79" s="84"/>
      <c r="T79" s="85"/>
      <c r="U79" s="75">
        <f t="shared" si="9"/>
        <v>0</v>
      </c>
      <c r="V79" s="93" t="str">
        <f t="shared" si="10"/>
        <v>OK</v>
      </c>
    </row>
    <row r="80" spans="1:22" ht="17.25" thickBot="1" x14ac:dyDescent="0.35">
      <c r="A80" s="126" t="s">
        <v>134</v>
      </c>
      <c r="B80" s="127">
        <v>22723</v>
      </c>
      <c r="C80" s="128" t="s">
        <v>119</v>
      </c>
      <c r="D80" s="128"/>
      <c r="E80" s="128"/>
      <c r="F80" s="128"/>
      <c r="G80" s="128"/>
      <c r="H80" s="22"/>
      <c r="I80" s="22">
        <f t="shared" ref="I80" si="11">SUM(L80:T80)</f>
        <v>0</v>
      </c>
      <c r="J80" s="45"/>
      <c r="K80" s="112"/>
      <c r="L80" s="22"/>
      <c r="M80" s="22"/>
      <c r="N80" s="22"/>
      <c r="O80" s="22"/>
      <c r="P80" s="22"/>
      <c r="Q80" s="22"/>
      <c r="R80" s="36"/>
      <c r="S80" s="44"/>
      <c r="T80" s="116"/>
      <c r="U80" s="52">
        <f t="shared" ref="U80" si="12">SUM(L80:T80)</f>
        <v>0</v>
      </c>
      <c r="V80" s="23" t="str">
        <f t="shared" si="10"/>
        <v>OK</v>
      </c>
    </row>
    <row r="81" spans="1:22" x14ac:dyDescent="0.3">
      <c r="A81" s="86"/>
      <c r="B81" s="117"/>
      <c r="C81" s="87" t="s">
        <v>9</v>
      </c>
      <c r="D81" s="87"/>
      <c r="E81" s="87"/>
      <c r="F81" s="87"/>
      <c r="G81" s="88">
        <f>SUM(G6:G49)</f>
        <v>0</v>
      </c>
      <c r="H81" s="89">
        <f>SUM(H6:H77)</f>
        <v>0</v>
      </c>
      <c r="I81" s="89">
        <f>SUM(I6:I80)</f>
        <v>0</v>
      </c>
      <c r="J81" s="39">
        <f>SUM(J6:J77)</f>
        <v>0</v>
      </c>
      <c r="K81" s="115">
        <f>SUM(K6:K51)</f>
        <v>0</v>
      </c>
      <c r="L81" s="38">
        <f>SUM(L6:L80)</f>
        <v>0</v>
      </c>
      <c r="M81" s="38">
        <f t="shared" ref="M81:U81" si="13">SUM(M6:M80)</f>
        <v>0</v>
      </c>
      <c r="N81" s="38">
        <f t="shared" si="13"/>
        <v>0</v>
      </c>
      <c r="O81" s="38">
        <f t="shared" si="13"/>
        <v>0</v>
      </c>
      <c r="P81" s="38">
        <f t="shared" si="13"/>
        <v>0</v>
      </c>
      <c r="Q81" s="38">
        <f t="shared" si="13"/>
        <v>0</v>
      </c>
      <c r="R81" s="38">
        <f t="shared" si="13"/>
        <v>0</v>
      </c>
      <c r="S81" s="38">
        <f t="shared" si="13"/>
        <v>0</v>
      </c>
      <c r="T81" s="38">
        <f t="shared" si="13"/>
        <v>0</v>
      </c>
      <c r="U81" s="38">
        <f t="shared" si="13"/>
        <v>0</v>
      </c>
      <c r="V81" s="41" t="str">
        <f>IF(U81=SUM(I81),"OK","NG")</f>
        <v>OK</v>
      </c>
    </row>
  </sheetData>
  <mergeCells count="20">
    <mergeCell ref="O4:O5"/>
    <mergeCell ref="P4:P5"/>
    <mergeCell ref="B3:C3"/>
    <mergeCell ref="N4:N5"/>
    <mergeCell ref="B1:C1"/>
    <mergeCell ref="F1:G1"/>
    <mergeCell ref="H1:J3"/>
    <mergeCell ref="B2:C2"/>
    <mergeCell ref="A4:D4"/>
    <mergeCell ref="E4:G4"/>
    <mergeCell ref="H4:J4"/>
    <mergeCell ref="L4:L5"/>
    <mergeCell ref="M4:M5"/>
    <mergeCell ref="Q4:Q5"/>
    <mergeCell ref="R4:R5"/>
    <mergeCell ref="S4:S5"/>
    <mergeCell ref="T4:T5"/>
    <mergeCell ref="V2:V3"/>
    <mergeCell ref="U4:U5"/>
    <mergeCell ref="V4:V5"/>
  </mergeCells>
  <phoneticPr fontId="3" type="noConversion"/>
  <conditionalFormatting sqref="A4 V6:V81">
    <cfRule type="containsText" dxfId="3" priority="11" operator="containsText" text="NG">
      <formula>NOT(ISERROR(SEARCH("NG",A4)))</formula>
    </cfRule>
    <cfRule type="containsText" dxfId="2" priority="12" operator="containsText" text="OK">
      <formula>NOT(ISERROR(SEARCH("OK",A4)))</formula>
    </cfRule>
  </conditionalFormatting>
  <pageMargins left="0.70866141732283472" right="0.70866141732283472" top="0.74803149606299213" bottom="0.74803149606299213" header="0.31496062992125984" footer="0.31496062992125984"/>
  <pageSetup paperSize="8" scale="10" orientation="landscape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2">
    <pageSetUpPr fitToPage="1"/>
  </sheetPr>
  <dimension ref="A1:V85"/>
  <sheetViews>
    <sheetView showGridLines="0" tabSelected="1" topLeftCell="A2" zoomScale="85" zoomScaleNormal="85" workbookViewId="0">
      <pane ySplit="4" topLeftCell="A6" activePane="bottomLeft" state="frozen"/>
      <selection activeCell="O83" sqref="O83"/>
      <selection pane="bottomLeft" activeCell="T22" sqref="T22"/>
    </sheetView>
  </sheetViews>
  <sheetFormatPr defaultColWidth="9" defaultRowHeight="16.5" x14ac:dyDescent="0.3"/>
  <cols>
    <col min="1" max="1" width="12.625" bestFit="1" customWidth="1"/>
    <col min="2" max="2" width="14.125" bestFit="1" customWidth="1"/>
    <col min="3" max="3" width="35.125" customWidth="1"/>
    <col min="4" max="4" width="11.75" hidden="1" customWidth="1"/>
    <col min="5" max="6" width="9" hidden="1" customWidth="1"/>
    <col min="7" max="7" width="15.375" hidden="1" customWidth="1"/>
    <col min="8" max="10" width="13.25" customWidth="1"/>
    <col min="11" max="11" width="0.875" customWidth="1"/>
    <col min="20" max="20" width="11" bestFit="1" customWidth="1"/>
    <col min="23" max="16384" width="9" style="94"/>
  </cols>
  <sheetData>
    <row r="1" spans="1:22" customFormat="1" ht="22.5" customHeight="1" thickBot="1" x14ac:dyDescent="0.35">
      <c r="A1" s="32" t="s">
        <v>28</v>
      </c>
      <c r="B1" s="153">
        <f>H81</f>
        <v>0</v>
      </c>
      <c r="C1" s="154"/>
      <c r="D1" s="55"/>
      <c r="E1" s="58" t="s">
        <v>1</v>
      </c>
      <c r="F1" s="155">
        <f>G81</f>
        <v>0</v>
      </c>
      <c r="G1" s="155"/>
      <c r="H1" s="156"/>
      <c r="I1" s="156"/>
      <c r="J1" s="156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customFormat="1" ht="22.5" customHeight="1" thickBot="1" x14ac:dyDescent="0.35">
      <c r="A2" s="32" t="s">
        <v>29</v>
      </c>
      <c r="B2" s="158">
        <f>I81</f>
        <v>557</v>
      </c>
      <c r="C2" s="159"/>
      <c r="D2" s="56"/>
      <c r="E2" s="59"/>
      <c r="F2" s="2"/>
      <c r="G2" s="2"/>
      <c r="H2" s="156"/>
      <c r="I2" s="156"/>
      <c r="J2" s="156"/>
      <c r="K2" s="113"/>
      <c r="L2" s="3">
        <f t="shared" ref="L2:U2" si="0">SUBTOTAL(9,L6:L80)</f>
        <v>0</v>
      </c>
      <c r="M2" s="3">
        <f t="shared" si="0"/>
        <v>498</v>
      </c>
      <c r="N2" s="3">
        <f t="shared" si="0"/>
        <v>0</v>
      </c>
      <c r="O2" s="3">
        <f t="shared" si="0"/>
        <v>26</v>
      </c>
      <c r="P2" s="3">
        <f t="shared" si="0"/>
        <v>0</v>
      </c>
      <c r="Q2" s="3">
        <f t="shared" si="0"/>
        <v>0</v>
      </c>
      <c r="R2" s="3">
        <f t="shared" si="0"/>
        <v>0</v>
      </c>
      <c r="S2" s="3">
        <f t="shared" si="0"/>
        <v>33</v>
      </c>
      <c r="T2" s="3">
        <f t="shared" si="0"/>
        <v>0</v>
      </c>
      <c r="U2" s="3">
        <f t="shared" si="0"/>
        <v>557</v>
      </c>
      <c r="V2" s="145"/>
    </row>
    <row r="3" spans="1:22" customFormat="1" ht="22.5" customHeight="1" thickBot="1" x14ac:dyDescent="0.35">
      <c r="A3" s="33" t="s">
        <v>30</v>
      </c>
      <c r="B3" s="151">
        <f>IF(ISERROR(B2/(B2+B1)*1000000),"",(B2/(B2+B1)*1000000))</f>
        <v>1000000</v>
      </c>
      <c r="C3" s="152"/>
      <c r="D3" s="57"/>
      <c r="E3" s="60"/>
      <c r="F3" s="27"/>
      <c r="G3" s="27"/>
      <c r="H3" s="157"/>
      <c r="I3" s="157"/>
      <c r="J3" s="157"/>
      <c r="K3" s="114"/>
      <c r="L3" s="4">
        <f t="shared" ref="L3:U3" si="1">SUM(L6:L80)</f>
        <v>0</v>
      </c>
      <c r="M3" s="4">
        <f t="shared" si="1"/>
        <v>498</v>
      </c>
      <c r="N3" s="4">
        <f t="shared" si="1"/>
        <v>0</v>
      </c>
      <c r="O3" s="4">
        <f t="shared" si="1"/>
        <v>26</v>
      </c>
      <c r="P3" s="4">
        <f t="shared" si="1"/>
        <v>0</v>
      </c>
      <c r="Q3" s="4">
        <f t="shared" si="1"/>
        <v>0</v>
      </c>
      <c r="R3" s="4">
        <f t="shared" si="1"/>
        <v>0</v>
      </c>
      <c r="S3" s="4">
        <f t="shared" si="1"/>
        <v>33</v>
      </c>
      <c r="T3" s="4">
        <f t="shared" si="1"/>
        <v>0</v>
      </c>
      <c r="U3" s="4">
        <f t="shared" si="1"/>
        <v>557</v>
      </c>
      <c r="V3" s="146"/>
    </row>
    <row r="4" spans="1:22" customFormat="1" ht="43.5" customHeight="1" x14ac:dyDescent="0.3">
      <c r="A4" s="160" t="str">
        <f>V81</f>
        <v>OK</v>
      </c>
      <c r="B4" s="160"/>
      <c r="C4" s="160"/>
      <c r="D4" s="161"/>
      <c r="E4" s="162" t="s">
        <v>15</v>
      </c>
      <c r="F4" s="162"/>
      <c r="G4" s="162"/>
      <c r="H4" s="162" t="s">
        <v>16</v>
      </c>
      <c r="I4" s="162"/>
      <c r="J4" s="162"/>
      <c r="K4" s="113"/>
      <c r="L4" s="164" t="s">
        <v>10</v>
      </c>
      <c r="M4" s="142" t="s">
        <v>17</v>
      </c>
      <c r="N4" s="142" t="s">
        <v>11</v>
      </c>
      <c r="O4" s="138" t="s">
        <v>12</v>
      </c>
      <c r="P4" s="142" t="s">
        <v>13</v>
      </c>
      <c r="Q4" s="138" t="s">
        <v>14</v>
      </c>
      <c r="R4" s="140" t="s">
        <v>20</v>
      </c>
      <c r="S4" s="142" t="s">
        <v>21</v>
      </c>
      <c r="T4" s="143" t="s">
        <v>22</v>
      </c>
      <c r="U4" s="172" t="s">
        <v>18</v>
      </c>
      <c r="V4" s="149" t="s">
        <v>19</v>
      </c>
    </row>
    <row r="5" spans="1:22" customFormat="1" ht="33.75" thickBot="1" x14ac:dyDescent="0.35">
      <c r="A5" s="29" t="s">
        <v>3</v>
      </c>
      <c r="B5" s="30" t="s">
        <v>32</v>
      </c>
      <c r="C5" s="29" t="s">
        <v>4</v>
      </c>
      <c r="D5" s="29" t="s">
        <v>31</v>
      </c>
      <c r="E5" s="29" t="s">
        <v>5</v>
      </c>
      <c r="F5" s="29" t="s">
        <v>6</v>
      </c>
      <c r="G5" s="30" t="s">
        <v>7</v>
      </c>
      <c r="H5" s="31" t="s">
        <v>0</v>
      </c>
      <c r="I5" s="31" t="s">
        <v>2</v>
      </c>
      <c r="J5" s="31" t="s">
        <v>8</v>
      </c>
      <c r="K5" s="28"/>
      <c r="L5" s="165"/>
      <c r="M5" s="139"/>
      <c r="N5" s="139"/>
      <c r="O5" s="139"/>
      <c r="P5" s="139"/>
      <c r="Q5" s="139"/>
      <c r="R5" s="141"/>
      <c r="S5" s="139"/>
      <c r="T5" s="144"/>
      <c r="U5" s="173"/>
      <c r="V5" s="150"/>
    </row>
    <row r="6" spans="1:22" customFormat="1" x14ac:dyDescent="0.3">
      <c r="A6" s="61" t="s">
        <v>33</v>
      </c>
      <c r="B6" s="61">
        <v>8092</v>
      </c>
      <c r="C6" s="6" t="s">
        <v>45</v>
      </c>
      <c r="D6" s="7"/>
      <c r="E6" s="7"/>
      <c r="F6" s="7"/>
      <c r="G6" s="8"/>
      <c r="H6" s="9"/>
      <c r="I6" s="10">
        <f>+'1'!I6+'2'!I6+'4'!I6+'3'!I6+'5'!I6+'6'!I6+'7'!I6+'8'!I6+'9'!I6+'13'!I6+'10'!I6+'12'!I6+'11'!I6+'14'!I6+'15'!I6+'16'!I6+'17'!I6+'18'!I6+'19'!I6+'20'!I6+'21'!I6+'22'!I6+'23'!I6+'24'!I6+'25'!I6+'26'!I6+'28'!I6+'27'!I6+'29'!I6+'30'!I6+'31'!I6</f>
        <v>0</v>
      </c>
      <c r="J6" s="10"/>
      <c r="K6" s="11"/>
      <c r="L6" s="10">
        <f>+'1'!L6+'2'!L6+'4'!L6+'3'!L6+'5'!L6+'6'!L6+'7'!L6+'8'!L6+'9'!L6+'13'!L6+'10'!L6+'12'!L6+'11'!L6+'14'!L6+'15'!L6+'16'!L6+'17'!L6+'18'!L6+'19'!L6+'20'!L6+'21'!L6+'22'!L6+'23'!L6+'24'!L6+'25'!L6+'26'!L6+'28'!L6+'27'!L6+'29'!L6+'30'!L6+'31'!L6</f>
        <v>0</v>
      </c>
      <c r="M6" s="10">
        <f>+'1'!M6+'2'!M6+'4'!M6+'3'!M6+'5'!M6+'6'!M6+'7'!M6+'8'!M6+'9'!M6+'13'!M6+'10'!M6+'12'!M6+'11'!M6+'14'!M6+'15'!M6+'16'!M6+'17'!M6+'18'!M6+'19'!M6+'20'!M6+'21'!M6+'22'!M6+'23'!M6+'24'!M6+'25'!M6+'26'!M6+'28'!M6+'27'!M6+'29'!M6+'30'!M6+'31'!M6</f>
        <v>0</v>
      </c>
      <c r="N6" s="10">
        <f>+'1'!N6+'2'!N6+'4'!N6+'3'!N6+'5'!N6+'6'!N6+'7'!N6+'8'!N6+'9'!N6+'13'!N6+'10'!N6+'12'!N6+'11'!N6+'14'!N6+'15'!N6+'16'!N6+'17'!N6+'18'!N6+'19'!N6+'20'!N6+'21'!N6+'22'!N6+'23'!N6+'24'!N6+'25'!N6+'26'!N6+'28'!N6+'27'!N6+'29'!N6+'30'!N6+'31'!N6</f>
        <v>0</v>
      </c>
      <c r="O6" s="10">
        <f>+'1'!O6+'2'!O6+'4'!O6+'3'!O6+'5'!O6+'6'!O6+'7'!O6+'8'!O6+'9'!O6+'13'!O6+'10'!O6+'12'!O6+'11'!O6+'14'!O6+'15'!O6+'16'!O6+'17'!O6+'18'!O6+'19'!O6+'20'!O6+'21'!O6+'22'!O6+'23'!O6+'24'!O6+'25'!O6+'26'!O6+'28'!O6+'27'!O6+'29'!O6+'30'!O6+'31'!O6</f>
        <v>0</v>
      </c>
      <c r="P6" s="10">
        <f>+'1'!P6+'2'!P6+'4'!P6+'3'!P6+'5'!P6+'6'!P6+'7'!P6+'8'!P6+'9'!P6+'13'!P6+'10'!P6+'12'!P6+'11'!P6+'14'!P6+'15'!P6+'16'!P6+'17'!P6+'18'!P6+'19'!P6+'20'!P6+'21'!P6+'22'!P6+'23'!P6+'24'!P6+'25'!P6+'26'!P6+'28'!P6+'27'!P6+'29'!P6+'30'!P6+'31'!P6</f>
        <v>0</v>
      </c>
      <c r="Q6" s="10">
        <f>+'1'!Q6+'2'!Q6+'4'!Q6+'3'!Q6+'5'!Q6+'6'!Q6+'7'!Q6+'8'!Q6+'9'!Q6+'13'!Q6+'10'!Q6+'12'!Q6+'11'!Q6+'14'!Q6+'15'!Q6+'16'!Q6+'17'!Q6+'18'!Q6+'19'!Q6+'20'!Q6+'21'!Q6+'22'!Q6+'23'!Q6+'24'!Q6+'25'!Q6+'26'!Q6+'28'!Q6+'27'!Q6+'29'!Q6+'30'!Q6+'31'!Q6</f>
        <v>0</v>
      </c>
      <c r="R6" s="34">
        <f>+'1'!R6+'2'!R6+'4'!R6+'3'!R6+'5'!R6+'6'!R6+'7'!R6+'8'!R6+'9'!R6+'13'!R6+'10'!R6+'12'!R6+'11'!R6+'14'!R6+'15'!R6+'16'!R6+'17'!R6+'18'!R6+'19'!R6+'20'!R6+'21'!R6+'22'!R6+'23'!R6+'24'!R6+'25'!R6+'26'!R6+'28'!R6+'27'!R6+'29'!R6+'30'!R6+'31'!R6</f>
        <v>0</v>
      </c>
      <c r="S6" s="42">
        <f>+'1'!S6+'2'!S6+'4'!S6+'3'!S6+'5'!S6+'6'!S6+'7'!S6+'8'!S6+'9'!S6+'13'!S6+'10'!S6+'12'!S6+'11'!S6+'14'!S6+'15'!S6+'16'!S6+'17'!S6+'18'!S6+'19'!S6+'20'!S6+'21'!S6+'22'!S6+'23'!S6+'24'!S6+'25'!S6+'26'!S6+'28'!S6+'27'!S6+'29'!S6+'30'!S6+'31'!S6</f>
        <v>0</v>
      </c>
      <c r="T6" s="45">
        <f>+'1'!T6+'2'!T6+'4'!T6+'3'!T6+'5'!T6+'6'!T6+'7'!T6+'8'!T6+'9'!T6+'13'!T6+'10'!T6+'12'!T6+'11'!T6+'14'!T6+'15'!T6+'16'!T6+'17'!T6+'18'!T6+'19'!T6+'20'!T6+'21'!T6+'22'!T6+'23'!T6+'24'!T6+'25'!T6+'26'!T6+'28'!T6+'27'!T6+'29'!T6+'30'!T6+'31'!T6</f>
        <v>0</v>
      </c>
      <c r="U6" s="50">
        <f t="shared" ref="U6:U36" si="2">SUM(L6:T6)</f>
        <v>0</v>
      </c>
      <c r="V6" s="26" t="str">
        <f t="shared" ref="V6:V36" si="3">IF(U6=I6,"OK","NG")</f>
        <v>OK</v>
      </c>
    </row>
    <row r="7" spans="1:22" customFormat="1" x14ac:dyDescent="0.3">
      <c r="A7" s="62" t="s">
        <v>95</v>
      </c>
      <c r="B7" s="62">
        <v>8088</v>
      </c>
      <c r="C7" s="12" t="s">
        <v>46</v>
      </c>
      <c r="D7" s="53"/>
      <c r="E7" s="13"/>
      <c r="F7" s="13"/>
      <c r="G7" s="14"/>
      <c r="H7" s="15"/>
      <c r="I7" s="16">
        <f>+'1'!I7+'2'!I7+'4'!I7+'3'!I7+'5'!I7+'6'!I7+'7'!I7+'8'!I7+'9'!I7+'13'!I7+'10'!I7+'12'!I7+'11'!I7+'14'!I7+'15'!I7+'16'!I7+'17'!I7+'18'!I7+'19'!I7+'20'!I7+'21'!I7+'22'!I7+'23'!I7+'24'!I7+'25'!I7+'26'!I7+'28'!I7+'27'!I7+'29'!I7+'30'!I7+'31'!I7</f>
        <v>0</v>
      </c>
      <c r="J7" s="16"/>
      <c r="K7" s="11"/>
      <c r="L7" s="16">
        <f>+'1'!L7+'2'!L7+'4'!L7+'3'!L7+'5'!L7+'6'!L7+'7'!L7+'8'!L7+'9'!L7+'13'!L7+'10'!L7+'12'!L7+'11'!L7+'14'!L7+'15'!L7+'16'!L7+'17'!L7+'18'!L7+'19'!L7+'20'!L7+'21'!L7+'22'!L7+'23'!L7+'24'!L7+'25'!L7+'26'!L7+'28'!L7+'27'!L7+'29'!L7+'30'!L7+'31'!L7</f>
        <v>0</v>
      </c>
      <c r="M7" s="16">
        <f>+'1'!M7+'2'!M7+'4'!M7+'3'!M7+'5'!M7+'6'!M7+'7'!M7+'8'!M7+'9'!M7+'13'!M7+'10'!M7+'12'!M7+'11'!M7+'14'!M7+'15'!M7+'16'!M7+'17'!M7+'18'!M7+'19'!M7+'20'!M7+'21'!M7+'22'!M7+'23'!M7+'24'!M7+'25'!M7+'26'!M7+'28'!M7+'27'!M7+'29'!M7+'30'!M7+'31'!M7</f>
        <v>0</v>
      </c>
      <c r="N7" s="16">
        <f>+'1'!N7+'2'!N7+'4'!N7+'3'!N7+'5'!N7+'6'!N7+'7'!N7+'8'!N7+'9'!N7+'13'!N7+'10'!N7+'12'!N7+'11'!N7+'14'!N7+'15'!N7+'16'!N7+'17'!N7+'18'!N7+'19'!N7+'20'!N7+'21'!N7+'22'!N7+'23'!N7+'24'!N7+'25'!N7+'26'!N7+'28'!N7+'27'!N7+'29'!N7+'30'!N7+'31'!N7</f>
        <v>0</v>
      </c>
      <c r="O7" s="16">
        <f>+'1'!O7+'2'!O7+'4'!O7+'3'!O7+'5'!O7+'6'!O7+'7'!O7+'8'!O7+'9'!O7+'13'!O7+'10'!O7+'12'!O7+'11'!O7+'14'!O7+'15'!O7+'16'!O7+'17'!O7+'18'!O7+'19'!O7+'20'!O7+'21'!O7+'22'!O7+'23'!O7+'24'!O7+'25'!O7+'26'!O7+'28'!O7+'27'!O7+'29'!O7+'30'!O7+'31'!O7</f>
        <v>0</v>
      </c>
      <c r="P7" s="16">
        <f>+'1'!P7+'2'!P7+'4'!P7+'3'!P7+'5'!P7+'6'!P7+'7'!P7+'8'!P7+'9'!P7+'13'!P7+'10'!P7+'12'!P7+'11'!P7+'14'!P7+'15'!P7+'16'!P7+'17'!P7+'18'!P7+'19'!P7+'20'!P7+'21'!P7+'22'!P7+'23'!P7+'24'!P7+'25'!P7+'26'!P7+'28'!P7+'27'!P7+'29'!P7+'30'!P7+'31'!P7</f>
        <v>0</v>
      </c>
      <c r="Q7" s="16">
        <f>+'1'!Q7+'2'!Q7+'4'!Q7+'3'!Q7+'5'!Q7+'6'!Q7+'7'!Q7+'8'!Q7+'9'!Q7+'13'!Q7+'10'!Q7+'12'!Q7+'11'!Q7+'14'!Q7+'15'!Q7+'16'!Q7+'17'!Q7+'18'!Q7+'19'!Q7+'20'!Q7+'21'!Q7+'22'!Q7+'23'!Q7+'24'!Q7+'25'!Q7+'26'!Q7+'28'!Q7+'27'!Q7+'29'!Q7+'30'!Q7+'31'!Q7</f>
        <v>0</v>
      </c>
      <c r="R7" s="35">
        <f>+'1'!R7+'2'!R7+'4'!R7+'3'!R7+'5'!R7+'6'!R7+'7'!R7+'8'!R7+'9'!R7+'13'!R7+'10'!R7+'12'!R7+'11'!R7+'14'!R7+'15'!R7+'16'!R7+'17'!R7+'18'!R7+'19'!R7+'20'!R7+'21'!R7+'22'!R7+'23'!R7+'24'!R7+'25'!R7+'26'!R7+'28'!R7+'27'!R7+'29'!R7+'30'!R7+'31'!R7</f>
        <v>0</v>
      </c>
      <c r="S7" s="43">
        <f>+'1'!S7+'2'!S7+'4'!S7+'3'!S7+'5'!S7+'6'!S7+'7'!S7+'8'!S7+'9'!S7+'13'!S7+'10'!S7+'12'!S7+'11'!S7+'14'!S7+'15'!S7+'16'!S7+'17'!S7+'18'!S7+'19'!S7+'20'!S7+'21'!S7+'22'!S7+'23'!S7+'24'!S7+'25'!S7+'26'!S7+'28'!S7+'27'!S7+'29'!S7+'30'!S7+'31'!S7</f>
        <v>0</v>
      </c>
      <c r="T7" s="46">
        <f>+'1'!T7+'2'!T7+'4'!T7+'3'!T7+'5'!T7+'6'!T7+'7'!T7+'8'!T7+'9'!T7+'13'!T7+'10'!T7+'12'!T7+'11'!T7+'14'!T7+'15'!T7+'16'!T7+'17'!T7+'18'!T7+'19'!T7+'20'!T7+'21'!T7+'22'!T7+'23'!T7+'24'!T7+'25'!T7+'26'!T7+'28'!T7+'27'!T7+'29'!T7+'30'!T7+'31'!T7</f>
        <v>0</v>
      </c>
      <c r="U7" s="51">
        <f t="shared" si="2"/>
        <v>0</v>
      </c>
      <c r="V7" s="17" t="str">
        <f t="shared" si="3"/>
        <v>OK</v>
      </c>
    </row>
    <row r="8" spans="1:22" customFormat="1" x14ac:dyDescent="0.3">
      <c r="A8" s="63" t="s">
        <v>96</v>
      </c>
      <c r="B8" s="63">
        <v>8081</v>
      </c>
      <c r="C8" s="18" t="s">
        <v>46</v>
      </c>
      <c r="D8" s="19"/>
      <c r="E8" s="19"/>
      <c r="F8" s="19"/>
      <c r="G8" s="20"/>
      <c r="H8" s="21"/>
      <c r="I8" s="22">
        <f>+'1'!I8+'2'!I8+'4'!I8+'3'!I8+'5'!I8+'6'!I8+'7'!I8+'8'!I8+'9'!I8+'13'!I8+'10'!I8+'12'!I8+'11'!I8+'14'!I8+'15'!I8+'16'!I8+'17'!I8+'18'!I8+'19'!I8+'20'!I8+'21'!I8+'22'!I8+'23'!I8+'24'!I8+'25'!I8+'26'!I8+'28'!I8+'27'!I8+'29'!I8+'30'!I8+'31'!I8</f>
        <v>5</v>
      </c>
      <c r="J8" s="22"/>
      <c r="K8" s="11"/>
      <c r="L8" s="22">
        <f>+'1'!L8+'2'!L8+'4'!L8+'3'!L8+'5'!L8+'6'!L8+'7'!L8+'8'!L8+'9'!L8+'13'!L8+'10'!L8+'12'!L8+'11'!L8+'14'!L8+'15'!L8+'16'!L8+'17'!L8+'18'!L8+'19'!L8+'20'!L8+'21'!L8+'22'!L8+'23'!L8+'24'!L8+'25'!L8+'26'!L8+'28'!L8+'27'!L8+'29'!L8+'30'!L8+'31'!L8</f>
        <v>0</v>
      </c>
      <c r="M8" s="22">
        <f>+'1'!M8+'2'!M8+'4'!M8+'3'!M8+'5'!M8+'6'!M8+'7'!M8+'8'!M8+'9'!M8+'13'!M8+'10'!M8+'12'!M8+'11'!M8+'14'!M8+'15'!M8+'16'!M8+'17'!M8+'18'!M8+'19'!M8+'20'!M8+'21'!M8+'22'!M8+'23'!M8+'24'!M8+'25'!M8+'26'!M8+'28'!M8+'27'!M8+'29'!M8+'30'!M8+'31'!M8</f>
        <v>5</v>
      </c>
      <c r="N8" s="22">
        <f>+'1'!N8+'2'!N8+'4'!N8+'3'!N8+'5'!N8+'6'!N8+'7'!N8+'8'!N8+'9'!N8+'13'!N8+'10'!N8+'12'!N8+'11'!N8+'14'!N8+'15'!N8+'16'!N8+'17'!N8+'18'!N8+'19'!N8+'20'!N8+'21'!N8+'22'!N8+'23'!N8+'24'!N8+'25'!N8+'26'!N8+'28'!N8+'27'!N8+'29'!N8+'30'!N8+'31'!N8</f>
        <v>0</v>
      </c>
      <c r="O8" s="22">
        <f>+'1'!O8+'2'!O8+'4'!O8+'3'!O8+'5'!O8+'6'!O8+'7'!O8+'8'!O8+'9'!O8+'13'!O8+'10'!O8+'12'!O8+'11'!O8+'14'!O8+'15'!O8+'16'!O8+'17'!O8+'18'!O8+'19'!O8+'20'!O8+'21'!O8+'22'!O8+'23'!O8+'24'!O8+'25'!O8+'26'!O8+'28'!O8+'27'!O8+'29'!O8+'30'!O8+'31'!O8</f>
        <v>0</v>
      </c>
      <c r="P8" s="22">
        <f>+'1'!P8+'2'!P8+'4'!P8+'3'!P8+'5'!P8+'6'!P8+'7'!P8+'8'!P8+'9'!P8+'13'!P8+'10'!P8+'12'!P8+'11'!P8+'14'!P8+'15'!P8+'16'!P8+'17'!P8+'18'!P8+'19'!P8+'20'!P8+'21'!P8+'22'!P8+'23'!P8+'24'!P8+'25'!P8+'26'!P8+'28'!P8+'27'!P8+'29'!P8+'30'!P8+'31'!P8</f>
        <v>0</v>
      </c>
      <c r="Q8" s="22">
        <f>+'1'!Q8+'2'!Q8+'4'!Q8+'3'!Q8+'5'!Q8+'6'!Q8+'7'!Q8+'8'!Q8+'9'!Q8+'13'!Q8+'10'!Q8+'12'!Q8+'11'!Q8+'14'!Q8+'15'!Q8+'16'!Q8+'17'!Q8+'18'!Q8+'19'!Q8+'20'!Q8+'21'!Q8+'22'!Q8+'23'!Q8+'24'!Q8+'25'!Q8+'26'!Q8+'28'!Q8+'27'!Q8+'29'!Q8+'30'!Q8+'31'!Q8</f>
        <v>0</v>
      </c>
      <c r="R8" s="36">
        <f>+'1'!R8+'2'!R8+'4'!R8+'3'!R8+'5'!R8+'6'!R8+'7'!R8+'8'!R8+'9'!R8+'13'!R8+'10'!R8+'12'!R8+'11'!R8+'14'!R8+'15'!R8+'16'!R8+'17'!R8+'18'!R8+'19'!R8+'20'!R8+'21'!R8+'22'!R8+'23'!R8+'24'!R8+'25'!R8+'26'!R8+'28'!R8+'27'!R8+'29'!R8+'30'!R8+'31'!R8</f>
        <v>0</v>
      </c>
      <c r="S8" s="44">
        <f>+'1'!S8+'2'!S8+'4'!S8+'3'!S8+'5'!S8+'6'!S8+'7'!S8+'8'!S8+'9'!S8+'13'!S8+'10'!S8+'12'!S8+'11'!S8+'14'!S8+'15'!S8+'16'!S8+'17'!S8+'18'!S8+'19'!S8+'20'!S8+'21'!S8+'22'!S8+'23'!S8+'24'!S8+'25'!S8+'26'!S8+'28'!S8+'27'!S8+'29'!S8+'30'!S8+'31'!S8</f>
        <v>0</v>
      </c>
      <c r="T8" s="47">
        <f>+'1'!T8+'2'!T8+'4'!T8+'3'!T8+'5'!T8+'6'!T8+'7'!T8+'8'!T8+'9'!T8+'13'!T8+'10'!T8+'12'!T8+'11'!T8+'14'!T8+'15'!T8+'16'!T8+'17'!T8+'18'!T8+'19'!T8+'20'!T8+'21'!T8+'22'!T8+'23'!T8+'24'!T8+'25'!T8+'26'!T8+'28'!T8+'27'!T8+'29'!T8+'30'!T8+'31'!T8</f>
        <v>0</v>
      </c>
      <c r="U8" s="52">
        <f t="shared" si="2"/>
        <v>5</v>
      </c>
      <c r="V8" s="23" t="str">
        <f t="shared" si="3"/>
        <v>OK</v>
      </c>
    </row>
    <row r="9" spans="1:22" customFormat="1" x14ac:dyDescent="0.3">
      <c r="A9" s="62" t="s">
        <v>97</v>
      </c>
      <c r="B9" s="62">
        <v>18524</v>
      </c>
      <c r="C9" s="12" t="s">
        <v>46</v>
      </c>
      <c r="D9" s="53"/>
      <c r="E9" s="13"/>
      <c r="F9" s="13"/>
      <c r="G9" s="14"/>
      <c r="H9" s="15"/>
      <c r="I9" s="16">
        <f>+'1'!I9+'2'!I9+'4'!I9+'3'!I9+'5'!I9+'6'!I9+'7'!I9+'8'!I9+'9'!I9+'13'!I9+'10'!I9+'12'!I9+'11'!I9+'14'!I9+'15'!I9+'16'!I9+'17'!I9+'18'!I9+'19'!I9+'20'!I9+'21'!I9+'22'!I9+'23'!I9+'24'!I9+'25'!I9+'26'!I9+'28'!I9+'27'!I9+'29'!I9+'30'!I9+'31'!I9</f>
        <v>0</v>
      </c>
      <c r="J9" s="16"/>
      <c r="K9" s="11"/>
      <c r="L9" s="16">
        <f>+'1'!L9+'2'!L9+'4'!L9+'3'!L9+'5'!L9+'6'!L9+'7'!L9+'8'!L9+'9'!L9+'13'!L9+'10'!L9+'12'!L9+'11'!L9+'14'!L9+'15'!L9+'16'!L9+'17'!L9+'18'!L9+'19'!L9+'20'!L9+'21'!L9+'22'!L9+'23'!L9+'24'!L9+'25'!L9+'26'!L9+'28'!L9+'27'!L9+'29'!L9+'30'!L9+'31'!L9</f>
        <v>0</v>
      </c>
      <c r="M9" s="16">
        <f>+'1'!M9+'2'!M9+'4'!M9+'3'!M9+'5'!M9+'6'!M9+'7'!M9+'8'!M9+'9'!M9+'13'!M9+'10'!M9+'12'!M9+'11'!M9+'14'!M9+'15'!M9+'16'!M9+'17'!M9+'18'!M9+'19'!M9+'20'!M9+'21'!M9+'22'!M9+'23'!M9+'24'!M9+'25'!M9+'26'!M9+'28'!M9+'27'!M9+'29'!M9+'30'!M9+'31'!M9</f>
        <v>0</v>
      </c>
      <c r="N9" s="16">
        <f>+'1'!N9+'2'!N9+'4'!N9+'3'!N9+'5'!N9+'6'!N9+'7'!N9+'8'!N9+'9'!N9+'13'!N9+'10'!N9+'12'!N9+'11'!N9+'14'!N9+'15'!N9+'16'!N9+'17'!N9+'18'!N9+'19'!N9+'20'!N9+'21'!N9+'22'!N9+'23'!N9+'24'!N9+'25'!N9+'26'!N9+'28'!N9+'27'!N9+'29'!N9+'30'!N9+'31'!N9</f>
        <v>0</v>
      </c>
      <c r="O9" s="16">
        <f>+'1'!O9+'2'!O9+'4'!O9+'3'!O9+'5'!O9+'6'!O9+'7'!O9+'8'!O9+'9'!O9+'13'!O9+'10'!O9+'12'!O9+'11'!O9+'14'!O9+'15'!O9+'16'!O9+'17'!O9+'18'!O9+'19'!O9+'20'!O9+'21'!O9+'22'!O9+'23'!O9+'24'!O9+'25'!O9+'26'!O9+'28'!O9+'27'!O9+'29'!O9+'30'!O9+'31'!O9</f>
        <v>0</v>
      </c>
      <c r="P9" s="16">
        <f>+'1'!P9+'2'!P9+'4'!P9+'3'!P9+'5'!P9+'6'!P9+'7'!P9+'8'!P9+'9'!P9+'13'!P9+'10'!P9+'12'!P9+'11'!P9+'14'!P9+'15'!P9+'16'!P9+'17'!P9+'18'!P9+'19'!P9+'20'!P9+'21'!P9+'22'!P9+'23'!P9+'24'!P9+'25'!P9+'26'!P9+'28'!P9+'27'!P9+'29'!P9+'30'!P9+'31'!P9</f>
        <v>0</v>
      </c>
      <c r="Q9" s="16">
        <f>+'1'!Q9+'2'!Q9+'4'!Q9+'3'!Q9+'5'!Q9+'6'!Q9+'7'!Q9+'8'!Q9+'9'!Q9+'13'!Q9+'10'!Q9+'12'!Q9+'11'!Q9+'14'!Q9+'15'!Q9+'16'!Q9+'17'!Q9+'18'!Q9+'19'!Q9+'20'!Q9+'21'!Q9+'22'!Q9+'23'!Q9+'24'!Q9+'25'!Q9+'26'!Q9+'28'!Q9+'27'!Q9+'29'!Q9+'30'!Q9+'31'!Q9</f>
        <v>0</v>
      </c>
      <c r="R9" s="35">
        <f>+'1'!R9+'2'!R9+'4'!R9+'3'!R9+'5'!R9+'6'!R9+'7'!R9+'8'!R9+'9'!R9+'13'!R9+'10'!R9+'12'!R9+'11'!R9+'14'!R9+'15'!R9+'16'!R9+'17'!R9+'18'!R9+'19'!R9+'20'!R9+'21'!R9+'22'!R9+'23'!R9+'24'!R9+'25'!R9+'26'!R9+'28'!R9+'27'!R9+'29'!R9+'30'!R9+'31'!R9</f>
        <v>0</v>
      </c>
      <c r="S9" s="43">
        <f>+'1'!S9+'2'!S9+'4'!S9+'3'!S9+'5'!S9+'6'!S9+'7'!S9+'8'!S9+'9'!S9+'13'!S9+'10'!S9+'12'!S9+'11'!S9+'14'!S9+'15'!S9+'16'!S9+'17'!S9+'18'!S9+'19'!S9+'20'!S9+'21'!S9+'22'!S9+'23'!S9+'24'!S9+'25'!S9+'26'!S9+'28'!S9+'27'!S9+'29'!S9+'30'!S9+'31'!S9</f>
        <v>0</v>
      </c>
      <c r="T9" s="46">
        <f>+'1'!T9+'2'!T9+'4'!T9+'3'!T9+'5'!T9+'6'!T9+'7'!T9+'8'!T9+'9'!T9+'13'!T9+'10'!T9+'12'!T9+'11'!T9+'14'!T9+'15'!T9+'16'!T9+'17'!T9+'18'!T9+'19'!T9+'20'!T9+'21'!T9+'22'!T9+'23'!T9+'24'!T9+'25'!T9+'26'!T9+'28'!T9+'27'!T9+'29'!T9+'30'!T9+'31'!T9</f>
        <v>0</v>
      </c>
      <c r="U9" s="51">
        <f t="shared" si="2"/>
        <v>0</v>
      </c>
      <c r="V9" s="17" t="str">
        <f t="shared" si="3"/>
        <v>OK</v>
      </c>
    </row>
    <row r="10" spans="1:22" customFormat="1" x14ac:dyDescent="0.3">
      <c r="A10" s="63" t="s">
        <v>34</v>
      </c>
      <c r="B10" s="63">
        <v>6234</v>
      </c>
      <c r="C10" s="18" t="s">
        <v>47</v>
      </c>
      <c r="D10" s="19"/>
      <c r="E10" s="19"/>
      <c r="F10" s="19"/>
      <c r="G10" s="20"/>
      <c r="H10" s="21"/>
      <c r="I10" s="22">
        <f>+'1'!I10+'2'!I10+'4'!I10+'3'!I10+'5'!I10+'6'!I10+'7'!I10+'8'!I10+'9'!I10+'13'!I10+'10'!I10+'12'!I10+'11'!I10+'14'!I10+'15'!I10+'16'!I10+'17'!I10+'18'!I10+'19'!I10+'20'!I10+'21'!I10+'22'!I10+'23'!I10+'24'!I10+'25'!I10+'26'!I10+'28'!I10+'27'!I10+'29'!I10+'30'!I10+'31'!I10</f>
        <v>0</v>
      </c>
      <c r="J10" s="22"/>
      <c r="K10" s="11"/>
      <c r="L10" s="22">
        <f>+'1'!L10+'2'!L10+'4'!L10+'3'!L10+'5'!L10+'6'!L10+'7'!L10+'8'!L10+'9'!L10+'13'!L10+'10'!L10+'12'!L10+'11'!L10+'14'!L10+'15'!L10+'16'!L10+'17'!L10+'18'!L10+'19'!L10+'20'!L10+'21'!L10+'22'!L10+'23'!L10+'24'!L10+'25'!L10+'26'!L10+'28'!L10+'27'!L10+'29'!L10+'30'!L10+'31'!L10</f>
        <v>0</v>
      </c>
      <c r="M10" s="22">
        <f>+'1'!M10+'2'!M10+'4'!M10+'3'!M10+'5'!M10+'6'!M10+'7'!M10+'8'!M10+'9'!M10+'13'!M10+'10'!M10+'12'!M10+'11'!M10+'14'!M10+'15'!M10+'16'!M10+'17'!M10+'18'!M10+'19'!M10+'20'!M10+'21'!M10+'22'!M10+'23'!M10+'24'!M10+'25'!M10+'26'!M10+'28'!M10+'27'!M10+'29'!M10+'30'!M10+'31'!M10</f>
        <v>0</v>
      </c>
      <c r="N10" s="22">
        <f>+'1'!N10+'2'!N10+'4'!N10+'3'!N10+'5'!N10+'6'!N10+'7'!N10+'8'!N10+'9'!N10+'13'!N10+'10'!N10+'12'!N10+'11'!N10+'14'!N10+'15'!N10+'16'!N10+'17'!N10+'18'!N10+'19'!N10+'20'!N10+'21'!N10+'22'!N10+'23'!N10+'24'!N10+'25'!N10+'26'!N10+'28'!N10+'27'!N10+'29'!N10+'30'!N10+'31'!N10</f>
        <v>0</v>
      </c>
      <c r="O10" s="22">
        <f>+'1'!O10+'2'!O10+'4'!O10+'3'!O10+'5'!O10+'6'!O10+'7'!O10+'8'!O10+'9'!O10+'13'!O10+'10'!O10+'12'!O10+'11'!O10+'14'!O10+'15'!O10+'16'!O10+'17'!O10+'18'!O10+'19'!O10+'20'!O10+'21'!O10+'22'!O10+'23'!O10+'24'!O10+'25'!O10+'26'!O10+'28'!O10+'27'!O10+'29'!O10+'30'!O10+'31'!O10</f>
        <v>0</v>
      </c>
      <c r="P10" s="22">
        <f>+'1'!P10+'2'!P10+'4'!P10+'3'!P10+'5'!P10+'6'!P10+'7'!P10+'8'!P10+'9'!P10+'13'!P10+'10'!P10+'12'!P10+'11'!P10+'14'!P10+'15'!P10+'16'!P10+'17'!P10+'18'!P10+'19'!P10+'20'!P10+'21'!P10+'22'!P10+'23'!P10+'24'!P10+'25'!P10+'26'!P10+'28'!P10+'27'!P10+'29'!P10+'30'!P10+'31'!P10</f>
        <v>0</v>
      </c>
      <c r="Q10" s="22">
        <f>+'1'!Q10+'2'!Q10+'4'!Q10+'3'!Q10+'5'!Q10+'6'!Q10+'7'!Q10+'8'!Q10+'9'!Q10+'13'!Q10+'10'!Q10+'12'!Q10+'11'!Q10+'14'!Q10+'15'!Q10+'16'!Q10+'17'!Q10+'18'!Q10+'19'!Q10+'20'!Q10+'21'!Q10+'22'!Q10+'23'!Q10+'24'!Q10+'25'!Q10+'26'!Q10+'28'!Q10+'27'!Q10+'29'!Q10+'30'!Q10+'31'!Q10</f>
        <v>0</v>
      </c>
      <c r="R10" s="36">
        <f>+'1'!R10+'2'!R10+'4'!R10+'3'!R10+'5'!R10+'6'!R10+'7'!R10+'8'!R10+'9'!R10+'13'!R10+'10'!R10+'12'!R10+'11'!R10+'14'!R10+'15'!R10+'16'!R10+'17'!R10+'18'!R10+'19'!R10+'20'!R10+'21'!R10+'22'!R10+'23'!R10+'24'!R10+'25'!R10+'26'!R10+'28'!R10+'27'!R10+'29'!R10+'30'!R10+'31'!R10</f>
        <v>0</v>
      </c>
      <c r="S10" s="44">
        <f>+'1'!S10+'2'!S10+'4'!S10+'3'!S10+'5'!S10+'6'!S10+'7'!S10+'8'!S10+'9'!S10+'13'!S10+'10'!S10+'12'!S10+'11'!S10+'14'!S10+'15'!S10+'16'!S10+'17'!S10+'18'!S10+'19'!S10+'20'!S10+'21'!S10+'22'!S10+'23'!S10+'24'!S10+'25'!S10+'26'!S10+'28'!S10+'27'!S10+'29'!S10+'30'!S10+'31'!S10</f>
        <v>0</v>
      </c>
      <c r="T10" s="47">
        <f>+'1'!T10+'2'!T10+'4'!T10+'3'!T10+'5'!T10+'6'!T10+'7'!T10+'8'!T10+'9'!T10+'13'!T10+'10'!T10+'12'!T10+'11'!T10+'14'!T10+'15'!T10+'16'!T10+'17'!T10+'18'!T10+'19'!T10+'20'!T10+'21'!T10+'22'!T10+'23'!T10+'24'!T10+'25'!T10+'26'!T10+'28'!T10+'27'!T10+'29'!T10+'30'!T10+'31'!T10</f>
        <v>0</v>
      </c>
      <c r="U10" s="52">
        <f t="shared" si="2"/>
        <v>0</v>
      </c>
      <c r="V10" s="23" t="str">
        <f t="shared" si="3"/>
        <v>OK</v>
      </c>
    </row>
    <row r="11" spans="1:22" customFormat="1" x14ac:dyDescent="0.3">
      <c r="A11" s="62" t="s">
        <v>80</v>
      </c>
      <c r="B11" s="62">
        <v>14830</v>
      </c>
      <c r="C11" s="12" t="s">
        <v>47</v>
      </c>
      <c r="D11" s="53"/>
      <c r="E11" s="13"/>
      <c r="F11" s="13"/>
      <c r="G11" s="14"/>
      <c r="H11" s="15"/>
      <c r="I11" s="16">
        <f>+'1'!I11+'2'!I11+'4'!I11+'3'!I11+'5'!I11+'6'!I11+'7'!I11+'8'!I11+'9'!I11+'13'!I11+'10'!I11+'12'!I11+'11'!I11+'14'!I11+'15'!I11+'16'!I11+'17'!I11+'18'!I11+'19'!I11+'20'!I11+'21'!I11+'22'!I11+'23'!I11+'24'!I11+'25'!I11+'26'!I11+'28'!I11+'27'!I11+'29'!I11+'30'!I11+'31'!I11</f>
        <v>0</v>
      </c>
      <c r="J11" s="16"/>
      <c r="K11" s="11"/>
      <c r="L11" s="16">
        <f>+'1'!L11+'2'!L11+'4'!L11+'3'!L11+'5'!L11+'6'!L11+'7'!L11+'8'!L11+'9'!L11+'13'!L11+'10'!L11+'12'!L11+'11'!L11+'14'!L11+'15'!L11+'16'!L11+'17'!L11+'18'!L11+'19'!L11+'20'!L11+'21'!L11+'22'!L11+'23'!L11+'24'!L11+'25'!L11+'26'!L11+'28'!L11+'27'!L11+'29'!L11+'30'!L11+'31'!L11</f>
        <v>0</v>
      </c>
      <c r="M11" s="16">
        <f>+'1'!M11+'2'!M11+'4'!M11+'3'!M11+'5'!M11+'6'!M11+'7'!M11+'8'!M11+'9'!M11+'13'!M11+'10'!M11+'12'!M11+'11'!M11+'14'!M11+'15'!M11+'16'!M11+'17'!M11+'18'!M11+'19'!M11+'20'!M11+'21'!M11+'22'!M11+'23'!M11+'24'!M11+'25'!M11+'26'!M11+'28'!M11+'27'!M11+'29'!M11+'30'!M11+'31'!M11</f>
        <v>0</v>
      </c>
      <c r="N11" s="16">
        <f>+'1'!N11+'2'!N11+'4'!N11+'3'!N11+'5'!N11+'6'!N11+'7'!N11+'8'!N11+'9'!N11+'13'!N11+'10'!N11+'12'!N11+'11'!N11+'14'!N11+'15'!N11+'16'!N11+'17'!N11+'18'!N11+'19'!N11+'20'!N11+'21'!N11+'22'!N11+'23'!N11+'24'!N11+'25'!N11+'26'!N11+'28'!N11+'27'!N11+'29'!N11+'30'!N11+'31'!N11</f>
        <v>0</v>
      </c>
      <c r="O11" s="16">
        <f>+'1'!O11+'2'!O11+'4'!O11+'3'!O11+'5'!O11+'6'!O11+'7'!O11+'8'!O11+'9'!O11+'13'!O11+'10'!O11+'12'!O11+'11'!O11+'14'!O11+'15'!O11+'16'!O11+'17'!O11+'18'!O11+'19'!O11+'20'!O11+'21'!O11+'22'!O11+'23'!O11+'24'!O11+'25'!O11+'26'!O11+'28'!O11+'27'!O11+'29'!O11+'30'!O11+'31'!O11</f>
        <v>0</v>
      </c>
      <c r="P11" s="16">
        <f>+'1'!P11+'2'!P11+'4'!P11+'3'!P11+'5'!P11+'6'!P11+'7'!P11+'8'!P11+'9'!P11+'13'!P11+'10'!P11+'12'!P11+'11'!P11+'14'!P11+'15'!P11+'16'!P11+'17'!P11+'18'!P11+'19'!P11+'20'!P11+'21'!P11+'22'!P11+'23'!P11+'24'!P11+'25'!P11+'26'!P11+'28'!P11+'27'!P11+'29'!P11+'30'!P11+'31'!P11</f>
        <v>0</v>
      </c>
      <c r="Q11" s="16">
        <f>+'1'!Q11+'2'!Q11+'4'!Q11+'3'!Q11+'5'!Q11+'6'!Q11+'7'!Q11+'8'!Q11+'9'!Q11+'13'!Q11+'10'!Q11+'12'!Q11+'11'!Q11+'14'!Q11+'15'!Q11+'16'!Q11+'17'!Q11+'18'!Q11+'19'!Q11+'20'!Q11+'21'!Q11+'22'!Q11+'23'!Q11+'24'!Q11+'25'!Q11+'26'!Q11+'28'!Q11+'27'!Q11+'29'!Q11+'30'!Q11+'31'!Q11</f>
        <v>0</v>
      </c>
      <c r="R11" s="35">
        <f>+'1'!R11+'2'!R11+'4'!R11+'3'!R11+'5'!R11+'6'!R11+'7'!R11+'8'!R11+'9'!R11+'13'!R11+'10'!R11+'12'!R11+'11'!R11+'14'!R11+'15'!R11+'16'!R11+'17'!R11+'18'!R11+'19'!R11+'20'!R11+'21'!R11+'22'!R11+'23'!R11+'24'!R11+'25'!R11+'26'!R11+'28'!R11+'27'!R11+'29'!R11+'30'!R11+'31'!R11</f>
        <v>0</v>
      </c>
      <c r="S11" s="43">
        <f>+'1'!S11+'2'!S11+'4'!S11+'3'!S11+'5'!S11+'6'!S11+'7'!S11+'8'!S11+'9'!S11+'13'!S11+'10'!S11+'12'!S11+'11'!S11+'14'!S11+'15'!S11+'16'!S11+'17'!S11+'18'!S11+'19'!S11+'20'!S11+'21'!S11+'22'!S11+'23'!S11+'24'!S11+'25'!S11+'26'!S11+'28'!S11+'27'!S11+'29'!S11+'30'!S11+'31'!S11</f>
        <v>0</v>
      </c>
      <c r="T11" s="46">
        <f>+'1'!T11+'2'!T11+'4'!T11+'3'!T11+'5'!T11+'6'!T11+'7'!T11+'8'!T11+'9'!T11+'13'!T11+'10'!T11+'12'!T11+'11'!T11+'14'!T11+'15'!T11+'16'!T11+'17'!T11+'18'!T11+'19'!T11+'20'!T11+'21'!T11+'22'!T11+'23'!T11+'24'!T11+'25'!T11+'26'!T11+'28'!T11+'27'!T11+'29'!T11+'30'!T11+'31'!T11</f>
        <v>0</v>
      </c>
      <c r="U11" s="51">
        <f t="shared" si="2"/>
        <v>0</v>
      </c>
      <c r="V11" s="17" t="str">
        <f t="shared" si="3"/>
        <v>OK</v>
      </c>
    </row>
    <row r="12" spans="1:22" customFormat="1" x14ac:dyDescent="0.3">
      <c r="A12" s="63" t="s">
        <v>35</v>
      </c>
      <c r="B12" s="63">
        <v>6004</v>
      </c>
      <c r="C12" s="18" t="s">
        <v>48</v>
      </c>
      <c r="D12" s="19"/>
      <c r="E12" s="19"/>
      <c r="F12" s="19"/>
      <c r="G12" s="20"/>
      <c r="H12" s="21"/>
      <c r="I12" s="22">
        <f>+'1'!I12+'2'!I12+'4'!I12+'3'!I12+'5'!I12+'6'!I12+'7'!I12+'8'!I12+'9'!I12+'13'!I12+'10'!I12+'12'!I12+'11'!I12+'14'!I12+'15'!I12+'16'!I12+'17'!I12+'18'!I12+'19'!I12+'20'!I12+'21'!I12+'22'!I12+'23'!I12+'24'!I12+'25'!I12+'26'!I12+'28'!I12+'27'!I12+'29'!I12+'30'!I12+'31'!I12</f>
        <v>0</v>
      </c>
      <c r="J12" s="22"/>
      <c r="K12" s="11"/>
      <c r="L12" s="22">
        <f>+'1'!L12+'2'!L12+'4'!L12+'3'!L12+'5'!L12+'6'!L12+'7'!L12+'8'!L12+'9'!L12+'13'!L12+'10'!L12+'12'!L12+'11'!L12+'14'!L12+'15'!L12+'16'!L12+'17'!L12+'18'!L12+'19'!L12+'20'!L12+'21'!L12+'22'!L12+'23'!L12+'24'!L12+'25'!L12+'26'!L12+'28'!L12+'27'!L12+'29'!L12+'30'!L12+'31'!L12</f>
        <v>0</v>
      </c>
      <c r="M12" s="22">
        <f>+'1'!M12+'2'!M12+'4'!M12+'3'!M12+'5'!M12+'6'!M12+'7'!M12+'8'!M12+'9'!M12+'13'!M12+'10'!M12+'12'!M12+'11'!M12+'14'!M12+'15'!M12+'16'!M12+'17'!M12+'18'!M12+'19'!M12+'20'!M12+'21'!M12+'22'!M12+'23'!M12+'24'!M12+'25'!M12+'26'!M12+'28'!M12+'27'!M12+'29'!M12+'30'!M12+'31'!M12</f>
        <v>0</v>
      </c>
      <c r="N12" s="22">
        <f>+'1'!N12+'2'!N12+'4'!N12+'3'!N12+'5'!N12+'6'!N12+'7'!N12+'8'!N12+'9'!N12+'13'!N12+'10'!N12+'12'!N12+'11'!N12+'14'!N12+'15'!N12+'16'!N12+'17'!N12+'18'!N12+'19'!N12+'20'!N12+'21'!N12+'22'!N12+'23'!N12+'24'!N12+'25'!N12+'26'!N12+'28'!N12+'27'!N12+'29'!N12+'30'!N12+'31'!N12</f>
        <v>0</v>
      </c>
      <c r="O12" s="22">
        <f>+'1'!O12+'2'!O12+'4'!O12+'3'!O12+'5'!O12+'6'!O12+'7'!O12+'8'!O12+'9'!O12+'13'!O12+'10'!O12+'12'!O12+'11'!O12+'14'!O12+'15'!O12+'16'!O12+'17'!O12+'18'!O12+'19'!O12+'20'!O12+'21'!O12+'22'!O12+'23'!O12+'24'!O12+'25'!O12+'26'!O12+'28'!O12+'27'!O12+'29'!O12+'30'!O12+'31'!O12</f>
        <v>0</v>
      </c>
      <c r="P12" s="22">
        <f>+'1'!P12+'2'!P12+'4'!P12+'3'!P12+'5'!P12+'6'!P12+'7'!P12+'8'!P12+'9'!P12+'13'!P12+'10'!P12+'12'!P12+'11'!P12+'14'!P12+'15'!P12+'16'!P12+'17'!P12+'18'!P12+'19'!P12+'20'!P12+'21'!P12+'22'!P12+'23'!P12+'24'!P12+'25'!P12+'26'!P12+'28'!P12+'27'!P12+'29'!P12+'30'!P12+'31'!P12</f>
        <v>0</v>
      </c>
      <c r="Q12" s="22">
        <f>+'1'!Q12+'2'!Q12+'4'!Q12+'3'!Q12+'5'!Q12+'6'!Q12+'7'!Q12+'8'!Q12+'9'!Q12+'13'!Q12+'10'!Q12+'12'!Q12+'11'!Q12+'14'!Q12+'15'!Q12+'16'!Q12+'17'!Q12+'18'!Q12+'19'!Q12+'20'!Q12+'21'!Q12+'22'!Q12+'23'!Q12+'24'!Q12+'25'!Q12+'26'!Q12+'28'!Q12+'27'!Q12+'29'!Q12+'30'!Q12+'31'!Q12</f>
        <v>0</v>
      </c>
      <c r="R12" s="36">
        <f>+'1'!R12+'2'!R12+'4'!R12+'3'!R12+'5'!R12+'6'!R12+'7'!R12+'8'!R12+'9'!R12+'13'!R12+'10'!R12+'12'!R12+'11'!R12+'14'!R12+'15'!R12+'16'!R12+'17'!R12+'18'!R12+'19'!R12+'20'!R12+'21'!R12+'22'!R12+'23'!R12+'24'!R12+'25'!R12+'26'!R12+'28'!R12+'27'!R12+'29'!R12+'30'!R12+'31'!R12</f>
        <v>0</v>
      </c>
      <c r="S12" s="44">
        <f>+'1'!S12+'2'!S12+'4'!S12+'3'!S12+'5'!S12+'6'!S12+'7'!S12+'8'!S12+'9'!S12+'13'!S12+'10'!S12+'12'!S12+'11'!S12+'14'!S12+'15'!S12+'16'!S12+'17'!S12+'18'!S12+'19'!S12+'20'!S12+'21'!S12+'22'!S12+'23'!S12+'24'!S12+'25'!S12+'26'!S12+'28'!S12+'27'!S12+'29'!S12+'30'!S12+'31'!S12</f>
        <v>0</v>
      </c>
      <c r="T12" s="47">
        <f>+'1'!T12+'2'!T12+'4'!T12+'3'!T12+'5'!T12+'6'!T12+'7'!T12+'8'!T12+'9'!T12+'13'!T12+'10'!T12+'12'!T12+'11'!T12+'14'!T12+'15'!T12+'16'!T12+'17'!T12+'18'!T12+'19'!T12+'20'!T12+'21'!T12+'22'!T12+'23'!T12+'24'!T12+'25'!T12+'26'!T12+'28'!T12+'27'!T12+'29'!T12+'30'!T12+'31'!T12</f>
        <v>0</v>
      </c>
      <c r="U12" s="52">
        <f t="shared" si="2"/>
        <v>0</v>
      </c>
      <c r="V12" s="23" t="str">
        <f t="shared" si="3"/>
        <v>OK</v>
      </c>
    </row>
    <row r="13" spans="1:22" customFormat="1" x14ac:dyDescent="0.3">
      <c r="A13" s="62" t="s">
        <v>36</v>
      </c>
      <c r="B13" s="62">
        <v>11857</v>
      </c>
      <c r="C13" s="12" t="s">
        <v>48</v>
      </c>
      <c r="D13" s="53"/>
      <c r="E13" s="13"/>
      <c r="F13" s="13"/>
      <c r="G13" s="14"/>
      <c r="H13" s="15"/>
      <c r="I13" s="16">
        <f>+'1'!I13+'2'!I13+'4'!I13+'3'!I13+'5'!I13+'6'!I13+'7'!I13+'8'!I13+'9'!I13+'13'!I13+'10'!I13+'12'!I13+'11'!I13+'14'!I13+'15'!I13+'16'!I13+'17'!I13+'18'!I13+'19'!I13+'20'!I13+'21'!I13+'22'!I13+'23'!I13+'24'!I13+'25'!I13+'26'!I13+'28'!I13+'27'!I13+'29'!I13+'30'!I13+'31'!I13</f>
        <v>6</v>
      </c>
      <c r="J13" s="16"/>
      <c r="K13" s="11"/>
      <c r="L13" s="16">
        <f>+'1'!L13+'2'!L13+'4'!L13+'3'!L13+'5'!L13+'6'!L13+'7'!L13+'8'!L13+'9'!L13+'13'!L13+'10'!L13+'12'!L13+'11'!L13+'14'!L13+'15'!L13+'16'!L13+'17'!L13+'18'!L13+'19'!L13+'20'!L13+'21'!L13+'22'!L13+'23'!L13+'24'!L13+'25'!L13+'26'!L13+'28'!L13+'27'!L13+'29'!L13+'30'!L13+'31'!L13</f>
        <v>0</v>
      </c>
      <c r="M13" s="16">
        <f>+'1'!M13+'2'!M13+'4'!M13+'3'!M13+'5'!M13+'6'!M13+'7'!M13+'8'!M13+'9'!M13+'13'!M13+'10'!M13+'12'!M13+'11'!M13+'14'!M13+'15'!M13+'16'!M13+'17'!M13+'18'!M13+'19'!M13+'20'!M13+'21'!M13+'22'!M13+'23'!M13+'24'!M13+'25'!M13+'26'!M13+'28'!M13+'27'!M13+'29'!M13+'30'!M13+'31'!M13</f>
        <v>6</v>
      </c>
      <c r="N13" s="16">
        <f>+'1'!N13+'2'!N13+'4'!N13+'3'!N13+'5'!N13+'6'!N13+'7'!N13+'8'!N13+'9'!N13+'13'!N13+'10'!N13+'12'!N13+'11'!N13+'14'!N13+'15'!N13+'16'!N13+'17'!N13+'18'!N13+'19'!N13+'20'!N13+'21'!N13+'22'!N13+'23'!N13+'24'!N13+'25'!N13+'26'!N13+'28'!N13+'27'!N13+'29'!N13+'30'!N13+'31'!N13</f>
        <v>0</v>
      </c>
      <c r="O13" s="16">
        <f>+'1'!O13+'2'!O13+'4'!O13+'3'!O13+'5'!O13+'6'!O13+'7'!O13+'8'!O13+'9'!O13+'13'!O13+'10'!O13+'12'!O13+'11'!O13+'14'!O13+'15'!O13+'16'!O13+'17'!O13+'18'!O13+'19'!O13+'20'!O13+'21'!O13+'22'!O13+'23'!O13+'24'!O13+'25'!O13+'26'!O13+'28'!O13+'27'!O13+'29'!O13+'30'!O13+'31'!O13</f>
        <v>0</v>
      </c>
      <c r="P13" s="16">
        <f>+'1'!P13+'2'!P13+'4'!P13+'3'!P13+'5'!P13+'6'!P13+'7'!P13+'8'!P13+'9'!P13+'13'!P13+'10'!P13+'12'!P13+'11'!P13+'14'!P13+'15'!P13+'16'!P13+'17'!P13+'18'!P13+'19'!P13+'20'!P13+'21'!P13+'22'!P13+'23'!P13+'24'!P13+'25'!P13+'26'!P13+'28'!P13+'27'!P13+'29'!P13+'30'!P13+'31'!P13</f>
        <v>0</v>
      </c>
      <c r="Q13" s="16">
        <f>+'1'!Q13+'2'!Q13+'4'!Q13+'3'!Q13+'5'!Q13+'6'!Q13+'7'!Q13+'8'!Q13+'9'!Q13+'13'!Q13+'10'!Q13+'12'!Q13+'11'!Q13+'14'!Q13+'15'!Q13+'16'!Q13+'17'!Q13+'18'!Q13+'19'!Q13+'20'!Q13+'21'!Q13+'22'!Q13+'23'!Q13+'24'!Q13+'25'!Q13+'26'!Q13+'28'!Q13+'27'!Q13+'29'!Q13+'30'!Q13+'31'!Q13</f>
        <v>0</v>
      </c>
      <c r="R13" s="35">
        <f>+'1'!R13+'2'!R13+'4'!R13+'3'!R13+'5'!R13+'6'!R13+'7'!R13+'8'!R13+'9'!R13+'13'!R13+'10'!R13+'12'!R13+'11'!R13+'14'!R13+'15'!R13+'16'!R13+'17'!R13+'18'!R13+'19'!R13+'20'!R13+'21'!R13+'22'!R13+'23'!R13+'24'!R13+'25'!R13+'26'!R13+'28'!R13+'27'!R13+'29'!R13+'30'!R13+'31'!R13</f>
        <v>0</v>
      </c>
      <c r="S13" s="43">
        <f>+'1'!S13+'2'!S13+'4'!S13+'3'!S13+'5'!S13+'6'!S13+'7'!S13+'8'!S13+'9'!S13+'13'!S13+'10'!S13+'12'!S13+'11'!S13+'14'!S13+'15'!S13+'16'!S13+'17'!S13+'18'!S13+'19'!S13+'20'!S13+'21'!S13+'22'!S13+'23'!S13+'24'!S13+'25'!S13+'26'!S13+'28'!S13+'27'!S13+'29'!S13+'30'!S13+'31'!S13</f>
        <v>0</v>
      </c>
      <c r="T13" s="46">
        <f>+'1'!T13+'2'!T13+'4'!T13+'3'!T13+'5'!T13+'6'!T13+'7'!T13+'8'!T13+'9'!T13+'13'!T13+'10'!T13+'12'!T13+'11'!T13+'14'!T13+'15'!T13+'16'!T13+'17'!T13+'18'!T13+'19'!T13+'20'!T13+'21'!T13+'22'!T13+'23'!T13+'24'!T13+'25'!T13+'26'!T13+'28'!T13+'27'!T13+'29'!T13+'30'!T13+'31'!T13</f>
        <v>0</v>
      </c>
      <c r="U13" s="51">
        <f t="shared" si="2"/>
        <v>6</v>
      </c>
      <c r="V13" s="17" t="str">
        <f t="shared" si="3"/>
        <v>OK</v>
      </c>
    </row>
    <row r="14" spans="1:22" customFormat="1" x14ac:dyDescent="0.3">
      <c r="A14" s="63" t="s">
        <v>82</v>
      </c>
      <c r="B14" s="63">
        <v>15004</v>
      </c>
      <c r="C14" s="18" t="s">
        <v>48</v>
      </c>
      <c r="D14" s="19"/>
      <c r="E14" s="19"/>
      <c r="F14" s="19"/>
      <c r="G14" s="20"/>
      <c r="H14" s="21"/>
      <c r="I14" s="22">
        <f>+'1'!I14+'2'!I14+'4'!I14+'3'!I14+'5'!I14+'6'!I14+'7'!I14+'8'!I14+'9'!I14+'13'!I14+'10'!I14+'12'!I14+'11'!I14+'14'!I14+'15'!I14+'16'!I14+'17'!I14+'18'!I14+'19'!I14+'20'!I14+'21'!I14+'22'!I14+'23'!I14+'24'!I14+'25'!I14+'26'!I14+'28'!I14+'27'!I14+'29'!I14+'30'!I14+'31'!I14</f>
        <v>0</v>
      </c>
      <c r="J14" s="22"/>
      <c r="K14" s="11"/>
      <c r="L14" s="22">
        <f>+'1'!L14+'2'!L14+'4'!L14+'3'!L14+'5'!L14+'6'!L14+'7'!L14+'8'!L14+'9'!L14+'13'!L14+'10'!L14+'12'!L14+'11'!L14+'14'!L14+'15'!L14+'16'!L14+'17'!L14+'18'!L14+'19'!L14+'20'!L14+'21'!L14+'22'!L14+'23'!L14+'24'!L14+'25'!L14+'26'!L14+'28'!L14+'27'!L14+'29'!L14+'30'!L14+'31'!L14</f>
        <v>0</v>
      </c>
      <c r="M14" s="22">
        <f>+'1'!M14+'2'!M14+'4'!M14+'3'!M14+'5'!M14+'6'!M14+'7'!M14+'8'!M14+'9'!M14+'13'!M14+'10'!M14+'12'!M14+'11'!M14+'14'!M14+'15'!M14+'16'!M14+'17'!M14+'18'!M14+'19'!M14+'20'!M14+'21'!M14+'22'!M14+'23'!M14+'24'!M14+'25'!M14+'26'!M14+'28'!M14+'27'!M14+'29'!M14+'30'!M14+'31'!M14</f>
        <v>0</v>
      </c>
      <c r="N14" s="22">
        <f>+'1'!N14+'2'!N14+'4'!N14+'3'!N14+'5'!N14+'6'!N14+'7'!N14+'8'!N14+'9'!N14+'13'!N14+'10'!N14+'12'!N14+'11'!N14+'14'!N14+'15'!N14+'16'!N14+'17'!N14+'18'!N14+'19'!N14+'20'!N14+'21'!N14+'22'!N14+'23'!N14+'24'!N14+'25'!N14+'26'!N14+'28'!N14+'27'!N14+'29'!N14+'30'!N14+'31'!N14</f>
        <v>0</v>
      </c>
      <c r="O14" s="22">
        <f>+'1'!O14+'2'!O14+'4'!O14+'3'!O14+'5'!O14+'6'!O14+'7'!O14+'8'!O14+'9'!O14+'13'!O14+'10'!O14+'12'!O14+'11'!O14+'14'!O14+'15'!O14+'16'!O14+'17'!O14+'18'!O14+'19'!O14+'20'!O14+'21'!O14+'22'!O14+'23'!O14+'24'!O14+'25'!O14+'26'!O14+'28'!O14+'27'!O14+'29'!O14+'30'!O14+'31'!O14</f>
        <v>0</v>
      </c>
      <c r="P14" s="22">
        <f>+'1'!P14+'2'!P14+'4'!P14+'3'!P14+'5'!P14+'6'!P14+'7'!P14+'8'!P14+'9'!P14+'13'!P14+'10'!P14+'12'!P14+'11'!P14+'14'!P14+'15'!P14+'16'!P14+'17'!P14+'18'!P14+'19'!P14+'20'!P14+'21'!P14+'22'!P14+'23'!P14+'24'!P14+'25'!P14+'26'!P14+'28'!P14+'27'!P14+'29'!P14+'30'!P14+'31'!P14</f>
        <v>0</v>
      </c>
      <c r="Q14" s="22">
        <f>+'1'!Q14+'2'!Q14+'4'!Q14+'3'!Q14+'5'!Q14+'6'!Q14+'7'!Q14+'8'!Q14+'9'!Q14+'13'!Q14+'10'!Q14+'12'!Q14+'11'!Q14+'14'!Q14+'15'!Q14+'16'!Q14+'17'!Q14+'18'!Q14+'19'!Q14+'20'!Q14+'21'!Q14+'22'!Q14+'23'!Q14+'24'!Q14+'25'!Q14+'26'!Q14+'28'!Q14+'27'!Q14+'29'!Q14+'30'!Q14+'31'!Q14</f>
        <v>0</v>
      </c>
      <c r="R14" s="36">
        <f>+'1'!R14+'2'!R14+'4'!R14+'3'!R14+'5'!R14+'6'!R14+'7'!R14+'8'!R14+'9'!R14+'13'!R14+'10'!R14+'12'!R14+'11'!R14+'14'!R14+'15'!R14+'16'!R14+'17'!R14+'18'!R14+'19'!R14+'20'!R14+'21'!R14+'22'!R14+'23'!R14+'24'!R14+'25'!R14+'26'!R14+'28'!R14+'27'!R14+'29'!R14+'30'!R14+'31'!R14</f>
        <v>0</v>
      </c>
      <c r="S14" s="44">
        <f>+'1'!S14+'2'!S14+'4'!S14+'3'!S14+'5'!S14+'6'!S14+'7'!S14+'8'!S14+'9'!S14+'13'!S14+'10'!S14+'12'!S14+'11'!S14+'14'!S14+'15'!S14+'16'!S14+'17'!S14+'18'!S14+'19'!S14+'20'!S14+'21'!S14+'22'!S14+'23'!S14+'24'!S14+'25'!S14+'26'!S14+'28'!S14+'27'!S14+'29'!S14+'30'!S14+'31'!S14</f>
        <v>0</v>
      </c>
      <c r="T14" s="47">
        <f>+'1'!T14+'2'!T14+'4'!T14+'3'!T14+'5'!T14+'6'!T14+'7'!T14+'8'!T14+'9'!T14+'13'!T14+'10'!T14+'12'!T14+'11'!T14+'14'!T14+'15'!T14+'16'!T14+'17'!T14+'18'!T14+'19'!T14+'20'!T14+'21'!T14+'22'!T14+'23'!T14+'24'!T14+'25'!T14+'26'!T14+'28'!T14+'27'!T14+'29'!T14+'30'!T14+'31'!T14</f>
        <v>0</v>
      </c>
      <c r="U14" s="52">
        <f t="shared" si="2"/>
        <v>0</v>
      </c>
      <c r="V14" s="23" t="str">
        <f t="shared" si="3"/>
        <v>OK</v>
      </c>
    </row>
    <row r="15" spans="1:22" customFormat="1" x14ac:dyDescent="0.3">
      <c r="A15" s="62" t="s">
        <v>86</v>
      </c>
      <c r="B15" s="62">
        <v>15174</v>
      </c>
      <c r="C15" s="12" t="s">
        <v>45</v>
      </c>
      <c r="D15" s="53"/>
      <c r="E15" s="13"/>
      <c r="F15" s="13"/>
      <c r="G15" s="14"/>
      <c r="H15" s="15"/>
      <c r="I15" s="16">
        <f>+'1'!I15+'2'!I15+'4'!I15+'3'!I15+'5'!I15+'6'!I15+'7'!I15+'8'!I15+'9'!I15+'13'!I15+'10'!I15+'12'!I15+'11'!I15+'14'!I15+'15'!I15+'16'!I15+'17'!I15+'18'!I15+'19'!I15+'20'!I15+'21'!I15+'22'!I15+'23'!I15+'24'!I15+'25'!I15+'26'!I15+'28'!I15+'27'!I15+'29'!I15+'30'!I15+'31'!I15</f>
        <v>0</v>
      </c>
      <c r="J15" s="16"/>
      <c r="K15" s="11"/>
      <c r="L15" s="16">
        <f>+'1'!L15+'2'!L15+'4'!L15+'3'!L15+'5'!L15+'6'!L15+'7'!L15+'8'!L15+'9'!L15+'13'!L15+'10'!L15+'12'!L15+'11'!L15+'14'!L15+'15'!L15+'16'!L15+'17'!L15+'18'!L15+'19'!L15+'20'!L15+'21'!L15+'22'!L15+'23'!L15+'24'!L15+'25'!L15+'26'!L15+'28'!L15+'27'!L15+'29'!L15+'30'!L15+'31'!L15</f>
        <v>0</v>
      </c>
      <c r="M15" s="16">
        <f>+'1'!M15+'2'!M15+'4'!M15+'3'!M15+'5'!M15+'6'!M15+'7'!M15+'8'!M15+'9'!M15+'13'!M15+'10'!M15+'12'!M15+'11'!M15+'14'!M15+'15'!M15+'16'!M15+'17'!M15+'18'!M15+'19'!M15+'20'!M15+'21'!M15+'22'!M15+'23'!M15+'24'!M15+'25'!M15+'26'!M15+'28'!M15+'27'!M15+'29'!M15+'30'!M15+'31'!M15</f>
        <v>0</v>
      </c>
      <c r="N15" s="16">
        <f>+'1'!N15+'2'!N15+'4'!N15+'3'!N15+'5'!N15+'6'!N15+'7'!N15+'8'!N15+'9'!N15+'13'!N15+'10'!N15+'12'!N15+'11'!N15+'14'!N15+'15'!N15+'16'!N15+'17'!N15+'18'!N15+'19'!N15+'20'!N15+'21'!N15+'22'!N15+'23'!N15+'24'!N15+'25'!N15+'26'!N15+'28'!N15+'27'!N15+'29'!N15+'30'!N15+'31'!N15</f>
        <v>0</v>
      </c>
      <c r="O15" s="16">
        <f>+'1'!O15+'2'!O15+'4'!O15+'3'!O15+'5'!O15+'6'!O15+'7'!O15+'8'!O15+'9'!O15+'13'!O15+'10'!O15+'12'!O15+'11'!O15+'14'!O15+'15'!O15+'16'!O15+'17'!O15+'18'!O15+'19'!O15+'20'!O15+'21'!O15+'22'!O15+'23'!O15+'24'!O15+'25'!O15+'26'!O15+'28'!O15+'27'!O15+'29'!O15+'30'!O15+'31'!O15</f>
        <v>0</v>
      </c>
      <c r="P15" s="16">
        <f>+'1'!P15+'2'!P15+'4'!P15+'3'!P15+'5'!P15+'6'!P15+'7'!P15+'8'!P15+'9'!P15+'13'!P15+'10'!P15+'12'!P15+'11'!P15+'14'!P15+'15'!P15+'16'!P15+'17'!P15+'18'!P15+'19'!P15+'20'!P15+'21'!P15+'22'!P15+'23'!P15+'24'!P15+'25'!P15+'26'!P15+'28'!P15+'27'!P15+'29'!P15+'30'!P15+'31'!P15</f>
        <v>0</v>
      </c>
      <c r="Q15" s="16">
        <f>+'1'!Q15+'2'!Q15+'4'!Q15+'3'!Q15+'5'!Q15+'6'!Q15+'7'!Q15+'8'!Q15+'9'!Q15+'13'!Q15+'10'!Q15+'12'!Q15+'11'!Q15+'14'!Q15+'15'!Q15+'16'!Q15+'17'!Q15+'18'!Q15+'19'!Q15+'20'!Q15+'21'!Q15+'22'!Q15+'23'!Q15+'24'!Q15+'25'!Q15+'26'!Q15+'28'!Q15+'27'!Q15+'29'!Q15+'30'!Q15+'31'!Q15</f>
        <v>0</v>
      </c>
      <c r="R15" s="35">
        <f>+'1'!R15+'2'!R15+'4'!R15+'3'!R15+'5'!R15+'6'!R15+'7'!R15+'8'!R15+'9'!R15+'13'!R15+'10'!R15+'12'!R15+'11'!R15+'14'!R15+'15'!R15+'16'!R15+'17'!R15+'18'!R15+'19'!R15+'20'!R15+'21'!R15+'22'!R15+'23'!R15+'24'!R15+'25'!R15+'26'!R15+'28'!R15+'27'!R15+'29'!R15+'30'!R15+'31'!R15</f>
        <v>0</v>
      </c>
      <c r="S15" s="43">
        <f>+'1'!S15+'2'!S15+'4'!S15+'3'!S15+'5'!S15+'6'!S15+'7'!S15+'8'!S15+'9'!S15+'13'!S15+'10'!S15+'12'!S15+'11'!S15+'14'!S15+'15'!S15+'16'!S15+'17'!S15+'18'!S15+'19'!S15+'20'!S15+'21'!S15+'22'!S15+'23'!S15+'24'!S15+'25'!S15+'26'!S15+'28'!S15+'27'!S15+'29'!S15+'30'!S15+'31'!S15</f>
        <v>0</v>
      </c>
      <c r="T15" s="46">
        <f>+'1'!T15+'2'!T15+'4'!T15+'3'!T15+'5'!T15+'6'!T15+'7'!T15+'8'!T15+'9'!T15+'13'!T15+'10'!T15+'12'!T15+'11'!T15+'14'!T15+'15'!T15+'16'!T15+'17'!T15+'18'!T15+'19'!T15+'20'!T15+'21'!T15+'22'!T15+'23'!T15+'24'!T15+'25'!T15+'26'!T15+'28'!T15+'27'!T15+'29'!T15+'30'!T15+'31'!T15</f>
        <v>0</v>
      </c>
      <c r="U15" s="51">
        <f t="shared" si="2"/>
        <v>0</v>
      </c>
      <c r="V15" s="17" t="str">
        <f t="shared" si="3"/>
        <v>OK</v>
      </c>
    </row>
    <row r="16" spans="1:22" customFormat="1" x14ac:dyDescent="0.3">
      <c r="A16" s="63" t="s">
        <v>87</v>
      </c>
      <c r="B16" s="63">
        <v>15520</v>
      </c>
      <c r="C16" s="18" t="s">
        <v>47</v>
      </c>
      <c r="D16" s="19"/>
      <c r="E16" s="19"/>
      <c r="F16" s="19"/>
      <c r="G16" s="20"/>
      <c r="H16" s="21"/>
      <c r="I16" s="22">
        <f>+'1'!I16+'2'!I16+'4'!I16+'3'!I16+'5'!I16+'6'!I16+'7'!I16+'8'!I16+'9'!I16+'13'!I16+'10'!I16+'12'!I16+'11'!I16+'14'!I16+'15'!I16+'16'!I16+'17'!I16+'18'!I16+'19'!I16+'20'!I16+'21'!I16+'22'!I16+'23'!I16+'24'!I16+'25'!I16+'26'!I16+'28'!I16+'27'!I16+'29'!I16+'30'!I16+'31'!I16</f>
        <v>0</v>
      </c>
      <c r="J16" s="22"/>
      <c r="K16" s="11"/>
      <c r="L16" s="22">
        <f>+'1'!L16+'2'!L16+'4'!L16+'3'!L16+'5'!L16+'6'!L16+'7'!L16+'8'!L16+'9'!L16+'13'!L16+'10'!L16+'12'!L16+'11'!L16+'14'!L16+'15'!L16+'16'!L16+'17'!L16+'18'!L16+'19'!L16+'20'!L16+'21'!L16+'22'!L16+'23'!L16+'24'!L16+'25'!L16+'26'!L16+'28'!L16+'27'!L16+'29'!L16+'30'!L16+'31'!L16</f>
        <v>0</v>
      </c>
      <c r="M16" s="22">
        <f>+'1'!M16+'2'!M16+'4'!M16+'3'!M16+'5'!M16+'6'!M16+'7'!M16+'8'!M16+'9'!M16+'13'!M16+'10'!M16+'12'!M16+'11'!M16+'14'!M16+'15'!M16+'16'!M16+'17'!M16+'18'!M16+'19'!M16+'20'!M16+'21'!M16+'22'!M16+'23'!M16+'24'!M16+'25'!M16+'26'!M16+'28'!M16+'27'!M16+'29'!M16+'30'!M16+'31'!M16</f>
        <v>0</v>
      </c>
      <c r="N16" s="22">
        <f>+'1'!N16+'2'!N16+'4'!N16+'3'!N16+'5'!N16+'6'!N16+'7'!N16+'8'!N16+'9'!N16+'13'!N16+'10'!N16+'12'!N16+'11'!N16+'14'!N16+'15'!N16+'16'!N16+'17'!N16+'18'!N16+'19'!N16+'20'!N16+'21'!N16+'22'!N16+'23'!N16+'24'!N16+'25'!N16+'26'!N16+'28'!N16+'27'!N16+'29'!N16+'30'!N16+'31'!N16</f>
        <v>0</v>
      </c>
      <c r="O16" s="22">
        <f>+'1'!O16+'2'!O16+'4'!O16+'3'!O16+'5'!O16+'6'!O16+'7'!O16+'8'!O16+'9'!O16+'13'!O16+'10'!O16+'12'!O16+'11'!O16+'14'!O16+'15'!O16+'16'!O16+'17'!O16+'18'!O16+'19'!O16+'20'!O16+'21'!O16+'22'!O16+'23'!O16+'24'!O16+'25'!O16+'26'!O16+'28'!O16+'27'!O16+'29'!O16+'30'!O16+'31'!O16</f>
        <v>0</v>
      </c>
      <c r="P16" s="22">
        <f>+'1'!P16+'2'!P16+'4'!P16+'3'!P16+'5'!P16+'6'!P16+'7'!P16+'8'!P16+'9'!P16+'13'!P16+'10'!P16+'12'!P16+'11'!P16+'14'!P16+'15'!P16+'16'!P16+'17'!P16+'18'!P16+'19'!P16+'20'!P16+'21'!P16+'22'!P16+'23'!P16+'24'!P16+'25'!P16+'26'!P16+'28'!P16+'27'!P16+'29'!P16+'30'!P16+'31'!P16</f>
        <v>0</v>
      </c>
      <c r="Q16" s="22">
        <f>+'1'!Q16+'2'!Q16+'4'!Q16+'3'!Q16+'5'!Q16+'6'!Q16+'7'!Q16+'8'!Q16+'9'!Q16+'13'!Q16+'10'!Q16+'12'!Q16+'11'!Q16+'14'!Q16+'15'!Q16+'16'!Q16+'17'!Q16+'18'!Q16+'19'!Q16+'20'!Q16+'21'!Q16+'22'!Q16+'23'!Q16+'24'!Q16+'25'!Q16+'26'!Q16+'28'!Q16+'27'!Q16+'29'!Q16+'30'!Q16+'31'!Q16</f>
        <v>0</v>
      </c>
      <c r="R16" s="36">
        <f>+'1'!R16+'2'!R16+'4'!R16+'3'!R16+'5'!R16+'6'!R16+'7'!R16+'8'!R16+'9'!R16+'13'!R16+'10'!R16+'12'!R16+'11'!R16+'14'!R16+'15'!R16+'16'!R16+'17'!R16+'18'!R16+'19'!R16+'20'!R16+'21'!R16+'22'!R16+'23'!R16+'24'!R16+'25'!R16+'26'!R16+'28'!R16+'27'!R16+'29'!R16+'30'!R16+'31'!R16</f>
        <v>0</v>
      </c>
      <c r="S16" s="44">
        <f>+'1'!S16+'2'!S16+'4'!S16+'3'!S16+'5'!S16+'6'!S16+'7'!S16+'8'!S16+'9'!S16+'13'!S16+'10'!S16+'12'!S16+'11'!S16+'14'!S16+'15'!S16+'16'!S16+'17'!S16+'18'!S16+'19'!S16+'20'!S16+'21'!S16+'22'!S16+'23'!S16+'24'!S16+'25'!S16+'26'!S16+'28'!S16+'27'!S16+'29'!S16+'30'!S16+'31'!S16</f>
        <v>0</v>
      </c>
      <c r="T16" s="47">
        <f>+'1'!T16+'2'!T16+'4'!T16+'3'!T16+'5'!T16+'6'!T16+'7'!T16+'8'!T16+'9'!T16+'13'!T16+'10'!T16+'12'!T16+'11'!T16+'14'!T16+'15'!T16+'16'!T16+'17'!T16+'18'!T16+'19'!T16+'20'!T16+'21'!T16+'22'!T16+'23'!T16+'24'!T16+'25'!T16+'26'!T16+'28'!T16+'27'!T16+'29'!T16+'30'!T16+'31'!T16</f>
        <v>0</v>
      </c>
      <c r="U16" s="52">
        <f t="shared" si="2"/>
        <v>0</v>
      </c>
      <c r="V16" s="23" t="str">
        <f t="shared" si="3"/>
        <v>OK</v>
      </c>
    </row>
    <row r="17" spans="1:22" customFormat="1" x14ac:dyDescent="0.3">
      <c r="A17" s="62" t="s">
        <v>85</v>
      </c>
      <c r="B17" s="62">
        <v>14989</v>
      </c>
      <c r="C17" s="12" t="s">
        <v>45</v>
      </c>
      <c r="D17" s="53"/>
      <c r="E17" s="13"/>
      <c r="F17" s="13"/>
      <c r="G17" s="14"/>
      <c r="H17" s="15"/>
      <c r="I17" s="16">
        <f>+'1'!I17+'2'!I17+'4'!I17+'3'!I17+'5'!I17+'6'!I17+'7'!I17+'8'!I17+'9'!I17+'13'!I17+'10'!I17+'12'!I17+'11'!I17+'14'!I17+'15'!I17+'16'!I17+'17'!I17+'18'!I17+'19'!I17+'20'!I17+'21'!I17+'22'!I17+'23'!I17+'24'!I17+'25'!I17+'26'!I17+'28'!I17+'27'!I17+'29'!I17+'30'!I17+'31'!I17</f>
        <v>29</v>
      </c>
      <c r="J17" s="16"/>
      <c r="K17" s="11"/>
      <c r="L17" s="16">
        <f>+'1'!L17+'2'!L17+'4'!L17+'3'!L17+'5'!L17+'6'!L17+'7'!L17+'8'!L17+'9'!L17+'13'!L17+'10'!L17+'12'!L17+'11'!L17+'14'!L17+'15'!L17+'16'!L17+'17'!L17+'18'!L17+'19'!L17+'20'!L17+'21'!L17+'22'!L17+'23'!L17+'24'!L17+'25'!L17+'26'!L17+'28'!L17+'27'!L17+'29'!L17+'30'!L17+'31'!L17</f>
        <v>0</v>
      </c>
      <c r="M17" s="16">
        <f>+'1'!M17+'2'!M17+'4'!M17+'3'!M17+'5'!M17+'6'!M17+'7'!M17+'8'!M17+'9'!M17+'13'!M17+'10'!M17+'12'!M17+'11'!M17+'14'!M17+'15'!M17+'16'!M17+'17'!M17+'18'!M17+'19'!M17+'20'!M17+'21'!M17+'22'!M17+'23'!M17+'24'!M17+'25'!M17+'26'!M17+'28'!M17+'27'!M17+'29'!M17+'30'!M17+'31'!M17</f>
        <v>29</v>
      </c>
      <c r="N17" s="16">
        <f>+'1'!N17+'2'!N17+'4'!N17+'3'!N17+'5'!N17+'6'!N17+'7'!N17+'8'!N17+'9'!N17+'13'!N17+'10'!N17+'12'!N17+'11'!N17+'14'!N17+'15'!N17+'16'!N17+'17'!N17+'18'!N17+'19'!N17+'20'!N17+'21'!N17+'22'!N17+'23'!N17+'24'!N17+'25'!N17+'26'!N17+'28'!N17+'27'!N17+'29'!N17+'30'!N17+'31'!N17</f>
        <v>0</v>
      </c>
      <c r="O17" s="16">
        <f>+'1'!O17+'2'!O17+'4'!O17+'3'!O17+'5'!O17+'6'!O17+'7'!O17+'8'!O17+'9'!O17+'13'!O17+'10'!O17+'12'!O17+'11'!O17+'14'!O17+'15'!O17+'16'!O17+'17'!O17+'18'!O17+'19'!O17+'20'!O17+'21'!O17+'22'!O17+'23'!O17+'24'!O17+'25'!O17+'26'!O17+'28'!O17+'27'!O17+'29'!O17+'30'!O17+'31'!O17</f>
        <v>0</v>
      </c>
      <c r="P17" s="16">
        <f>+'1'!P17+'2'!P17+'4'!P17+'3'!P17+'5'!P17+'6'!P17+'7'!P17+'8'!P17+'9'!P17+'13'!P17+'10'!P17+'12'!P17+'11'!P17+'14'!P17+'15'!P17+'16'!P17+'17'!P17+'18'!P17+'19'!P17+'20'!P17+'21'!P17+'22'!P17+'23'!P17+'24'!P17+'25'!P17+'26'!P17+'28'!P17+'27'!P17+'29'!P17+'30'!P17+'31'!P17</f>
        <v>0</v>
      </c>
      <c r="Q17" s="16">
        <f>+'1'!Q17+'2'!Q17+'4'!Q17+'3'!Q17+'5'!Q17+'6'!Q17+'7'!Q17+'8'!Q17+'9'!Q17+'13'!Q17+'10'!Q17+'12'!Q17+'11'!Q17+'14'!Q17+'15'!Q17+'16'!Q17+'17'!Q17+'18'!Q17+'19'!Q17+'20'!Q17+'21'!Q17+'22'!Q17+'23'!Q17+'24'!Q17+'25'!Q17+'26'!Q17+'28'!Q17+'27'!Q17+'29'!Q17+'30'!Q17+'31'!Q17</f>
        <v>0</v>
      </c>
      <c r="R17" s="35">
        <f>+'1'!R17+'2'!R17+'4'!R17+'3'!R17+'5'!R17+'6'!R17+'7'!R17+'8'!R17+'9'!R17+'13'!R17+'10'!R17+'12'!R17+'11'!R17+'14'!R17+'15'!R17+'16'!R17+'17'!R17+'18'!R17+'19'!R17+'20'!R17+'21'!R17+'22'!R17+'23'!R17+'24'!R17+'25'!R17+'26'!R17+'28'!R17+'27'!R17+'29'!R17+'30'!R17+'31'!R17</f>
        <v>0</v>
      </c>
      <c r="S17" s="43">
        <f>+'1'!S17+'2'!S17+'4'!S17+'3'!S17+'5'!S17+'6'!S17+'7'!S17+'8'!S17+'9'!S17+'13'!S17+'10'!S17+'12'!S17+'11'!S17+'14'!S17+'15'!S17+'16'!S17+'17'!S17+'18'!S17+'19'!S17+'20'!S17+'21'!S17+'22'!S17+'23'!S17+'24'!S17+'25'!S17+'26'!S17+'28'!S17+'27'!S17+'29'!S17+'30'!S17+'31'!S17</f>
        <v>0</v>
      </c>
      <c r="T17" s="46">
        <f>+'1'!T17+'2'!T17+'4'!T17+'3'!T17+'5'!T17+'6'!T17+'7'!T17+'8'!T17+'9'!T17+'13'!T17+'10'!T17+'12'!T17+'11'!T17+'14'!T17+'15'!T17+'16'!T17+'17'!T17+'18'!T17+'19'!T17+'20'!T17+'21'!T17+'22'!T17+'23'!T17+'24'!T17+'25'!T17+'26'!T17+'28'!T17+'27'!T17+'29'!T17+'30'!T17+'31'!T17</f>
        <v>0</v>
      </c>
      <c r="U17" s="51">
        <f t="shared" si="2"/>
        <v>29</v>
      </c>
      <c r="V17" s="17" t="str">
        <f t="shared" si="3"/>
        <v>OK</v>
      </c>
    </row>
    <row r="18" spans="1:22" customFormat="1" x14ac:dyDescent="0.3">
      <c r="A18" s="63" t="s">
        <v>84</v>
      </c>
      <c r="B18" s="63">
        <v>14984</v>
      </c>
      <c r="C18" s="18" t="s">
        <v>46</v>
      </c>
      <c r="D18" s="19"/>
      <c r="E18" s="19"/>
      <c r="F18" s="19"/>
      <c r="G18" s="20"/>
      <c r="H18" s="21"/>
      <c r="I18" s="22">
        <f>+'1'!I18+'2'!I18+'4'!I18+'3'!I18+'5'!I18+'6'!I18+'7'!I18+'8'!I18+'9'!I18+'13'!I18+'10'!I18+'12'!I18+'11'!I18+'14'!I18+'15'!I18+'16'!I18+'17'!I18+'18'!I18+'19'!I18+'20'!I18+'21'!I18+'22'!I18+'23'!I18+'24'!I18+'25'!I18+'26'!I18+'28'!I18+'27'!I18+'29'!I18+'30'!I18+'31'!I18</f>
        <v>0</v>
      </c>
      <c r="J18" s="22"/>
      <c r="K18" s="11"/>
      <c r="L18" s="22">
        <f>+'1'!L18+'2'!L18+'4'!L18+'3'!L18+'5'!L18+'6'!L18+'7'!L18+'8'!L18+'9'!L18+'13'!L18+'10'!L18+'12'!L18+'11'!L18+'14'!L18+'15'!L18+'16'!L18+'17'!L18+'18'!L18+'19'!L18+'20'!L18+'21'!L18+'22'!L18+'23'!L18+'24'!L18+'25'!L18+'26'!L18+'28'!L18+'27'!L18+'29'!L18+'30'!L18+'31'!L18</f>
        <v>0</v>
      </c>
      <c r="M18" s="22">
        <f>+'1'!M18+'2'!M18+'4'!M18+'3'!M18+'5'!M18+'6'!M18+'7'!M18+'8'!M18+'9'!M18+'13'!M18+'10'!M18+'12'!M18+'11'!M18+'14'!M18+'15'!M18+'16'!M18+'17'!M18+'18'!M18+'19'!M18+'20'!M18+'21'!M18+'22'!M18+'23'!M18+'24'!M18+'25'!M18+'26'!M18+'28'!M18+'27'!M18+'29'!M18+'30'!M18+'31'!M18</f>
        <v>0</v>
      </c>
      <c r="N18" s="22">
        <f>+'1'!N18+'2'!N18+'4'!N18+'3'!N18+'5'!N18+'6'!N18+'7'!N18+'8'!N18+'9'!N18+'13'!N18+'10'!N18+'12'!N18+'11'!N18+'14'!N18+'15'!N18+'16'!N18+'17'!N18+'18'!N18+'19'!N18+'20'!N18+'21'!N18+'22'!N18+'23'!N18+'24'!N18+'25'!N18+'26'!N18+'28'!N18+'27'!N18+'29'!N18+'30'!N18+'31'!N18</f>
        <v>0</v>
      </c>
      <c r="O18" s="22">
        <f>+'1'!O18+'2'!O18+'4'!O18+'3'!O18+'5'!O18+'6'!O18+'7'!O18+'8'!O18+'9'!O18+'13'!O18+'10'!O18+'12'!O18+'11'!O18+'14'!O18+'15'!O18+'16'!O18+'17'!O18+'18'!O18+'19'!O18+'20'!O18+'21'!O18+'22'!O18+'23'!O18+'24'!O18+'25'!O18+'26'!O18+'28'!O18+'27'!O18+'29'!O18+'30'!O18+'31'!O18</f>
        <v>0</v>
      </c>
      <c r="P18" s="22">
        <f>+'1'!P18+'2'!P18+'4'!P18+'3'!P18+'5'!P18+'6'!P18+'7'!P18+'8'!P18+'9'!P18+'13'!P18+'10'!P18+'12'!P18+'11'!P18+'14'!P18+'15'!P18+'16'!P18+'17'!P18+'18'!P18+'19'!P18+'20'!P18+'21'!P18+'22'!P18+'23'!P18+'24'!P18+'25'!P18+'26'!P18+'28'!P18+'27'!P18+'29'!P18+'30'!P18+'31'!P18</f>
        <v>0</v>
      </c>
      <c r="Q18" s="22">
        <f>+'1'!Q18+'2'!Q18+'4'!Q18+'3'!Q18+'5'!Q18+'6'!Q18+'7'!Q18+'8'!Q18+'9'!Q18+'13'!Q18+'10'!Q18+'12'!Q18+'11'!Q18+'14'!Q18+'15'!Q18+'16'!Q18+'17'!Q18+'18'!Q18+'19'!Q18+'20'!Q18+'21'!Q18+'22'!Q18+'23'!Q18+'24'!Q18+'25'!Q18+'26'!Q18+'28'!Q18+'27'!Q18+'29'!Q18+'30'!Q18+'31'!Q18</f>
        <v>0</v>
      </c>
      <c r="R18" s="36">
        <f>+'1'!R18+'2'!R18+'4'!R18+'3'!R18+'5'!R18+'6'!R18+'7'!R18+'8'!R18+'9'!R18+'13'!R18+'10'!R18+'12'!R18+'11'!R18+'14'!R18+'15'!R18+'16'!R18+'17'!R18+'18'!R18+'19'!R18+'20'!R18+'21'!R18+'22'!R18+'23'!R18+'24'!R18+'25'!R18+'26'!R18+'28'!R18+'27'!R18+'29'!R18+'30'!R18+'31'!R18</f>
        <v>0</v>
      </c>
      <c r="S18" s="44">
        <f>+'1'!S18+'2'!S18+'4'!S18+'3'!S18+'5'!S18+'6'!S18+'7'!S18+'8'!S18+'9'!S18+'13'!S18+'10'!S18+'12'!S18+'11'!S18+'14'!S18+'15'!S18+'16'!S18+'17'!S18+'18'!S18+'19'!S18+'20'!S18+'21'!S18+'22'!S18+'23'!S18+'24'!S18+'25'!S18+'26'!S18+'28'!S18+'27'!S18+'29'!S18+'30'!S18+'31'!S18</f>
        <v>0</v>
      </c>
      <c r="T18" s="47">
        <f>+'1'!T18+'2'!T18+'4'!T18+'3'!T18+'5'!T18+'6'!T18+'7'!T18+'8'!T18+'9'!T18+'13'!T18+'10'!T18+'12'!T18+'11'!T18+'14'!T18+'15'!T18+'16'!T18+'17'!T18+'18'!T18+'19'!T18+'20'!T18+'21'!T18+'22'!T18+'23'!T18+'24'!T18+'25'!T18+'26'!T18+'28'!T18+'27'!T18+'29'!T18+'30'!T18+'31'!T18</f>
        <v>0</v>
      </c>
      <c r="U18" s="52">
        <f t="shared" si="2"/>
        <v>0</v>
      </c>
      <c r="V18" s="23" t="str">
        <f t="shared" si="3"/>
        <v>OK</v>
      </c>
    </row>
    <row r="19" spans="1:22" customFormat="1" x14ac:dyDescent="0.3">
      <c r="A19" s="62" t="s">
        <v>88</v>
      </c>
      <c r="B19" s="62">
        <v>16270</v>
      </c>
      <c r="C19" s="12" t="s">
        <v>89</v>
      </c>
      <c r="D19" s="53"/>
      <c r="E19" s="13"/>
      <c r="F19" s="13"/>
      <c r="G19" s="14"/>
      <c r="H19" s="15"/>
      <c r="I19" s="16">
        <f>+'1'!I19+'2'!I19+'4'!I19+'3'!I19+'5'!I19+'6'!I19+'7'!I19+'8'!I19+'9'!I19+'13'!I19+'10'!I19+'12'!I19+'11'!I19+'14'!I19+'15'!I19+'16'!I19+'17'!I19+'18'!I19+'19'!I19+'20'!I19+'21'!I19+'22'!I19+'23'!I19+'24'!I19+'25'!I19+'26'!I19+'28'!I19+'27'!I19+'29'!I19+'30'!I19+'31'!I19</f>
        <v>0</v>
      </c>
      <c r="J19" s="16"/>
      <c r="K19" s="11"/>
      <c r="L19" s="16">
        <f>+'1'!L19+'2'!L19+'4'!L19+'3'!L19+'5'!L19+'6'!L19+'7'!L19+'8'!L19+'9'!L19+'13'!L19+'10'!L19+'12'!L19+'11'!L19+'14'!L19+'15'!L19+'16'!L19+'17'!L19+'18'!L19+'19'!L19+'20'!L19+'21'!L19+'22'!L19+'23'!L19+'24'!L19+'25'!L19+'26'!L19+'28'!L19+'27'!L19+'29'!L19+'30'!L19+'31'!L19</f>
        <v>0</v>
      </c>
      <c r="M19" s="16">
        <f>+'1'!M19+'2'!M19+'4'!M19+'3'!M19+'5'!M19+'6'!M19+'7'!M19+'8'!M19+'9'!M19+'13'!M19+'10'!M19+'12'!M19+'11'!M19+'14'!M19+'15'!M19+'16'!M19+'17'!M19+'18'!M19+'19'!M19+'20'!M19+'21'!M19+'22'!M19+'23'!M19+'24'!M19+'25'!M19+'26'!M19+'28'!M19+'27'!M19+'29'!M19+'30'!M19+'31'!M19</f>
        <v>0</v>
      </c>
      <c r="N19" s="16">
        <f>+'1'!N19+'2'!N19+'4'!N19+'3'!N19+'5'!N19+'6'!N19+'7'!N19+'8'!N19+'9'!N19+'13'!N19+'10'!N19+'12'!N19+'11'!N19+'14'!N19+'15'!N19+'16'!N19+'17'!N19+'18'!N19+'19'!N19+'20'!N19+'21'!N19+'22'!N19+'23'!N19+'24'!N19+'25'!N19+'26'!N19+'28'!N19+'27'!N19+'29'!N19+'30'!N19+'31'!N19</f>
        <v>0</v>
      </c>
      <c r="O19" s="16">
        <f>+'1'!O19+'2'!O19+'4'!O19+'3'!O19+'5'!O19+'6'!O19+'7'!O19+'8'!O19+'9'!O19+'13'!O19+'10'!O19+'12'!O19+'11'!O19+'14'!O19+'15'!O19+'16'!O19+'17'!O19+'18'!O19+'19'!O19+'20'!O19+'21'!O19+'22'!O19+'23'!O19+'24'!O19+'25'!O19+'26'!O19+'28'!O19+'27'!O19+'29'!O19+'30'!O19+'31'!O19</f>
        <v>0</v>
      </c>
      <c r="P19" s="16">
        <f>+'1'!P19+'2'!P19+'4'!P19+'3'!P19+'5'!P19+'6'!P19+'7'!P19+'8'!P19+'9'!P19+'13'!P19+'10'!P19+'12'!P19+'11'!P19+'14'!P19+'15'!P19+'16'!P19+'17'!P19+'18'!P19+'19'!P19+'20'!P19+'21'!P19+'22'!P19+'23'!P19+'24'!P19+'25'!P19+'26'!P19+'28'!P19+'27'!P19+'29'!P19+'30'!P19+'31'!P19</f>
        <v>0</v>
      </c>
      <c r="Q19" s="16">
        <f>+'1'!Q19+'2'!Q19+'4'!Q19+'3'!Q19+'5'!Q19+'6'!Q19+'7'!Q19+'8'!Q19+'9'!Q19+'13'!Q19+'10'!Q19+'12'!Q19+'11'!Q19+'14'!Q19+'15'!Q19+'16'!Q19+'17'!Q19+'18'!Q19+'19'!Q19+'20'!Q19+'21'!Q19+'22'!Q19+'23'!Q19+'24'!Q19+'25'!Q19+'26'!Q19+'28'!Q19+'27'!Q19+'29'!Q19+'30'!Q19+'31'!Q19</f>
        <v>0</v>
      </c>
      <c r="R19" s="35">
        <f>+'1'!R19+'2'!R19+'4'!R19+'3'!R19+'5'!R19+'6'!R19+'7'!R19+'8'!R19+'9'!R19+'13'!R19+'10'!R19+'12'!R19+'11'!R19+'14'!R19+'15'!R19+'16'!R19+'17'!R19+'18'!R19+'19'!R19+'20'!R19+'21'!R19+'22'!R19+'23'!R19+'24'!R19+'25'!R19+'26'!R19+'28'!R19+'27'!R19+'29'!R19+'30'!R19+'31'!R19</f>
        <v>0</v>
      </c>
      <c r="S19" s="43">
        <f>+'1'!S19+'2'!S19+'4'!S19+'3'!S19+'5'!S19+'6'!S19+'7'!S19+'8'!S19+'9'!S19+'13'!S19+'10'!S19+'12'!S19+'11'!S19+'14'!S19+'15'!S19+'16'!S19+'17'!S19+'18'!S19+'19'!S19+'20'!S19+'21'!S19+'22'!S19+'23'!S19+'24'!S19+'25'!S19+'26'!S19+'28'!S19+'27'!S19+'29'!S19+'30'!S19+'31'!S19</f>
        <v>0</v>
      </c>
      <c r="T19" s="46">
        <f>+'1'!T19+'2'!T19+'4'!T19+'3'!T19+'5'!T19+'6'!T19+'7'!T19+'8'!T19+'9'!T19+'13'!T19+'10'!T19+'12'!T19+'11'!T19+'14'!T19+'15'!T19+'16'!T19+'17'!T19+'18'!T19+'19'!T19+'20'!T19+'21'!T19+'22'!T19+'23'!T19+'24'!T19+'25'!T19+'26'!T19+'28'!T19+'27'!T19+'29'!T19+'30'!T19+'31'!T19</f>
        <v>0</v>
      </c>
      <c r="U19" s="51">
        <f t="shared" si="2"/>
        <v>0</v>
      </c>
      <c r="V19" s="17" t="str">
        <f t="shared" si="3"/>
        <v>OK</v>
      </c>
    </row>
    <row r="20" spans="1:22" customFormat="1" x14ac:dyDescent="0.3">
      <c r="A20" s="63" t="s">
        <v>98</v>
      </c>
      <c r="B20" s="63">
        <v>19060</v>
      </c>
      <c r="C20" s="18" t="s">
        <v>47</v>
      </c>
      <c r="D20" s="19"/>
      <c r="E20" s="19"/>
      <c r="F20" s="19"/>
      <c r="G20" s="20"/>
      <c r="H20" s="21"/>
      <c r="I20" s="22">
        <f>+'1'!I20+'2'!I20+'4'!I20+'3'!I20+'5'!I20+'6'!I20+'7'!I20+'8'!I20+'9'!I20+'13'!I20+'10'!I20+'12'!I20+'11'!I20+'14'!I20+'15'!I20+'16'!I20+'17'!I20+'18'!I20+'19'!I20+'20'!I20+'21'!I20+'22'!I20+'23'!I20+'24'!I20+'25'!I20+'26'!I20+'28'!I20+'27'!I20+'29'!I20+'30'!I20+'31'!I20</f>
        <v>7</v>
      </c>
      <c r="J20" s="22"/>
      <c r="K20" s="11"/>
      <c r="L20" s="22">
        <f>+'1'!L20+'2'!L20+'4'!L20+'3'!L20+'5'!L20+'6'!L20+'7'!L20+'8'!L20+'9'!L20+'13'!L20+'10'!L20+'12'!L20+'11'!L20+'14'!L20+'15'!L20+'16'!L20+'17'!L20+'18'!L20+'19'!L20+'20'!L20+'21'!L20+'22'!L20+'23'!L20+'24'!L20+'25'!L20+'26'!L20+'28'!L20+'27'!L20+'29'!L20+'30'!L20+'31'!L20</f>
        <v>0</v>
      </c>
      <c r="M20" s="22">
        <f>+'1'!M20+'2'!M20+'4'!M20+'3'!M20+'5'!M20+'6'!M20+'7'!M20+'8'!M20+'9'!M20+'13'!M20+'10'!M20+'12'!M20+'11'!M20+'14'!M20+'15'!M20+'16'!M20+'17'!M20+'18'!M20+'19'!M20+'20'!M20+'21'!M20+'22'!M20+'23'!M20+'24'!M20+'25'!M20+'26'!M20+'28'!M20+'27'!M20+'29'!M20+'30'!M20+'31'!M20</f>
        <v>7</v>
      </c>
      <c r="N20" s="22">
        <f>+'1'!N20+'2'!N20+'4'!N20+'3'!N20+'5'!N20+'6'!N20+'7'!N20+'8'!N20+'9'!N20+'13'!N20+'10'!N20+'12'!N20+'11'!N20+'14'!N20+'15'!N20+'16'!N20+'17'!N20+'18'!N20+'19'!N20+'20'!N20+'21'!N20+'22'!N20+'23'!N20+'24'!N20+'25'!N20+'26'!N20+'28'!N20+'27'!N20+'29'!N20+'30'!N20+'31'!N20</f>
        <v>0</v>
      </c>
      <c r="O20" s="22">
        <f>+'1'!O20+'2'!O20+'4'!O20+'3'!O20+'5'!O20+'6'!O20+'7'!O20+'8'!O20+'9'!O20+'13'!O20+'10'!O20+'12'!O20+'11'!O20+'14'!O20+'15'!O20+'16'!O20+'17'!O20+'18'!O20+'19'!O20+'20'!O20+'21'!O20+'22'!O20+'23'!O20+'24'!O20+'25'!O20+'26'!O20+'28'!O20+'27'!O20+'29'!O20+'30'!O20+'31'!O20</f>
        <v>0</v>
      </c>
      <c r="P20" s="22">
        <f>+'1'!P20+'2'!P20+'4'!P20+'3'!P20+'5'!P20+'6'!P20+'7'!P20+'8'!P20+'9'!P20+'13'!P20+'10'!P20+'12'!P20+'11'!P20+'14'!P20+'15'!P20+'16'!P20+'17'!P20+'18'!P20+'19'!P20+'20'!P20+'21'!P20+'22'!P20+'23'!P20+'24'!P20+'25'!P20+'26'!P20+'28'!P20+'27'!P20+'29'!P20+'30'!P20+'31'!P20</f>
        <v>0</v>
      </c>
      <c r="Q20" s="22">
        <f>+'1'!Q20+'2'!Q20+'4'!Q20+'3'!Q20+'5'!Q20+'6'!Q20+'7'!Q20+'8'!Q20+'9'!Q20+'13'!Q20+'10'!Q20+'12'!Q20+'11'!Q20+'14'!Q20+'15'!Q20+'16'!Q20+'17'!Q20+'18'!Q20+'19'!Q20+'20'!Q20+'21'!Q20+'22'!Q20+'23'!Q20+'24'!Q20+'25'!Q20+'26'!Q20+'28'!Q20+'27'!Q20+'29'!Q20+'30'!Q20+'31'!Q20</f>
        <v>0</v>
      </c>
      <c r="R20" s="36">
        <f>+'1'!R20+'2'!R20+'4'!R20+'3'!R20+'5'!R20+'6'!R20+'7'!R20+'8'!R20+'9'!R20+'13'!R20+'10'!R20+'12'!R20+'11'!R20+'14'!R20+'15'!R20+'16'!R20+'17'!R20+'18'!R20+'19'!R20+'20'!R20+'21'!R20+'22'!R20+'23'!R20+'24'!R20+'25'!R20+'26'!R20+'28'!R20+'27'!R20+'29'!R20+'30'!R20+'31'!R20</f>
        <v>0</v>
      </c>
      <c r="S20" s="44">
        <f>+'1'!S20+'2'!S20+'4'!S20+'3'!S20+'5'!S20+'6'!S20+'7'!S20+'8'!S20+'9'!S20+'13'!S20+'10'!S20+'12'!S20+'11'!S20+'14'!S20+'15'!S20+'16'!S20+'17'!S20+'18'!S20+'19'!S20+'20'!S20+'21'!S20+'22'!S20+'23'!S20+'24'!S20+'25'!S20+'26'!S20+'28'!S20+'27'!S20+'29'!S20+'30'!S20+'31'!S20</f>
        <v>0</v>
      </c>
      <c r="T20" s="47">
        <f>+'1'!T20+'2'!T20+'4'!T20+'3'!T20+'5'!T20+'6'!T20+'7'!T20+'8'!T20+'9'!T20+'13'!T20+'10'!T20+'12'!T20+'11'!T20+'14'!T20+'15'!T20+'16'!T20+'17'!T20+'18'!T20+'19'!T20+'20'!T20+'21'!T20+'22'!T20+'23'!T20+'24'!T20+'25'!T20+'26'!T20+'28'!T20+'27'!T20+'29'!T20+'30'!T20+'31'!T20</f>
        <v>0</v>
      </c>
      <c r="U20" s="52">
        <f t="shared" si="2"/>
        <v>7</v>
      </c>
      <c r="V20" s="23" t="str">
        <f t="shared" si="3"/>
        <v>OK</v>
      </c>
    </row>
    <row r="21" spans="1:22" customFormat="1" x14ac:dyDescent="0.3">
      <c r="A21" s="62" t="s">
        <v>99</v>
      </c>
      <c r="B21" s="62">
        <v>18828</v>
      </c>
      <c r="C21" s="12" t="s">
        <v>94</v>
      </c>
      <c r="D21" s="53"/>
      <c r="E21" s="13"/>
      <c r="F21" s="13"/>
      <c r="G21" s="14"/>
      <c r="H21" s="15"/>
      <c r="I21" s="16">
        <f>+'1'!I21+'2'!I21+'4'!I21+'3'!I21+'5'!I21+'6'!I21+'7'!I21+'8'!I21+'9'!I21+'13'!I21+'10'!I21+'12'!I21+'11'!I21+'14'!I21+'15'!I21+'16'!I21+'17'!I21+'18'!I21+'19'!I21+'20'!I21+'21'!I21+'22'!I21+'23'!I21+'24'!I21+'25'!I21+'26'!I21+'28'!I21+'27'!I21+'29'!I21+'30'!I21+'31'!I21</f>
        <v>0</v>
      </c>
      <c r="J21" s="16"/>
      <c r="K21" s="11"/>
      <c r="L21" s="16">
        <f>+'1'!L21+'2'!L21+'4'!L21+'3'!L21+'5'!L21+'6'!L21+'7'!L21+'8'!L21+'9'!L21+'13'!L21+'10'!L21+'12'!L21+'11'!L21+'14'!L21+'15'!L21+'16'!L21+'17'!L21+'18'!L21+'19'!L21+'20'!L21+'21'!L21+'22'!L21+'23'!L21+'24'!L21+'25'!L21+'26'!L21+'28'!L21+'27'!L21+'29'!L21+'30'!L21+'31'!L21</f>
        <v>0</v>
      </c>
      <c r="M21" s="16">
        <f>+'1'!M21+'2'!M21+'4'!M21+'3'!M21+'5'!M21+'6'!M21+'7'!M21+'8'!M21+'9'!M21+'13'!M21+'10'!M21+'12'!M21+'11'!M21+'14'!M21+'15'!M21+'16'!M21+'17'!M21+'18'!M21+'19'!M21+'20'!M21+'21'!M21+'22'!M21+'23'!M21+'24'!M21+'25'!M21+'26'!M21+'28'!M21+'27'!M21+'29'!M21+'30'!M21+'31'!M21</f>
        <v>0</v>
      </c>
      <c r="N21" s="16">
        <f>+'1'!N21+'2'!N21+'4'!N21+'3'!N21+'5'!N21+'6'!N21+'7'!N21+'8'!N21+'9'!N21+'13'!N21+'10'!N21+'12'!N21+'11'!N21+'14'!N21+'15'!N21+'16'!N21+'17'!N21+'18'!N21+'19'!N21+'20'!N21+'21'!N21+'22'!N21+'23'!N21+'24'!N21+'25'!N21+'26'!N21+'28'!N21+'27'!N21+'29'!N21+'30'!N21+'31'!N21</f>
        <v>0</v>
      </c>
      <c r="O21" s="16">
        <f>+'1'!O21+'2'!O21+'4'!O21+'3'!O21+'5'!O21+'6'!O21+'7'!O21+'8'!O21+'9'!O21+'13'!O21+'10'!O21+'12'!O21+'11'!O21+'14'!O21+'15'!O21+'16'!O21+'17'!O21+'18'!O21+'19'!O21+'20'!O21+'21'!O21+'22'!O21+'23'!O21+'24'!O21+'25'!O21+'26'!O21+'28'!O21+'27'!O21+'29'!O21+'30'!O21+'31'!O21</f>
        <v>0</v>
      </c>
      <c r="P21" s="16">
        <f>+'1'!P21+'2'!P21+'4'!P21+'3'!P21+'5'!P21+'6'!P21+'7'!P21+'8'!P21+'9'!P21+'13'!P21+'10'!P21+'12'!P21+'11'!P21+'14'!P21+'15'!P21+'16'!P21+'17'!P21+'18'!P21+'19'!P21+'20'!P21+'21'!P21+'22'!P21+'23'!P21+'24'!P21+'25'!P21+'26'!P21+'28'!P21+'27'!P21+'29'!P21+'30'!P21+'31'!P21</f>
        <v>0</v>
      </c>
      <c r="Q21" s="16">
        <f>+'1'!Q21+'2'!Q21+'4'!Q21+'3'!Q21+'5'!Q21+'6'!Q21+'7'!Q21+'8'!Q21+'9'!Q21+'13'!Q21+'10'!Q21+'12'!Q21+'11'!Q21+'14'!Q21+'15'!Q21+'16'!Q21+'17'!Q21+'18'!Q21+'19'!Q21+'20'!Q21+'21'!Q21+'22'!Q21+'23'!Q21+'24'!Q21+'25'!Q21+'26'!Q21+'28'!Q21+'27'!Q21+'29'!Q21+'30'!Q21+'31'!Q21</f>
        <v>0</v>
      </c>
      <c r="R21" s="35">
        <f>+'1'!R21+'2'!R21+'4'!R21+'3'!R21+'5'!R21+'6'!R21+'7'!R21+'8'!R21+'9'!R21+'13'!R21+'10'!R21+'12'!R21+'11'!R21+'14'!R21+'15'!R21+'16'!R21+'17'!R21+'18'!R21+'19'!R21+'20'!R21+'21'!R21+'22'!R21+'23'!R21+'24'!R21+'25'!R21+'26'!R21+'28'!R21+'27'!R21+'29'!R21+'30'!R21+'31'!R21</f>
        <v>0</v>
      </c>
      <c r="S21" s="43">
        <f>+'1'!S21+'2'!S21+'4'!S21+'3'!S21+'5'!S21+'6'!S21+'7'!S21+'8'!S21+'9'!S21+'13'!S21+'10'!S21+'12'!S21+'11'!S21+'14'!S21+'15'!S21+'16'!S21+'17'!S21+'18'!S21+'19'!S21+'20'!S21+'21'!S21+'22'!S21+'23'!S21+'24'!S21+'25'!S21+'26'!S21+'28'!S21+'27'!S21+'29'!S21+'30'!S21+'31'!S21</f>
        <v>0</v>
      </c>
      <c r="T21" s="46">
        <f>+'1'!T21+'2'!T21+'4'!T21+'3'!T21+'5'!T21+'6'!T21+'7'!T21+'8'!T21+'9'!T21+'13'!T21+'10'!T21+'12'!T21+'11'!T21+'14'!T21+'15'!T21+'16'!T21+'17'!T21+'18'!T21+'19'!T21+'20'!T21+'21'!T21+'22'!T21+'23'!T21+'24'!T21+'25'!T21+'26'!T21+'28'!T21+'27'!T21+'29'!T21+'30'!T21+'31'!T21</f>
        <v>0</v>
      </c>
      <c r="U21" s="51">
        <f t="shared" si="2"/>
        <v>0</v>
      </c>
      <c r="V21" s="17" t="str">
        <f t="shared" si="3"/>
        <v>OK</v>
      </c>
    </row>
    <row r="22" spans="1:22" customFormat="1" x14ac:dyDescent="0.3">
      <c r="A22" s="63" t="s">
        <v>23</v>
      </c>
      <c r="B22" s="63">
        <v>5695</v>
      </c>
      <c r="C22" s="18" t="s">
        <v>49</v>
      </c>
      <c r="D22" s="19"/>
      <c r="E22" s="19"/>
      <c r="F22" s="19"/>
      <c r="G22" s="20"/>
      <c r="H22" s="21"/>
      <c r="I22" s="22">
        <f>+'1'!I22+'2'!I22+'4'!I22+'3'!I22+'5'!I22+'6'!I22+'7'!I22+'8'!I22+'9'!I22+'13'!I22+'10'!I22+'12'!I22+'11'!I22+'14'!I22+'15'!I22+'16'!I22+'17'!I22+'18'!I22+'19'!I22+'20'!I22+'21'!I22+'22'!I22+'23'!I22+'24'!I22+'25'!I22+'26'!I22+'28'!I22+'27'!I22+'29'!I22+'30'!I22+'31'!I22</f>
        <v>12</v>
      </c>
      <c r="J22" s="22"/>
      <c r="K22" s="11"/>
      <c r="L22" s="22">
        <f>+'1'!L22+'2'!L22+'4'!L22+'3'!L22+'5'!L22+'6'!L22+'7'!L22+'8'!L22+'9'!L22+'13'!L22+'10'!L22+'12'!L22+'11'!L22+'14'!L22+'15'!L22+'16'!L22+'17'!L22+'18'!L22+'19'!L22+'20'!L22+'21'!L22+'22'!L22+'23'!L22+'24'!L22+'25'!L22+'26'!L22+'28'!L22+'27'!L22+'29'!L22+'30'!L22+'31'!L22</f>
        <v>0</v>
      </c>
      <c r="M22" s="22">
        <f>+'1'!M22+'2'!M22+'4'!M22+'3'!M22+'5'!M22+'6'!M22+'7'!M22+'8'!M22+'9'!M22+'13'!M22+'10'!M22+'12'!M22+'11'!M22+'14'!M22+'15'!M22+'16'!M22+'17'!M22+'18'!M22+'19'!M22+'20'!M22+'21'!M22+'22'!M22+'23'!M22+'24'!M22+'25'!M22+'26'!M22+'28'!M22+'27'!M22+'29'!M22+'30'!M22+'31'!M22</f>
        <v>12</v>
      </c>
      <c r="N22" s="22">
        <f>+'1'!N22+'2'!N22+'4'!N22+'3'!N22+'5'!N22+'6'!N22+'7'!N22+'8'!N22+'9'!N22+'13'!N22+'10'!N22+'12'!N22+'11'!N22+'14'!N22+'15'!N22+'16'!N22+'17'!N22+'18'!N22+'19'!N22+'20'!N22+'21'!N22+'22'!N22+'23'!N22+'24'!N22+'25'!N22+'26'!N22+'28'!N22+'27'!N22+'29'!N22+'30'!N22+'31'!N22</f>
        <v>0</v>
      </c>
      <c r="O22" s="22">
        <f>+'1'!O22+'2'!O22+'4'!O22+'3'!O22+'5'!O22+'6'!O22+'7'!O22+'8'!O22+'9'!O22+'13'!O22+'10'!O22+'12'!O22+'11'!O22+'14'!O22+'15'!O22+'16'!O22+'17'!O22+'18'!O22+'19'!O22+'20'!O22+'21'!O22+'22'!O22+'23'!O22+'24'!O22+'25'!O22+'26'!O22+'28'!O22+'27'!O22+'29'!O22+'30'!O22+'31'!O22</f>
        <v>0</v>
      </c>
      <c r="P22" s="22">
        <f>+'1'!P22+'2'!P22+'4'!P22+'3'!P22+'5'!P22+'6'!P22+'7'!P22+'8'!P22+'9'!P22+'13'!P22+'10'!P22+'12'!P22+'11'!P22+'14'!P22+'15'!P22+'16'!P22+'17'!P22+'18'!P22+'19'!P22+'20'!P22+'21'!P22+'22'!P22+'23'!P22+'24'!P22+'25'!P22+'26'!P22+'28'!P22+'27'!P22+'29'!P22+'30'!P22+'31'!P22</f>
        <v>0</v>
      </c>
      <c r="Q22" s="22">
        <f>+'1'!Q22+'2'!Q22+'4'!Q22+'3'!Q22+'5'!Q22+'6'!Q22+'7'!Q22+'8'!Q22+'9'!Q22+'13'!Q22+'10'!Q22+'12'!Q22+'11'!Q22+'14'!Q22+'15'!Q22+'16'!Q22+'17'!Q22+'18'!Q22+'19'!Q22+'20'!Q22+'21'!Q22+'22'!Q22+'23'!Q22+'24'!Q22+'25'!Q22+'26'!Q22+'28'!Q22+'27'!Q22+'29'!Q22+'30'!Q22+'31'!Q22</f>
        <v>0</v>
      </c>
      <c r="R22" s="36">
        <f>+'1'!R22+'2'!R22+'4'!R22+'3'!R22+'5'!R22+'6'!R22+'7'!R22+'8'!R22+'9'!R22+'13'!R22+'10'!R22+'12'!R22+'11'!R22+'14'!R22+'15'!R22+'16'!R22+'17'!R22+'18'!R22+'19'!R22+'20'!R22+'21'!R22+'22'!R22+'23'!R22+'24'!R22+'25'!R22+'26'!R22+'28'!R22+'27'!R22+'29'!R22+'30'!R22+'31'!R22</f>
        <v>0</v>
      </c>
      <c r="S22" s="44">
        <f>+'1'!S22+'2'!S22+'4'!S22+'3'!S22+'5'!S22+'6'!S22+'7'!S22+'8'!S22+'9'!S22+'13'!S22+'10'!S22+'12'!S22+'11'!S22+'14'!S22+'15'!S22+'16'!S22+'17'!S22+'18'!S22+'19'!S22+'20'!S22+'21'!S22+'22'!S22+'23'!S22+'24'!S22+'25'!S22+'26'!S22+'28'!S22+'27'!S22+'29'!S22+'30'!S22+'31'!S22</f>
        <v>0</v>
      </c>
      <c r="T22" s="47">
        <f>+'1'!T22+'2'!T22+'4'!T22+'3'!T22+'5'!T22+'6'!T22+'7'!T22+'8'!T22+'9'!T22+'13'!T22+'10'!T22+'12'!T22+'11'!T22+'14'!T22+'15'!T22+'16'!T22+'17'!T22+'18'!T22+'19'!T22+'20'!T22+'21'!T22+'22'!T22+'23'!T22+'24'!T22+'25'!T22+'26'!T22+'28'!T22+'27'!T22+'29'!T22+'30'!T22+'31'!T22</f>
        <v>0</v>
      </c>
      <c r="U22" s="52">
        <f t="shared" si="2"/>
        <v>12</v>
      </c>
      <c r="V22" s="23" t="str">
        <f t="shared" si="3"/>
        <v>OK</v>
      </c>
    </row>
    <row r="23" spans="1:22" customFormat="1" x14ac:dyDescent="0.3">
      <c r="A23" s="62" t="s">
        <v>24</v>
      </c>
      <c r="B23" s="62">
        <v>5691</v>
      </c>
      <c r="C23" s="12" t="s">
        <v>50</v>
      </c>
      <c r="D23" s="53"/>
      <c r="E23" s="13"/>
      <c r="F23" s="13"/>
      <c r="G23" s="14"/>
      <c r="H23" s="15"/>
      <c r="I23" s="16">
        <f>+'1'!I23+'2'!I23+'4'!I23+'3'!I23+'5'!I23+'6'!I23+'7'!I23+'8'!I23+'9'!I23+'13'!I23+'10'!I23+'12'!I23+'11'!I23+'14'!I23+'15'!I23+'16'!I23+'17'!I23+'18'!I23+'19'!I23+'20'!I23+'21'!I23+'22'!I23+'23'!I23+'24'!I23+'25'!I23+'26'!I23+'28'!I23+'27'!I23+'29'!I23+'30'!I23+'31'!I23</f>
        <v>0</v>
      </c>
      <c r="J23" s="16"/>
      <c r="K23" s="11"/>
      <c r="L23" s="16">
        <f>+'1'!L23+'2'!L23+'4'!L23+'3'!L23+'5'!L23+'6'!L23+'7'!L23+'8'!L23+'9'!L23+'13'!L23+'10'!L23+'12'!L23+'11'!L23+'14'!L23+'15'!L23+'16'!L23+'17'!L23+'18'!L23+'19'!L23+'20'!L23+'21'!L23+'22'!L23+'23'!L23+'24'!L23+'25'!L23+'26'!L23+'28'!L23+'27'!L23+'29'!L23+'30'!L23+'31'!L23</f>
        <v>0</v>
      </c>
      <c r="M23" s="16">
        <f>+'1'!M23+'2'!M23+'4'!M23+'3'!M23+'5'!M23+'6'!M23+'7'!M23+'8'!M23+'9'!M23+'13'!M23+'10'!M23+'12'!M23+'11'!M23+'14'!M23+'15'!M23+'16'!M23+'17'!M23+'18'!M23+'19'!M23+'20'!M23+'21'!M23+'22'!M23+'23'!M23+'24'!M23+'25'!M23+'26'!M23+'28'!M23+'27'!M23+'29'!M23+'30'!M23+'31'!M23</f>
        <v>0</v>
      </c>
      <c r="N23" s="16">
        <f>+'1'!N23+'2'!N23+'4'!N23+'3'!N23+'5'!N23+'6'!N23+'7'!N23+'8'!N23+'9'!N23+'13'!N23+'10'!N23+'12'!N23+'11'!N23+'14'!N23+'15'!N23+'16'!N23+'17'!N23+'18'!N23+'19'!N23+'20'!N23+'21'!N23+'22'!N23+'23'!N23+'24'!N23+'25'!N23+'26'!N23+'28'!N23+'27'!N23+'29'!N23+'30'!N23+'31'!N23</f>
        <v>0</v>
      </c>
      <c r="O23" s="16">
        <f>+'1'!O23+'2'!O23+'4'!O23+'3'!O23+'5'!O23+'6'!O23+'7'!O23+'8'!O23+'9'!O23+'13'!O23+'10'!O23+'12'!O23+'11'!O23+'14'!O23+'15'!O23+'16'!O23+'17'!O23+'18'!O23+'19'!O23+'20'!O23+'21'!O23+'22'!O23+'23'!O23+'24'!O23+'25'!O23+'26'!O23+'28'!O23+'27'!O23+'29'!O23+'30'!O23+'31'!O23</f>
        <v>0</v>
      </c>
      <c r="P23" s="16">
        <f>+'1'!P23+'2'!P23+'4'!P23+'3'!P23+'5'!P23+'6'!P23+'7'!P23+'8'!P23+'9'!P23+'13'!P23+'10'!P23+'12'!P23+'11'!P23+'14'!P23+'15'!P23+'16'!P23+'17'!P23+'18'!P23+'19'!P23+'20'!P23+'21'!P23+'22'!P23+'23'!P23+'24'!P23+'25'!P23+'26'!P23+'28'!P23+'27'!P23+'29'!P23+'30'!P23+'31'!P23</f>
        <v>0</v>
      </c>
      <c r="Q23" s="16">
        <f>+'1'!Q23+'2'!Q23+'4'!Q23+'3'!Q23+'5'!Q23+'6'!Q23+'7'!Q23+'8'!Q23+'9'!Q23+'13'!Q23+'10'!Q23+'12'!Q23+'11'!Q23+'14'!Q23+'15'!Q23+'16'!Q23+'17'!Q23+'18'!Q23+'19'!Q23+'20'!Q23+'21'!Q23+'22'!Q23+'23'!Q23+'24'!Q23+'25'!Q23+'26'!Q23+'28'!Q23+'27'!Q23+'29'!Q23+'30'!Q23+'31'!Q23</f>
        <v>0</v>
      </c>
      <c r="R23" s="35">
        <f>+'1'!R23+'2'!R23+'4'!R23+'3'!R23+'5'!R23+'6'!R23+'7'!R23+'8'!R23+'9'!R23+'13'!R23+'10'!R23+'12'!R23+'11'!R23+'14'!R23+'15'!R23+'16'!R23+'17'!R23+'18'!R23+'19'!R23+'20'!R23+'21'!R23+'22'!R23+'23'!R23+'24'!R23+'25'!R23+'26'!R23+'28'!R23+'27'!R23+'29'!R23+'30'!R23+'31'!R23</f>
        <v>0</v>
      </c>
      <c r="S23" s="43">
        <f>+'1'!S23+'2'!S23+'4'!S23+'3'!S23+'5'!S23+'6'!S23+'7'!S23+'8'!S23+'9'!S23+'13'!S23+'10'!S23+'12'!S23+'11'!S23+'14'!S23+'15'!S23+'16'!S23+'17'!S23+'18'!S23+'19'!S23+'20'!S23+'21'!S23+'22'!S23+'23'!S23+'24'!S23+'25'!S23+'26'!S23+'28'!S23+'27'!S23+'29'!S23+'30'!S23+'31'!S23</f>
        <v>0</v>
      </c>
      <c r="T23" s="46">
        <f>+'1'!T23+'2'!T23+'4'!T23+'3'!T23+'5'!T23+'6'!T23+'7'!T23+'8'!T23+'9'!T23+'13'!T23+'10'!T23+'12'!T23+'11'!T23+'14'!T23+'15'!T23+'16'!T23+'17'!T23+'18'!T23+'19'!T23+'20'!T23+'21'!T23+'22'!T23+'23'!T23+'24'!T23+'25'!T23+'26'!T23+'28'!T23+'27'!T23+'29'!T23+'30'!T23+'31'!T23</f>
        <v>0</v>
      </c>
      <c r="U23" s="51">
        <f t="shared" si="2"/>
        <v>0</v>
      </c>
      <c r="V23" s="17" t="str">
        <f t="shared" si="3"/>
        <v>OK</v>
      </c>
    </row>
    <row r="24" spans="1:22" customFormat="1" x14ac:dyDescent="0.3">
      <c r="A24" s="63" t="s">
        <v>37</v>
      </c>
      <c r="B24" s="63">
        <v>5687</v>
      </c>
      <c r="C24" s="18" t="s">
        <v>51</v>
      </c>
      <c r="D24" s="19"/>
      <c r="E24" s="19"/>
      <c r="F24" s="19"/>
      <c r="G24" s="20"/>
      <c r="H24" s="21"/>
      <c r="I24" s="22">
        <f>+'1'!I24+'2'!I24+'4'!I24+'3'!I24+'5'!I24+'6'!I24+'7'!I24+'8'!I24+'9'!I24+'13'!I24+'10'!I24+'12'!I24+'11'!I24+'14'!I24+'15'!I24+'16'!I24+'17'!I24+'18'!I24+'19'!I24+'20'!I24+'21'!I24+'22'!I24+'23'!I24+'24'!I24+'25'!I24+'26'!I24+'28'!I24+'27'!I24+'29'!I24+'30'!I24+'31'!I24</f>
        <v>0</v>
      </c>
      <c r="J24" s="22"/>
      <c r="K24" s="11"/>
      <c r="L24" s="22">
        <f>+'1'!L24+'2'!L24+'4'!L24+'3'!L24+'5'!L24+'6'!L24+'7'!L24+'8'!L24+'9'!L24+'13'!L24+'10'!L24+'12'!L24+'11'!L24+'14'!L24+'15'!L24+'16'!L24+'17'!L24+'18'!L24+'19'!L24+'20'!L24+'21'!L24+'22'!L24+'23'!L24+'24'!L24+'25'!L24+'26'!L24+'28'!L24+'27'!L24+'29'!L24+'30'!L24+'31'!L24</f>
        <v>0</v>
      </c>
      <c r="M24" s="22">
        <f>+'1'!M24+'2'!M24+'4'!M24+'3'!M24+'5'!M24+'6'!M24+'7'!M24+'8'!M24+'9'!M24+'13'!M24+'10'!M24+'12'!M24+'11'!M24+'14'!M24+'15'!M24+'16'!M24+'17'!M24+'18'!M24+'19'!M24+'20'!M24+'21'!M24+'22'!M24+'23'!M24+'24'!M24+'25'!M24+'26'!M24+'28'!M24+'27'!M24+'29'!M24+'30'!M24+'31'!M24</f>
        <v>0</v>
      </c>
      <c r="N24" s="22">
        <f>+'1'!N24+'2'!N24+'4'!N24+'3'!N24+'5'!N24+'6'!N24+'7'!N24+'8'!N24+'9'!N24+'13'!N24+'10'!N24+'12'!N24+'11'!N24+'14'!N24+'15'!N24+'16'!N24+'17'!N24+'18'!N24+'19'!N24+'20'!N24+'21'!N24+'22'!N24+'23'!N24+'24'!N24+'25'!N24+'26'!N24+'28'!N24+'27'!N24+'29'!N24+'30'!N24+'31'!N24</f>
        <v>0</v>
      </c>
      <c r="O24" s="22">
        <f>+'1'!O24+'2'!O24+'4'!O24+'3'!O24+'5'!O24+'6'!O24+'7'!O24+'8'!O24+'9'!O24+'13'!O24+'10'!O24+'12'!O24+'11'!O24+'14'!O24+'15'!O24+'16'!O24+'17'!O24+'18'!O24+'19'!O24+'20'!O24+'21'!O24+'22'!O24+'23'!O24+'24'!O24+'25'!O24+'26'!O24+'28'!O24+'27'!O24+'29'!O24+'30'!O24+'31'!O24</f>
        <v>0</v>
      </c>
      <c r="P24" s="22">
        <f>+'1'!P24+'2'!P24+'4'!P24+'3'!P24+'5'!P24+'6'!P24+'7'!P24+'8'!P24+'9'!P24+'13'!P24+'10'!P24+'12'!P24+'11'!P24+'14'!P24+'15'!P24+'16'!P24+'17'!P24+'18'!P24+'19'!P24+'20'!P24+'21'!P24+'22'!P24+'23'!P24+'24'!P24+'25'!P24+'26'!P24+'28'!P24+'27'!P24+'29'!P24+'30'!P24+'31'!P24</f>
        <v>0</v>
      </c>
      <c r="Q24" s="22">
        <f>+'1'!Q24+'2'!Q24+'4'!Q24+'3'!Q24+'5'!Q24+'6'!Q24+'7'!Q24+'8'!Q24+'9'!Q24+'13'!Q24+'10'!Q24+'12'!Q24+'11'!Q24+'14'!Q24+'15'!Q24+'16'!Q24+'17'!Q24+'18'!Q24+'19'!Q24+'20'!Q24+'21'!Q24+'22'!Q24+'23'!Q24+'24'!Q24+'25'!Q24+'26'!Q24+'28'!Q24+'27'!Q24+'29'!Q24+'30'!Q24+'31'!Q24</f>
        <v>0</v>
      </c>
      <c r="R24" s="36">
        <f>+'1'!R24+'2'!R24+'4'!R24+'3'!R24+'5'!R24+'6'!R24+'7'!R24+'8'!R24+'9'!R24+'13'!R24+'10'!R24+'12'!R24+'11'!R24+'14'!R24+'15'!R24+'16'!R24+'17'!R24+'18'!R24+'19'!R24+'20'!R24+'21'!R24+'22'!R24+'23'!R24+'24'!R24+'25'!R24+'26'!R24+'28'!R24+'27'!R24+'29'!R24+'30'!R24+'31'!R24</f>
        <v>0</v>
      </c>
      <c r="S24" s="44">
        <f>+'1'!S24+'2'!S24+'4'!S24+'3'!S24+'5'!S24+'6'!S24+'7'!S24+'8'!S24+'9'!S24+'13'!S24+'10'!S24+'12'!S24+'11'!S24+'14'!S24+'15'!S24+'16'!S24+'17'!S24+'18'!S24+'19'!S24+'20'!S24+'21'!S24+'22'!S24+'23'!S24+'24'!S24+'25'!S24+'26'!S24+'28'!S24+'27'!S24+'29'!S24+'30'!S24+'31'!S24</f>
        <v>0</v>
      </c>
      <c r="T24" s="47">
        <f>+'1'!T24+'2'!T24+'4'!T24+'3'!T24+'5'!T24+'6'!T24+'7'!T24+'8'!T24+'9'!T24+'13'!T24+'10'!T24+'12'!T24+'11'!T24+'14'!T24+'15'!T24+'16'!T24+'17'!T24+'18'!T24+'19'!T24+'20'!T24+'21'!T24+'22'!T24+'23'!T24+'24'!T24+'25'!T24+'26'!T24+'28'!T24+'27'!T24+'29'!T24+'30'!T24+'31'!T24</f>
        <v>0</v>
      </c>
      <c r="U24" s="52">
        <f t="shared" si="2"/>
        <v>0</v>
      </c>
      <c r="V24" s="23" t="str">
        <f t="shared" si="3"/>
        <v>OK</v>
      </c>
    </row>
    <row r="25" spans="1:22" customFormat="1" x14ac:dyDescent="0.3">
      <c r="A25" s="62" t="s">
        <v>38</v>
      </c>
      <c r="B25" s="62">
        <v>5683</v>
      </c>
      <c r="C25" s="12" t="s">
        <v>51</v>
      </c>
      <c r="D25" s="53"/>
      <c r="E25" s="13"/>
      <c r="F25" s="13"/>
      <c r="G25" s="14"/>
      <c r="H25" s="15"/>
      <c r="I25" s="16">
        <f>+'1'!I25+'2'!I25+'4'!I25+'3'!I25+'5'!I25+'6'!I25+'7'!I25+'8'!I25+'9'!I25+'13'!I25+'10'!I25+'12'!I25+'11'!I25+'14'!I25+'15'!I25+'16'!I25+'17'!I25+'18'!I25+'19'!I25+'20'!I25+'21'!I25+'22'!I25+'23'!I25+'24'!I25+'25'!I25+'26'!I25+'28'!I25+'27'!I25+'29'!I25+'30'!I25+'31'!I25</f>
        <v>0</v>
      </c>
      <c r="J25" s="16"/>
      <c r="K25" s="11"/>
      <c r="L25" s="16">
        <f>+'1'!L25+'2'!L25+'4'!L25+'3'!L25+'5'!L25+'6'!L25+'7'!L25+'8'!L25+'9'!L25+'13'!L25+'10'!L25+'12'!L25+'11'!L25+'14'!L25+'15'!L25+'16'!L25+'17'!L25+'18'!L25+'19'!L25+'20'!L25+'21'!L25+'22'!L25+'23'!L25+'24'!L25+'25'!L25+'26'!L25+'28'!L25+'27'!L25+'29'!L25+'30'!L25+'31'!L25</f>
        <v>0</v>
      </c>
      <c r="M25" s="16">
        <f>+'1'!M25+'2'!M25+'4'!M25+'3'!M25+'5'!M25+'6'!M25+'7'!M25+'8'!M25+'9'!M25+'13'!M25+'10'!M25+'12'!M25+'11'!M25+'14'!M25+'15'!M25+'16'!M25+'17'!M25+'18'!M25+'19'!M25+'20'!M25+'21'!M25+'22'!M25+'23'!M25+'24'!M25+'25'!M25+'26'!M25+'28'!M25+'27'!M25+'29'!M25+'30'!M25+'31'!M25</f>
        <v>0</v>
      </c>
      <c r="N25" s="16">
        <f>+'1'!N25+'2'!N25+'4'!N25+'3'!N25+'5'!N25+'6'!N25+'7'!N25+'8'!N25+'9'!N25+'13'!N25+'10'!N25+'12'!N25+'11'!N25+'14'!N25+'15'!N25+'16'!N25+'17'!N25+'18'!N25+'19'!N25+'20'!N25+'21'!N25+'22'!N25+'23'!N25+'24'!N25+'25'!N25+'26'!N25+'28'!N25+'27'!N25+'29'!N25+'30'!N25+'31'!N25</f>
        <v>0</v>
      </c>
      <c r="O25" s="16">
        <f>+'1'!O25+'2'!O25+'4'!O25+'3'!O25+'5'!O25+'6'!O25+'7'!O25+'8'!O25+'9'!O25+'13'!O25+'10'!O25+'12'!O25+'11'!O25+'14'!O25+'15'!O25+'16'!O25+'17'!O25+'18'!O25+'19'!O25+'20'!O25+'21'!O25+'22'!O25+'23'!O25+'24'!O25+'25'!O25+'26'!O25+'28'!O25+'27'!O25+'29'!O25+'30'!O25+'31'!O25</f>
        <v>0</v>
      </c>
      <c r="P25" s="16">
        <f>+'1'!P25+'2'!P25+'4'!P25+'3'!P25+'5'!P25+'6'!P25+'7'!P25+'8'!P25+'9'!P25+'13'!P25+'10'!P25+'12'!P25+'11'!P25+'14'!P25+'15'!P25+'16'!P25+'17'!P25+'18'!P25+'19'!P25+'20'!P25+'21'!P25+'22'!P25+'23'!P25+'24'!P25+'25'!P25+'26'!P25+'28'!P25+'27'!P25+'29'!P25+'30'!P25+'31'!P25</f>
        <v>0</v>
      </c>
      <c r="Q25" s="16">
        <f>+'1'!Q25+'2'!Q25+'4'!Q25+'3'!Q25+'5'!Q25+'6'!Q25+'7'!Q25+'8'!Q25+'9'!Q25+'13'!Q25+'10'!Q25+'12'!Q25+'11'!Q25+'14'!Q25+'15'!Q25+'16'!Q25+'17'!Q25+'18'!Q25+'19'!Q25+'20'!Q25+'21'!Q25+'22'!Q25+'23'!Q25+'24'!Q25+'25'!Q25+'26'!Q25+'28'!Q25+'27'!Q25+'29'!Q25+'30'!Q25+'31'!Q25</f>
        <v>0</v>
      </c>
      <c r="R25" s="35">
        <f>+'1'!R25+'2'!R25+'4'!R25+'3'!R25+'5'!R25+'6'!R25+'7'!R25+'8'!R25+'9'!R25+'13'!R25+'10'!R25+'12'!R25+'11'!R25+'14'!R25+'15'!R25+'16'!R25+'17'!R25+'18'!R25+'19'!R25+'20'!R25+'21'!R25+'22'!R25+'23'!R25+'24'!R25+'25'!R25+'26'!R25+'28'!R25+'27'!R25+'29'!R25+'30'!R25+'31'!R25</f>
        <v>0</v>
      </c>
      <c r="S25" s="43">
        <f>+'1'!S25+'2'!S25+'4'!S25+'3'!S25+'5'!S25+'6'!S25+'7'!S25+'8'!S25+'9'!S25+'13'!S25+'10'!S25+'12'!S25+'11'!S25+'14'!S25+'15'!S25+'16'!S25+'17'!S25+'18'!S25+'19'!S25+'20'!S25+'21'!S25+'22'!S25+'23'!S25+'24'!S25+'25'!S25+'26'!S25+'28'!S25+'27'!S25+'29'!S25+'30'!S25+'31'!S25</f>
        <v>0</v>
      </c>
      <c r="T25" s="46">
        <f>+'1'!T25+'2'!T25+'4'!T25+'3'!T25+'5'!T25+'6'!T25+'7'!T25+'8'!T25+'9'!T25+'13'!T25+'10'!T25+'12'!T25+'11'!T25+'14'!T25+'15'!T25+'16'!T25+'17'!T25+'18'!T25+'19'!T25+'20'!T25+'21'!T25+'22'!T25+'23'!T25+'24'!T25+'25'!T25+'26'!T25+'28'!T25+'27'!T25+'29'!T25+'30'!T25+'31'!T25</f>
        <v>0</v>
      </c>
      <c r="U25" s="51">
        <f t="shared" si="2"/>
        <v>0</v>
      </c>
      <c r="V25" s="17" t="str">
        <f t="shared" si="3"/>
        <v>OK</v>
      </c>
    </row>
    <row r="26" spans="1:22" customFormat="1" x14ac:dyDescent="0.3">
      <c r="A26" s="63" t="s">
        <v>25</v>
      </c>
      <c r="B26" s="63">
        <v>5679</v>
      </c>
      <c r="C26" s="18" t="s">
        <v>52</v>
      </c>
      <c r="D26" s="19"/>
      <c r="E26" s="19"/>
      <c r="F26" s="19"/>
      <c r="G26" s="20"/>
      <c r="H26" s="21"/>
      <c r="I26" s="22">
        <f>+'1'!I26+'2'!I26+'4'!I26+'3'!I26+'5'!I26+'6'!I26+'7'!I26+'8'!I26+'9'!I26+'13'!I26+'10'!I26+'12'!I26+'11'!I26+'14'!I26+'15'!I26+'16'!I26+'17'!I26+'18'!I26+'19'!I26+'20'!I26+'21'!I26+'22'!I26+'23'!I26+'24'!I26+'25'!I26+'26'!I26+'28'!I26+'27'!I26+'29'!I26+'30'!I26+'31'!I26</f>
        <v>12</v>
      </c>
      <c r="J26" s="22"/>
      <c r="K26" s="11"/>
      <c r="L26" s="22">
        <f>+'1'!L26+'2'!L26+'4'!L26+'3'!L26+'5'!L26+'6'!L26+'7'!L26+'8'!L26+'9'!L26+'13'!L26+'10'!L26+'12'!L26+'11'!L26+'14'!L26+'15'!L26+'16'!L26+'17'!L26+'18'!L26+'19'!L26+'20'!L26+'21'!L26+'22'!L26+'23'!L26+'24'!L26+'25'!L26+'26'!L26+'28'!L26+'27'!L26+'29'!L26+'30'!L26+'31'!L26</f>
        <v>0</v>
      </c>
      <c r="M26" s="22">
        <f>+'1'!M26+'2'!M26+'4'!M26+'3'!M26+'5'!M26+'6'!M26+'7'!M26+'8'!M26+'9'!M26+'13'!M26+'10'!M26+'12'!M26+'11'!M26+'14'!M26+'15'!M26+'16'!M26+'17'!M26+'18'!M26+'19'!M26+'20'!M26+'21'!M26+'22'!M26+'23'!M26+'24'!M26+'25'!M26+'26'!M26+'28'!M26+'27'!M26+'29'!M26+'30'!M26+'31'!M26</f>
        <v>12</v>
      </c>
      <c r="N26" s="22">
        <f>+'1'!N26+'2'!N26+'4'!N26+'3'!N26+'5'!N26+'6'!N26+'7'!N26+'8'!N26+'9'!N26+'13'!N26+'10'!N26+'12'!N26+'11'!N26+'14'!N26+'15'!N26+'16'!N26+'17'!N26+'18'!N26+'19'!N26+'20'!N26+'21'!N26+'22'!N26+'23'!N26+'24'!N26+'25'!N26+'26'!N26+'28'!N26+'27'!N26+'29'!N26+'30'!N26+'31'!N26</f>
        <v>0</v>
      </c>
      <c r="O26" s="22">
        <f>+'1'!O26+'2'!O26+'4'!O26+'3'!O26+'5'!O26+'6'!O26+'7'!O26+'8'!O26+'9'!O26+'13'!O26+'10'!O26+'12'!O26+'11'!O26+'14'!O26+'15'!O26+'16'!O26+'17'!O26+'18'!O26+'19'!O26+'20'!O26+'21'!O26+'22'!O26+'23'!O26+'24'!O26+'25'!O26+'26'!O26+'28'!O26+'27'!O26+'29'!O26+'30'!O26+'31'!O26</f>
        <v>0</v>
      </c>
      <c r="P26" s="22">
        <f>+'1'!P26+'2'!P26+'4'!P26+'3'!P26+'5'!P26+'6'!P26+'7'!P26+'8'!P26+'9'!P26+'13'!P26+'10'!P26+'12'!P26+'11'!P26+'14'!P26+'15'!P26+'16'!P26+'17'!P26+'18'!P26+'19'!P26+'20'!P26+'21'!P26+'22'!P26+'23'!P26+'24'!P26+'25'!P26+'26'!P26+'28'!P26+'27'!P26+'29'!P26+'30'!P26+'31'!P26</f>
        <v>0</v>
      </c>
      <c r="Q26" s="22">
        <f>+'1'!Q26+'2'!Q26+'4'!Q26+'3'!Q26+'5'!Q26+'6'!Q26+'7'!Q26+'8'!Q26+'9'!Q26+'13'!Q26+'10'!Q26+'12'!Q26+'11'!Q26+'14'!Q26+'15'!Q26+'16'!Q26+'17'!Q26+'18'!Q26+'19'!Q26+'20'!Q26+'21'!Q26+'22'!Q26+'23'!Q26+'24'!Q26+'25'!Q26+'26'!Q26+'28'!Q26+'27'!Q26+'29'!Q26+'30'!Q26+'31'!Q26</f>
        <v>0</v>
      </c>
      <c r="R26" s="36">
        <f>+'1'!R26+'2'!R26+'4'!R26+'3'!R26+'5'!R26+'6'!R26+'7'!R26+'8'!R26+'9'!R26+'13'!R26+'10'!R26+'12'!R26+'11'!R26+'14'!R26+'15'!R26+'16'!R26+'17'!R26+'18'!R26+'19'!R26+'20'!R26+'21'!R26+'22'!R26+'23'!R26+'24'!R26+'25'!R26+'26'!R26+'28'!R26+'27'!R26+'29'!R26+'30'!R26+'31'!R26</f>
        <v>0</v>
      </c>
      <c r="S26" s="44">
        <f>+'1'!S26+'2'!S26+'4'!S26+'3'!S26+'5'!S26+'6'!S26+'7'!S26+'8'!S26+'9'!S26+'13'!S26+'10'!S26+'12'!S26+'11'!S26+'14'!S26+'15'!S26+'16'!S26+'17'!S26+'18'!S26+'19'!S26+'20'!S26+'21'!S26+'22'!S26+'23'!S26+'24'!S26+'25'!S26+'26'!S26+'28'!S26+'27'!S26+'29'!S26+'30'!S26+'31'!S26</f>
        <v>0</v>
      </c>
      <c r="T26" s="47">
        <f>+'1'!T26+'2'!T26+'4'!T26+'3'!T26+'5'!T26+'6'!T26+'7'!T26+'8'!T26+'9'!T26+'13'!T26+'10'!T26+'12'!T26+'11'!T26+'14'!T26+'15'!T26+'16'!T26+'17'!T26+'18'!T26+'19'!T26+'20'!T26+'21'!T26+'22'!T26+'23'!T26+'24'!T26+'25'!T26+'26'!T26+'28'!T26+'27'!T26+'29'!T26+'30'!T26+'31'!T26</f>
        <v>0</v>
      </c>
      <c r="U26" s="52">
        <f t="shared" si="2"/>
        <v>12</v>
      </c>
      <c r="V26" s="23" t="str">
        <f t="shared" si="3"/>
        <v>OK</v>
      </c>
    </row>
    <row r="27" spans="1:22" customFormat="1" x14ac:dyDescent="0.3">
      <c r="A27" s="62" t="s">
        <v>39</v>
      </c>
      <c r="B27" s="62">
        <v>5675</v>
      </c>
      <c r="C27" s="12" t="s">
        <v>53</v>
      </c>
      <c r="D27" s="53"/>
      <c r="E27" s="13"/>
      <c r="F27" s="13"/>
      <c r="G27" s="14"/>
      <c r="H27" s="15"/>
      <c r="I27" s="16">
        <f>+'1'!I27+'2'!I27+'4'!I27+'3'!I27+'5'!I27+'6'!I27+'7'!I27+'8'!I27+'9'!I27+'13'!I27+'10'!I27+'12'!I27+'11'!I27+'14'!I27+'15'!I27+'16'!I27+'17'!I27+'18'!I27+'19'!I27+'20'!I27+'21'!I27+'22'!I27+'23'!I27+'24'!I27+'25'!I27+'26'!I27+'28'!I27+'27'!I27+'29'!I27+'30'!I27+'31'!I27</f>
        <v>12</v>
      </c>
      <c r="J27" s="16"/>
      <c r="K27" s="11"/>
      <c r="L27" s="16">
        <f>+'1'!L27+'2'!L27+'4'!L27+'3'!L27+'5'!L27+'6'!L27+'7'!L27+'8'!L27+'9'!L27+'13'!L27+'10'!L27+'12'!L27+'11'!L27+'14'!L27+'15'!L27+'16'!L27+'17'!L27+'18'!L27+'19'!L27+'20'!L27+'21'!L27+'22'!L27+'23'!L27+'24'!L27+'25'!L27+'26'!L27+'28'!L27+'27'!L27+'29'!L27+'30'!L27+'31'!L27</f>
        <v>0</v>
      </c>
      <c r="M27" s="16">
        <f>+'1'!M27+'2'!M27+'4'!M27+'3'!M27+'5'!M27+'6'!M27+'7'!M27+'8'!M27+'9'!M27+'13'!M27+'10'!M27+'12'!M27+'11'!M27+'14'!M27+'15'!M27+'16'!M27+'17'!M27+'18'!M27+'19'!M27+'20'!M27+'21'!M27+'22'!M27+'23'!M27+'24'!M27+'25'!M27+'26'!M27+'28'!M27+'27'!M27+'29'!M27+'30'!M27+'31'!M27</f>
        <v>12</v>
      </c>
      <c r="N27" s="16">
        <f>+'1'!N27+'2'!N27+'4'!N27+'3'!N27+'5'!N27+'6'!N27+'7'!N27+'8'!N27+'9'!N27+'13'!N27+'10'!N27+'12'!N27+'11'!N27+'14'!N27+'15'!N27+'16'!N27+'17'!N27+'18'!N27+'19'!N27+'20'!N27+'21'!N27+'22'!N27+'23'!N27+'24'!N27+'25'!N27+'26'!N27+'28'!N27+'27'!N27+'29'!N27+'30'!N27+'31'!N27</f>
        <v>0</v>
      </c>
      <c r="O27" s="16">
        <f>+'1'!O27+'2'!O27+'4'!O27+'3'!O27+'5'!O27+'6'!O27+'7'!O27+'8'!O27+'9'!O27+'13'!O27+'10'!O27+'12'!O27+'11'!O27+'14'!O27+'15'!O27+'16'!O27+'17'!O27+'18'!O27+'19'!O27+'20'!O27+'21'!O27+'22'!O27+'23'!O27+'24'!O27+'25'!O27+'26'!O27+'28'!O27+'27'!O27+'29'!O27+'30'!O27+'31'!O27</f>
        <v>0</v>
      </c>
      <c r="P27" s="16">
        <f>+'1'!P27+'2'!P27+'4'!P27+'3'!P27+'5'!P27+'6'!P27+'7'!P27+'8'!P27+'9'!P27+'13'!P27+'10'!P27+'12'!P27+'11'!P27+'14'!P27+'15'!P27+'16'!P27+'17'!P27+'18'!P27+'19'!P27+'20'!P27+'21'!P27+'22'!P27+'23'!P27+'24'!P27+'25'!P27+'26'!P27+'28'!P27+'27'!P27+'29'!P27+'30'!P27+'31'!P27</f>
        <v>0</v>
      </c>
      <c r="Q27" s="16">
        <f>+'1'!Q27+'2'!Q27+'4'!Q27+'3'!Q27+'5'!Q27+'6'!Q27+'7'!Q27+'8'!Q27+'9'!Q27+'13'!Q27+'10'!Q27+'12'!Q27+'11'!Q27+'14'!Q27+'15'!Q27+'16'!Q27+'17'!Q27+'18'!Q27+'19'!Q27+'20'!Q27+'21'!Q27+'22'!Q27+'23'!Q27+'24'!Q27+'25'!Q27+'26'!Q27+'28'!Q27+'27'!Q27+'29'!Q27+'30'!Q27+'31'!Q27</f>
        <v>0</v>
      </c>
      <c r="R27" s="35">
        <f>+'1'!R27+'2'!R27+'4'!R27+'3'!R27+'5'!R27+'6'!R27+'7'!R27+'8'!R27+'9'!R27+'13'!R27+'10'!R27+'12'!R27+'11'!R27+'14'!R27+'15'!R27+'16'!R27+'17'!R27+'18'!R27+'19'!R27+'20'!R27+'21'!R27+'22'!R27+'23'!R27+'24'!R27+'25'!R27+'26'!R27+'28'!R27+'27'!R27+'29'!R27+'30'!R27+'31'!R27</f>
        <v>0</v>
      </c>
      <c r="S27" s="43">
        <f>+'1'!S27+'2'!S27+'4'!S27+'3'!S27+'5'!S27+'6'!S27+'7'!S27+'8'!S27+'9'!S27+'13'!S27+'10'!S27+'12'!S27+'11'!S27+'14'!S27+'15'!S27+'16'!S27+'17'!S27+'18'!S27+'19'!S27+'20'!S27+'21'!S27+'22'!S27+'23'!S27+'24'!S27+'25'!S27+'26'!S27+'28'!S27+'27'!S27+'29'!S27+'30'!S27+'31'!S27</f>
        <v>0</v>
      </c>
      <c r="T27" s="46">
        <f>+'1'!T27+'2'!T27+'4'!T27+'3'!T27+'5'!T27+'6'!T27+'7'!T27+'8'!T27+'9'!T27+'13'!T27+'10'!T27+'12'!T27+'11'!T27+'14'!T27+'15'!T27+'16'!T27+'17'!T27+'18'!T27+'19'!T27+'20'!T27+'21'!T27+'22'!T27+'23'!T27+'24'!T27+'25'!T27+'26'!T27+'28'!T27+'27'!T27+'29'!T27+'30'!T27+'31'!T27</f>
        <v>0</v>
      </c>
      <c r="U27" s="51">
        <f t="shared" si="2"/>
        <v>12</v>
      </c>
      <c r="V27" s="17" t="str">
        <f t="shared" si="3"/>
        <v>OK</v>
      </c>
    </row>
    <row r="28" spans="1:22" customFormat="1" x14ac:dyDescent="0.3">
      <c r="A28" s="63" t="s">
        <v>26</v>
      </c>
      <c r="B28" s="63">
        <v>5671</v>
      </c>
      <c r="C28" s="18" t="s">
        <v>49</v>
      </c>
      <c r="D28" s="19"/>
      <c r="E28" s="19"/>
      <c r="F28" s="19"/>
      <c r="G28" s="20"/>
      <c r="H28" s="21"/>
      <c r="I28" s="22">
        <f>+'1'!I28+'2'!I28+'4'!I28+'3'!I28+'5'!I28+'6'!I28+'7'!I28+'8'!I28+'9'!I28+'13'!I28+'10'!I28+'12'!I28+'11'!I28+'14'!I28+'15'!I28+'16'!I28+'17'!I28+'18'!I28+'19'!I28+'20'!I28+'21'!I28+'22'!I28+'23'!I28+'24'!I28+'25'!I28+'26'!I28+'28'!I28+'27'!I28+'29'!I28+'30'!I28+'31'!I28</f>
        <v>4</v>
      </c>
      <c r="J28" s="22"/>
      <c r="K28" s="11"/>
      <c r="L28" s="22">
        <f>+'1'!L28+'2'!L28+'4'!L28+'3'!L28+'5'!L28+'6'!L28+'7'!L28+'8'!L28+'9'!L28+'13'!L28+'10'!L28+'12'!L28+'11'!L28+'14'!L28+'15'!L28+'16'!L28+'17'!L28+'18'!L28+'19'!L28+'20'!L28+'21'!L28+'22'!L28+'23'!L28+'24'!L28+'25'!L28+'26'!L28+'28'!L28+'27'!L28+'29'!L28+'30'!L28+'31'!L28</f>
        <v>0</v>
      </c>
      <c r="M28" s="22">
        <f>+'1'!M28+'2'!M28+'4'!M28+'3'!M28+'5'!M28+'6'!M28+'7'!M28+'8'!M28+'9'!M28+'13'!M28+'10'!M28+'12'!M28+'11'!M28+'14'!M28+'15'!M28+'16'!M28+'17'!M28+'18'!M28+'19'!M28+'20'!M28+'21'!M28+'22'!M28+'23'!M28+'24'!M28+'25'!M28+'26'!M28+'28'!M28+'27'!M28+'29'!M28+'30'!M28+'31'!M28</f>
        <v>4</v>
      </c>
      <c r="N28" s="22">
        <f>+'1'!N28+'2'!N28+'4'!N28+'3'!N28+'5'!N28+'6'!N28+'7'!N28+'8'!N28+'9'!N28+'13'!N28+'10'!N28+'12'!N28+'11'!N28+'14'!N28+'15'!N28+'16'!N28+'17'!N28+'18'!N28+'19'!N28+'20'!N28+'21'!N28+'22'!N28+'23'!N28+'24'!N28+'25'!N28+'26'!N28+'28'!N28+'27'!N28+'29'!N28+'30'!N28+'31'!N28</f>
        <v>0</v>
      </c>
      <c r="O28" s="22">
        <f>+'1'!O28+'2'!O28+'4'!O28+'3'!O28+'5'!O28+'6'!O28+'7'!O28+'8'!O28+'9'!O28+'13'!O28+'10'!O28+'12'!O28+'11'!O28+'14'!O28+'15'!O28+'16'!O28+'17'!O28+'18'!O28+'19'!O28+'20'!O28+'21'!O28+'22'!O28+'23'!O28+'24'!O28+'25'!O28+'26'!O28+'28'!O28+'27'!O28+'29'!O28+'30'!O28+'31'!O28</f>
        <v>0</v>
      </c>
      <c r="P28" s="22">
        <f>+'1'!P28+'2'!P28+'4'!P28+'3'!P28+'5'!P28+'6'!P28+'7'!P28+'8'!P28+'9'!P28+'13'!P28+'10'!P28+'12'!P28+'11'!P28+'14'!P28+'15'!P28+'16'!P28+'17'!P28+'18'!P28+'19'!P28+'20'!P28+'21'!P28+'22'!P28+'23'!P28+'24'!P28+'25'!P28+'26'!P28+'28'!P28+'27'!P28+'29'!P28+'30'!P28+'31'!P28</f>
        <v>0</v>
      </c>
      <c r="Q28" s="22">
        <f>+'1'!Q28+'2'!Q28+'4'!Q28+'3'!Q28+'5'!Q28+'6'!Q28+'7'!Q28+'8'!Q28+'9'!Q28+'13'!Q28+'10'!Q28+'12'!Q28+'11'!Q28+'14'!Q28+'15'!Q28+'16'!Q28+'17'!Q28+'18'!Q28+'19'!Q28+'20'!Q28+'21'!Q28+'22'!Q28+'23'!Q28+'24'!Q28+'25'!Q28+'26'!Q28+'28'!Q28+'27'!Q28+'29'!Q28+'30'!Q28+'31'!Q28</f>
        <v>0</v>
      </c>
      <c r="R28" s="36">
        <f>+'1'!R28+'2'!R28+'4'!R28+'3'!R28+'5'!R28+'6'!R28+'7'!R28+'8'!R28+'9'!R28+'13'!R28+'10'!R28+'12'!R28+'11'!R28+'14'!R28+'15'!R28+'16'!R28+'17'!R28+'18'!R28+'19'!R28+'20'!R28+'21'!R28+'22'!R28+'23'!R28+'24'!R28+'25'!R28+'26'!R28+'28'!R28+'27'!R28+'29'!R28+'30'!R28+'31'!R28</f>
        <v>0</v>
      </c>
      <c r="S28" s="44">
        <f>+'1'!S28+'2'!S28+'4'!S28+'3'!S28+'5'!S28+'6'!S28+'7'!S28+'8'!S28+'9'!S28+'13'!S28+'10'!S28+'12'!S28+'11'!S28+'14'!S28+'15'!S28+'16'!S28+'17'!S28+'18'!S28+'19'!S28+'20'!S28+'21'!S28+'22'!S28+'23'!S28+'24'!S28+'25'!S28+'26'!S28+'28'!S28+'27'!S28+'29'!S28+'30'!S28+'31'!S28</f>
        <v>0</v>
      </c>
      <c r="T28" s="47">
        <f>+'1'!T28+'2'!T28+'4'!T28+'3'!T28+'5'!T28+'6'!T28+'7'!T28+'8'!T28+'9'!T28+'13'!T28+'10'!T28+'12'!T28+'11'!T28+'14'!T28+'15'!T28+'16'!T28+'17'!T28+'18'!T28+'19'!T28+'20'!T28+'21'!T28+'22'!T28+'23'!T28+'24'!T28+'25'!T28+'26'!T28+'28'!T28+'27'!T28+'29'!T28+'30'!T28+'31'!T28</f>
        <v>0</v>
      </c>
      <c r="U28" s="52">
        <f t="shared" si="2"/>
        <v>4</v>
      </c>
      <c r="V28" s="23" t="str">
        <f t="shared" si="3"/>
        <v>OK</v>
      </c>
    </row>
    <row r="29" spans="1:22" customFormat="1" x14ac:dyDescent="0.3">
      <c r="A29" s="62" t="s">
        <v>40</v>
      </c>
      <c r="B29" s="62">
        <v>5667</v>
      </c>
      <c r="C29" s="12" t="s">
        <v>50</v>
      </c>
      <c r="D29" s="53"/>
      <c r="E29" s="13"/>
      <c r="F29" s="13"/>
      <c r="G29" s="14"/>
      <c r="H29" s="15"/>
      <c r="I29" s="16">
        <f>+'1'!I29+'2'!I29+'4'!I29+'3'!I29+'5'!I29+'6'!I29+'7'!I29+'8'!I29+'9'!I29+'13'!I29+'10'!I29+'12'!I29+'11'!I29+'14'!I29+'15'!I29+'16'!I29+'17'!I29+'18'!I29+'19'!I29+'20'!I29+'21'!I29+'22'!I29+'23'!I29+'24'!I29+'25'!I29+'26'!I29+'28'!I29+'27'!I29+'29'!I29+'30'!I29+'31'!I29</f>
        <v>0</v>
      </c>
      <c r="J29" s="16"/>
      <c r="K29" s="11"/>
      <c r="L29" s="16">
        <f>+'1'!L29+'2'!L29+'4'!L29+'3'!L29+'5'!L29+'6'!L29+'7'!L29+'8'!L29+'9'!L29+'13'!L29+'10'!L29+'12'!L29+'11'!L29+'14'!L29+'15'!L29+'16'!L29+'17'!L29+'18'!L29+'19'!L29+'20'!L29+'21'!L29+'22'!L29+'23'!L29+'24'!L29+'25'!L29+'26'!L29+'28'!L29+'27'!L29+'29'!L29+'30'!L29+'31'!L29</f>
        <v>0</v>
      </c>
      <c r="M29" s="16">
        <f>+'1'!M29+'2'!M29+'4'!M29+'3'!M29+'5'!M29+'6'!M29+'7'!M29+'8'!M29+'9'!M29+'13'!M29+'10'!M29+'12'!M29+'11'!M29+'14'!M29+'15'!M29+'16'!M29+'17'!M29+'18'!M29+'19'!M29+'20'!M29+'21'!M29+'22'!M29+'23'!M29+'24'!M29+'25'!M29+'26'!M29+'28'!M29+'27'!M29+'29'!M29+'30'!M29+'31'!M29</f>
        <v>0</v>
      </c>
      <c r="N29" s="16">
        <f>+'1'!N29+'2'!N29+'4'!N29+'3'!N29+'5'!N29+'6'!N29+'7'!N29+'8'!N29+'9'!N29+'13'!N29+'10'!N29+'12'!N29+'11'!N29+'14'!N29+'15'!N29+'16'!N29+'17'!N29+'18'!N29+'19'!N29+'20'!N29+'21'!N29+'22'!N29+'23'!N29+'24'!N29+'25'!N29+'26'!N29+'28'!N29+'27'!N29+'29'!N29+'30'!N29+'31'!N29</f>
        <v>0</v>
      </c>
      <c r="O29" s="16">
        <f>+'1'!O29+'2'!O29+'4'!O29+'3'!O29+'5'!O29+'6'!O29+'7'!O29+'8'!O29+'9'!O29+'13'!O29+'10'!O29+'12'!O29+'11'!O29+'14'!O29+'15'!O29+'16'!O29+'17'!O29+'18'!O29+'19'!O29+'20'!O29+'21'!O29+'22'!O29+'23'!O29+'24'!O29+'25'!O29+'26'!O29+'28'!O29+'27'!O29+'29'!O29+'30'!O29+'31'!O29</f>
        <v>0</v>
      </c>
      <c r="P29" s="16">
        <f>+'1'!P29+'2'!P29+'4'!P29+'3'!P29+'5'!P29+'6'!P29+'7'!P29+'8'!P29+'9'!P29+'13'!P29+'10'!P29+'12'!P29+'11'!P29+'14'!P29+'15'!P29+'16'!P29+'17'!P29+'18'!P29+'19'!P29+'20'!P29+'21'!P29+'22'!P29+'23'!P29+'24'!P29+'25'!P29+'26'!P29+'28'!P29+'27'!P29+'29'!P29+'30'!P29+'31'!P29</f>
        <v>0</v>
      </c>
      <c r="Q29" s="16">
        <f>+'1'!Q29+'2'!Q29+'4'!Q29+'3'!Q29+'5'!Q29+'6'!Q29+'7'!Q29+'8'!Q29+'9'!Q29+'13'!Q29+'10'!Q29+'12'!Q29+'11'!Q29+'14'!Q29+'15'!Q29+'16'!Q29+'17'!Q29+'18'!Q29+'19'!Q29+'20'!Q29+'21'!Q29+'22'!Q29+'23'!Q29+'24'!Q29+'25'!Q29+'26'!Q29+'28'!Q29+'27'!Q29+'29'!Q29+'30'!Q29+'31'!Q29</f>
        <v>0</v>
      </c>
      <c r="R29" s="35">
        <f>+'1'!R29+'2'!R29+'4'!R29+'3'!R29+'5'!R29+'6'!R29+'7'!R29+'8'!R29+'9'!R29+'13'!R29+'10'!R29+'12'!R29+'11'!R29+'14'!R29+'15'!R29+'16'!R29+'17'!R29+'18'!R29+'19'!R29+'20'!R29+'21'!R29+'22'!R29+'23'!R29+'24'!R29+'25'!R29+'26'!R29+'28'!R29+'27'!R29+'29'!R29+'30'!R29+'31'!R29</f>
        <v>0</v>
      </c>
      <c r="S29" s="43">
        <f>+'1'!S29+'2'!S29+'4'!S29+'3'!S29+'5'!S29+'6'!S29+'7'!S29+'8'!S29+'9'!S29+'13'!S29+'10'!S29+'12'!S29+'11'!S29+'14'!S29+'15'!S29+'16'!S29+'17'!S29+'18'!S29+'19'!S29+'20'!S29+'21'!S29+'22'!S29+'23'!S29+'24'!S29+'25'!S29+'26'!S29+'28'!S29+'27'!S29+'29'!S29+'30'!S29+'31'!S29</f>
        <v>0</v>
      </c>
      <c r="T29" s="46">
        <f>+'1'!T29+'2'!T29+'4'!T29+'3'!T29+'5'!T29+'6'!T29+'7'!T29+'8'!T29+'9'!T29+'13'!T29+'10'!T29+'12'!T29+'11'!T29+'14'!T29+'15'!T29+'16'!T29+'17'!T29+'18'!T29+'19'!T29+'20'!T29+'21'!T29+'22'!T29+'23'!T29+'24'!T29+'25'!T29+'26'!T29+'28'!T29+'27'!T29+'29'!T29+'30'!T29+'31'!T29</f>
        <v>0</v>
      </c>
      <c r="U29" s="51">
        <f t="shared" si="2"/>
        <v>0</v>
      </c>
      <c r="V29" s="17" t="str">
        <f t="shared" si="3"/>
        <v>OK</v>
      </c>
    </row>
    <row r="30" spans="1:22" customFormat="1" x14ac:dyDescent="0.3">
      <c r="A30" s="63" t="s">
        <v>41</v>
      </c>
      <c r="B30" s="63">
        <v>5663</v>
      </c>
      <c r="C30" s="18" t="s">
        <v>51</v>
      </c>
      <c r="D30" s="19"/>
      <c r="E30" s="19"/>
      <c r="F30" s="19"/>
      <c r="G30" s="20"/>
      <c r="H30" s="21"/>
      <c r="I30" s="22">
        <f>+'1'!I30+'2'!I30+'4'!I30+'3'!I30+'5'!I30+'6'!I30+'7'!I30+'8'!I30+'9'!I30+'13'!I30+'10'!I30+'12'!I30+'11'!I30+'14'!I30+'15'!I30+'16'!I30+'17'!I30+'18'!I30+'19'!I30+'20'!I30+'21'!I30+'22'!I30+'23'!I30+'24'!I30+'25'!I30+'26'!I30+'28'!I30+'27'!I30+'29'!I30+'30'!I30+'31'!I30</f>
        <v>0</v>
      </c>
      <c r="J30" s="22"/>
      <c r="K30" s="11"/>
      <c r="L30" s="22">
        <f>+'1'!L30+'2'!L30+'4'!L30+'3'!L30+'5'!L30+'6'!L30+'7'!L30+'8'!L30+'9'!L30+'13'!L30+'10'!L30+'12'!L30+'11'!L30+'14'!L30+'15'!L30+'16'!L30+'17'!L30+'18'!L30+'19'!L30+'20'!L30+'21'!L30+'22'!L30+'23'!L30+'24'!L30+'25'!L30+'26'!L30+'28'!L30+'27'!L30+'29'!L30+'30'!L30+'31'!L30</f>
        <v>0</v>
      </c>
      <c r="M30" s="22">
        <f>+'1'!M30+'2'!M30+'4'!M30+'3'!M30+'5'!M30+'6'!M30+'7'!M30+'8'!M30+'9'!M30+'13'!M30+'10'!M30+'12'!M30+'11'!M30+'14'!M30+'15'!M30+'16'!M30+'17'!M30+'18'!M30+'19'!M30+'20'!M30+'21'!M30+'22'!M30+'23'!M30+'24'!M30+'25'!M30+'26'!M30+'28'!M30+'27'!M30+'29'!M30+'30'!M30+'31'!M30</f>
        <v>0</v>
      </c>
      <c r="N30" s="22">
        <f>+'1'!N30+'2'!N30+'4'!N30+'3'!N30+'5'!N30+'6'!N30+'7'!N30+'8'!N30+'9'!N30+'13'!N30+'10'!N30+'12'!N30+'11'!N30+'14'!N30+'15'!N30+'16'!N30+'17'!N30+'18'!N30+'19'!N30+'20'!N30+'21'!N30+'22'!N30+'23'!N30+'24'!N30+'25'!N30+'26'!N30+'28'!N30+'27'!N30+'29'!N30+'30'!N30+'31'!N30</f>
        <v>0</v>
      </c>
      <c r="O30" s="22">
        <f>+'1'!O30+'2'!O30+'4'!O30+'3'!O30+'5'!O30+'6'!O30+'7'!O30+'8'!O30+'9'!O30+'13'!O30+'10'!O30+'12'!O30+'11'!O30+'14'!O30+'15'!O30+'16'!O30+'17'!O30+'18'!O30+'19'!O30+'20'!O30+'21'!O30+'22'!O30+'23'!O30+'24'!O30+'25'!O30+'26'!O30+'28'!O30+'27'!O30+'29'!O30+'30'!O30+'31'!O30</f>
        <v>0</v>
      </c>
      <c r="P30" s="22">
        <f>+'1'!P30+'2'!P30+'4'!P30+'3'!P30+'5'!P30+'6'!P30+'7'!P30+'8'!P30+'9'!P30+'13'!P30+'10'!P30+'12'!P30+'11'!P30+'14'!P30+'15'!P30+'16'!P30+'17'!P30+'18'!P30+'19'!P30+'20'!P30+'21'!P30+'22'!P30+'23'!P30+'24'!P30+'25'!P30+'26'!P30+'28'!P30+'27'!P30+'29'!P30+'30'!P30+'31'!P30</f>
        <v>0</v>
      </c>
      <c r="Q30" s="22">
        <f>+'1'!Q30+'2'!Q30+'4'!Q30+'3'!Q30+'5'!Q30+'6'!Q30+'7'!Q30+'8'!Q30+'9'!Q30+'13'!Q30+'10'!Q30+'12'!Q30+'11'!Q30+'14'!Q30+'15'!Q30+'16'!Q30+'17'!Q30+'18'!Q30+'19'!Q30+'20'!Q30+'21'!Q30+'22'!Q30+'23'!Q30+'24'!Q30+'25'!Q30+'26'!Q30+'28'!Q30+'27'!Q30+'29'!Q30+'30'!Q30+'31'!Q30</f>
        <v>0</v>
      </c>
      <c r="R30" s="36">
        <f>+'1'!R30+'2'!R30+'4'!R30+'3'!R30+'5'!R30+'6'!R30+'7'!R30+'8'!R30+'9'!R30+'13'!R30+'10'!R30+'12'!R30+'11'!R30+'14'!R30+'15'!R30+'16'!R30+'17'!R30+'18'!R30+'19'!R30+'20'!R30+'21'!R30+'22'!R30+'23'!R30+'24'!R30+'25'!R30+'26'!R30+'28'!R30+'27'!R30+'29'!R30+'30'!R30+'31'!R30</f>
        <v>0</v>
      </c>
      <c r="S30" s="44">
        <f>+'1'!S30+'2'!S30+'4'!S30+'3'!S30+'5'!S30+'6'!S30+'7'!S30+'8'!S30+'9'!S30+'13'!S30+'10'!S30+'12'!S30+'11'!S30+'14'!S30+'15'!S30+'16'!S30+'17'!S30+'18'!S30+'19'!S30+'20'!S30+'21'!S30+'22'!S30+'23'!S30+'24'!S30+'25'!S30+'26'!S30+'28'!S30+'27'!S30+'29'!S30+'30'!S30+'31'!S30</f>
        <v>0</v>
      </c>
      <c r="T30" s="47">
        <f>+'1'!T30+'2'!T30+'4'!T30+'3'!T30+'5'!T30+'6'!T30+'7'!T30+'8'!T30+'9'!T30+'13'!T30+'10'!T30+'12'!T30+'11'!T30+'14'!T30+'15'!T30+'16'!T30+'17'!T30+'18'!T30+'19'!T30+'20'!T30+'21'!T30+'22'!T30+'23'!T30+'24'!T30+'25'!T30+'26'!T30+'28'!T30+'27'!T30+'29'!T30+'30'!T30+'31'!T30</f>
        <v>0</v>
      </c>
      <c r="U30" s="52">
        <f t="shared" si="2"/>
        <v>0</v>
      </c>
      <c r="V30" s="23" t="str">
        <f t="shared" si="3"/>
        <v>OK</v>
      </c>
    </row>
    <row r="31" spans="1:22" customFormat="1" x14ac:dyDescent="0.3">
      <c r="A31" s="62" t="s">
        <v>42</v>
      </c>
      <c r="B31" s="62">
        <v>5659</v>
      </c>
      <c r="C31" s="12" t="s">
        <v>52</v>
      </c>
      <c r="D31" s="53"/>
      <c r="E31" s="13"/>
      <c r="F31" s="13"/>
      <c r="G31" s="14"/>
      <c r="H31" s="15"/>
      <c r="I31" s="16">
        <f>+'1'!I31+'2'!I31+'4'!I31+'3'!I31+'5'!I31+'6'!I31+'7'!I31+'8'!I31+'9'!I31+'13'!I31+'10'!I31+'12'!I31+'11'!I31+'14'!I31+'15'!I31+'16'!I31+'17'!I31+'18'!I31+'19'!I31+'20'!I31+'21'!I31+'22'!I31+'23'!I31+'24'!I31+'25'!I31+'26'!I31+'28'!I31+'27'!I31+'29'!I31+'30'!I31+'31'!I31</f>
        <v>11</v>
      </c>
      <c r="J31" s="16"/>
      <c r="K31" s="11"/>
      <c r="L31" s="16">
        <f>+'1'!L31+'2'!L31+'4'!L31+'3'!L31+'5'!L31+'6'!L31+'7'!L31+'8'!L31+'9'!L31+'13'!L31+'10'!L31+'12'!L31+'11'!L31+'14'!L31+'15'!L31+'16'!L31+'17'!L31+'18'!L31+'19'!L31+'20'!L31+'21'!L31+'22'!L31+'23'!L31+'24'!L31+'25'!L31+'26'!L31+'28'!L31+'27'!L31+'29'!L31+'30'!L31+'31'!L31</f>
        <v>0</v>
      </c>
      <c r="M31" s="16">
        <f>+'1'!M31+'2'!M31+'4'!M31+'3'!M31+'5'!M31+'6'!M31+'7'!M31+'8'!M31+'9'!M31+'13'!M31+'10'!M31+'12'!M31+'11'!M31+'14'!M31+'15'!M31+'16'!M31+'17'!M31+'18'!M31+'19'!M31+'20'!M31+'21'!M31+'22'!M31+'23'!M31+'24'!M31+'25'!M31+'26'!M31+'28'!M31+'27'!M31+'29'!M31+'30'!M31+'31'!M31</f>
        <v>11</v>
      </c>
      <c r="N31" s="16">
        <f>+'1'!N31+'2'!N31+'4'!N31+'3'!N31+'5'!N31+'6'!N31+'7'!N31+'8'!N31+'9'!N31+'13'!N31+'10'!N31+'12'!N31+'11'!N31+'14'!N31+'15'!N31+'16'!N31+'17'!N31+'18'!N31+'19'!N31+'20'!N31+'21'!N31+'22'!N31+'23'!N31+'24'!N31+'25'!N31+'26'!N31+'28'!N31+'27'!N31+'29'!N31+'30'!N31+'31'!N31</f>
        <v>0</v>
      </c>
      <c r="O31" s="16">
        <f>+'1'!O31+'2'!O31+'4'!O31+'3'!O31+'5'!O31+'6'!O31+'7'!O31+'8'!O31+'9'!O31+'13'!O31+'10'!O31+'12'!O31+'11'!O31+'14'!O31+'15'!O31+'16'!O31+'17'!O31+'18'!O31+'19'!O31+'20'!O31+'21'!O31+'22'!O31+'23'!O31+'24'!O31+'25'!O31+'26'!O31+'28'!O31+'27'!O31+'29'!O31+'30'!O31+'31'!O31</f>
        <v>0</v>
      </c>
      <c r="P31" s="16">
        <f>+'1'!P31+'2'!P31+'4'!P31+'3'!P31+'5'!P31+'6'!P31+'7'!P31+'8'!P31+'9'!P31+'13'!P31+'10'!P31+'12'!P31+'11'!P31+'14'!P31+'15'!P31+'16'!P31+'17'!P31+'18'!P31+'19'!P31+'20'!P31+'21'!P31+'22'!P31+'23'!P31+'24'!P31+'25'!P31+'26'!P31+'28'!P31+'27'!P31+'29'!P31+'30'!P31+'31'!P31</f>
        <v>0</v>
      </c>
      <c r="Q31" s="16">
        <f>+'1'!Q31+'2'!Q31+'4'!Q31+'3'!Q31+'5'!Q31+'6'!Q31+'7'!Q31+'8'!Q31+'9'!Q31+'13'!Q31+'10'!Q31+'12'!Q31+'11'!Q31+'14'!Q31+'15'!Q31+'16'!Q31+'17'!Q31+'18'!Q31+'19'!Q31+'20'!Q31+'21'!Q31+'22'!Q31+'23'!Q31+'24'!Q31+'25'!Q31+'26'!Q31+'28'!Q31+'27'!Q31+'29'!Q31+'30'!Q31+'31'!Q31</f>
        <v>0</v>
      </c>
      <c r="R31" s="35">
        <f>+'1'!R31+'2'!R31+'4'!R31+'3'!R31+'5'!R31+'6'!R31+'7'!R31+'8'!R31+'9'!R31+'13'!R31+'10'!R31+'12'!R31+'11'!R31+'14'!R31+'15'!R31+'16'!R31+'17'!R31+'18'!R31+'19'!R31+'20'!R31+'21'!R31+'22'!R31+'23'!R31+'24'!R31+'25'!R31+'26'!R31+'28'!R31+'27'!R31+'29'!R31+'30'!R31+'31'!R31</f>
        <v>0</v>
      </c>
      <c r="S31" s="43">
        <f>+'1'!S31+'2'!S31+'4'!S31+'3'!S31+'5'!S31+'6'!S31+'7'!S31+'8'!S31+'9'!S31+'13'!S31+'10'!S31+'12'!S31+'11'!S31+'14'!S31+'15'!S31+'16'!S31+'17'!S31+'18'!S31+'19'!S31+'20'!S31+'21'!S31+'22'!S31+'23'!S31+'24'!S31+'25'!S31+'26'!S31+'28'!S31+'27'!S31+'29'!S31+'30'!S31+'31'!S31</f>
        <v>0</v>
      </c>
      <c r="T31" s="46">
        <f>+'1'!T31+'2'!T31+'4'!T31+'3'!T31+'5'!T31+'6'!T31+'7'!T31+'8'!T31+'9'!T31+'13'!T31+'10'!T31+'12'!T31+'11'!T31+'14'!T31+'15'!T31+'16'!T31+'17'!T31+'18'!T31+'19'!T31+'20'!T31+'21'!T31+'22'!T31+'23'!T31+'24'!T31+'25'!T31+'26'!T31+'28'!T31+'27'!T31+'29'!T31+'30'!T31+'31'!T31</f>
        <v>0</v>
      </c>
      <c r="U31" s="51">
        <f t="shared" si="2"/>
        <v>11</v>
      </c>
      <c r="V31" s="17" t="str">
        <f t="shared" si="3"/>
        <v>OK</v>
      </c>
    </row>
    <row r="32" spans="1:22" customFormat="1" x14ac:dyDescent="0.3">
      <c r="A32" s="63" t="s">
        <v>27</v>
      </c>
      <c r="B32" s="63">
        <v>5655</v>
      </c>
      <c r="C32" s="18" t="s">
        <v>54</v>
      </c>
      <c r="D32" s="19"/>
      <c r="E32" s="19"/>
      <c r="F32" s="19"/>
      <c r="G32" s="20"/>
      <c r="H32" s="21"/>
      <c r="I32" s="22">
        <f>+'1'!I32+'2'!I32+'4'!I32+'3'!I32+'5'!I32+'6'!I32+'7'!I32+'8'!I32+'9'!I32+'13'!I32+'10'!I32+'12'!I32+'11'!I32+'14'!I32+'15'!I32+'16'!I32+'17'!I32+'18'!I32+'19'!I32+'20'!I32+'21'!I32+'22'!I32+'23'!I32+'24'!I32+'25'!I32+'26'!I32+'28'!I32+'27'!I32+'29'!I32+'30'!I32+'31'!I32</f>
        <v>0</v>
      </c>
      <c r="J32" s="22"/>
      <c r="K32" s="11"/>
      <c r="L32" s="22">
        <f>+'1'!L32+'2'!L32+'4'!L32+'3'!L32+'5'!L32+'6'!L32+'7'!L32+'8'!L32+'9'!L32+'13'!L32+'10'!L32+'12'!L32+'11'!L32+'14'!L32+'15'!L32+'16'!L32+'17'!L32+'18'!L32+'19'!L32+'20'!L32+'21'!L32+'22'!L32+'23'!L32+'24'!L32+'25'!L32+'26'!L32+'28'!L32+'27'!L32+'29'!L32+'30'!L32+'31'!L32</f>
        <v>0</v>
      </c>
      <c r="M32" s="22">
        <f>+'1'!M32+'2'!M32+'4'!M32+'3'!M32+'5'!M32+'6'!M32+'7'!M32+'8'!M32+'9'!M32+'13'!M32+'10'!M32+'12'!M32+'11'!M32+'14'!M32+'15'!M32+'16'!M32+'17'!M32+'18'!M32+'19'!M32+'20'!M32+'21'!M32+'22'!M32+'23'!M32+'24'!M32+'25'!M32+'26'!M32+'28'!M32+'27'!M32+'29'!M32+'30'!M32+'31'!M32</f>
        <v>0</v>
      </c>
      <c r="N32" s="22">
        <f>+'1'!N32+'2'!N32+'4'!N32+'3'!N32+'5'!N32+'6'!N32+'7'!N32+'8'!N32+'9'!N32+'13'!N32+'10'!N32+'12'!N32+'11'!N32+'14'!N32+'15'!N32+'16'!N32+'17'!N32+'18'!N32+'19'!N32+'20'!N32+'21'!N32+'22'!N32+'23'!N32+'24'!N32+'25'!N32+'26'!N32+'28'!N32+'27'!N32+'29'!N32+'30'!N32+'31'!N32</f>
        <v>0</v>
      </c>
      <c r="O32" s="22">
        <f>+'1'!O32+'2'!O32+'4'!O32+'3'!O32+'5'!O32+'6'!O32+'7'!O32+'8'!O32+'9'!O32+'13'!O32+'10'!O32+'12'!O32+'11'!O32+'14'!O32+'15'!O32+'16'!O32+'17'!O32+'18'!O32+'19'!O32+'20'!O32+'21'!O32+'22'!O32+'23'!O32+'24'!O32+'25'!O32+'26'!O32+'28'!O32+'27'!O32+'29'!O32+'30'!O32+'31'!O32</f>
        <v>0</v>
      </c>
      <c r="P32" s="22">
        <f>+'1'!P32+'2'!P32+'4'!P32+'3'!P32+'5'!P32+'6'!P32+'7'!P32+'8'!P32+'9'!P32+'13'!P32+'10'!P32+'12'!P32+'11'!P32+'14'!P32+'15'!P32+'16'!P32+'17'!P32+'18'!P32+'19'!P32+'20'!P32+'21'!P32+'22'!P32+'23'!P32+'24'!P32+'25'!P32+'26'!P32+'28'!P32+'27'!P32+'29'!P32+'30'!P32+'31'!P32</f>
        <v>0</v>
      </c>
      <c r="Q32" s="22">
        <f>+'1'!Q32+'2'!Q32+'4'!Q32+'3'!Q32+'5'!Q32+'6'!Q32+'7'!Q32+'8'!Q32+'9'!Q32+'13'!Q32+'10'!Q32+'12'!Q32+'11'!Q32+'14'!Q32+'15'!Q32+'16'!Q32+'17'!Q32+'18'!Q32+'19'!Q32+'20'!Q32+'21'!Q32+'22'!Q32+'23'!Q32+'24'!Q32+'25'!Q32+'26'!Q32+'28'!Q32+'27'!Q32+'29'!Q32+'30'!Q32+'31'!Q32</f>
        <v>0</v>
      </c>
      <c r="R32" s="36">
        <f>+'1'!R32+'2'!R32+'4'!R32+'3'!R32+'5'!R32+'6'!R32+'7'!R32+'8'!R32+'9'!R32+'13'!R32+'10'!R32+'12'!R32+'11'!R32+'14'!R32+'15'!R32+'16'!R32+'17'!R32+'18'!R32+'19'!R32+'20'!R32+'21'!R32+'22'!R32+'23'!R32+'24'!R32+'25'!R32+'26'!R32+'28'!R32+'27'!R32+'29'!R32+'30'!R32+'31'!R32</f>
        <v>0</v>
      </c>
      <c r="S32" s="44">
        <f>+'1'!S32+'2'!S32+'4'!S32+'3'!S32+'5'!S32+'6'!S32+'7'!S32+'8'!S32+'9'!S32+'13'!S32+'10'!S32+'12'!S32+'11'!S32+'14'!S32+'15'!S32+'16'!S32+'17'!S32+'18'!S32+'19'!S32+'20'!S32+'21'!S32+'22'!S32+'23'!S32+'24'!S32+'25'!S32+'26'!S32+'28'!S32+'27'!S32+'29'!S32+'30'!S32+'31'!S32</f>
        <v>0</v>
      </c>
      <c r="T32" s="47">
        <f>+'1'!T32+'2'!T32+'4'!T32+'3'!T32+'5'!T32+'6'!T32+'7'!T32+'8'!T32+'9'!T32+'13'!T32+'10'!T32+'12'!T32+'11'!T32+'14'!T32+'15'!T32+'16'!T32+'17'!T32+'18'!T32+'19'!T32+'20'!T32+'21'!T32+'22'!T32+'23'!T32+'24'!T32+'25'!T32+'26'!T32+'28'!T32+'27'!T32+'29'!T32+'30'!T32+'31'!T32</f>
        <v>0</v>
      </c>
      <c r="U32" s="52">
        <f t="shared" si="2"/>
        <v>0</v>
      </c>
      <c r="V32" s="23" t="str">
        <f t="shared" si="3"/>
        <v>OK</v>
      </c>
    </row>
    <row r="33" spans="1:22" customFormat="1" x14ac:dyDescent="0.3">
      <c r="A33" s="62" t="s">
        <v>70</v>
      </c>
      <c r="B33" s="62">
        <v>5651</v>
      </c>
      <c r="C33" s="12" t="s">
        <v>55</v>
      </c>
      <c r="D33" s="53"/>
      <c r="E33" s="13"/>
      <c r="F33" s="13"/>
      <c r="G33" s="14"/>
      <c r="H33" s="15"/>
      <c r="I33" s="16">
        <f>+'1'!I33+'2'!I33+'4'!I33+'3'!I33+'5'!I33+'6'!I33+'7'!I33+'8'!I33+'9'!I33+'13'!I33+'10'!I33+'12'!I33+'11'!I33+'14'!I33+'15'!I33+'16'!I33+'17'!I33+'18'!I33+'19'!I33+'20'!I33+'21'!I33+'22'!I33+'23'!I33+'24'!I33+'25'!I33+'26'!I33+'28'!I33+'27'!I33+'29'!I33+'30'!I33+'31'!I33</f>
        <v>0</v>
      </c>
      <c r="J33" s="16"/>
      <c r="K33" s="11"/>
      <c r="L33" s="16">
        <f>+'1'!L33+'2'!L33+'4'!L33+'3'!L33+'5'!L33+'6'!L33+'7'!L33+'8'!L33+'9'!L33+'13'!L33+'10'!L33+'12'!L33+'11'!L33+'14'!L33+'15'!L33+'16'!L33+'17'!L33+'18'!L33+'19'!L33+'20'!L33+'21'!L33+'22'!L33+'23'!L33+'24'!L33+'25'!L33+'26'!L33+'28'!L33+'27'!L33+'29'!L33+'30'!L33+'31'!L33</f>
        <v>0</v>
      </c>
      <c r="M33" s="16">
        <f>+'1'!M33+'2'!M33+'4'!M33+'3'!M33+'5'!M33+'6'!M33+'7'!M33+'8'!M33+'9'!M33+'13'!M33+'10'!M33+'12'!M33+'11'!M33+'14'!M33+'15'!M33+'16'!M33+'17'!M33+'18'!M33+'19'!M33+'20'!M33+'21'!M33+'22'!M33+'23'!M33+'24'!M33+'25'!M33+'26'!M33+'28'!M33+'27'!M33+'29'!M33+'30'!M33+'31'!M33</f>
        <v>0</v>
      </c>
      <c r="N33" s="16">
        <f>+'1'!N33+'2'!N33+'4'!N33+'3'!N33+'5'!N33+'6'!N33+'7'!N33+'8'!N33+'9'!N33+'13'!N33+'10'!N33+'12'!N33+'11'!N33+'14'!N33+'15'!N33+'16'!N33+'17'!N33+'18'!N33+'19'!N33+'20'!N33+'21'!N33+'22'!N33+'23'!N33+'24'!N33+'25'!N33+'26'!N33+'28'!N33+'27'!N33+'29'!N33+'30'!N33+'31'!N33</f>
        <v>0</v>
      </c>
      <c r="O33" s="16">
        <f>+'1'!O33+'2'!O33+'4'!O33+'3'!O33+'5'!O33+'6'!O33+'7'!O33+'8'!O33+'9'!O33+'13'!O33+'10'!O33+'12'!O33+'11'!O33+'14'!O33+'15'!O33+'16'!O33+'17'!O33+'18'!O33+'19'!O33+'20'!O33+'21'!O33+'22'!O33+'23'!O33+'24'!O33+'25'!O33+'26'!O33+'28'!O33+'27'!O33+'29'!O33+'30'!O33+'31'!O33</f>
        <v>0</v>
      </c>
      <c r="P33" s="16">
        <f>+'1'!P33+'2'!P33+'4'!P33+'3'!P33+'5'!P33+'6'!P33+'7'!P33+'8'!P33+'9'!P33+'13'!P33+'10'!P33+'12'!P33+'11'!P33+'14'!P33+'15'!P33+'16'!P33+'17'!P33+'18'!P33+'19'!P33+'20'!P33+'21'!P33+'22'!P33+'23'!P33+'24'!P33+'25'!P33+'26'!P33+'28'!P33+'27'!P33+'29'!P33+'30'!P33+'31'!P33</f>
        <v>0</v>
      </c>
      <c r="Q33" s="16">
        <f>+'1'!Q33+'2'!Q33+'4'!Q33+'3'!Q33+'5'!Q33+'6'!Q33+'7'!Q33+'8'!Q33+'9'!Q33+'13'!Q33+'10'!Q33+'12'!Q33+'11'!Q33+'14'!Q33+'15'!Q33+'16'!Q33+'17'!Q33+'18'!Q33+'19'!Q33+'20'!Q33+'21'!Q33+'22'!Q33+'23'!Q33+'24'!Q33+'25'!Q33+'26'!Q33+'28'!Q33+'27'!Q33+'29'!Q33+'30'!Q33+'31'!Q33</f>
        <v>0</v>
      </c>
      <c r="R33" s="35">
        <f>+'1'!R33+'2'!R33+'4'!R33+'3'!R33+'5'!R33+'6'!R33+'7'!R33+'8'!R33+'9'!R33+'13'!R33+'10'!R33+'12'!R33+'11'!R33+'14'!R33+'15'!R33+'16'!R33+'17'!R33+'18'!R33+'19'!R33+'20'!R33+'21'!R33+'22'!R33+'23'!R33+'24'!R33+'25'!R33+'26'!R33+'28'!R33+'27'!R33+'29'!R33+'30'!R33+'31'!R33</f>
        <v>0</v>
      </c>
      <c r="S33" s="43">
        <f>+'1'!S33+'2'!S33+'4'!S33+'3'!S33+'5'!S33+'6'!S33+'7'!S33+'8'!S33+'9'!S33+'13'!S33+'10'!S33+'12'!S33+'11'!S33+'14'!S33+'15'!S33+'16'!S33+'17'!S33+'18'!S33+'19'!S33+'20'!S33+'21'!S33+'22'!S33+'23'!S33+'24'!S33+'25'!S33+'26'!S33+'28'!S33+'27'!S33+'29'!S33+'30'!S33+'31'!S33</f>
        <v>0</v>
      </c>
      <c r="T33" s="46">
        <f>+'1'!T33+'2'!T33+'4'!T33+'3'!T33+'5'!T33+'6'!T33+'7'!T33+'8'!T33+'9'!T33+'13'!T33+'10'!T33+'12'!T33+'11'!T33+'14'!T33+'15'!T33+'16'!T33+'17'!T33+'18'!T33+'19'!T33+'20'!T33+'21'!T33+'22'!T33+'23'!T33+'24'!T33+'25'!T33+'26'!T33+'28'!T33+'27'!T33+'29'!T33+'30'!T33+'31'!T33</f>
        <v>0</v>
      </c>
      <c r="U33" s="51">
        <f t="shared" si="2"/>
        <v>0</v>
      </c>
      <c r="V33" s="17" t="str">
        <f t="shared" si="3"/>
        <v>OK</v>
      </c>
    </row>
    <row r="34" spans="1:22" customFormat="1" x14ac:dyDescent="0.3">
      <c r="A34" s="63" t="s">
        <v>71</v>
      </c>
      <c r="B34" s="63">
        <v>5643</v>
      </c>
      <c r="C34" s="18" t="s">
        <v>56</v>
      </c>
      <c r="D34" s="19"/>
      <c r="E34" s="19"/>
      <c r="F34" s="19"/>
      <c r="G34" s="20"/>
      <c r="H34" s="21"/>
      <c r="I34" s="22">
        <f>+'1'!I34+'2'!I34+'4'!I34+'3'!I34+'5'!I34+'6'!I34+'7'!I34+'8'!I34+'9'!I34+'13'!I34+'10'!I34+'12'!I34+'11'!I34+'14'!I34+'15'!I34+'16'!I34+'17'!I34+'18'!I34+'19'!I34+'20'!I34+'21'!I34+'22'!I34+'23'!I34+'24'!I34+'25'!I34+'26'!I34+'28'!I34+'27'!I34+'29'!I34+'30'!I34+'31'!I34</f>
        <v>0</v>
      </c>
      <c r="J34" s="22"/>
      <c r="K34" s="11"/>
      <c r="L34" s="22">
        <f>+'1'!L34+'2'!L34+'4'!L34+'3'!L34+'5'!L34+'6'!L34+'7'!L34+'8'!L34+'9'!L34+'13'!L34+'10'!L34+'12'!L34+'11'!L34+'14'!L34+'15'!L34+'16'!L34+'17'!L34+'18'!L34+'19'!L34+'20'!L34+'21'!L34+'22'!L34+'23'!L34+'24'!L34+'25'!L34+'26'!L34+'28'!L34+'27'!L34+'29'!L34+'30'!L34+'31'!L34</f>
        <v>0</v>
      </c>
      <c r="M34" s="22">
        <f>+'1'!M34+'2'!M34+'4'!M34+'3'!M34+'5'!M34+'6'!M34+'7'!M34+'8'!M34+'9'!M34+'13'!M34+'10'!M34+'12'!M34+'11'!M34+'14'!M34+'15'!M34+'16'!M34+'17'!M34+'18'!M34+'19'!M34+'20'!M34+'21'!M34+'22'!M34+'23'!M34+'24'!M34+'25'!M34+'26'!M34+'28'!M34+'27'!M34+'29'!M34+'30'!M34+'31'!M34</f>
        <v>0</v>
      </c>
      <c r="N34" s="22">
        <f>+'1'!N34+'2'!N34+'4'!N34+'3'!N34+'5'!N34+'6'!N34+'7'!N34+'8'!N34+'9'!N34+'13'!N34+'10'!N34+'12'!N34+'11'!N34+'14'!N34+'15'!N34+'16'!N34+'17'!N34+'18'!N34+'19'!N34+'20'!N34+'21'!N34+'22'!N34+'23'!N34+'24'!N34+'25'!N34+'26'!N34+'28'!N34+'27'!N34+'29'!N34+'30'!N34+'31'!N34</f>
        <v>0</v>
      </c>
      <c r="O34" s="22">
        <f>+'1'!O34+'2'!O34+'4'!O34+'3'!O34+'5'!O34+'6'!O34+'7'!O34+'8'!O34+'9'!O34+'13'!O34+'10'!O34+'12'!O34+'11'!O34+'14'!O34+'15'!O34+'16'!O34+'17'!O34+'18'!O34+'19'!O34+'20'!O34+'21'!O34+'22'!O34+'23'!O34+'24'!O34+'25'!O34+'26'!O34+'28'!O34+'27'!O34+'29'!O34+'30'!O34+'31'!O34</f>
        <v>0</v>
      </c>
      <c r="P34" s="22">
        <f>+'1'!P34+'2'!P34+'4'!P34+'3'!P34+'5'!P34+'6'!P34+'7'!P34+'8'!P34+'9'!P34+'13'!P34+'10'!P34+'12'!P34+'11'!P34+'14'!P34+'15'!P34+'16'!P34+'17'!P34+'18'!P34+'19'!P34+'20'!P34+'21'!P34+'22'!P34+'23'!P34+'24'!P34+'25'!P34+'26'!P34+'28'!P34+'27'!P34+'29'!P34+'30'!P34+'31'!P34</f>
        <v>0</v>
      </c>
      <c r="Q34" s="22">
        <f>+'1'!Q34+'2'!Q34+'4'!Q34+'3'!Q34+'5'!Q34+'6'!Q34+'7'!Q34+'8'!Q34+'9'!Q34+'13'!Q34+'10'!Q34+'12'!Q34+'11'!Q34+'14'!Q34+'15'!Q34+'16'!Q34+'17'!Q34+'18'!Q34+'19'!Q34+'20'!Q34+'21'!Q34+'22'!Q34+'23'!Q34+'24'!Q34+'25'!Q34+'26'!Q34+'28'!Q34+'27'!Q34+'29'!Q34+'30'!Q34+'31'!Q34</f>
        <v>0</v>
      </c>
      <c r="R34" s="36">
        <f>+'1'!R34+'2'!R34+'4'!R34+'3'!R34+'5'!R34+'6'!R34+'7'!R34+'8'!R34+'9'!R34+'13'!R34+'10'!R34+'12'!R34+'11'!R34+'14'!R34+'15'!R34+'16'!R34+'17'!R34+'18'!R34+'19'!R34+'20'!R34+'21'!R34+'22'!R34+'23'!R34+'24'!R34+'25'!R34+'26'!R34+'28'!R34+'27'!R34+'29'!R34+'30'!R34+'31'!R34</f>
        <v>0</v>
      </c>
      <c r="S34" s="44">
        <f>+'1'!S34+'2'!S34+'4'!S34+'3'!S34+'5'!S34+'6'!S34+'7'!S34+'8'!S34+'9'!S34+'13'!S34+'10'!S34+'12'!S34+'11'!S34+'14'!S34+'15'!S34+'16'!S34+'17'!S34+'18'!S34+'19'!S34+'20'!S34+'21'!S34+'22'!S34+'23'!S34+'24'!S34+'25'!S34+'26'!S34+'28'!S34+'27'!S34+'29'!S34+'30'!S34+'31'!S34</f>
        <v>0</v>
      </c>
      <c r="T34" s="47">
        <f>+'1'!T34+'2'!T34+'4'!T34+'3'!T34+'5'!T34+'6'!T34+'7'!T34+'8'!T34+'9'!T34+'13'!T34+'10'!T34+'12'!T34+'11'!T34+'14'!T34+'15'!T34+'16'!T34+'17'!T34+'18'!T34+'19'!T34+'20'!T34+'21'!T34+'22'!T34+'23'!T34+'24'!T34+'25'!T34+'26'!T34+'28'!T34+'27'!T34+'29'!T34+'30'!T34+'31'!T34</f>
        <v>0</v>
      </c>
      <c r="U34" s="52">
        <f t="shared" si="2"/>
        <v>0</v>
      </c>
      <c r="V34" s="23" t="str">
        <f t="shared" si="3"/>
        <v>OK</v>
      </c>
    </row>
    <row r="35" spans="1:22" customFormat="1" x14ac:dyDescent="0.3">
      <c r="A35" s="62" t="s">
        <v>57</v>
      </c>
      <c r="B35" s="62">
        <v>11350</v>
      </c>
      <c r="C35" s="12" t="s">
        <v>56</v>
      </c>
      <c r="D35" s="53"/>
      <c r="E35" s="13"/>
      <c r="F35" s="13"/>
      <c r="G35" s="14"/>
      <c r="H35" s="15"/>
      <c r="I35" s="16">
        <f>+'1'!I35+'2'!I35+'4'!I35+'3'!I35+'5'!I35+'6'!I35+'7'!I35+'8'!I35+'9'!I35+'13'!I35+'10'!I35+'12'!I35+'11'!I35+'14'!I35+'15'!I35+'16'!I35+'17'!I35+'18'!I35+'19'!I35+'20'!I35+'21'!I35+'22'!I35+'23'!I35+'24'!I35+'25'!I35+'26'!I35+'28'!I35+'27'!I35+'29'!I35+'30'!I35+'31'!I35</f>
        <v>0</v>
      </c>
      <c r="J35" s="16"/>
      <c r="K35" s="11"/>
      <c r="L35" s="16">
        <f>+'1'!L35+'2'!L35+'4'!L35+'3'!L35+'5'!L35+'6'!L35+'7'!L35+'8'!L35+'9'!L35+'13'!L35+'10'!L35+'12'!L35+'11'!L35+'14'!L35+'15'!L35+'16'!L35+'17'!L35+'18'!L35+'19'!L35+'20'!L35+'21'!L35+'22'!L35+'23'!L35+'24'!L35+'25'!L35+'26'!L35+'28'!L35+'27'!L35+'29'!L35+'30'!L35+'31'!L35</f>
        <v>0</v>
      </c>
      <c r="M35" s="16">
        <f>+'1'!M35+'2'!M35+'4'!M35+'3'!M35+'5'!M35+'6'!M35+'7'!M35+'8'!M35+'9'!M35+'13'!M35+'10'!M35+'12'!M35+'11'!M35+'14'!M35+'15'!M35+'16'!M35+'17'!M35+'18'!M35+'19'!M35+'20'!M35+'21'!M35+'22'!M35+'23'!M35+'24'!M35+'25'!M35+'26'!M35+'28'!M35+'27'!M35+'29'!M35+'30'!M35+'31'!M35</f>
        <v>0</v>
      </c>
      <c r="N35" s="16">
        <f>+'1'!N35+'2'!N35+'4'!N35+'3'!N35+'5'!N35+'6'!N35+'7'!N35+'8'!N35+'9'!N35+'13'!N35+'10'!N35+'12'!N35+'11'!N35+'14'!N35+'15'!N35+'16'!N35+'17'!N35+'18'!N35+'19'!N35+'20'!N35+'21'!N35+'22'!N35+'23'!N35+'24'!N35+'25'!N35+'26'!N35+'28'!N35+'27'!N35+'29'!N35+'30'!N35+'31'!N35</f>
        <v>0</v>
      </c>
      <c r="O35" s="16">
        <f>+'1'!O35+'2'!O35+'4'!O35+'3'!O35+'5'!O35+'6'!O35+'7'!O35+'8'!O35+'9'!O35+'13'!O35+'10'!O35+'12'!O35+'11'!O35+'14'!O35+'15'!O35+'16'!O35+'17'!O35+'18'!O35+'19'!O35+'20'!O35+'21'!O35+'22'!O35+'23'!O35+'24'!O35+'25'!O35+'26'!O35+'28'!O35+'27'!O35+'29'!O35+'30'!O35+'31'!O35</f>
        <v>0</v>
      </c>
      <c r="P35" s="16">
        <f>+'1'!P35+'2'!P35+'4'!P35+'3'!P35+'5'!P35+'6'!P35+'7'!P35+'8'!P35+'9'!P35+'13'!P35+'10'!P35+'12'!P35+'11'!P35+'14'!P35+'15'!P35+'16'!P35+'17'!P35+'18'!P35+'19'!P35+'20'!P35+'21'!P35+'22'!P35+'23'!P35+'24'!P35+'25'!P35+'26'!P35+'28'!P35+'27'!P35+'29'!P35+'30'!P35+'31'!P35</f>
        <v>0</v>
      </c>
      <c r="Q35" s="16">
        <f>+'1'!Q35+'2'!Q35+'4'!Q35+'3'!Q35+'5'!Q35+'6'!Q35+'7'!Q35+'8'!Q35+'9'!Q35+'13'!Q35+'10'!Q35+'12'!Q35+'11'!Q35+'14'!Q35+'15'!Q35+'16'!Q35+'17'!Q35+'18'!Q35+'19'!Q35+'20'!Q35+'21'!Q35+'22'!Q35+'23'!Q35+'24'!Q35+'25'!Q35+'26'!Q35+'28'!Q35+'27'!Q35+'29'!Q35+'30'!Q35+'31'!Q35</f>
        <v>0</v>
      </c>
      <c r="R35" s="35">
        <f>+'1'!R35+'2'!R35+'4'!R35+'3'!R35+'5'!R35+'6'!R35+'7'!R35+'8'!R35+'9'!R35+'13'!R35+'10'!R35+'12'!R35+'11'!R35+'14'!R35+'15'!R35+'16'!R35+'17'!R35+'18'!R35+'19'!R35+'20'!R35+'21'!R35+'22'!R35+'23'!R35+'24'!R35+'25'!R35+'26'!R35+'28'!R35+'27'!R35+'29'!R35+'30'!R35+'31'!R35</f>
        <v>0</v>
      </c>
      <c r="S35" s="43">
        <f>+'1'!S35+'2'!S35+'4'!S35+'3'!S35+'5'!S35+'6'!S35+'7'!S35+'8'!S35+'9'!S35+'13'!S35+'10'!S35+'12'!S35+'11'!S35+'14'!S35+'15'!S35+'16'!S35+'17'!S35+'18'!S35+'19'!S35+'20'!S35+'21'!S35+'22'!S35+'23'!S35+'24'!S35+'25'!S35+'26'!S35+'28'!S35+'27'!S35+'29'!S35+'30'!S35+'31'!S35</f>
        <v>0</v>
      </c>
      <c r="T35" s="46">
        <f>+'1'!T35+'2'!T35+'4'!T35+'3'!T35+'5'!T35+'6'!T35+'7'!T35+'8'!T35+'9'!T35+'13'!T35+'10'!T35+'12'!T35+'11'!T35+'14'!T35+'15'!T35+'16'!T35+'17'!T35+'18'!T35+'19'!T35+'20'!T35+'21'!T35+'22'!T35+'23'!T35+'24'!T35+'25'!T35+'26'!T35+'28'!T35+'27'!T35+'29'!T35+'30'!T35+'31'!T35</f>
        <v>0</v>
      </c>
      <c r="U35" s="51">
        <f t="shared" si="2"/>
        <v>0</v>
      </c>
      <c r="V35" s="17" t="str">
        <f t="shared" si="3"/>
        <v>OK</v>
      </c>
    </row>
    <row r="36" spans="1:22" customFormat="1" x14ac:dyDescent="0.3">
      <c r="A36" s="63" t="s">
        <v>72</v>
      </c>
      <c r="B36" s="63">
        <v>5635</v>
      </c>
      <c r="C36" s="18" t="s">
        <v>55</v>
      </c>
      <c r="D36" s="19"/>
      <c r="E36" s="19"/>
      <c r="F36" s="19"/>
      <c r="G36" s="20"/>
      <c r="H36" s="21"/>
      <c r="I36" s="22">
        <f>+'1'!I36+'2'!I36+'4'!I36+'3'!I36+'5'!I36+'6'!I36+'7'!I36+'8'!I36+'9'!I36+'13'!I36+'10'!I36+'12'!I36+'11'!I36+'14'!I36+'15'!I36+'16'!I36+'17'!I36+'18'!I36+'19'!I36+'20'!I36+'21'!I36+'22'!I36+'23'!I36+'24'!I36+'25'!I36+'26'!I36+'28'!I36+'27'!I36+'29'!I36+'30'!I36+'31'!I36</f>
        <v>24</v>
      </c>
      <c r="J36" s="22"/>
      <c r="K36" s="11"/>
      <c r="L36" s="22">
        <f>+'1'!L36+'2'!L36+'4'!L36+'3'!L36+'5'!L36+'6'!L36+'7'!L36+'8'!L36+'9'!L36+'13'!L36+'10'!L36+'12'!L36+'11'!L36+'14'!L36+'15'!L36+'16'!L36+'17'!L36+'18'!L36+'19'!L36+'20'!L36+'21'!L36+'22'!L36+'23'!L36+'24'!L36+'25'!L36+'26'!L36+'28'!L36+'27'!L36+'29'!L36+'30'!L36+'31'!L36</f>
        <v>0</v>
      </c>
      <c r="M36" s="22">
        <f>+'1'!M36+'2'!M36+'4'!M36+'3'!M36+'5'!M36+'6'!M36+'7'!M36+'8'!M36+'9'!M36+'13'!M36+'10'!M36+'12'!M36+'11'!M36+'14'!M36+'15'!M36+'16'!M36+'17'!M36+'18'!M36+'19'!M36+'20'!M36+'21'!M36+'22'!M36+'23'!M36+'24'!M36+'25'!M36+'26'!M36+'28'!M36+'27'!M36+'29'!M36+'30'!M36+'31'!M36</f>
        <v>24</v>
      </c>
      <c r="N36" s="22">
        <f>+'1'!N36+'2'!N36+'4'!N36+'3'!N36+'5'!N36+'6'!N36+'7'!N36+'8'!N36+'9'!N36+'13'!N36+'10'!N36+'12'!N36+'11'!N36+'14'!N36+'15'!N36+'16'!N36+'17'!N36+'18'!N36+'19'!N36+'20'!N36+'21'!N36+'22'!N36+'23'!N36+'24'!N36+'25'!N36+'26'!N36+'28'!N36+'27'!N36+'29'!N36+'30'!N36+'31'!N36</f>
        <v>0</v>
      </c>
      <c r="O36" s="22">
        <f>+'1'!O36+'2'!O36+'4'!O36+'3'!O36+'5'!O36+'6'!O36+'7'!O36+'8'!O36+'9'!O36+'13'!O36+'10'!O36+'12'!O36+'11'!O36+'14'!O36+'15'!O36+'16'!O36+'17'!O36+'18'!O36+'19'!O36+'20'!O36+'21'!O36+'22'!O36+'23'!O36+'24'!O36+'25'!O36+'26'!O36+'28'!O36+'27'!O36+'29'!O36+'30'!O36+'31'!O36</f>
        <v>0</v>
      </c>
      <c r="P36" s="22">
        <f>+'1'!P36+'2'!P36+'4'!P36+'3'!P36+'5'!P36+'6'!P36+'7'!P36+'8'!P36+'9'!P36+'13'!P36+'10'!P36+'12'!P36+'11'!P36+'14'!P36+'15'!P36+'16'!P36+'17'!P36+'18'!P36+'19'!P36+'20'!P36+'21'!P36+'22'!P36+'23'!P36+'24'!P36+'25'!P36+'26'!P36+'28'!P36+'27'!P36+'29'!P36+'30'!P36+'31'!P36</f>
        <v>0</v>
      </c>
      <c r="Q36" s="22">
        <f>+'1'!Q36+'2'!Q36+'4'!Q36+'3'!Q36+'5'!Q36+'6'!Q36+'7'!Q36+'8'!Q36+'9'!Q36+'13'!Q36+'10'!Q36+'12'!Q36+'11'!Q36+'14'!Q36+'15'!Q36+'16'!Q36+'17'!Q36+'18'!Q36+'19'!Q36+'20'!Q36+'21'!Q36+'22'!Q36+'23'!Q36+'24'!Q36+'25'!Q36+'26'!Q36+'28'!Q36+'27'!Q36+'29'!Q36+'30'!Q36+'31'!Q36</f>
        <v>0</v>
      </c>
      <c r="R36" s="36">
        <f>+'1'!R36+'2'!R36+'4'!R36+'3'!R36+'5'!R36+'6'!R36+'7'!R36+'8'!R36+'9'!R36+'13'!R36+'10'!R36+'12'!R36+'11'!R36+'14'!R36+'15'!R36+'16'!R36+'17'!R36+'18'!R36+'19'!R36+'20'!R36+'21'!R36+'22'!R36+'23'!R36+'24'!R36+'25'!R36+'26'!R36+'28'!R36+'27'!R36+'29'!R36+'30'!R36+'31'!R36</f>
        <v>0</v>
      </c>
      <c r="S36" s="44">
        <f>+'1'!S36+'2'!S36+'4'!S36+'3'!S36+'5'!S36+'6'!S36+'7'!S36+'8'!S36+'9'!S36+'13'!S36+'10'!S36+'12'!S36+'11'!S36+'14'!S36+'15'!S36+'16'!S36+'17'!S36+'18'!S36+'19'!S36+'20'!S36+'21'!S36+'22'!S36+'23'!S36+'24'!S36+'25'!S36+'26'!S36+'28'!S36+'27'!S36+'29'!S36+'30'!S36+'31'!S36</f>
        <v>0</v>
      </c>
      <c r="T36" s="47">
        <f>+'1'!T36+'2'!T36+'4'!T36+'3'!T36+'5'!T36+'6'!T36+'7'!T36+'8'!T36+'9'!T36+'13'!T36+'10'!T36+'12'!T36+'11'!T36+'14'!T36+'15'!T36+'16'!T36+'17'!T36+'18'!T36+'19'!T36+'20'!T36+'21'!T36+'22'!T36+'23'!T36+'24'!T36+'25'!T36+'26'!T36+'28'!T36+'27'!T36+'29'!T36+'30'!T36+'31'!T36</f>
        <v>0</v>
      </c>
      <c r="U36" s="52">
        <f t="shared" si="2"/>
        <v>24</v>
      </c>
      <c r="V36" s="23" t="str">
        <f t="shared" si="3"/>
        <v>OK</v>
      </c>
    </row>
    <row r="37" spans="1:22" customFormat="1" x14ac:dyDescent="0.3">
      <c r="A37" s="62" t="s">
        <v>58</v>
      </c>
      <c r="B37" s="62">
        <v>11349</v>
      </c>
      <c r="C37" s="12" t="s">
        <v>55</v>
      </c>
      <c r="D37" s="53"/>
      <c r="E37" s="13"/>
      <c r="F37" s="13"/>
      <c r="G37" s="14"/>
      <c r="H37" s="15"/>
      <c r="I37" s="16">
        <f>+'1'!I37+'2'!I37+'4'!I37+'3'!I37+'5'!I37+'6'!I37+'7'!I37+'8'!I37+'9'!I37+'13'!I37+'10'!I37+'12'!I37+'11'!I37+'14'!I37+'15'!I37+'16'!I37+'17'!I37+'18'!I37+'19'!I37+'20'!I37+'21'!I37+'22'!I37+'23'!I37+'24'!I37+'25'!I37+'26'!I37+'28'!I37+'27'!I37+'29'!I37+'30'!I37+'31'!I37</f>
        <v>14</v>
      </c>
      <c r="J37" s="16"/>
      <c r="K37" s="11"/>
      <c r="L37" s="16">
        <f>+'1'!L37+'2'!L37+'4'!L37+'3'!L37+'5'!L37+'6'!L37+'7'!L37+'8'!L37+'9'!L37+'13'!L37+'10'!L37+'12'!L37+'11'!L37+'14'!L37+'15'!L37+'16'!L37+'17'!L37+'18'!L37+'19'!L37+'20'!L37+'21'!L37+'22'!L37+'23'!L37+'24'!L37+'25'!L37+'26'!L37+'28'!L37+'27'!L37+'29'!L37+'30'!L37+'31'!L37</f>
        <v>0</v>
      </c>
      <c r="M37" s="16">
        <f>+'1'!M37+'2'!M37+'4'!M37+'3'!M37+'5'!M37+'6'!M37+'7'!M37+'8'!M37+'9'!M37+'13'!M37+'10'!M37+'12'!M37+'11'!M37+'14'!M37+'15'!M37+'16'!M37+'17'!M37+'18'!M37+'19'!M37+'20'!M37+'21'!M37+'22'!M37+'23'!M37+'24'!M37+'25'!M37+'26'!M37+'28'!M37+'27'!M37+'29'!M37+'30'!M37+'31'!M37</f>
        <v>14</v>
      </c>
      <c r="N37" s="16">
        <f>+'1'!N37+'2'!N37+'4'!N37+'3'!N37+'5'!N37+'6'!N37+'7'!N37+'8'!N37+'9'!N37+'13'!N37+'10'!N37+'12'!N37+'11'!N37+'14'!N37+'15'!N37+'16'!N37+'17'!N37+'18'!N37+'19'!N37+'20'!N37+'21'!N37+'22'!N37+'23'!N37+'24'!N37+'25'!N37+'26'!N37+'28'!N37+'27'!N37+'29'!N37+'30'!N37+'31'!N37</f>
        <v>0</v>
      </c>
      <c r="O37" s="16">
        <f>+'1'!O37+'2'!O37+'4'!O37+'3'!O37+'5'!O37+'6'!O37+'7'!O37+'8'!O37+'9'!O37+'13'!O37+'10'!O37+'12'!O37+'11'!O37+'14'!O37+'15'!O37+'16'!O37+'17'!O37+'18'!O37+'19'!O37+'20'!O37+'21'!O37+'22'!O37+'23'!O37+'24'!O37+'25'!O37+'26'!O37+'28'!O37+'27'!O37+'29'!O37+'30'!O37+'31'!O37</f>
        <v>0</v>
      </c>
      <c r="P37" s="16">
        <f>+'1'!P37+'2'!P37+'4'!P37+'3'!P37+'5'!P37+'6'!P37+'7'!P37+'8'!P37+'9'!P37+'13'!P37+'10'!P37+'12'!P37+'11'!P37+'14'!P37+'15'!P37+'16'!P37+'17'!P37+'18'!P37+'19'!P37+'20'!P37+'21'!P37+'22'!P37+'23'!P37+'24'!P37+'25'!P37+'26'!P37+'28'!P37+'27'!P37+'29'!P37+'30'!P37+'31'!P37</f>
        <v>0</v>
      </c>
      <c r="Q37" s="16">
        <f>+'1'!Q37+'2'!Q37+'4'!Q37+'3'!Q37+'5'!Q37+'6'!Q37+'7'!Q37+'8'!Q37+'9'!Q37+'13'!Q37+'10'!Q37+'12'!Q37+'11'!Q37+'14'!Q37+'15'!Q37+'16'!Q37+'17'!Q37+'18'!Q37+'19'!Q37+'20'!Q37+'21'!Q37+'22'!Q37+'23'!Q37+'24'!Q37+'25'!Q37+'26'!Q37+'28'!Q37+'27'!Q37+'29'!Q37+'30'!Q37+'31'!Q37</f>
        <v>0</v>
      </c>
      <c r="R37" s="35">
        <f>+'1'!R37+'2'!R37+'4'!R37+'3'!R37+'5'!R37+'6'!R37+'7'!R37+'8'!R37+'9'!R37+'13'!R37+'10'!R37+'12'!R37+'11'!R37+'14'!R37+'15'!R37+'16'!R37+'17'!R37+'18'!R37+'19'!R37+'20'!R37+'21'!R37+'22'!R37+'23'!R37+'24'!R37+'25'!R37+'26'!R37+'28'!R37+'27'!R37+'29'!R37+'30'!R37+'31'!R37</f>
        <v>0</v>
      </c>
      <c r="S37" s="43">
        <f>+'1'!S37+'2'!S37+'4'!S37+'3'!S37+'5'!S37+'6'!S37+'7'!S37+'8'!S37+'9'!S37+'13'!S37+'10'!S37+'12'!S37+'11'!S37+'14'!S37+'15'!S37+'16'!S37+'17'!S37+'18'!S37+'19'!S37+'20'!S37+'21'!S37+'22'!S37+'23'!S37+'24'!S37+'25'!S37+'26'!S37+'28'!S37+'27'!S37+'29'!S37+'30'!S37+'31'!S37</f>
        <v>0</v>
      </c>
      <c r="T37" s="46">
        <f>+'1'!T37+'2'!T37+'4'!T37+'3'!T37+'5'!T37+'6'!T37+'7'!T37+'8'!T37+'9'!T37+'13'!T37+'10'!T37+'12'!T37+'11'!T37+'14'!T37+'15'!T37+'16'!T37+'17'!T37+'18'!T37+'19'!T37+'20'!T37+'21'!T37+'22'!T37+'23'!T37+'24'!T37+'25'!T37+'26'!T37+'28'!T37+'27'!T37+'29'!T37+'30'!T37+'31'!T37</f>
        <v>0</v>
      </c>
      <c r="U37" s="51">
        <f t="shared" ref="U37:U44" si="4">SUM(L37:T37)</f>
        <v>14</v>
      </c>
      <c r="V37" s="17" t="str">
        <f t="shared" ref="V37:V45" si="5">IF(U37=I37,"OK","NG")</f>
        <v>OK</v>
      </c>
    </row>
    <row r="38" spans="1:22" customFormat="1" x14ac:dyDescent="0.3">
      <c r="A38" s="63" t="s">
        <v>73</v>
      </c>
      <c r="B38" s="63">
        <v>5627</v>
      </c>
      <c r="C38" s="18" t="s">
        <v>56</v>
      </c>
      <c r="D38" s="19"/>
      <c r="E38" s="19"/>
      <c r="F38" s="19"/>
      <c r="G38" s="20"/>
      <c r="H38" s="21"/>
      <c r="I38" s="22">
        <f>+'1'!I38+'2'!I38+'4'!I38+'3'!I38+'5'!I38+'6'!I38+'7'!I38+'8'!I38+'9'!I38+'13'!I38+'10'!I38+'12'!I38+'11'!I38+'14'!I38+'15'!I38+'16'!I38+'17'!I38+'18'!I38+'19'!I38+'20'!I38+'21'!I38+'22'!I38+'23'!I38+'24'!I38+'25'!I38+'26'!I38+'28'!I38+'27'!I38+'29'!I38+'30'!I38+'31'!I38</f>
        <v>16</v>
      </c>
      <c r="J38" s="22"/>
      <c r="K38" s="11"/>
      <c r="L38" s="22">
        <f>+'1'!L38+'2'!L38+'4'!L38+'3'!L38+'5'!L38+'6'!L38+'7'!L38+'8'!L38+'9'!L38+'13'!L38+'10'!L38+'12'!L38+'11'!L38+'14'!L38+'15'!L38+'16'!L38+'17'!L38+'18'!L38+'19'!L38+'20'!L38+'21'!L38+'22'!L38+'23'!L38+'24'!L38+'25'!L38+'26'!L38+'28'!L38+'27'!L38+'29'!L38+'30'!L38+'31'!L38</f>
        <v>0</v>
      </c>
      <c r="M38" s="22">
        <f>+'1'!M38+'2'!M38+'4'!M38+'3'!M38+'5'!M38+'6'!M38+'7'!M38+'8'!M38+'9'!M38+'13'!M38+'10'!M38+'12'!M38+'11'!M38+'14'!M38+'15'!M38+'16'!M38+'17'!M38+'18'!M38+'19'!M38+'20'!M38+'21'!M38+'22'!M38+'23'!M38+'24'!M38+'25'!M38+'26'!M38+'28'!M38+'27'!M38+'29'!M38+'30'!M38+'31'!M38</f>
        <v>16</v>
      </c>
      <c r="N38" s="22">
        <f>+'1'!N38+'2'!N38+'4'!N38+'3'!N38+'5'!N38+'6'!N38+'7'!N38+'8'!N38+'9'!N38+'13'!N38+'10'!N38+'12'!N38+'11'!N38+'14'!N38+'15'!N38+'16'!N38+'17'!N38+'18'!N38+'19'!N38+'20'!N38+'21'!N38+'22'!N38+'23'!N38+'24'!N38+'25'!N38+'26'!N38+'28'!N38+'27'!N38+'29'!N38+'30'!N38+'31'!N38</f>
        <v>0</v>
      </c>
      <c r="O38" s="22">
        <f>+'1'!O38+'2'!O38+'4'!O38+'3'!O38+'5'!O38+'6'!O38+'7'!O38+'8'!O38+'9'!O38+'13'!O38+'10'!O38+'12'!O38+'11'!O38+'14'!O38+'15'!O38+'16'!O38+'17'!O38+'18'!O38+'19'!O38+'20'!O38+'21'!O38+'22'!O38+'23'!O38+'24'!O38+'25'!O38+'26'!O38+'28'!O38+'27'!O38+'29'!O38+'30'!O38+'31'!O38</f>
        <v>0</v>
      </c>
      <c r="P38" s="22">
        <f>+'1'!P38+'2'!P38+'4'!P38+'3'!P38+'5'!P38+'6'!P38+'7'!P38+'8'!P38+'9'!P38+'13'!P38+'10'!P38+'12'!P38+'11'!P38+'14'!P38+'15'!P38+'16'!P38+'17'!P38+'18'!P38+'19'!P38+'20'!P38+'21'!P38+'22'!P38+'23'!P38+'24'!P38+'25'!P38+'26'!P38+'28'!P38+'27'!P38+'29'!P38+'30'!P38+'31'!P38</f>
        <v>0</v>
      </c>
      <c r="Q38" s="22">
        <f>+'1'!Q38+'2'!Q38+'4'!Q38+'3'!Q38+'5'!Q38+'6'!Q38+'7'!Q38+'8'!Q38+'9'!Q38+'13'!Q38+'10'!Q38+'12'!Q38+'11'!Q38+'14'!Q38+'15'!Q38+'16'!Q38+'17'!Q38+'18'!Q38+'19'!Q38+'20'!Q38+'21'!Q38+'22'!Q38+'23'!Q38+'24'!Q38+'25'!Q38+'26'!Q38+'28'!Q38+'27'!Q38+'29'!Q38+'30'!Q38+'31'!Q38</f>
        <v>0</v>
      </c>
      <c r="R38" s="36">
        <f>+'1'!R38+'2'!R38+'4'!R38+'3'!R38+'5'!R38+'6'!R38+'7'!R38+'8'!R38+'9'!R38+'13'!R38+'10'!R38+'12'!R38+'11'!R38+'14'!R38+'15'!R38+'16'!R38+'17'!R38+'18'!R38+'19'!R38+'20'!R38+'21'!R38+'22'!R38+'23'!R38+'24'!R38+'25'!R38+'26'!R38+'28'!R38+'27'!R38+'29'!R38+'30'!R38+'31'!R38</f>
        <v>0</v>
      </c>
      <c r="S38" s="44">
        <f>+'1'!S38+'2'!S38+'4'!S38+'3'!S38+'5'!S38+'6'!S38+'7'!S38+'8'!S38+'9'!S38+'13'!S38+'10'!S38+'12'!S38+'11'!S38+'14'!S38+'15'!S38+'16'!S38+'17'!S38+'18'!S38+'19'!S38+'20'!S38+'21'!S38+'22'!S38+'23'!S38+'24'!S38+'25'!S38+'26'!S38+'28'!S38+'27'!S38+'29'!S38+'30'!S38+'31'!S38</f>
        <v>0</v>
      </c>
      <c r="T38" s="47">
        <f>+'1'!T38+'2'!T38+'4'!T38+'3'!T38+'5'!T38+'6'!T38+'7'!T38+'8'!T38+'9'!T38+'13'!T38+'10'!T38+'12'!T38+'11'!T38+'14'!T38+'15'!T38+'16'!T38+'17'!T38+'18'!T38+'19'!T38+'20'!T38+'21'!T38+'22'!T38+'23'!T38+'24'!T38+'25'!T38+'26'!T38+'28'!T38+'27'!T38+'29'!T38+'30'!T38+'31'!T38</f>
        <v>0</v>
      </c>
      <c r="U38" s="52">
        <f t="shared" si="4"/>
        <v>16</v>
      </c>
      <c r="V38" s="23" t="str">
        <f t="shared" si="5"/>
        <v>OK</v>
      </c>
    </row>
    <row r="39" spans="1:22" customFormat="1" x14ac:dyDescent="0.3">
      <c r="A39" s="62" t="s">
        <v>59</v>
      </c>
      <c r="B39" s="62">
        <v>11348</v>
      </c>
      <c r="C39" s="12" t="s">
        <v>56</v>
      </c>
      <c r="D39" s="53"/>
      <c r="E39" s="13"/>
      <c r="F39" s="13"/>
      <c r="G39" s="14"/>
      <c r="H39" s="15"/>
      <c r="I39" s="16">
        <f>+'1'!I39+'2'!I39+'4'!I39+'3'!I39+'5'!I39+'6'!I39+'7'!I39+'8'!I39+'9'!I39+'13'!I39+'10'!I39+'12'!I39+'11'!I39+'14'!I39+'15'!I39+'16'!I39+'17'!I39+'18'!I39+'19'!I39+'20'!I39+'21'!I39+'22'!I39+'23'!I39+'24'!I39+'25'!I39+'26'!I39+'28'!I39+'27'!I39+'29'!I39+'30'!I39+'31'!I39</f>
        <v>25</v>
      </c>
      <c r="J39" s="16"/>
      <c r="K39" s="11"/>
      <c r="L39" s="16">
        <f>+'1'!L39+'2'!L39+'4'!L39+'3'!L39+'5'!L39+'6'!L39+'7'!L39+'8'!L39+'9'!L39+'13'!L39+'10'!L39+'12'!L39+'11'!L39+'14'!L39+'15'!L39+'16'!L39+'17'!L39+'18'!L39+'19'!L39+'20'!L39+'21'!L39+'22'!L39+'23'!L39+'24'!L39+'25'!L39+'26'!L39+'28'!L39+'27'!L39+'29'!L39+'30'!L39+'31'!L39</f>
        <v>0</v>
      </c>
      <c r="M39" s="16">
        <f>+'1'!M39+'2'!M39+'4'!M39+'3'!M39+'5'!M39+'6'!M39+'7'!M39+'8'!M39+'9'!M39+'13'!M39+'10'!M39+'12'!M39+'11'!M39+'14'!M39+'15'!M39+'16'!M39+'17'!M39+'18'!M39+'19'!M39+'20'!M39+'21'!M39+'22'!M39+'23'!M39+'24'!M39+'25'!M39+'26'!M39+'28'!M39+'27'!M39+'29'!M39+'30'!M39+'31'!M39</f>
        <v>25</v>
      </c>
      <c r="N39" s="16">
        <f>+'1'!N39+'2'!N39+'4'!N39+'3'!N39+'5'!N39+'6'!N39+'7'!N39+'8'!N39+'9'!N39+'13'!N39+'10'!N39+'12'!N39+'11'!N39+'14'!N39+'15'!N39+'16'!N39+'17'!N39+'18'!N39+'19'!N39+'20'!N39+'21'!N39+'22'!N39+'23'!N39+'24'!N39+'25'!N39+'26'!N39+'28'!N39+'27'!N39+'29'!N39+'30'!N39+'31'!N39</f>
        <v>0</v>
      </c>
      <c r="O39" s="16">
        <f>+'1'!O39+'2'!O39+'4'!O39+'3'!O39+'5'!O39+'6'!O39+'7'!O39+'8'!O39+'9'!O39+'13'!O39+'10'!O39+'12'!O39+'11'!O39+'14'!O39+'15'!O39+'16'!O39+'17'!O39+'18'!O39+'19'!O39+'20'!O39+'21'!O39+'22'!O39+'23'!O39+'24'!O39+'25'!O39+'26'!O39+'28'!O39+'27'!O39+'29'!O39+'30'!O39+'31'!O39</f>
        <v>0</v>
      </c>
      <c r="P39" s="16">
        <f>+'1'!P39+'2'!P39+'4'!P39+'3'!P39+'5'!P39+'6'!P39+'7'!P39+'8'!P39+'9'!P39+'13'!P39+'10'!P39+'12'!P39+'11'!P39+'14'!P39+'15'!P39+'16'!P39+'17'!P39+'18'!P39+'19'!P39+'20'!P39+'21'!P39+'22'!P39+'23'!P39+'24'!P39+'25'!P39+'26'!P39+'28'!P39+'27'!P39+'29'!P39+'30'!P39+'31'!P39</f>
        <v>0</v>
      </c>
      <c r="Q39" s="16">
        <f>+'1'!Q39+'2'!Q39+'4'!Q39+'3'!Q39+'5'!Q39+'6'!Q39+'7'!Q39+'8'!Q39+'9'!Q39+'13'!Q39+'10'!Q39+'12'!Q39+'11'!Q39+'14'!Q39+'15'!Q39+'16'!Q39+'17'!Q39+'18'!Q39+'19'!Q39+'20'!Q39+'21'!Q39+'22'!Q39+'23'!Q39+'24'!Q39+'25'!Q39+'26'!Q39+'28'!Q39+'27'!Q39+'29'!Q39+'30'!Q39+'31'!Q39</f>
        <v>0</v>
      </c>
      <c r="R39" s="35">
        <f>+'1'!R39+'2'!R39+'4'!R39+'3'!R39+'5'!R39+'6'!R39+'7'!R39+'8'!R39+'9'!R39+'13'!R39+'10'!R39+'12'!R39+'11'!R39+'14'!R39+'15'!R39+'16'!R39+'17'!R39+'18'!R39+'19'!R39+'20'!R39+'21'!R39+'22'!R39+'23'!R39+'24'!R39+'25'!R39+'26'!R39+'28'!R39+'27'!R39+'29'!R39+'30'!R39+'31'!R39</f>
        <v>0</v>
      </c>
      <c r="S39" s="43">
        <f>+'1'!S39+'2'!S39+'4'!S39+'3'!S39+'5'!S39+'6'!S39+'7'!S39+'8'!S39+'9'!S39+'13'!S39+'10'!S39+'12'!S39+'11'!S39+'14'!S39+'15'!S39+'16'!S39+'17'!S39+'18'!S39+'19'!S39+'20'!S39+'21'!S39+'22'!S39+'23'!S39+'24'!S39+'25'!S39+'26'!S39+'28'!S39+'27'!S39+'29'!S39+'30'!S39+'31'!S39</f>
        <v>0</v>
      </c>
      <c r="T39" s="46">
        <f>+'1'!T39+'2'!T39+'4'!T39+'3'!T39+'5'!T39+'6'!T39+'7'!T39+'8'!T39+'9'!T39+'13'!T39+'10'!T39+'12'!T39+'11'!T39+'14'!T39+'15'!T39+'16'!T39+'17'!T39+'18'!T39+'19'!T39+'20'!T39+'21'!T39+'22'!T39+'23'!T39+'24'!T39+'25'!T39+'26'!T39+'28'!T39+'27'!T39+'29'!T39+'30'!T39+'31'!T39</f>
        <v>0</v>
      </c>
      <c r="U39" s="51">
        <f t="shared" si="4"/>
        <v>25</v>
      </c>
      <c r="V39" s="17" t="str">
        <f t="shared" si="5"/>
        <v>OK</v>
      </c>
    </row>
    <row r="40" spans="1:22" customFormat="1" x14ac:dyDescent="0.3">
      <c r="A40" s="63" t="s">
        <v>74</v>
      </c>
      <c r="B40" s="63">
        <v>5619</v>
      </c>
      <c r="C40" s="18" t="s">
        <v>60</v>
      </c>
      <c r="D40" s="19"/>
      <c r="E40" s="19"/>
      <c r="F40" s="19"/>
      <c r="G40" s="20"/>
      <c r="H40" s="21"/>
      <c r="I40" s="22">
        <f>+'1'!I40+'2'!I40+'4'!I40+'3'!I40+'5'!I40+'6'!I40+'7'!I40+'8'!I40+'9'!I40+'13'!I40+'10'!I40+'12'!I40+'11'!I40+'14'!I40+'15'!I40+'16'!I40+'17'!I40+'18'!I40+'19'!I40+'20'!I40+'21'!I40+'22'!I40+'23'!I40+'24'!I40+'25'!I40+'26'!I40+'28'!I40+'27'!I40+'29'!I40+'30'!I40+'31'!I40</f>
        <v>10</v>
      </c>
      <c r="J40" s="22"/>
      <c r="K40" s="11"/>
      <c r="L40" s="22">
        <f>+'1'!L40+'2'!L40+'4'!L40+'3'!L40+'5'!L40+'6'!L40+'7'!L40+'8'!L40+'9'!L40+'13'!L40+'10'!L40+'12'!L40+'11'!L40+'14'!L40+'15'!L40+'16'!L40+'17'!L40+'18'!L40+'19'!L40+'20'!L40+'21'!L40+'22'!L40+'23'!L40+'24'!L40+'25'!L40+'26'!L40+'28'!L40+'27'!L40+'29'!L40+'30'!L40+'31'!L40</f>
        <v>0</v>
      </c>
      <c r="M40" s="22">
        <f>+'1'!M40+'2'!M40+'4'!M40+'3'!M40+'5'!M40+'6'!M40+'7'!M40+'8'!M40+'9'!M40+'13'!M40+'10'!M40+'12'!M40+'11'!M40+'14'!M40+'15'!M40+'16'!M40+'17'!M40+'18'!M40+'19'!M40+'20'!M40+'21'!M40+'22'!M40+'23'!M40+'24'!M40+'25'!M40+'26'!M40+'28'!M40+'27'!M40+'29'!M40+'30'!M40+'31'!M40</f>
        <v>10</v>
      </c>
      <c r="N40" s="22">
        <f>+'1'!N40+'2'!N40+'4'!N40+'3'!N40+'5'!N40+'6'!N40+'7'!N40+'8'!N40+'9'!N40+'13'!N40+'10'!N40+'12'!N40+'11'!N40+'14'!N40+'15'!N40+'16'!N40+'17'!N40+'18'!N40+'19'!N40+'20'!N40+'21'!N40+'22'!N40+'23'!N40+'24'!N40+'25'!N40+'26'!N40+'28'!N40+'27'!N40+'29'!N40+'30'!N40+'31'!N40</f>
        <v>0</v>
      </c>
      <c r="O40" s="22">
        <f>+'1'!O40+'2'!O40+'4'!O40+'3'!O40+'5'!O40+'6'!O40+'7'!O40+'8'!O40+'9'!O40+'13'!O40+'10'!O40+'12'!O40+'11'!O40+'14'!O40+'15'!O40+'16'!O40+'17'!O40+'18'!O40+'19'!O40+'20'!O40+'21'!O40+'22'!O40+'23'!O40+'24'!O40+'25'!O40+'26'!O40+'28'!O40+'27'!O40+'29'!O40+'30'!O40+'31'!O40</f>
        <v>0</v>
      </c>
      <c r="P40" s="22">
        <f>+'1'!P40+'2'!P40+'4'!P40+'3'!P40+'5'!P40+'6'!P40+'7'!P40+'8'!P40+'9'!P40+'13'!P40+'10'!P40+'12'!P40+'11'!P40+'14'!P40+'15'!P40+'16'!P40+'17'!P40+'18'!P40+'19'!P40+'20'!P40+'21'!P40+'22'!P40+'23'!P40+'24'!P40+'25'!P40+'26'!P40+'28'!P40+'27'!P40+'29'!P40+'30'!P40+'31'!P40</f>
        <v>0</v>
      </c>
      <c r="Q40" s="22">
        <f>+'1'!Q40+'2'!Q40+'4'!Q40+'3'!Q40+'5'!Q40+'6'!Q40+'7'!Q40+'8'!Q40+'9'!Q40+'13'!Q40+'10'!Q40+'12'!Q40+'11'!Q40+'14'!Q40+'15'!Q40+'16'!Q40+'17'!Q40+'18'!Q40+'19'!Q40+'20'!Q40+'21'!Q40+'22'!Q40+'23'!Q40+'24'!Q40+'25'!Q40+'26'!Q40+'28'!Q40+'27'!Q40+'29'!Q40+'30'!Q40+'31'!Q40</f>
        <v>0</v>
      </c>
      <c r="R40" s="36">
        <f>+'1'!R40+'2'!R40+'4'!R40+'3'!R40+'5'!R40+'6'!R40+'7'!R40+'8'!R40+'9'!R40+'13'!R40+'10'!R40+'12'!R40+'11'!R40+'14'!R40+'15'!R40+'16'!R40+'17'!R40+'18'!R40+'19'!R40+'20'!R40+'21'!R40+'22'!R40+'23'!R40+'24'!R40+'25'!R40+'26'!R40+'28'!R40+'27'!R40+'29'!R40+'30'!R40+'31'!R40</f>
        <v>0</v>
      </c>
      <c r="S40" s="44">
        <f>+'1'!S40+'2'!S40+'4'!S40+'3'!S40+'5'!S40+'6'!S40+'7'!S40+'8'!S40+'9'!S40+'13'!S40+'10'!S40+'12'!S40+'11'!S40+'14'!S40+'15'!S40+'16'!S40+'17'!S40+'18'!S40+'19'!S40+'20'!S40+'21'!S40+'22'!S40+'23'!S40+'24'!S40+'25'!S40+'26'!S40+'28'!S40+'27'!S40+'29'!S40+'30'!S40+'31'!S40</f>
        <v>0</v>
      </c>
      <c r="T40" s="47">
        <f>+'1'!T40+'2'!T40+'4'!T40+'3'!T40+'5'!T40+'6'!T40+'7'!T40+'8'!T40+'9'!T40+'13'!T40+'10'!T40+'12'!T40+'11'!T40+'14'!T40+'15'!T40+'16'!T40+'17'!T40+'18'!T40+'19'!T40+'20'!T40+'21'!T40+'22'!T40+'23'!T40+'24'!T40+'25'!T40+'26'!T40+'28'!T40+'27'!T40+'29'!T40+'30'!T40+'31'!T40</f>
        <v>0</v>
      </c>
      <c r="U40" s="52">
        <f t="shared" si="4"/>
        <v>10</v>
      </c>
      <c r="V40" s="23" t="str">
        <f t="shared" si="5"/>
        <v>OK</v>
      </c>
    </row>
    <row r="41" spans="1:22" customFormat="1" x14ac:dyDescent="0.3">
      <c r="A41" s="64" t="s">
        <v>61</v>
      </c>
      <c r="B41" s="62">
        <v>11347</v>
      </c>
      <c r="C41" s="12" t="s">
        <v>60</v>
      </c>
      <c r="D41" s="53"/>
      <c r="E41" s="13"/>
      <c r="F41" s="13"/>
      <c r="G41" s="14"/>
      <c r="H41" s="15"/>
      <c r="I41" s="16">
        <f>+'1'!I41+'2'!I41+'4'!I41+'3'!I41+'5'!I41+'6'!I41+'7'!I41+'8'!I41+'9'!I41+'13'!I41+'10'!I41+'12'!I41+'11'!I41+'14'!I41+'15'!I41+'16'!I41+'17'!I41+'18'!I41+'19'!I41+'20'!I41+'21'!I41+'22'!I41+'23'!I41+'24'!I41+'25'!I41+'26'!I41+'28'!I41+'27'!I41+'29'!I41+'30'!I41+'31'!I41</f>
        <v>6</v>
      </c>
      <c r="J41" s="16"/>
      <c r="K41" s="11"/>
      <c r="L41" s="16">
        <f>+'1'!L41+'2'!L41+'4'!L41+'3'!L41+'5'!L41+'6'!L41+'7'!L41+'8'!L41+'9'!L41+'13'!L41+'10'!L41+'12'!L41+'11'!L41+'14'!L41+'15'!L41+'16'!L41+'17'!L41+'18'!L41+'19'!L41+'20'!L41+'21'!L41+'22'!L41+'23'!L41+'24'!L41+'25'!L41+'26'!L41+'28'!L41+'27'!L41+'29'!L41+'30'!L41+'31'!L41</f>
        <v>0</v>
      </c>
      <c r="M41" s="16">
        <f>+'1'!M41+'2'!M41+'4'!M41+'3'!M41+'5'!M41+'6'!M41+'7'!M41+'8'!M41+'9'!M41+'13'!M41+'10'!M41+'12'!M41+'11'!M41+'14'!M41+'15'!M41+'16'!M41+'17'!M41+'18'!M41+'19'!M41+'20'!M41+'21'!M41+'22'!M41+'23'!M41+'24'!M41+'25'!M41+'26'!M41+'28'!M41+'27'!M41+'29'!M41+'30'!M41+'31'!M41</f>
        <v>6</v>
      </c>
      <c r="N41" s="16">
        <f>+'1'!N41+'2'!N41+'4'!N41+'3'!N41+'5'!N41+'6'!N41+'7'!N41+'8'!N41+'9'!N41+'13'!N41+'10'!N41+'12'!N41+'11'!N41+'14'!N41+'15'!N41+'16'!N41+'17'!N41+'18'!N41+'19'!N41+'20'!N41+'21'!N41+'22'!N41+'23'!N41+'24'!N41+'25'!N41+'26'!N41+'28'!N41+'27'!N41+'29'!N41+'30'!N41+'31'!N41</f>
        <v>0</v>
      </c>
      <c r="O41" s="16">
        <f>+'1'!O41+'2'!O41+'4'!O41+'3'!O41+'5'!O41+'6'!O41+'7'!O41+'8'!O41+'9'!O41+'13'!O41+'10'!O41+'12'!O41+'11'!O41+'14'!O41+'15'!O41+'16'!O41+'17'!O41+'18'!O41+'19'!O41+'20'!O41+'21'!O41+'22'!O41+'23'!O41+'24'!O41+'25'!O41+'26'!O41+'28'!O41+'27'!O41+'29'!O41+'30'!O41+'31'!O41</f>
        <v>0</v>
      </c>
      <c r="P41" s="16">
        <f>+'1'!P41+'2'!P41+'4'!P41+'3'!P41+'5'!P41+'6'!P41+'7'!P41+'8'!P41+'9'!P41+'13'!P41+'10'!P41+'12'!P41+'11'!P41+'14'!P41+'15'!P41+'16'!P41+'17'!P41+'18'!P41+'19'!P41+'20'!P41+'21'!P41+'22'!P41+'23'!P41+'24'!P41+'25'!P41+'26'!P41+'28'!P41+'27'!P41+'29'!P41+'30'!P41+'31'!P41</f>
        <v>0</v>
      </c>
      <c r="Q41" s="16">
        <f>+'1'!Q41+'2'!Q41+'4'!Q41+'3'!Q41+'5'!Q41+'6'!Q41+'7'!Q41+'8'!Q41+'9'!Q41+'13'!Q41+'10'!Q41+'12'!Q41+'11'!Q41+'14'!Q41+'15'!Q41+'16'!Q41+'17'!Q41+'18'!Q41+'19'!Q41+'20'!Q41+'21'!Q41+'22'!Q41+'23'!Q41+'24'!Q41+'25'!Q41+'26'!Q41+'28'!Q41+'27'!Q41+'29'!Q41+'30'!Q41+'31'!Q41</f>
        <v>0</v>
      </c>
      <c r="R41" s="35">
        <f>+'1'!R41+'2'!R41+'4'!R41+'3'!R41+'5'!R41+'6'!R41+'7'!R41+'8'!R41+'9'!R41+'13'!R41+'10'!R41+'12'!R41+'11'!R41+'14'!R41+'15'!R41+'16'!R41+'17'!R41+'18'!R41+'19'!R41+'20'!R41+'21'!R41+'22'!R41+'23'!R41+'24'!R41+'25'!R41+'26'!R41+'28'!R41+'27'!R41+'29'!R41+'30'!R41+'31'!R41</f>
        <v>0</v>
      </c>
      <c r="S41" s="43">
        <f>+'1'!S41+'2'!S41+'4'!S41+'3'!S41+'5'!S41+'6'!S41+'7'!S41+'8'!S41+'9'!S41+'13'!S41+'10'!S41+'12'!S41+'11'!S41+'14'!S41+'15'!S41+'16'!S41+'17'!S41+'18'!S41+'19'!S41+'20'!S41+'21'!S41+'22'!S41+'23'!S41+'24'!S41+'25'!S41+'26'!S41+'28'!S41+'27'!S41+'29'!S41+'30'!S41+'31'!S41</f>
        <v>0</v>
      </c>
      <c r="T41" s="46">
        <f>+'1'!T41+'2'!T41+'4'!T41+'3'!T41+'5'!T41+'6'!T41+'7'!T41+'8'!T41+'9'!T41+'13'!T41+'10'!T41+'12'!T41+'11'!T41+'14'!T41+'15'!T41+'16'!T41+'17'!T41+'18'!T41+'19'!T41+'20'!T41+'21'!T41+'22'!T41+'23'!T41+'24'!T41+'25'!T41+'26'!T41+'28'!T41+'27'!T41+'29'!T41+'30'!T41+'31'!T41</f>
        <v>0</v>
      </c>
      <c r="U41" s="51">
        <f t="shared" si="4"/>
        <v>6</v>
      </c>
      <c r="V41" s="17" t="str">
        <f t="shared" si="5"/>
        <v>OK</v>
      </c>
    </row>
    <row r="42" spans="1:22" customFormat="1" x14ac:dyDescent="0.3">
      <c r="A42" s="54" t="s">
        <v>75</v>
      </c>
      <c r="B42" s="63">
        <v>5611</v>
      </c>
      <c r="C42" s="18" t="s">
        <v>62</v>
      </c>
      <c r="D42" s="19"/>
      <c r="E42" s="19"/>
      <c r="F42" s="19"/>
      <c r="G42" s="20"/>
      <c r="H42" s="21"/>
      <c r="I42" s="22">
        <f>+'1'!I42+'2'!I42+'4'!I42+'3'!I42+'5'!I42+'6'!I42+'7'!I42+'8'!I42+'9'!I42+'13'!I42+'10'!I42+'12'!I42+'11'!I42+'14'!I42+'15'!I42+'16'!I42+'17'!I42+'18'!I42+'19'!I42+'20'!I42+'21'!I42+'22'!I42+'23'!I42+'24'!I42+'25'!I42+'26'!I42+'28'!I42+'27'!I42+'29'!I42+'30'!I42+'31'!I42</f>
        <v>14</v>
      </c>
      <c r="J42" s="22"/>
      <c r="K42" s="11"/>
      <c r="L42" s="22">
        <f>+'1'!L42+'2'!L42+'4'!L42+'3'!L42+'5'!L42+'6'!L42+'7'!L42+'8'!L42+'9'!L42+'13'!L42+'10'!L42+'12'!L42+'11'!L42+'14'!L42+'15'!L42+'16'!L42+'17'!L42+'18'!L42+'19'!L42+'20'!L42+'21'!L42+'22'!L42+'23'!L42+'24'!L42+'25'!L42+'26'!L42+'28'!L42+'27'!L42+'29'!L42+'30'!L42+'31'!L42</f>
        <v>0</v>
      </c>
      <c r="M42" s="22">
        <f>+'1'!M42+'2'!M42+'4'!M42+'3'!M42+'5'!M42+'6'!M42+'7'!M42+'8'!M42+'9'!M42+'13'!M42+'10'!M42+'12'!M42+'11'!M42+'14'!M42+'15'!M42+'16'!M42+'17'!M42+'18'!M42+'19'!M42+'20'!M42+'21'!M42+'22'!M42+'23'!M42+'24'!M42+'25'!M42+'26'!M42+'28'!M42+'27'!M42+'29'!M42+'30'!M42+'31'!M42</f>
        <v>14</v>
      </c>
      <c r="N42" s="22">
        <f>+'1'!N42+'2'!N42+'4'!N42+'3'!N42+'5'!N42+'6'!N42+'7'!N42+'8'!N42+'9'!N42+'13'!N42+'10'!N42+'12'!N42+'11'!N42+'14'!N42+'15'!N42+'16'!N42+'17'!N42+'18'!N42+'19'!N42+'20'!N42+'21'!N42+'22'!N42+'23'!N42+'24'!N42+'25'!N42+'26'!N42+'28'!N42+'27'!N42+'29'!N42+'30'!N42+'31'!N42</f>
        <v>0</v>
      </c>
      <c r="O42" s="22">
        <f>+'1'!O42+'2'!O42+'4'!O42+'3'!O42+'5'!O42+'6'!O42+'7'!O42+'8'!O42+'9'!O42+'13'!O42+'10'!O42+'12'!O42+'11'!O42+'14'!O42+'15'!O42+'16'!O42+'17'!O42+'18'!O42+'19'!O42+'20'!O42+'21'!O42+'22'!O42+'23'!O42+'24'!O42+'25'!O42+'26'!O42+'28'!O42+'27'!O42+'29'!O42+'30'!O42+'31'!O42</f>
        <v>0</v>
      </c>
      <c r="P42" s="22">
        <f>+'1'!P42+'2'!P42+'4'!P42+'3'!P42+'5'!P42+'6'!P42+'7'!P42+'8'!P42+'9'!P42+'13'!P42+'10'!P42+'12'!P42+'11'!P42+'14'!P42+'15'!P42+'16'!P42+'17'!P42+'18'!P42+'19'!P42+'20'!P42+'21'!P42+'22'!P42+'23'!P42+'24'!P42+'25'!P42+'26'!P42+'28'!P42+'27'!P42+'29'!P42+'30'!P42+'31'!P42</f>
        <v>0</v>
      </c>
      <c r="Q42" s="22">
        <f>+'1'!Q42+'2'!Q42+'4'!Q42+'3'!Q42+'5'!Q42+'6'!Q42+'7'!Q42+'8'!Q42+'9'!Q42+'13'!Q42+'10'!Q42+'12'!Q42+'11'!Q42+'14'!Q42+'15'!Q42+'16'!Q42+'17'!Q42+'18'!Q42+'19'!Q42+'20'!Q42+'21'!Q42+'22'!Q42+'23'!Q42+'24'!Q42+'25'!Q42+'26'!Q42+'28'!Q42+'27'!Q42+'29'!Q42+'30'!Q42+'31'!Q42</f>
        <v>0</v>
      </c>
      <c r="R42" s="36">
        <f>+'1'!R42+'2'!R42+'4'!R42+'3'!R42+'5'!R42+'6'!R42+'7'!R42+'8'!R42+'9'!R42+'13'!R42+'10'!R42+'12'!R42+'11'!R42+'14'!R42+'15'!R42+'16'!R42+'17'!R42+'18'!R42+'19'!R42+'20'!R42+'21'!R42+'22'!R42+'23'!R42+'24'!R42+'25'!R42+'26'!R42+'28'!R42+'27'!R42+'29'!R42+'30'!R42+'31'!R42</f>
        <v>0</v>
      </c>
      <c r="S42" s="44">
        <f>+'1'!S42+'2'!S42+'4'!S42+'3'!S42+'5'!S42+'6'!S42+'7'!S42+'8'!S42+'9'!S42+'13'!S42+'10'!S42+'12'!S42+'11'!S42+'14'!S42+'15'!S42+'16'!S42+'17'!S42+'18'!S42+'19'!S42+'20'!S42+'21'!S42+'22'!S42+'23'!S42+'24'!S42+'25'!S42+'26'!S42+'28'!S42+'27'!S42+'29'!S42+'30'!S42+'31'!S42</f>
        <v>0</v>
      </c>
      <c r="T42" s="47">
        <f>+'1'!T42+'2'!T42+'4'!T42+'3'!T42+'5'!T42+'6'!T42+'7'!T42+'8'!T42+'9'!T42+'13'!T42+'10'!T42+'12'!T42+'11'!T42+'14'!T42+'15'!T42+'16'!T42+'17'!T42+'18'!T42+'19'!T42+'20'!T42+'21'!T42+'22'!T42+'23'!T42+'24'!T42+'25'!T42+'26'!T42+'28'!T42+'27'!T42+'29'!T42+'30'!T42+'31'!T42</f>
        <v>0</v>
      </c>
      <c r="U42" s="52">
        <f t="shared" si="4"/>
        <v>14</v>
      </c>
      <c r="V42" s="23" t="str">
        <f t="shared" si="5"/>
        <v>OK</v>
      </c>
    </row>
    <row r="43" spans="1:22" customFormat="1" x14ac:dyDescent="0.3">
      <c r="A43" s="12" t="s">
        <v>63</v>
      </c>
      <c r="B43" s="62">
        <v>11336</v>
      </c>
      <c r="C43" s="12" t="s">
        <v>62</v>
      </c>
      <c r="D43" s="53"/>
      <c r="E43" s="13"/>
      <c r="F43" s="13"/>
      <c r="G43" s="14"/>
      <c r="H43" s="15"/>
      <c r="I43" s="16">
        <f>+'1'!I43+'2'!I43+'4'!I43+'3'!I43+'5'!I43+'6'!I43+'7'!I43+'8'!I43+'9'!I43+'13'!I43+'10'!I43+'12'!I43+'11'!I43+'14'!I43+'15'!I43+'16'!I43+'17'!I43+'18'!I43+'19'!I43+'20'!I43+'21'!I43+'22'!I43+'23'!I43+'24'!I43+'25'!I43+'26'!I43+'28'!I43+'27'!I43+'29'!I43+'30'!I43+'31'!I43</f>
        <v>23</v>
      </c>
      <c r="J43" s="16"/>
      <c r="K43" s="11"/>
      <c r="L43" s="16">
        <f>+'1'!L43+'2'!L43+'4'!L43+'3'!L43+'5'!L43+'6'!L43+'7'!L43+'8'!L43+'9'!L43+'13'!L43+'10'!L43+'12'!L43+'11'!L43+'14'!L43+'15'!L43+'16'!L43+'17'!L43+'18'!L43+'19'!L43+'20'!L43+'21'!L43+'22'!L43+'23'!L43+'24'!L43+'25'!L43+'26'!L43+'28'!L43+'27'!L43+'29'!L43+'30'!L43+'31'!L43</f>
        <v>0</v>
      </c>
      <c r="M43" s="16">
        <f>+'1'!M43+'2'!M43+'4'!M43+'3'!M43+'5'!M43+'6'!M43+'7'!M43+'8'!M43+'9'!M43+'13'!M43+'10'!M43+'12'!M43+'11'!M43+'14'!M43+'15'!M43+'16'!M43+'17'!M43+'18'!M43+'19'!M43+'20'!M43+'21'!M43+'22'!M43+'23'!M43+'24'!M43+'25'!M43+'26'!M43+'28'!M43+'27'!M43+'29'!M43+'30'!M43+'31'!M43</f>
        <v>23</v>
      </c>
      <c r="N43" s="16">
        <f>+'1'!N43+'2'!N43+'4'!N43+'3'!N43+'5'!N43+'6'!N43+'7'!N43+'8'!N43+'9'!N43+'13'!N43+'10'!N43+'12'!N43+'11'!N43+'14'!N43+'15'!N43+'16'!N43+'17'!N43+'18'!N43+'19'!N43+'20'!N43+'21'!N43+'22'!N43+'23'!N43+'24'!N43+'25'!N43+'26'!N43+'28'!N43+'27'!N43+'29'!N43+'30'!N43+'31'!N43</f>
        <v>0</v>
      </c>
      <c r="O43" s="16">
        <f>+'1'!O43+'2'!O43+'4'!O43+'3'!O43+'5'!O43+'6'!O43+'7'!O43+'8'!O43+'9'!O43+'13'!O43+'10'!O43+'12'!O43+'11'!O43+'14'!O43+'15'!O43+'16'!O43+'17'!O43+'18'!O43+'19'!O43+'20'!O43+'21'!O43+'22'!O43+'23'!O43+'24'!O43+'25'!O43+'26'!O43+'28'!O43+'27'!O43+'29'!O43+'30'!O43+'31'!O43</f>
        <v>0</v>
      </c>
      <c r="P43" s="16">
        <f>+'1'!P43+'2'!P43+'4'!P43+'3'!P43+'5'!P43+'6'!P43+'7'!P43+'8'!P43+'9'!P43+'13'!P43+'10'!P43+'12'!P43+'11'!P43+'14'!P43+'15'!P43+'16'!P43+'17'!P43+'18'!P43+'19'!P43+'20'!P43+'21'!P43+'22'!P43+'23'!P43+'24'!P43+'25'!P43+'26'!P43+'28'!P43+'27'!P43+'29'!P43+'30'!P43+'31'!P43</f>
        <v>0</v>
      </c>
      <c r="Q43" s="16">
        <f>+'1'!Q43+'2'!Q43+'4'!Q43+'3'!Q43+'5'!Q43+'6'!Q43+'7'!Q43+'8'!Q43+'9'!Q43+'13'!Q43+'10'!Q43+'12'!Q43+'11'!Q43+'14'!Q43+'15'!Q43+'16'!Q43+'17'!Q43+'18'!Q43+'19'!Q43+'20'!Q43+'21'!Q43+'22'!Q43+'23'!Q43+'24'!Q43+'25'!Q43+'26'!Q43+'28'!Q43+'27'!Q43+'29'!Q43+'30'!Q43+'31'!Q43</f>
        <v>0</v>
      </c>
      <c r="R43" s="35">
        <f>+'1'!R43+'2'!R43+'4'!R43+'3'!R43+'5'!R43+'6'!R43+'7'!R43+'8'!R43+'9'!R43+'13'!R43+'10'!R43+'12'!R43+'11'!R43+'14'!R43+'15'!R43+'16'!R43+'17'!R43+'18'!R43+'19'!R43+'20'!R43+'21'!R43+'22'!R43+'23'!R43+'24'!R43+'25'!R43+'26'!R43+'28'!R43+'27'!R43+'29'!R43+'30'!R43+'31'!R43</f>
        <v>0</v>
      </c>
      <c r="S43" s="43">
        <f>+'1'!S43+'2'!S43+'4'!S43+'3'!S43+'5'!S43+'6'!S43+'7'!S43+'8'!S43+'9'!S43+'13'!S43+'10'!S43+'12'!S43+'11'!S43+'14'!S43+'15'!S43+'16'!S43+'17'!S43+'18'!S43+'19'!S43+'20'!S43+'21'!S43+'22'!S43+'23'!S43+'24'!S43+'25'!S43+'26'!S43+'28'!S43+'27'!S43+'29'!S43+'30'!S43+'31'!S43</f>
        <v>0</v>
      </c>
      <c r="T43" s="46">
        <f>+'1'!T43+'2'!T43+'4'!T43+'3'!T43+'5'!T43+'6'!T43+'7'!T43+'8'!T43+'9'!T43+'13'!T43+'10'!T43+'12'!T43+'11'!T43+'14'!T43+'15'!T43+'16'!T43+'17'!T43+'18'!T43+'19'!T43+'20'!T43+'21'!T43+'22'!T43+'23'!T43+'24'!T43+'25'!T43+'26'!T43+'28'!T43+'27'!T43+'29'!T43+'30'!T43+'31'!T43</f>
        <v>0</v>
      </c>
      <c r="U43" s="51">
        <f t="shared" si="4"/>
        <v>23</v>
      </c>
      <c r="V43" s="17" t="str">
        <f t="shared" si="5"/>
        <v>OK</v>
      </c>
    </row>
    <row r="44" spans="1:22" customFormat="1" x14ac:dyDescent="0.3">
      <c r="A44" s="54" t="s">
        <v>100</v>
      </c>
      <c r="B44" s="63">
        <v>14860</v>
      </c>
      <c r="C44" s="18" t="s">
        <v>56</v>
      </c>
      <c r="D44" s="19"/>
      <c r="E44" s="19"/>
      <c r="F44" s="19"/>
      <c r="G44" s="20"/>
      <c r="H44" s="21"/>
      <c r="I44" s="22">
        <f>+'1'!I44+'2'!I44+'4'!I44+'3'!I44+'5'!I44+'6'!I44+'7'!I44+'8'!I44+'9'!I44+'13'!I44+'10'!I44+'12'!I44+'11'!I44+'14'!I44+'15'!I44+'16'!I44+'17'!I44+'18'!I44+'19'!I44+'20'!I44+'21'!I44+'22'!I44+'23'!I44+'24'!I44+'25'!I44+'26'!I44+'28'!I44+'27'!I44+'29'!I44+'30'!I44+'31'!I44</f>
        <v>0</v>
      </c>
      <c r="J44" s="22"/>
      <c r="K44" s="11"/>
      <c r="L44" s="22">
        <f>+'1'!L44+'2'!L44+'4'!L44+'3'!L44+'5'!L44+'6'!L44+'7'!L44+'8'!L44+'9'!L44+'13'!L44+'10'!L44+'12'!L44+'11'!L44+'14'!L44+'15'!L44+'16'!L44+'17'!L44+'18'!L44+'19'!L44+'20'!L44+'21'!L44+'22'!L44+'23'!L44+'24'!L44+'25'!L44+'26'!L44+'28'!L44+'27'!L44+'29'!L44+'30'!L44+'31'!L44</f>
        <v>0</v>
      </c>
      <c r="M44" s="22">
        <f>+'1'!M44+'2'!M44+'4'!M44+'3'!M44+'5'!M44+'6'!M44+'7'!M44+'8'!M44+'9'!M44+'13'!M44+'10'!M44+'12'!M44+'11'!M44+'14'!M44+'15'!M44+'16'!M44+'17'!M44+'18'!M44+'19'!M44+'20'!M44+'21'!M44+'22'!M44+'23'!M44+'24'!M44+'25'!M44+'26'!M44+'28'!M44+'27'!M44+'29'!M44+'30'!M44+'31'!M44</f>
        <v>0</v>
      </c>
      <c r="N44" s="22">
        <f>+'1'!N44+'2'!N44+'4'!N44+'3'!N44+'5'!N44+'6'!N44+'7'!N44+'8'!N44+'9'!N44+'13'!N44+'10'!N44+'12'!N44+'11'!N44+'14'!N44+'15'!N44+'16'!N44+'17'!N44+'18'!N44+'19'!N44+'20'!N44+'21'!N44+'22'!N44+'23'!N44+'24'!N44+'25'!N44+'26'!N44+'28'!N44+'27'!N44+'29'!N44+'30'!N44+'31'!N44</f>
        <v>0</v>
      </c>
      <c r="O44" s="22">
        <f>+'1'!O44+'2'!O44+'4'!O44+'3'!O44+'5'!O44+'6'!O44+'7'!O44+'8'!O44+'9'!O44+'13'!O44+'10'!O44+'12'!O44+'11'!O44+'14'!O44+'15'!O44+'16'!O44+'17'!O44+'18'!O44+'19'!O44+'20'!O44+'21'!O44+'22'!O44+'23'!O44+'24'!O44+'25'!O44+'26'!O44+'28'!O44+'27'!O44+'29'!O44+'30'!O44+'31'!O44</f>
        <v>0</v>
      </c>
      <c r="P44" s="22">
        <f>+'1'!P44+'2'!P44+'4'!P44+'3'!P44+'5'!P44+'6'!P44+'7'!P44+'8'!P44+'9'!P44+'13'!P44+'10'!P44+'12'!P44+'11'!P44+'14'!P44+'15'!P44+'16'!P44+'17'!P44+'18'!P44+'19'!P44+'20'!P44+'21'!P44+'22'!P44+'23'!P44+'24'!P44+'25'!P44+'26'!P44+'28'!P44+'27'!P44+'29'!P44+'30'!P44+'31'!P44</f>
        <v>0</v>
      </c>
      <c r="Q44" s="22">
        <f>+'1'!Q44+'2'!Q44+'4'!Q44+'3'!Q44+'5'!Q44+'6'!Q44+'7'!Q44+'8'!Q44+'9'!Q44+'13'!Q44+'10'!Q44+'12'!Q44+'11'!Q44+'14'!Q44+'15'!Q44+'16'!Q44+'17'!Q44+'18'!Q44+'19'!Q44+'20'!Q44+'21'!Q44+'22'!Q44+'23'!Q44+'24'!Q44+'25'!Q44+'26'!Q44+'28'!Q44+'27'!Q44+'29'!Q44+'30'!Q44+'31'!Q44</f>
        <v>0</v>
      </c>
      <c r="R44" s="36">
        <f>+'1'!R44+'2'!R44+'4'!R44+'3'!R44+'5'!R44+'6'!R44+'7'!R44+'8'!R44+'9'!R44+'13'!R44+'10'!R44+'12'!R44+'11'!R44+'14'!R44+'15'!R44+'16'!R44+'17'!R44+'18'!R44+'19'!R44+'20'!R44+'21'!R44+'22'!R44+'23'!R44+'24'!R44+'25'!R44+'26'!R44+'28'!R44+'27'!R44+'29'!R44+'30'!R44+'31'!R44</f>
        <v>0</v>
      </c>
      <c r="S44" s="44">
        <f>+'1'!S44+'2'!S44+'4'!S44+'3'!S44+'5'!S44+'6'!S44+'7'!S44+'8'!S44+'9'!S44+'13'!S44+'10'!S44+'12'!S44+'11'!S44+'14'!S44+'15'!S44+'16'!S44+'17'!S44+'18'!S44+'19'!S44+'20'!S44+'21'!S44+'22'!S44+'23'!S44+'24'!S44+'25'!S44+'26'!S44+'28'!S44+'27'!S44+'29'!S44+'30'!S44+'31'!S44</f>
        <v>0</v>
      </c>
      <c r="T44" s="47">
        <f>+'1'!T44+'2'!T44+'4'!T44+'3'!T44+'5'!T44+'6'!T44+'7'!T44+'8'!T44+'9'!T44+'13'!T44+'10'!T44+'12'!T44+'11'!T44+'14'!T44+'15'!T44+'16'!T44+'17'!T44+'18'!T44+'19'!T44+'20'!T44+'21'!T44+'22'!T44+'23'!T44+'24'!T44+'25'!T44+'26'!T44+'28'!T44+'27'!T44+'29'!T44+'30'!T44+'31'!T44</f>
        <v>0</v>
      </c>
      <c r="U44" s="52">
        <f t="shared" si="4"/>
        <v>0</v>
      </c>
      <c r="V44" s="23" t="str">
        <f t="shared" si="5"/>
        <v>OK</v>
      </c>
    </row>
    <row r="45" spans="1:22" x14ac:dyDescent="0.3">
      <c r="A45" s="90" t="s">
        <v>83</v>
      </c>
      <c r="B45" s="76">
        <v>14861</v>
      </c>
      <c r="C45" s="77" t="s">
        <v>56</v>
      </c>
      <c r="D45" s="78"/>
      <c r="E45" s="79"/>
      <c r="F45" s="79"/>
      <c r="G45" s="80"/>
      <c r="H45" s="81"/>
      <c r="I45" s="82">
        <f>+'1'!I45+'2'!I45+'4'!I45+'3'!I45+'5'!I45+'6'!I45+'7'!I45+'8'!I45+'9'!I45+'13'!I45+'10'!I45+'12'!I45+'11'!I45+'14'!I45+'15'!I45+'16'!I45+'17'!I45+'18'!I45+'19'!I45+'20'!I45+'21'!I45+'22'!I45+'23'!I45+'24'!I45+'25'!I45+'26'!I45+'28'!I45+'27'!I45+'29'!I45+'30'!I45+'31'!I45</f>
        <v>0</v>
      </c>
      <c r="J45" s="82"/>
      <c r="K45" s="11"/>
      <c r="L45" s="82">
        <f>+'1'!L45+'2'!L45+'4'!L45+'3'!L45+'5'!L45+'6'!L45+'7'!L45+'8'!L45+'9'!L45+'13'!L45+'10'!L45+'12'!L45+'11'!L45+'14'!L45+'15'!L45+'16'!L45+'17'!L45+'18'!L45+'19'!L45+'20'!L45+'21'!L45+'22'!L45+'23'!L45+'24'!L45+'25'!L45+'26'!L45+'28'!L45+'27'!L45+'29'!L45+'30'!L45+'31'!L45</f>
        <v>0</v>
      </c>
      <c r="M45" s="82">
        <f>+'1'!M45+'2'!M45+'4'!M45+'3'!M45+'5'!M45+'6'!M45+'7'!M45+'8'!M45+'9'!M45+'13'!M45+'10'!M45+'12'!M45+'11'!M45+'14'!M45+'15'!M45+'16'!M45+'17'!M45+'18'!M45+'19'!M45+'20'!M45+'21'!M45+'22'!M45+'23'!M45+'24'!M45+'25'!M45+'26'!M45+'28'!M45+'27'!M45+'29'!M45+'30'!M45+'31'!M45</f>
        <v>0</v>
      </c>
      <c r="N45" s="82">
        <f>+'1'!N45+'2'!N45+'4'!N45+'3'!N45+'5'!N45+'6'!N45+'7'!N45+'8'!N45+'9'!N45+'13'!N45+'10'!N45+'12'!N45+'11'!N45+'14'!N45+'15'!N45+'16'!N45+'17'!N45+'18'!N45+'19'!N45+'20'!N45+'21'!N45+'22'!N45+'23'!N45+'24'!N45+'25'!N45+'26'!N45+'28'!N45+'27'!N45+'29'!N45+'30'!N45+'31'!N45</f>
        <v>0</v>
      </c>
      <c r="O45" s="82">
        <f>+'1'!O45+'2'!O45+'4'!O45+'3'!O45+'5'!O45+'6'!O45+'7'!O45+'8'!O45+'9'!O45+'13'!O45+'10'!O45+'12'!O45+'11'!O45+'14'!O45+'15'!O45+'16'!O45+'17'!O45+'18'!O45+'19'!O45+'20'!O45+'21'!O45+'22'!O45+'23'!O45+'24'!O45+'25'!O45+'26'!O45+'28'!O45+'27'!O45+'29'!O45+'30'!O45+'31'!O45</f>
        <v>0</v>
      </c>
      <c r="P45" s="82">
        <f>+'1'!P45+'2'!P45+'4'!P45+'3'!P45+'5'!P45+'6'!P45+'7'!P45+'8'!P45+'9'!P45+'13'!P45+'10'!P45+'12'!P45+'11'!P45+'14'!P45+'15'!P45+'16'!P45+'17'!P45+'18'!P45+'19'!P45+'20'!P45+'21'!P45+'22'!P45+'23'!P45+'24'!P45+'25'!P45+'26'!P45+'28'!P45+'27'!P45+'29'!P45+'30'!P45+'31'!P45</f>
        <v>0</v>
      </c>
      <c r="Q45" s="82">
        <f>+'1'!Q45+'2'!Q45+'4'!Q45+'3'!Q45+'5'!Q45+'6'!Q45+'7'!Q45+'8'!Q45+'9'!Q45+'13'!Q45+'10'!Q45+'12'!Q45+'11'!Q45+'14'!Q45+'15'!Q45+'16'!Q45+'17'!Q45+'18'!Q45+'19'!Q45+'20'!Q45+'21'!Q45+'22'!Q45+'23'!Q45+'24'!Q45+'25'!Q45+'26'!Q45+'28'!Q45+'27'!Q45+'29'!Q45+'30'!Q45+'31'!Q45</f>
        <v>0</v>
      </c>
      <c r="R45" s="83">
        <f>+'1'!R45+'2'!R45+'4'!R45+'3'!R45+'5'!R45+'6'!R45+'7'!R45+'8'!R45+'9'!R45+'13'!R45+'10'!R45+'12'!R45+'11'!R45+'14'!R45+'15'!R45+'16'!R45+'17'!R45+'18'!R45+'19'!R45+'20'!R45+'21'!R45+'22'!R45+'23'!R45+'24'!R45+'25'!R45+'26'!R45+'28'!R45+'27'!R45+'29'!R45+'30'!R45+'31'!R45</f>
        <v>0</v>
      </c>
      <c r="S45" s="84">
        <f>+'1'!S45+'2'!S45+'4'!S45+'3'!S45+'5'!S45+'6'!S45+'7'!S45+'8'!S45+'9'!S45+'13'!S45+'10'!S45+'12'!S45+'11'!S45+'14'!S45+'15'!S45+'16'!S45+'17'!S45+'18'!S45+'19'!S45+'20'!S45+'21'!S45+'22'!S45+'23'!S45+'24'!S45+'25'!S45+'26'!S45+'28'!S45+'27'!S45+'29'!S45+'30'!S45+'31'!S45</f>
        <v>0</v>
      </c>
      <c r="T45" s="85">
        <f>+'1'!T45+'2'!T45+'4'!T45+'3'!T45+'5'!T45+'6'!T45+'7'!T45+'8'!T45+'9'!T45+'13'!T45+'10'!T45+'12'!T45+'11'!T45+'14'!T45+'15'!T45+'16'!T45+'17'!T45+'18'!T45+'19'!T45+'20'!T45+'21'!T45+'22'!T45+'23'!T45+'24'!T45+'25'!T45+'26'!T45+'28'!T45+'27'!T45+'29'!T45+'30'!T45+'31'!T45</f>
        <v>0</v>
      </c>
      <c r="U45" s="75">
        <f t="shared" ref="U45:U52" si="6">SUM(L45:T45)</f>
        <v>0</v>
      </c>
      <c r="V45" s="93" t="str">
        <f t="shared" si="5"/>
        <v>OK</v>
      </c>
    </row>
    <row r="46" spans="1:22" x14ac:dyDescent="0.3">
      <c r="A46" s="54" t="s">
        <v>101</v>
      </c>
      <c r="B46" s="63">
        <v>15096</v>
      </c>
      <c r="C46" s="18" t="s">
        <v>56</v>
      </c>
      <c r="D46" s="19"/>
      <c r="E46" s="19"/>
      <c r="F46" s="19"/>
      <c r="G46" s="20"/>
      <c r="H46" s="21"/>
      <c r="I46" s="22">
        <f>+'1'!I46+'2'!I46+'4'!I46+'3'!I46+'5'!I46+'6'!I46+'7'!I46+'8'!I46+'9'!I46+'13'!I46+'10'!I46+'12'!I46+'11'!I46+'14'!I46+'15'!I46+'16'!I46+'17'!I46+'18'!I46+'19'!I46+'20'!I46+'21'!I46+'22'!I46+'23'!I46+'24'!I46+'25'!I46+'26'!I46+'28'!I46+'27'!I46+'29'!I46+'30'!I46+'31'!I46</f>
        <v>0</v>
      </c>
      <c r="J46" s="22"/>
      <c r="K46" s="11"/>
      <c r="L46" s="22">
        <f>+'1'!L46+'2'!L46+'4'!L46+'3'!L46+'5'!L46+'6'!L46+'7'!L46+'8'!L46+'9'!L46+'13'!L46+'10'!L46+'12'!L46+'11'!L46+'14'!L46+'15'!L46+'16'!L46+'17'!L46+'18'!L46+'19'!L46+'20'!L46+'21'!L46+'22'!L46+'23'!L46+'24'!L46+'25'!L46+'26'!L46+'28'!L46+'27'!L46+'29'!L46+'30'!L46+'31'!L46</f>
        <v>0</v>
      </c>
      <c r="M46" s="22">
        <f>+'1'!M46+'2'!M46+'4'!M46+'3'!M46+'5'!M46+'6'!M46+'7'!M46+'8'!M46+'9'!M46+'13'!M46+'10'!M46+'12'!M46+'11'!M46+'14'!M46+'15'!M46+'16'!M46+'17'!M46+'18'!M46+'19'!M46+'20'!M46+'21'!M46+'22'!M46+'23'!M46+'24'!M46+'25'!M46+'26'!M46+'28'!M46+'27'!M46+'29'!M46+'30'!M46+'31'!M46</f>
        <v>0</v>
      </c>
      <c r="N46" s="22">
        <f>+'1'!N46+'2'!N46+'4'!N46+'3'!N46+'5'!N46+'6'!N46+'7'!N46+'8'!N46+'9'!N46+'13'!N46+'10'!N46+'12'!N46+'11'!N46+'14'!N46+'15'!N46+'16'!N46+'17'!N46+'18'!N46+'19'!N46+'20'!N46+'21'!N46+'22'!N46+'23'!N46+'24'!N46+'25'!N46+'26'!N46+'28'!N46+'27'!N46+'29'!N46+'30'!N46+'31'!N46</f>
        <v>0</v>
      </c>
      <c r="O46" s="22">
        <f>+'1'!O46+'2'!O46+'4'!O46+'3'!O46+'5'!O46+'6'!O46+'7'!O46+'8'!O46+'9'!O46+'13'!O46+'10'!O46+'12'!O46+'11'!O46+'14'!O46+'15'!O46+'16'!O46+'17'!O46+'18'!O46+'19'!O46+'20'!O46+'21'!O46+'22'!O46+'23'!O46+'24'!O46+'25'!O46+'26'!O46+'28'!O46+'27'!O46+'29'!O46+'30'!O46+'31'!O46</f>
        <v>0</v>
      </c>
      <c r="P46" s="22">
        <f>+'1'!P46+'2'!P46+'4'!P46+'3'!P46+'5'!P46+'6'!P46+'7'!P46+'8'!P46+'9'!P46+'13'!P46+'10'!P46+'12'!P46+'11'!P46+'14'!P46+'15'!P46+'16'!P46+'17'!P46+'18'!P46+'19'!P46+'20'!P46+'21'!P46+'22'!P46+'23'!P46+'24'!P46+'25'!P46+'26'!P46+'28'!P46+'27'!P46+'29'!P46+'30'!P46+'31'!P46</f>
        <v>0</v>
      </c>
      <c r="Q46" s="22">
        <f>+'1'!Q46+'2'!Q46+'4'!Q46+'3'!Q46+'5'!Q46+'6'!Q46+'7'!Q46+'8'!Q46+'9'!Q46+'13'!Q46+'10'!Q46+'12'!Q46+'11'!Q46+'14'!Q46+'15'!Q46+'16'!Q46+'17'!Q46+'18'!Q46+'19'!Q46+'20'!Q46+'21'!Q46+'22'!Q46+'23'!Q46+'24'!Q46+'25'!Q46+'26'!Q46+'28'!Q46+'27'!Q46+'29'!Q46+'30'!Q46+'31'!Q46</f>
        <v>0</v>
      </c>
      <c r="R46" s="36">
        <f>+'1'!R46+'2'!R46+'4'!R46+'3'!R46+'5'!R46+'6'!R46+'7'!R46+'8'!R46+'9'!R46+'13'!R46+'10'!R46+'12'!R46+'11'!R46+'14'!R46+'15'!R46+'16'!R46+'17'!R46+'18'!R46+'19'!R46+'20'!R46+'21'!R46+'22'!R46+'23'!R46+'24'!R46+'25'!R46+'26'!R46+'28'!R46+'27'!R46+'29'!R46+'30'!R46+'31'!R46</f>
        <v>0</v>
      </c>
      <c r="S46" s="44">
        <f>+'1'!S46+'2'!S46+'4'!S46+'3'!S46+'5'!S46+'6'!S46+'7'!S46+'8'!S46+'9'!S46+'13'!S46+'10'!S46+'12'!S46+'11'!S46+'14'!S46+'15'!S46+'16'!S46+'17'!S46+'18'!S46+'19'!S46+'20'!S46+'21'!S46+'22'!S46+'23'!S46+'24'!S46+'25'!S46+'26'!S46+'28'!S46+'27'!S46+'29'!S46+'30'!S46+'31'!S46</f>
        <v>0</v>
      </c>
      <c r="T46" s="47">
        <f>+'1'!T46+'2'!T46+'4'!T46+'3'!T46+'5'!T46+'6'!T46+'7'!T46+'8'!T46+'9'!T46+'13'!T46+'10'!T46+'12'!T46+'11'!T46+'14'!T46+'15'!T46+'16'!T46+'17'!T46+'18'!T46+'19'!T46+'20'!T46+'21'!T46+'22'!T46+'23'!T46+'24'!T46+'25'!T46+'26'!T46+'28'!T46+'27'!T46+'29'!T46+'30'!T46+'31'!T46</f>
        <v>0</v>
      </c>
      <c r="U46" s="52">
        <f t="shared" si="6"/>
        <v>0</v>
      </c>
      <c r="V46" s="95" t="str">
        <f t="shared" ref="V46:V52" si="7">IF(U46=I46,"OK","NG")</f>
        <v>OK</v>
      </c>
    </row>
    <row r="47" spans="1:22" x14ac:dyDescent="0.3">
      <c r="A47" s="77" t="s">
        <v>81</v>
      </c>
      <c r="B47" s="76">
        <v>15097</v>
      </c>
      <c r="C47" s="77" t="s">
        <v>56</v>
      </c>
      <c r="D47" s="78"/>
      <c r="E47" s="79"/>
      <c r="F47" s="79"/>
      <c r="G47" s="80"/>
      <c r="H47" s="81"/>
      <c r="I47" s="82">
        <f>+'1'!I47+'2'!I47+'4'!I47+'3'!I47+'5'!I47+'6'!I47+'7'!I47+'8'!I47+'9'!I47+'13'!I47+'10'!I47+'12'!I47+'11'!I47+'14'!I47+'15'!I47+'16'!I47+'17'!I47+'18'!I47+'19'!I47+'20'!I47+'21'!I47+'22'!I47+'23'!I47+'24'!I47+'25'!I47+'26'!I47+'28'!I47+'27'!I47+'29'!I47+'30'!I47+'31'!I47</f>
        <v>0</v>
      </c>
      <c r="J47" s="82"/>
      <c r="K47" s="11"/>
      <c r="L47" s="82">
        <f>+'1'!L47+'2'!L47+'4'!L47+'3'!L47+'5'!L47+'6'!L47+'7'!L47+'8'!L47+'9'!L47+'13'!L47+'10'!L47+'12'!L47+'11'!L47+'14'!L47+'15'!L47+'16'!L47+'17'!L47+'18'!L47+'19'!L47+'20'!L47+'21'!L47+'22'!L47+'23'!L47+'24'!L47+'25'!L47+'26'!L47+'28'!L47+'27'!L47+'29'!L47+'30'!L47+'31'!L47</f>
        <v>0</v>
      </c>
      <c r="M47" s="82">
        <f>+'1'!M47+'2'!M47+'4'!M47+'3'!M47+'5'!M47+'6'!M47+'7'!M47+'8'!M47+'9'!M47+'13'!M47+'10'!M47+'12'!M47+'11'!M47+'14'!M47+'15'!M47+'16'!M47+'17'!M47+'18'!M47+'19'!M47+'20'!M47+'21'!M47+'22'!M47+'23'!M47+'24'!M47+'25'!M47+'26'!M47+'28'!M47+'27'!M47+'29'!M47+'30'!M47+'31'!M47</f>
        <v>0</v>
      </c>
      <c r="N47" s="82">
        <f>+'1'!N47+'2'!N47+'4'!N47+'3'!N47+'5'!N47+'6'!N47+'7'!N47+'8'!N47+'9'!N47+'13'!N47+'10'!N47+'12'!N47+'11'!N47+'14'!N47+'15'!N47+'16'!N47+'17'!N47+'18'!N47+'19'!N47+'20'!N47+'21'!N47+'22'!N47+'23'!N47+'24'!N47+'25'!N47+'26'!N47+'28'!N47+'27'!N47+'29'!N47+'30'!N47+'31'!N47</f>
        <v>0</v>
      </c>
      <c r="O47" s="82">
        <f>+'1'!O47+'2'!O47+'4'!O47+'3'!O47+'5'!O47+'6'!O47+'7'!O47+'8'!O47+'9'!O47+'13'!O47+'10'!O47+'12'!O47+'11'!O47+'14'!O47+'15'!O47+'16'!O47+'17'!O47+'18'!O47+'19'!O47+'20'!O47+'21'!O47+'22'!O47+'23'!O47+'24'!O47+'25'!O47+'26'!O47+'28'!O47+'27'!O47+'29'!O47+'30'!O47+'31'!O47</f>
        <v>0</v>
      </c>
      <c r="P47" s="82">
        <f>+'1'!P47+'2'!P47+'4'!P47+'3'!P47+'5'!P47+'6'!P47+'7'!P47+'8'!P47+'9'!P47+'13'!P47+'10'!P47+'12'!P47+'11'!P47+'14'!P47+'15'!P47+'16'!P47+'17'!P47+'18'!P47+'19'!P47+'20'!P47+'21'!P47+'22'!P47+'23'!P47+'24'!P47+'25'!P47+'26'!P47+'28'!P47+'27'!P47+'29'!P47+'30'!P47+'31'!P47</f>
        <v>0</v>
      </c>
      <c r="Q47" s="82">
        <f>+'1'!Q47+'2'!Q47+'4'!Q47+'3'!Q47+'5'!Q47+'6'!Q47+'7'!Q47+'8'!Q47+'9'!Q47+'13'!Q47+'10'!Q47+'12'!Q47+'11'!Q47+'14'!Q47+'15'!Q47+'16'!Q47+'17'!Q47+'18'!Q47+'19'!Q47+'20'!Q47+'21'!Q47+'22'!Q47+'23'!Q47+'24'!Q47+'25'!Q47+'26'!Q47+'28'!Q47+'27'!Q47+'29'!Q47+'30'!Q47+'31'!Q47</f>
        <v>0</v>
      </c>
      <c r="R47" s="83">
        <f>+'1'!R47+'2'!R47+'4'!R47+'3'!R47+'5'!R47+'6'!R47+'7'!R47+'8'!R47+'9'!R47+'13'!R47+'10'!R47+'12'!R47+'11'!R47+'14'!R47+'15'!R47+'16'!R47+'17'!R47+'18'!R47+'19'!R47+'20'!R47+'21'!R47+'22'!R47+'23'!R47+'24'!R47+'25'!R47+'26'!R47+'28'!R47+'27'!R47+'29'!R47+'30'!R47+'31'!R47</f>
        <v>0</v>
      </c>
      <c r="S47" s="84">
        <f>+'1'!S47+'2'!S47+'4'!S47+'3'!S47+'5'!S47+'6'!S47+'7'!S47+'8'!S47+'9'!S47+'13'!S47+'10'!S47+'12'!S47+'11'!S47+'14'!S47+'15'!S47+'16'!S47+'17'!S47+'18'!S47+'19'!S47+'20'!S47+'21'!S47+'22'!S47+'23'!S47+'24'!S47+'25'!S47+'26'!S47+'28'!S47+'27'!S47+'29'!S47+'30'!S47+'31'!S47</f>
        <v>0</v>
      </c>
      <c r="T47" s="85">
        <f>+'1'!T47+'2'!T47+'4'!T47+'3'!T47+'5'!T47+'6'!T47+'7'!T47+'8'!T47+'9'!T47+'13'!T47+'10'!T47+'12'!T47+'11'!T47+'14'!T47+'15'!T47+'16'!T47+'17'!T47+'18'!T47+'19'!T47+'20'!T47+'21'!T47+'22'!T47+'23'!T47+'24'!T47+'25'!T47+'26'!T47+'28'!T47+'27'!T47+'29'!T47+'30'!T47+'31'!T47</f>
        <v>0</v>
      </c>
      <c r="U47" s="75">
        <f t="shared" si="6"/>
        <v>0</v>
      </c>
      <c r="V47" s="93" t="str">
        <f t="shared" si="7"/>
        <v>OK</v>
      </c>
    </row>
    <row r="48" spans="1:22" x14ac:dyDescent="0.3">
      <c r="A48" s="54" t="s">
        <v>76</v>
      </c>
      <c r="B48" s="63">
        <v>5585</v>
      </c>
      <c r="C48" s="18" t="s">
        <v>64</v>
      </c>
      <c r="D48" s="19"/>
      <c r="E48" s="19"/>
      <c r="F48" s="19"/>
      <c r="G48" s="20"/>
      <c r="H48" s="21"/>
      <c r="I48" s="22">
        <f>+'1'!I48+'2'!I48+'4'!I48+'3'!I48+'5'!I48+'6'!I48+'7'!I48+'8'!I48+'9'!I48+'13'!I48+'10'!I48+'12'!I48+'11'!I48+'14'!I48+'15'!I48+'16'!I48+'17'!I48+'18'!I48+'19'!I48+'20'!I48+'21'!I48+'22'!I48+'23'!I48+'24'!I48+'25'!I48+'26'!I48+'28'!I48+'27'!I48+'29'!I48+'30'!I48+'31'!I48</f>
        <v>0</v>
      </c>
      <c r="J48" s="22"/>
      <c r="K48" s="11"/>
      <c r="L48" s="22">
        <f>+'1'!L48+'2'!L48+'4'!L48+'3'!L48+'5'!L48+'6'!L48+'7'!L48+'8'!L48+'9'!L48+'13'!L48+'10'!L48+'12'!L48+'11'!L48+'14'!L48+'15'!L48+'16'!L48+'17'!L48+'18'!L48+'19'!L48+'20'!L48+'21'!L48+'22'!L48+'23'!L48+'24'!L48+'25'!L48+'26'!L48+'28'!L48+'27'!L48+'29'!L48+'30'!L48+'31'!L48</f>
        <v>0</v>
      </c>
      <c r="M48" s="22">
        <f>+'1'!M48+'2'!M48+'4'!M48+'3'!M48+'5'!M48+'6'!M48+'7'!M48+'8'!M48+'9'!M48+'13'!M48+'10'!M48+'12'!M48+'11'!M48+'14'!M48+'15'!M48+'16'!M48+'17'!M48+'18'!M48+'19'!M48+'20'!M48+'21'!M48+'22'!M48+'23'!M48+'24'!M48+'25'!M48+'26'!M48+'28'!M48+'27'!M48+'29'!M48+'30'!M48+'31'!M48</f>
        <v>0</v>
      </c>
      <c r="N48" s="22">
        <f>+'1'!N48+'2'!N48+'4'!N48+'3'!N48+'5'!N48+'6'!N48+'7'!N48+'8'!N48+'9'!N48+'13'!N48+'10'!N48+'12'!N48+'11'!N48+'14'!N48+'15'!N48+'16'!N48+'17'!N48+'18'!N48+'19'!N48+'20'!N48+'21'!N48+'22'!N48+'23'!N48+'24'!N48+'25'!N48+'26'!N48+'28'!N48+'27'!N48+'29'!N48+'30'!N48+'31'!N48</f>
        <v>0</v>
      </c>
      <c r="O48" s="22">
        <f>+'1'!O48+'2'!O48+'4'!O48+'3'!O48+'5'!O48+'6'!O48+'7'!O48+'8'!O48+'9'!O48+'13'!O48+'10'!O48+'12'!O48+'11'!O48+'14'!O48+'15'!O48+'16'!O48+'17'!O48+'18'!O48+'19'!O48+'20'!O48+'21'!O48+'22'!O48+'23'!O48+'24'!O48+'25'!O48+'26'!O48+'28'!O48+'27'!O48+'29'!O48+'30'!O48+'31'!O48</f>
        <v>0</v>
      </c>
      <c r="P48" s="22">
        <f>+'1'!P48+'2'!P48+'4'!P48+'3'!P48+'5'!P48+'6'!P48+'7'!P48+'8'!P48+'9'!P48+'13'!P48+'10'!P48+'12'!P48+'11'!P48+'14'!P48+'15'!P48+'16'!P48+'17'!P48+'18'!P48+'19'!P48+'20'!P48+'21'!P48+'22'!P48+'23'!P48+'24'!P48+'25'!P48+'26'!P48+'28'!P48+'27'!P48+'29'!P48+'30'!P48+'31'!P48</f>
        <v>0</v>
      </c>
      <c r="Q48" s="22">
        <f>+'1'!Q48+'2'!Q48+'4'!Q48+'3'!Q48+'5'!Q48+'6'!Q48+'7'!Q48+'8'!Q48+'9'!Q48+'13'!Q48+'10'!Q48+'12'!Q48+'11'!Q48+'14'!Q48+'15'!Q48+'16'!Q48+'17'!Q48+'18'!Q48+'19'!Q48+'20'!Q48+'21'!Q48+'22'!Q48+'23'!Q48+'24'!Q48+'25'!Q48+'26'!Q48+'28'!Q48+'27'!Q48+'29'!Q48+'30'!Q48+'31'!Q48</f>
        <v>0</v>
      </c>
      <c r="R48" s="36">
        <f>+'1'!R48+'2'!R48+'4'!R48+'3'!R48+'5'!R48+'6'!R48+'7'!R48+'8'!R48+'9'!R48+'13'!R48+'10'!R48+'12'!R48+'11'!R48+'14'!R48+'15'!R48+'16'!R48+'17'!R48+'18'!R48+'19'!R48+'20'!R48+'21'!R48+'22'!R48+'23'!R48+'24'!R48+'25'!R48+'26'!R48+'28'!R48+'27'!R48+'29'!R48+'30'!R48+'31'!R48</f>
        <v>0</v>
      </c>
      <c r="S48" s="44">
        <f>+'1'!S48+'2'!S48+'4'!S48+'3'!S48+'5'!S48+'6'!S48+'7'!S48+'8'!S48+'9'!S48+'13'!S48+'10'!S48+'12'!S48+'11'!S48+'14'!S48+'15'!S48+'16'!S48+'17'!S48+'18'!S48+'19'!S48+'20'!S48+'21'!S48+'22'!S48+'23'!S48+'24'!S48+'25'!S48+'26'!S48+'28'!S48+'27'!S48+'29'!S48+'30'!S48+'31'!S48</f>
        <v>0</v>
      </c>
      <c r="T48" s="47">
        <f>+'1'!T48+'2'!T48+'4'!T48+'3'!T48+'5'!T48+'6'!T48+'7'!T48+'8'!T48+'9'!T48+'13'!T48+'10'!T48+'12'!T48+'11'!T48+'14'!T48+'15'!T48+'16'!T48+'17'!T48+'18'!T48+'19'!T48+'20'!T48+'21'!T48+'22'!T48+'23'!T48+'24'!T48+'25'!T48+'26'!T48+'28'!T48+'27'!T48+'29'!T48+'30'!T48+'31'!T48</f>
        <v>0</v>
      </c>
      <c r="U48" s="52">
        <f t="shared" si="6"/>
        <v>0</v>
      </c>
      <c r="V48" s="95" t="str">
        <f t="shared" si="7"/>
        <v>OK</v>
      </c>
    </row>
    <row r="49" spans="1:22" x14ac:dyDescent="0.3">
      <c r="A49" s="77" t="s">
        <v>65</v>
      </c>
      <c r="B49" s="76">
        <v>11351</v>
      </c>
      <c r="C49" s="77" t="s">
        <v>64</v>
      </c>
      <c r="D49" s="78"/>
      <c r="E49" s="79"/>
      <c r="F49" s="79"/>
      <c r="G49" s="80"/>
      <c r="H49" s="81"/>
      <c r="I49" s="82">
        <f>+'1'!I49+'2'!I49+'4'!I49+'3'!I49+'5'!I49+'6'!I49+'7'!I49+'8'!I49+'9'!I49+'13'!I49+'10'!I49+'12'!I49+'11'!I49+'14'!I49+'15'!I49+'16'!I49+'17'!I49+'18'!I49+'19'!I49+'20'!I49+'21'!I49+'22'!I49+'23'!I49+'24'!I49+'25'!I49+'26'!I49+'28'!I49+'27'!I49+'29'!I49+'30'!I49+'31'!I49</f>
        <v>0</v>
      </c>
      <c r="J49" s="82"/>
      <c r="K49" s="11"/>
      <c r="L49" s="82">
        <f>+'1'!L49+'2'!L49+'4'!L49+'3'!L49+'5'!L49+'6'!L49+'7'!L49+'8'!L49+'9'!L49+'13'!L49+'10'!L49+'12'!L49+'11'!L49+'14'!L49+'15'!L49+'16'!L49+'17'!L49+'18'!L49+'19'!L49+'20'!L49+'21'!L49+'22'!L49+'23'!L49+'24'!L49+'25'!L49+'26'!L49+'28'!L49+'27'!L49+'29'!L49+'30'!L49+'31'!L49</f>
        <v>0</v>
      </c>
      <c r="M49" s="82">
        <f>+'1'!M49+'2'!M49+'4'!M49+'3'!M49+'5'!M49+'6'!M49+'7'!M49+'8'!M49+'9'!M49+'13'!M49+'10'!M49+'12'!M49+'11'!M49+'14'!M49+'15'!M49+'16'!M49+'17'!M49+'18'!M49+'19'!M49+'20'!M49+'21'!M49+'22'!M49+'23'!M49+'24'!M49+'25'!M49+'26'!M49+'28'!M49+'27'!M49+'29'!M49+'30'!M49+'31'!M49</f>
        <v>0</v>
      </c>
      <c r="N49" s="82">
        <f>+'1'!N49+'2'!N49+'4'!N49+'3'!N49+'5'!N49+'6'!N49+'7'!N49+'8'!N49+'9'!N49+'13'!N49+'10'!N49+'12'!N49+'11'!N49+'14'!N49+'15'!N49+'16'!N49+'17'!N49+'18'!N49+'19'!N49+'20'!N49+'21'!N49+'22'!N49+'23'!N49+'24'!N49+'25'!N49+'26'!N49+'28'!N49+'27'!N49+'29'!N49+'30'!N49+'31'!N49</f>
        <v>0</v>
      </c>
      <c r="O49" s="82">
        <f>+'1'!O49+'2'!O49+'4'!O49+'3'!O49+'5'!O49+'6'!O49+'7'!O49+'8'!O49+'9'!O49+'13'!O49+'10'!O49+'12'!O49+'11'!O49+'14'!O49+'15'!O49+'16'!O49+'17'!O49+'18'!O49+'19'!O49+'20'!O49+'21'!O49+'22'!O49+'23'!O49+'24'!O49+'25'!O49+'26'!O49+'28'!O49+'27'!O49+'29'!O49+'30'!O49+'31'!O49</f>
        <v>0</v>
      </c>
      <c r="P49" s="82">
        <f>+'1'!P49+'2'!P49+'4'!P49+'3'!P49+'5'!P49+'6'!P49+'7'!P49+'8'!P49+'9'!P49+'13'!P49+'10'!P49+'12'!P49+'11'!P49+'14'!P49+'15'!P49+'16'!P49+'17'!P49+'18'!P49+'19'!P49+'20'!P49+'21'!P49+'22'!P49+'23'!P49+'24'!P49+'25'!P49+'26'!P49+'28'!P49+'27'!P49+'29'!P49+'30'!P49+'31'!P49</f>
        <v>0</v>
      </c>
      <c r="Q49" s="82">
        <f>+'1'!Q49+'2'!Q49+'4'!Q49+'3'!Q49+'5'!Q49+'6'!Q49+'7'!Q49+'8'!Q49+'9'!Q49+'13'!Q49+'10'!Q49+'12'!Q49+'11'!Q49+'14'!Q49+'15'!Q49+'16'!Q49+'17'!Q49+'18'!Q49+'19'!Q49+'20'!Q49+'21'!Q49+'22'!Q49+'23'!Q49+'24'!Q49+'25'!Q49+'26'!Q49+'28'!Q49+'27'!Q49+'29'!Q49+'30'!Q49+'31'!Q49</f>
        <v>0</v>
      </c>
      <c r="R49" s="83">
        <f>+'1'!R49+'2'!R49+'4'!R49+'3'!R49+'5'!R49+'6'!R49+'7'!R49+'8'!R49+'9'!R49+'13'!R49+'10'!R49+'12'!R49+'11'!R49+'14'!R49+'15'!R49+'16'!R49+'17'!R49+'18'!R49+'19'!R49+'20'!R49+'21'!R49+'22'!R49+'23'!R49+'24'!R49+'25'!R49+'26'!R49+'28'!R49+'27'!R49+'29'!R49+'30'!R49+'31'!R49</f>
        <v>0</v>
      </c>
      <c r="S49" s="84">
        <f>+'1'!S49+'2'!S49+'4'!S49+'3'!S49+'5'!S49+'6'!S49+'7'!S49+'8'!S49+'9'!S49+'13'!S49+'10'!S49+'12'!S49+'11'!S49+'14'!S49+'15'!S49+'16'!S49+'17'!S49+'18'!S49+'19'!S49+'20'!S49+'21'!S49+'22'!S49+'23'!S49+'24'!S49+'25'!S49+'26'!S49+'28'!S49+'27'!S49+'29'!S49+'30'!S49+'31'!S49</f>
        <v>0</v>
      </c>
      <c r="T49" s="85">
        <f>+'1'!T49+'2'!T49+'4'!T49+'3'!T49+'5'!T49+'6'!T49+'7'!T49+'8'!T49+'9'!T49+'13'!T49+'10'!T49+'12'!T49+'11'!T49+'14'!T49+'15'!T49+'16'!T49+'17'!T49+'18'!T49+'19'!T49+'20'!T49+'21'!T49+'22'!T49+'23'!T49+'24'!T49+'25'!T49+'26'!T49+'28'!T49+'27'!T49+'29'!T49+'30'!T49+'31'!T49</f>
        <v>0</v>
      </c>
      <c r="U49" s="75">
        <f t="shared" si="6"/>
        <v>0</v>
      </c>
      <c r="V49" s="93" t="str">
        <f t="shared" si="7"/>
        <v>OK</v>
      </c>
    </row>
    <row r="50" spans="1:22" x14ac:dyDescent="0.3">
      <c r="A50" s="54" t="s">
        <v>66</v>
      </c>
      <c r="B50" s="63">
        <v>11352</v>
      </c>
      <c r="C50" s="18" t="s">
        <v>64</v>
      </c>
      <c r="D50" s="19"/>
      <c r="E50" s="19"/>
      <c r="F50" s="19"/>
      <c r="G50" s="20"/>
      <c r="H50" s="21"/>
      <c r="I50" s="22">
        <f>+'1'!I50+'2'!I50+'4'!I50+'3'!I50+'5'!I50+'6'!I50+'7'!I50+'8'!I50+'9'!I50+'13'!I50+'10'!I50+'12'!I50+'11'!I50+'14'!I50+'15'!I50+'16'!I50+'17'!I50+'18'!I50+'19'!I50+'20'!I50+'21'!I50+'22'!I50+'23'!I50+'24'!I50+'25'!I50+'26'!I50+'28'!I50+'27'!I50+'29'!I50+'30'!I50+'31'!I50</f>
        <v>0</v>
      </c>
      <c r="J50" s="22"/>
      <c r="K50" s="11"/>
      <c r="L50" s="22">
        <f>+'1'!L50+'2'!L50+'4'!L50+'3'!L50+'5'!L50+'6'!L50+'7'!L50+'8'!L50+'9'!L50+'13'!L50+'10'!L50+'12'!L50+'11'!L50+'14'!L50+'15'!L50+'16'!L50+'17'!L50+'18'!L50+'19'!L50+'20'!L50+'21'!L50+'22'!L50+'23'!L50+'24'!L50+'25'!L50+'26'!L50+'28'!L50+'27'!L50+'29'!L50+'30'!L50+'31'!L50</f>
        <v>0</v>
      </c>
      <c r="M50" s="22">
        <f>+'1'!M50+'2'!M50+'4'!M50+'3'!M50+'5'!M50+'6'!M50+'7'!M50+'8'!M50+'9'!M50+'13'!M50+'10'!M50+'12'!M50+'11'!M50+'14'!M50+'15'!M50+'16'!M50+'17'!M50+'18'!M50+'19'!M50+'20'!M50+'21'!M50+'22'!M50+'23'!M50+'24'!M50+'25'!M50+'26'!M50+'28'!M50+'27'!M50+'29'!M50+'30'!M50+'31'!M50</f>
        <v>0</v>
      </c>
      <c r="N50" s="22">
        <f>+'1'!N50+'2'!N50+'4'!N50+'3'!N50+'5'!N50+'6'!N50+'7'!N50+'8'!N50+'9'!N50+'13'!N50+'10'!N50+'12'!N50+'11'!N50+'14'!N50+'15'!N50+'16'!N50+'17'!N50+'18'!N50+'19'!N50+'20'!N50+'21'!N50+'22'!N50+'23'!N50+'24'!N50+'25'!N50+'26'!N50+'28'!N50+'27'!N50+'29'!N50+'30'!N50+'31'!N50</f>
        <v>0</v>
      </c>
      <c r="O50" s="22">
        <f>+'1'!O50+'2'!O50+'4'!O50+'3'!O50+'5'!O50+'6'!O50+'7'!O50+'8'!O50+'9'!O50+'13'!O50+'10'!O50+'12'!O50+'11'!O50+'14'!O50+'15'!O50+'16'!O50+'17'!O50+'18'!O50+'19'!O50+'20'!O50+'21'!O50+'22'!O50+'23'!O50+'24'!O50+'25'!O50+'26'!O50+'28'!O50+'27'!O50+'29'!O50+'30'!O50+'31'!O50</f>
        <v>0</v>
      </c>
      <c r="P50" s="22">
        <f>+'1'!P50+'2'!P50+'4'!P50+'3'!P50+'5'!P50+'6'!P50+'7'!P50+'8'!P50+'9'!P50+'13'!P50+'10'!P50+'12'!P50+'11'!P50+'14'!P50+'15'!P50+'16'!P50+'17'!P50+'18'!P50+'19'!P50+'20'!P50+'21'!P50+'22'!P50+'23'!P50+'24'!P50+'25'!P50+'26'!P50+'28'!P50+'27'!P50+'29'!P50+'30'!P50+'31'!P50</f>
        <v>0</v>
      </c>
      <c r="Q50" s="22">
        <f>+'1'!Q50+'2'!Q50+'4'!Q50+'3'!Q50+'5'!Q50+'6'!Q50+'7'!Q50+'8'!Q50+'9'!Q50+'13'!Q50+'10'!Q50+'12'!Q50+'11'!Q50+'14'!Q50+'15'!Q50+'16'!Q50+'17'!Q50+'18'!Q50+'19'!Q50+'20'!Q50+'21'!Q50+'22'!Q50+'23'!Q50+'24'!Q50+'25'!Q50+'26'!Q50+'28'!Q50+'27'!Q50+'29'!Q50+'30'!Q50+'31'!Q50</f>
        <v>0</v>
      </c>
      <c r="R50" s="36">
        <f>+'1'!R50+'2'!R50+'4'!R50+'3'!R50+'5'!R50+'6'!R50+'7'!R50+'8'!R50+'9'!R50+'13'!R50+'10'!R50+'12'!R50+'11'!R50+'14'!R50+'15'!R50+'16'!R50+'17'!R50+'18'!R50+'19'!R50+'20'!R50+'21'!R50+'22'!R50+'23'!R50+'24'!R50+'25'!R50+'26'!R50+'28'!R50+'27'!R50+'29'!R50+'30'!R50+'31'!R50</f>
        <v>0</v>
      </c>
      <c r="S50" s="44">
        <f>+'1'!S50+'2'!S50+'4'!S50+'3'!S50+'5'!S50+'6'!S50+'7'!S50+'8'!S50+'9'!S50+'13'!S50+'10'!S50+'12'!S50+'11'!S50+'14'!S50+'15'!S50+'16'!S50+'17'!S50+'18'!S50+'19'!S50+'20'!S50+'21'!S50+'22'!S50+'23'!S50+'24'!S50+'25'!S50+'26'!S50+'28'!S50+'27'!S50+'29'!S50+'30'!S50+'31'!S50</f>
        <v>0</v>
      </c>
      <c r="T50" s="47">
        <f>+'1'!T50+'2'!T50+'4'!T50+'3'!T50+'5'!T50+'6'!T50+'7'!T50+'8'!T50+'9'!T50+'13'!T50+'10'!T50+'12'!T50+'11'!T50+'14'!T50+'15'!T50+'16'!T50+'17'!T50+'18'!T50+'19'!T50+'20'!T50+'21'!T50+'22'!T50+'23'!T50+'24'!T50+'25'!T50+'26'!T50+'28'!T50+'27'!T50+'29'!T50+'30'!T50+'31'!T50</f>
        <v>0</v>
      </c>
      <c r="U50" s="52">
        <f t="shared" si="6"/>
        <v>0</v>
      </c>
      <c r="V50" s="95" t="str">
        <f t="shared" si="7"/>
        <v>OK</v>
      </c>
    </row>
    <row r="51" spans="1:22" x14ac:dyDescent="0.3">
      <c r="A51" s="90" t="s">
        <v>102</v>
      </c>
      <c r="B51" s="76">
        <v>13515</v>
      </c>
      <c r="C51" s="70" t="s">
        <v>78</v>
      </c>
      <c r="D51" s="72"/>
      <c r="E51" s="72"/>
      <c r="F51" s="72"/>
      <c r="G51" s="73"/>
      <c r="H51" s="81"/>
      <c r="I51" s="82">
        <f>+'1'!I51+'2'!I51+'4'!I51+'3'!I51+'5'!I51+'6'!I51+'7'!I51+'8'!I51+'9'!I51+'13'!I51+'10'!I51+'12'!I51+'11'!I51+'14'!I51+'15'!I51+'16'!I51+'17'!I51+'18'!I51+'19'!I51+'20'!I51+'21'!I51+'22'!I51+'23'!I51+'24'!I51+'25'!I51+'26'!I51+'28'!I51+'27'!I51+'29'!I51+'30'!I51+'31'!I51</f>
        <v>9</v>
      </c>
      <c r="J51" s="82"/>
      <c r="K51" s="11"/>
      <c r="L51" s="82">
        <f>+'1'!L51+'2'!L51+'4'!L51+'3'!L51+'5'!L51+'6'!L51+'7'!L51+'8'!L51+'9'!L51+'13'!L51+'10'!L51+'12'!L51+'11'!L51+'14'!L51+'15'!L51+'16'!L51+'17'!L51+'18'!L51+'19'!L51+'20'!L51+'21'!L51+'22'!L51+'23'!L51+'24'!L51+'25'!L51+'26'!L51+'28'!L51+'27'!L51+'29'!L51+'30'!L51+'31'!L51</f>
        <v>0</v>
      </c>
      <c r="M51" s="82">
        <f>+'1'!M51+'2'!M51+'4'!M51+'3'!M51+'5'!M51+'6'!M51+'7'!M51+'8'!M51+'9'!M51+'13'!M51+'10'!M51+'12'!M51+'11'!M51+'14'!M51+'15'!M51+'16'!M51+'17'!M51+'18'!M51+'19'!M51+'20'!M51+'21'!M51+'22'!M51+'23'!M51+'24'!M51+'25'!M51+'26'!M51+'28'!M51+'27'!M51+'29'!M51+'30'!M51+'31'!M51</f>
        <v>9</v>
      </c>
      <c r="N51" s="82">
        <f>+'1'!N51+'2'!N51+'4'!N51+'3'!N51+'5'!N51+'6'!N51+'7'!N51+'8'!N51+'9'!N51+'13'!N51+'10'!N51+'12'!N51+'11'!N51+'14'!N51+'15'!N51+'16'!N51+'17'!N51+'18'!N51+'19'!N51+'20'!N51+'21'!N51+'22'!N51+'23'!N51+'24'!N51+'25'!N51+'26'!N51+'28'!N51+'27'!N51+'29'!N51+'30'!N51+'31'!N51</f>
        <v>0</v>
      </c>
      <c r="O51" s="82">
        <f>+'1'!O51+'2'!O51+'4'!O51+'3'!O51+'5'!O51+'6'!O51+'7'!O51+'8'!O51+'9'!O51+'13'!O51+'10'!O51+'12'!O51+'11'!O51+'14'!O51+'15'!O51+'16'!O51+'17'!O51+'18'!O51+'19'!O51+'20'!O51+'21'!O51+'22'!O51+'23'!O51+'24'!O51+'25'!O51+'26'!O51+'28'!O51+'27'!O51+'29'!O51+'30'!O51+'31'!O51</f>
        <v>0</v>
      </c>
      <c r="P51" s="82">
        <f>+'1'!P51+'2'!P51+'4'!P51+'3'!P51+'5'!P51+'6'!P51+'7'!P51+'8'!P51+'9'!P51+'13'!P51+'10'!P51+'12'!P51+'11'!P51+'14'!P51+'15'!P51+'16'!P51+'17'!P51+'18'!P51+'19'!P51+'20'!P51+'21'!P51+'22'!P51+'23'!P51+'24'!P51+'25'!P51+'26'!P51+'28'!P51+'27'!P51+'29'!P51+'30'!P51+'31'!P51</f>
        <v>0</v>
      </c>
      <c r="Q51" s="82">
        <f>+'1'!Q51+'2'!Q51+'4'!Q51+'3'!Q51+'5'!Q51+'6'!Q51+'7'!Q51+'8'!Q51+'9'!Q51+'13'!Q51+'10'!Q51+'12'!Q51+'11'!Q51+'14'!Q51+'15'!Q51+'16'!Q51+'17'!Q51+'18'!Q51+'19'!Q51+'20'!Q51+'21'!Q51+'22'!Q51+'23'!Q51+'24'!Q51+'25'!Q51+'26'!Q51+'28'!Q51+'27'!Q51+'29'!Q51+'30'!Q51+'31'!Q51</f>
        <v>0</v>
      </c>
      <c r="R51" s="83">
        <f>+'1'!R51+'2'!R51+'4'!R51+'3'!R51+'5'!R51+'6'!R51+'7'!R51+'8'!R51+'9'!R51+'13'!R51+'10'!R51+'12'!R51+'11'!R51+'14'!R51+'15'!R51+'16'!R51+'17'!R51+'18'!R51+'19'!R51+'20'!R51+'21'!R51+'22'!R51+'23'!R51+'24'!R51+'25'!R51+'26'!R51+'28'!R51+'27'!R51+'29'!R51+'30'!R51+'31'!R51</f>
        <v>0</v>
      </c>
      <c r="S51" s="84">
        <f>+'1'!S51+'2'!S51+'4'!S51+'3'!S51+'5'!S51+'6'!S51+'7'!S51+'8'!S51+'9'!S51+'13'!S51+'10'!S51+'12'!S51+'11'!S51+'14'!S51+'15'!S51+'16'!S51+'17'!S51+'18'!S51+'19'!S51+'20'!S51+'21'!S51+'22'!S51+'23'!S51+'24'!S51+'25'!S51+'26'!S51+'28'!S51+'27'!S51+'29'!S51+'30'!S51+'31'!S51</f>
        <v>0</v>
      </c>
      <c r="T51" s="85">
        <f>+'1'!T51+'2'!T51+'4'!T51+'3'!T51+'5'!T51+'6'!T51+'7'!T51+'8'!T51+'9'!T51+'13'!T51+'10'!T51+'12'!T51+'11'!T51+'14'!T51+'15'!T51+'16'!T51+'17'!T51+'18'!T51+'19'!T51+'20'!T51+'21'!T51+'22'!T51+'23'!T51+'24'!T51+'25'!T51+'26'!T51+'28'!T51+'27'!T51+'29'!T51+'30'!T51+'31'!T51</f>
        <v>0</v>
      </c>
      <c r="U51" s="75">
        <f t="shared" si="6"/>
        <v>9</v>
      </c>
      <c r="V51" s="93" t="str">
        <f t="shared" si="7"/>
        <v>OK</v>
      </c>
    </row>
    <row r="52" spans="1:22" x14ac:dyDescent="0.3">
      <c r="A52" s="54" t="s">
        <v>103</v>
      </c>
      <c r="B52" s="63">
        <v>13516</v>
      </c>
      <c r="C52" s="18" t="s">
        <v>78</v>
      </c>
      <c r="D52" s="67"/>
      <c r="E52" s="67"/>
      <c r="F52" s="67"/>
      <c r="G52" s="68"/>
      <c r="H52" s="21"/>
      <c r="I52" s="22">
        <f>+'1'!I52+'2'!I52+'4'!I52+'3'!I52+'5'!I52+'6'!I52+'7'!I52+'8'!I52+'9'!I52+'13'!I52+'10'!I52+'12'!I52+'11'!I52+'14'!I52+'15'!I52+'16'!I52+'17'!I52+'18'!I52+'19'!I52+'20'!I52+'21'!I52+'22'!I52+'23'!I52+'24'!I52+'25'!I52+'26'!I52+'28'!I52+'27'!I52+'29'!I52+'30'!I52+'31'!I52</f>
        <v>6</v>
      </c>
      <c r="J52" s="22"/>
      <c r="K52" s="11"/>
      <c r="L52" s="22">
        <f>+'1'!L52+'2'!L52+'4'!L52+'3'!L52+'5'!L52+'6'!L52+'7'!L52+'8'!L52+'9'!L52+'13'!L52+'10'!L52+'12'!L52+'11'!L52+'14'!L52+'15'!L52+'16'!L52+'17'!L52+'18'!L52+'19'!L52+'20'!L52+'21'!L52+'22'!L52+'23'!L52+'24'!L52+'25'!L52+'26'!L52+'28'!L52+'27'!L52+'29'!L52+'30'!L52+'31'!L52</f>
        <v>0</v>
      </c>
      <c r="M52" s="22">
        <f>+'1'!M52+'2'!M52+'4'!M52+'3'!M52+'5'!M52+'6'!M52+'7'!M52+'8'!M52+'9'!M52+'13'!M52+'10'!M52+'12'!M52+'11'!M52+'14'!M52+'15'!M52+'16'!M52+'17'!M52+'18'!M52+'19'!M52+'20'!M52+'21'!M52+'22'!M52+'23'!M52+'24'!M52+'25'!M52+'26'!M52+'28'!M52+'27'!M52+'29'!M52+'30'!M52+'31'!M52</f>
        <v>6</v>
      </c>
      <c r="N52" s="22">
        <f>+'1'!N52+'2'!N52+'4'!N52+'3'!N52+'5'!N52+'6'!N52+'7'!N52+'8'!N52+'9'!N52+'13'!N52+'10'!N52+'12'!N52+'11'!N52+'14'!N52+'15'!N52+'16'!N52+'17'!N52+'18'!N52+'19'!N52+'20'!N52+'21'!N52+'22'!N52+'23'!N52+'24'!N52+'25'!N52+'26'!N52+'28'!N52+'27'!N52+'29'!N52+'30'!N52+'31'!N52</f>
        <v>0</v>
      </c>
      <c r="O52" s="22">
        <f>+'1'!O52+'2'!O52+'4'!O52+'3'!O52+'5'!O52+'6'!O52+'7'!O52+'8'!O52+'9'!O52+'13'!O52+'10'!O52+'12'!O52+'11'!O52+'14'!O52+'15'!O52+'16'!O52+'17'!O52+'18'!O52+'19'!O52+'20'!O52+'21'!O52+'22'!O52+'23'!O52+'24'!O52+'25'!O52+'26'!O52+'28'!O52+'27'!O52+'29'!O52+'30'!O52+'31'!O52</f>
        <v>0</v>
      </c>
      <c r="P52" s="22">
        <f>+'1'!P52+'2'!P52+'4'!P52+'3'!P52+'5'!P52+'6'!P52+'7'!P52+'8'!P52+'9'!P52+'13'!P52+'10'!P52+'12'!P52+'11'!P52+'14'!P52+'15'!P52+'16'!P52+'17'!P52+'18'!P52+'19'!P52+'20'!P52+'21'!P52+'22'!P52+'23'!P52+'24'!P52+'25'!P52+'26'!P52+'28'!P52+'27'!P52+'29'!P52+'30'!P52+'31'!P52</f>
        <v>0</v>
      </c>
      <c r="Q52" s="22">
        <f>+'1'!Q52+'2'!Q52+'4'!Q52+'3'!Q52+'5'!Q52+'6'!Q52+'7'!Q52+'8'!Q52+'9'!Q52+'13'!Q52+'10'!Q52+'12'!Q52+'11'!Q52+'14'!Q52+'15'!Q52+'16'!Q52+'17'!Q52+'18'!Q52+'19'!Q52+'20'!Q52+'21'!Q52+'22'!Q52+'23'!Q52+'24'!Q52+'25'!Q52+'26'!Q52+'28'!Q52+'27'!Q52+'29'!Q52+'30'!Q52+'31'!Q52</f>
        <v>0</v>
      </c>
      <c r="R52" s="36">
        <f>+'1'!R52+'2'!R52+'4'!R52+'3'!R52+'5'!R52+'6'!R52+'7'!R52+'8'!R52+'9'!R52+'13'!R52+'10'!R52+'12'!R52+'11'!R52+'14'!R52+'15'!R52+'16'!R52+'17'!R52+'18'!R52+'19'!R52+'20'!R52+'21'!R52+'22'!R52+'23'!R52+'24'!R52+'25'!R52+'26'!R52+'28'!R52+'27'!R52+'29'!R52+'30'!R52+'31'!R52</f>
        <v>0</v>
      </c>
      <c r="S52" s="44">
        <f>+'1'!S52+'2'!S52+'4'!S52+'3'!S52+'5'!S52+'6'!S52+'7'!S52+'8'!S52+'9'!S52+'13'!S52+'10'!S52+'12'!S52+'11'!S52+'14'!S52+'15'!S52+'16'!S52+'17'!S52+'18'!S52+'19'!S52+'20'!S52+'21'!S52+'22'!S52+'23'!S52+'24'!S52+'25'!S52+'26'!S52+'28'!S52+'27'!S52+'29'!S52+'30'!S52+'31'!S52</f>
        <v>0</v>
      </c>
      <c r="T52" s="47">
        <f>+'1'!T52+'2'!T52+'4'!T52+'3'!T52+'5'!T52+'6'!T52+'7'!T52+'8'!T52+'9'!T52+'13'!T52+'10'!T52+'12'!T52+'11'!T52+'14'!T52+'15'!T52+'16'!T52+'17'!T52+'18'!T52+'19'!T52+'20'!T52+'21'!T52+'22'!T52+'23'!T52+'24'!T52+'25'!T52+'26'!T52+'28'!T52+'27'!T52+'29'!T52+'30'!T52+'31'!T52</f>
        <v>0</v>
      </c>
      <c r="U52" s="52">
        <f t="shared" si="6"/>
        <v>6</v>
      </c>
      <c r="V52" s="95" t="str">
        <f t="shared" si="7"/>
        <v>OK</v>
      </c>
    </row>
    <row r="53" spans="1:22" x14ac:dyDescent="0.3">
      <c r="A53" s="90" t="s">
        <v>104</v>
      </c>
      <c r="B53" s="76">
        <v>13468</v>
      </c>
      <c r="C53" s="70" t="s">
        <v>78</v>
      </c>
      <c r="D53" s="72"/>
      <c r="E53" s="72"/>
      <c r="F53" s="72"/>
      <c r="G53" s="73"/>
      <c r="H53" s="81"/>
      <c r="I53" s="82">
        <f>+'1'!I53+'2'!I53+'4'!I53+'3'!I53+'5'!I53+'6'!I53+'7'!I53+'8'!I53+'9'!I53+'13'!I53+'10'!I53+'12'!I53+'11'!I53+'14'!I53+'15'!I53+'16'!I53+'17'!I53+'18'!I53+'19'!I53+'20'!I53+'21'!I53+'22'!I53+'23'!I53+'24'!I53+'25'!I53+'26'!I53+'28'!I53+'27'!I53+'29'!I53+'30'!I53+'31'!I53</f>
        <v>5</v>
      </c>
      <c r="J53" s="82"/>
      <c r="K53" s="11"/>
      <c r="L53" s="82">
        <f>+'1'!L53+'2'!L53+'4'!L53+'3'!L53+'5'!L53+'6'!L53+'7'!L53+'8'!L53+'9'!L53+'13'!L53+'10'!L53+'12'!L53+'11'!L53+'14'!L53+'15'!L53+'16'!L53+'17'!L53+'18'!L53+'19'!L53+'20'!L53+'21'!L53+'22'!L53+'23'!L53+'24'!L53+'25'!L53+'26'!L53+'28'!L53+'27'!L53+'29'!L53+'30'!L53+'31'!L53</f>
        <v>0</v>
      </c>
      <c r="M53" s="82">
        <f>+'1'!M53+'2'!M53+'4'!M53+'3'!M53+'5'!M53+'6'!M53+'7'!M53+'8'!M53+'9'!M53+'13'!M53+'10'!M53+'12'!M53+'11'!M53+'14'!M53+'15'!M53+'16'!M53+'17'!M53+'18'!M53+'19'!M53+'20'!M53+'21'!M53+'22'!M53+'23'!M53+'24'!M53+'25'!M53+'26'!M53+'28'!M53+'27'!M53+'29'!M53+'30'!M53+'31'!M53</f>
        <v>5</v>
      </c>
      <c r="N53" s="82">
        <f>+'1'!N53+'2'!N53+'4'!N53+'3'!N53+'5'!N53+'6'!N53+'7'!N53+'8'!N53+'9'!N53+'13'!N53+'10'!N53+'12'!N53+'11'!N53+'14'!N53+'15'!N53+'16'!N53+'17'!N53+'18'!N53+'19'!N53+'20'!N53+'21'!N53+'22'!N53+'23'!N53+'24'!N53+'25'!N53+'26'!N53+'28'!N53+'27'!N53+'29'!N53+'30'!N53+'31'!N53</f>
        <v>0</v>
      </c>
      <c r="O53" s="82">
        <f>+'1'!O53+'2'!O53+'4'!O53+'3'!O53+'5'!O53+'6'!O53+'7'!O53+'8'!O53+'9'!O53+'13'!O53+'10'!O53+'12'!O53+'11'!O53+'14'!O53+'15'!O53+'16'!O53+'17'!O53+'18'!O53+'19'!O53+'20'!O53+'21'!O53+'22'!O53+'23'!O53+'24'!O53+'25'!O53+'26'!O53+'28'!O53+'27'!O53+'29'!O53+'30'!O53+'31'!O53</f>
        <v>0</v>
      </c>
      <c r="P53" s="82">
        <f>+'1'!P53+'2'!P53+'4'!P53+'3'!P53+'5'!P53+'6'!P53+'7'!P53+'8'!P53+'9'!P53+'13'!P53+'10'!P53+'12'!P53+'11'!P53+'14'!P53+'15'!P53+'16'!P53+'17'!P53+'18'!P53+'19'!P53+'20'!P53+'21'!P53+'22'!P53+'23'!P53+'24'!P53+'25'!P53+'26'!P53+'28'!P53+'27'!P53+'29'!P53+'30'!P53+'31'!P53</f>
        <v>0</v>
      </c>
      <c r="Q53" s="82">
        <f>+'1'!Q53+'2'!Q53+'4'!Q53+'3'!Q53+'5'!Q53+'6'!Q53+'7'!Q53+'8'!Q53+'9'!Q53+'13'!Q53+'10'!Q53+'12'!Q53+'11'!Q53+'14'!Q53+'15'!Q53+'16'!Q53+'17'!Q53+'18'!Q53+'19'!Q53+'20'!Q53+'21'!Q53+'22'!Q53+'23'!Q53+'24'!Q53+'25'!Q53+'26'!Q53+'28'!Q53+'27'!Q53+'29'!Q53+'30'!Q53+'31'!Q53</f>
        <v>0</v>
      </c>
      <c r="R53" s="83">
        <f>+'1'!R53+'2'!R53+'4'!R53+'3'!R53+'5'!R53+'6'!R53+'7'!R53+'8'!R53+'9'!R53+'13'!R53+'10'!R53+'12'!R53+'11'!R53+'14'!R53+'15'!R53+'16'!R53+'17'!R53+'18'!R53+'19'!R53+'20'!R53+'21'!R53+'22'!R53+'23'!R53+'24'!R53+'25'!R53+'26'!R53+'28'!R53+'27'!R53+'29'!R53+'30'!R53+'31'!R53</f>
        <v>0</v>
      </c>
      <c r="S53" s="84">
        <f>+'1'!S53+'2'!S53+'4'!S53+'3'!S53+'5'!S53+'6'!S53+'7'!S53+'8'!S53+'9'!S53+'13'!S53+'10'!S53+'12'!S53+'11'!S53+'14'!S53+'15'!S53+'16'!S53+'17'!S53+'18'!S53+'19'!S53+'20'!S53+'21'!S53+'22'!S53+'23'!S53+'24'!S53+'25'!S53+'26'!S53+'28'!S53+'27'!S53+'29'!S53+'30'!S53+'31'!S53</f>
        <v>0</v>
      </c>
      <c r="T53" s="85">
        <f>+'1'!T53+'2'!T53+'4'!T53+'3'!T53+'5'!T53+'6'!T53+'7'!T53+'8'!T53+'9'!T53+'13'!T53+'10'!T53+'12'!T53+'11'!T53+'14'!T53+'15'!T53+'16'!T53+'17'!T53+'18'!T53+'19'!T53+'20'!T53+'21'!T53+'22'!T53+'23'!T53+'24'!T53+'25'!T53+'26'!T53+'28'!T53+'27'!T53+'29'!T53+'30'!T53+'31'!T53</f>
        <v>0</v>
      </c>
      <c r="U53" s="75">
        <f t="shared" ref="U53:U58" si="8">SUM(L53:T53)</f>
        <v>5</v>
      </c>
      <c r="V53" s="93" t="str">
        <f t="shared" ref="V53:V58" si="9">IF(U53=I53,"OK","NG")</f>
        <v>OK</v>
      </c>
    </row>
    <row r="54" spans="1:22" x14ac:dyDescent="0.3">
      <c r="A54" s="54" t="s">
        <v>79</v>
      </c>
      <c r="B54" s="63">
        <v>13469</v>
      </c>
      <c r="C54" s="18" t="s">
        <v>78</v>
      </c>
      <c r="D54" s="67"/>
      <c r="E54" s="67"/>
      <c r="F54" s="67"/>
      <c r="G54" s="68"/>
      <c r="H54" s="21"/>
      <c r="I54" s="22">
        <f>+'1'!I54+'2'!I54+'4'!I54+'3'!I54+'5'!I54+'6'!I54+'7'!I54+'8'!I54+'9'!I54+'13'!I54+'10'!I54+'12'!I54+'11'!I54+'14'!I54+'15'!I54+'16'!I54+'17'!I54+'18'!I54+'19'!I54+'20'!I54+'21'!I54+'22'!I54+'23'!I54+'24'!I54+'25'!I54+'26'!I54+'28'!I54+'27'!I54+'29'!I54+'30'!I54+'31'!I54</f>
        <v>7</v>
      </c>
      <c r="J54" s="22"/>
      <c r="K54" s="11"/>
      <c r="L54" s="22">
        <f>+'1'!L54+'2'!L54+'4'!L54+'3'!L54+'5'!L54+'6'!L54+'7'!L54+'8'!L54+'9'!L54+'13'!L54+'10'!L54+'12'!L54+'11'!L54+'14'!L54+'15'!L54+'16'!L54+'17'!L54+'18'!L54+'19'!L54+'20'!L54+'21'!L54+'22'!L54+'23'!L54+'24'!L54+'25'!L54+'26'!L54+'28'!L54+'27'!L54+'29'!L54+'30'!L54+'31'!L54</f>
        <v>0</v>
      </c>
      <c r="M54" s="22">
        <f>+'1'!M54+'2'!M54+'4'!M54+'3'!M54+'5'!M54+'6'!M54+'7'!M54+'8'!M54+'9'!M54+'13'!M54+'10'!M54+'12'!M54+'11'!M54+'14'!M54+'15'!M54+'16'!M54+'17'!M54+'18'!M54+'19'!M54+'20'!M54+'21'!M54+'22'!M54+'23'!M54+'24'!M54+'25'!M54+'26'!M54+'28'!M54+'27'!M54+'29'!M54+'30'!M54+'31'!M54</f>
        <v>7</v>
      </c>
      <c r="N54" s="22">
        <f>+'1'!N54+'2'!N54+'4'!N54+'3'!N54+'5'!N54+'6'!N54+'7'!N54+'8'!N54+'9'!N54+'13'!N54+'10'!N54+'12'!N54+'11'!N54+'14'!N54+'15'!N54+'16'!N54+'17'!N54+'18'!N54+'19'!N54+'20'!N54+'21'!N54+'22'!N54+'23'!N54+'24'!N54+'25'!N54+'26'!N54+'28'!N54+'27'!N54+'29'!N54+'30'!N54+'31'!N54</f>
        <v>0</v>
      </c>
      <c r="O54" s="22">
        <f>+'1'!O54+'2'!O54+'4'!O54+'3'!O54+'5'!O54+'6'!O54+'7'!O54+'8'!O54+'9'!O54+'13'!O54+'10'!O54+'12'!O54+'11'!O54+'14'!O54+'15'!O54+'16'!O54+'17'!O54+'18'!O54+'19'!O54+'20'!O54+'21'!O54+'22'!O54+'23'!O54+'24'!O54+'25'!O54+'26'!O54+'28'!O54+'27'!O54+'29'!O54+'30'!O54+'31'!O54</f>
        <v>0</v>
      </c>
      <c r="P54" s="22">
        <f>+'1'!P54+'2'!P54+'4'!P54+'3'!P54+'5'!P54+'6'!P54+'7'!P54+'8'!P54+'9'!P54+'13'!P54+'10'!P54+'12'!P54+'11'!P54+'14'!P54+'15'!P54+'16'!P54+'17'!P54+'18'!P54+'19'!P54+'20'!P54+'21'!P54+'22'!P54+'23'!P54+'24'!P54+'25'!P54+'26'!P54+'28'!P54+'27'!P54+'29'!P54+'30'!P54+'31'!P54</f>
        <v>0</v>
      </c>
      <c r="Q54" s="22">
        <f>+'1'!Q54+'2'!Q54+'4'!Q54+'3'!Q54+'5'!Q54+'6'!Q54+'7'!Q54+'8'!Q54+'9'!Q54+'13'!Q54+'10'!Q54+'12'!Q54+'11'!Q54+'14'!Q54+'15'!Q54+'16'!Q54+'17'!Q54+'18'!Q54+'19'!Q54+'20'!Q54+'21'!Q54+'22'!Q54+'23'!Q54+'24'!Q54+'25'!Q54+'26'!Q54+'28'!Q54+'27'!Q54+'29'!Q54+'30'!Q54+'31'!Q54</f>
        <v>0</v>
      </c>
      <c r="R54" s="36">
        <f>+'1'!R54+'2'!R54+'4'!R54+'3'!R54+'5'!R54+'6'!R54+'7'!R54+'8'!R54+'9'!R54+'13'!R54+'10'!R54+'12'!R54+'11'!R54+'14'!R54+'15'!R54+'16'!R54+'17'!R54+'18'!R54+'19'!R54+'20'!R54+'21'!R54+'22'!R54+'23'!R54+'24'!R54+'25'!R54+'26'!R54+'28'!R54+'27'!R54+'29'!R54+'30'!R54+'31'!R54</f>
        <v>0</v>
      </c>
      <c r="S54" s="44">
        <f>+'1'!S54+'2'!S54+'4'!S54+'3'!S54+'5'!S54+'6'!S54+'7'!S54+'8'!S54+'9'!S54+'13'!S54+'10'!S54+'12'!S54+'11'!S54+'14'!S54+'15'!S54+'16'!S54+'17'!S54+'18'!S54+'19'!S54+'20'!S54+'21'!S54+'22'!S54+'23'!S54+'24'!S54+'25'!S54+'26'!S54+'28'!S54+'27'!S54+'29'!S54+'30'!S54+'31'!S54</f>
        <v>0</v>
      </c>
      <c r="T54" s="47">
        <f>+'1'!T54+'2'!T54+'4'!T54+'3'!T54+'5'!T54+'6'!T54+'7'!T54+'8'!T54+'9'!T54+'13'!T54+'10'!T54+'12'!T54+'11'!T54+'14'!T54+'15'!T54+'16'!T54+'17'!T54+'18'!T54+'19'!T54+'20'!T54+'21'!T54+'22'!T54+'23'!T54+'24'!T54+'25'!T54+'26'!T54+'28'!T54+'27'!T54+'29'!T54+'30'!T54+'31'!T54</f>
        <v>0</v>
      </c>
      <c r="U54" s="52">
        <f t="shared" si="8"/>
        <v>7</v>
      </c>
      <c r="V54" s="95" t="str">
        <f t="shared" si="9"/>
        <v>OK</v>
      </c>
    </row>
    <row r="55" spans="1:22" x14ac:dyDescent="0.3">
      <c r="A55" s="90" t="s">
        <v>43</v>
      </c>
      <c r="B55" s="76">
        <v>11820</v>
      </c>
      <c r="C55" s="70" t="s">
        <v>67</v>
      </c>
      <c r="D55" s="72"/>
      <c r="E55" s="72"/>
      <c r="F55" s="72"/>
      <c r="G55" s="73"/>
      <c r="H55" s="81"/>
      <c r="I55" s="82">
        <f>+'1'!I55+'2'!I55+'4'!I55+'3'!I55+'5'!I55+'6'!I55+'7'!I55+'8'!I55+'9'!I55+'13'!I55+'10'!I55+'12'!I55+'11'!I55+'14'!I55+'15'!I55+'16'!I55+'17'!I55+'18'!I55+'19'!I55+'20'!I55+'21'!I55+'22'!I55+'23'!I55+'24'!I55+'25'!I55+'26'!I55+'28'!I55+'27'!I55+'29'!I55+'30'!I55+'31'!I55</f>
        <v>0</v>
      </c>
      <c r="J55" s="82"/>
      <c r="K55" s="11"/>
      <c r="L55" s="82">
        <f>+'1'!L55+'2'!L55+'4'!L55+'3'!L55+'5'!L55+'6'!L55+'7'!L55+'8'!L55+'9'!L55+'13'!L55+'10'!L55+'12'!L55+'11'!L55+'14'!L55+'15'!L55+'16'!L55+'17'!L55+'18'!L55+'19'!L55+'20'!L55+'21'!L55+'22'!L55+'23'!L55+'24'!L55+'25'!L55+'26'!L55+'28'!L55+'27'!L55+'29'!L55+'30'!L55+'31'!L55</f>
        <v>0</v>
      </c>
      <c r="M55" s="82">
        <f>+'1'!M55+'2'!M55+'4'!M55+'3'!M55+'5'!M55+'6'!M55+'7'!M55+'8'!M55+'9'!M55+'13'!M55+'10'!M55+'12'!M55+'11'!M55+'14'!M55+'15'!M55+'16'!M55+'17'!M55+'18'!M55+'19'!M55+'20'!M55+'21'!M55+'22'!M55+'23'!M55+'24'!M55+'25'!M55+'26'!M55+'28'!M55+'27'!M55+'29'!M55+'30'!M55+'31'!M55</f>
        <v>0</v>
      </c>
      <c r="N55" s="82">
        <f>+'1'!N55+'2'!N55+'4'!N55+'3'!N55+'5'!N55+'6'!N55+'7'!N55+'8'!N55+'9'!N55+'13'!N55+'10'!N55+'12'!N55+'11'!N55+'14'!N55+'15'!N55+'16'!N55+'17'!N55+'18'!N55+'19'!N55+'20'!N55+'21'!N55+'22'!N55+'23'!N55+'24'!N55+'25'!N55+'26'!N55+'28'!N55+'27'!N55+'29'!N55+'30'!N55+'31'!N55</f>
        <v>0</v>
      </c>
      <c r="O55" s="82">
        <f>+'1'!O55+'2'!O55+'4'!O55+'3'!O55+'5'!O55+'6'!O55+'7'!O55+'8'!O55+'9'!O55+'13'!O55+'10'!O55+'12'!O55+'11'!O55+'14'!O55+'15'!O55+'16'!O55+'17'!O55+'18'!O55+'19'!O55+'20'!O55+'21'!O55+'22'!O55+'23'!O55+'24'!O55+'25'!O55+'26'!O55+'28'!O55+'27'!O55+'29'!O55+'30'!O55+'31'!O55</f>
        <v>0</v>
      </c>
      <c r="P55" s="82">
        <f>+'1'!P55+'2'!P55+'4'!P55+'3'!P55+'5'!P55+'6'!P55+'7'!P55+'8'!P55+'9'!P55+'13'!P55+'10'!P55+'12'!P55+'11'!P55+'14'!P55+'15'!P55+'16'!P55+'17'!P55+'18'!P55+'19'!P55+'20'!P55+'21'!P55+'22'!P55+'23'!P55+'24'!P55+'25'!P55+'26'!P55+'28'!P55+'27'!P55+'29'!P55+'30'!P55+'31'!P55</f>
        <v>0</v>
      </c>
      <c r="Q55" s="82">
        <f>+'1'!Q55+'2'!Q55+'4'!Q55+'3'!Q55+'5'!Q55+'6'!Q55+'7'!Q55+'8'!Q55+'9'!Q55+'13'!Q55+'10'!Q55+'12'!Q55+'11'!Q55+'14'!Q55+'15'!Q55+'16'!Q55+'17'!Q55+'18'!Q55+'19'!Q55+'20'!Q55+'21'!Q55+'22'!Q55+'23'!Q55+'24'!Q55+'25'!Q55+'26'!Q55+'28'!Q55+'27'!Q55+'29'!Q55+'30'!Q55+'31'!Q55</f>
        <v>0</v>
      </c>
      <c r="R55" s="83">
        <f>+'1'!R55+'2'!R55+'4'!R55+'3'!R55+'5'!R55+'6'!R55+'7'!R55+'8'!R55+'9'!R55+'13'!R55+'10'!R55+'12'!R55+'11'!R55+'14'!R55+'15'!R55+'16'!R55+'17'!R55+'18'!R55+'19'!R55+'20'!R55+'21'!R55+'22'!R55+'23'!R55+'24'!R55+'25'!R55+'26'!R55+'28'!R55+'27'!R55+'29'!R55+'30'!R55+'31'!R55</f>
        <v>0</v>
      </c>
      <c r="S55" s="84">
        <f>+'1'!S55+'2'!S55+'4'!S55+'3'!S55+'5'!S55+'6'!S55+'7'!S55+'8'!S55+'9'!S55+'13'!S55+'10'!S55+'12'!S55+'11'!S55+'14'!S55+'15'!S55+'16'!S55+'17'!S55+'18'!S55+'19'!S55+'20'!S55+'21'!S55+'22'!S55+'23'!S55+'24'!S55+'25'!S55+'26'!S55+'28'!S55+'27'!S55+'29'!S55+'30'!S55+'31'!S55</f>
        <v>0</v>
      </c>
      <c r="T55" s="85">
        <f>+'1'!T55+'2'!T55+'4'!T55+'3'!T55+'5'!T55+'6'!T55+'7'!T55+'8'!T55+'9'!T55+'13'!T55+'10'!T55+'12'!T55+'11'!T55+'14'!T55+'15'!T55+'16'!T55+'17'!T55+'18'!T55+'19'!T55+'20'!T55+'21'!T55+'22'!T55+'23'!T55+'24'!T55+'25'!T55+'26'!T55+'28'!T55+'27'!T55+'29'!T55+'30'!T55+'31'!T55</f>
        <v>0</v>
      </c>
      <c r="U55" s="75">
        <f t="shared" si="8"/>
        <v>0</v>
      </c>
      <c r="V55" s="93" t="str">
        <f t="shared" si="9"/>
        <v>OK</v>
      </c>
    </row>
    <row r="56" spans="1:22" x14ac:dyDescent="0.3">
      <c r="A56" s="54" t="s">
        <v>44</v>
      </c>
      <c r="B56" s="63">
        <v>11816</v>
      </c>
      <c r="C56" s="18" t="s">
        <v>67</v>
      </c>
      <c r="D56" s="67"/>
      <c r="E56" s="67"/>
      <c r="F56" s="67"/>
      <c r="G56" s="68"/>
      <c r="H56" s="21"/>
      <c r="I56" s="22">
        <f>+'1'!I56+'2'!I56+'4'!I56+'3'!I56+'5'!I56+'6'!I56+'7'!I56+'8'!I56+'9'!I56+'13'!I56+'10'!I56+'12'!I56+'11'!I56+'14'!I56+'15'!I56+'16'!I56+'17'!I56+'18'!I56+'19'!I56+'20'!I56+'21'!I56+'22'!I56+'23'!I56+'24'!I56+'25'!I56+'26'!I56+'28'!I56+'27'!I56+'29'!I56+'30'!I56+'31'!I56</f>
        <v>0</v>
      </c>
      <c r="J56" s="22"/>
      <c r="K56" s="11"/>
      <c r="L56" s="22">
        <f>+'1'!L56+'2'!L56+'4'!L56+'3'!L56+'5'!L56+'6'!L56+'7'!L56+'8'!L56+'9'!L56+'13'!L56+'10'!L56+'12'!L56+'11'!L56+'14'!L56+'15'!L56+'16'!L56+'17'!L56+'18'!L56+'19'!L56+'20'!L56+'21'!L56+'22'!L56+'23'!L56+'24'!L56+'25'!L56+'26'!L56+'28'!L56+'27'!L56+'29'!L56+'30'!L56+'31'!L56</f>
        <v>0</v>
      </c>
      <c r="M56" s="22">
        <f>+'1'!M56+'2'!M56+'4'!M56+'3'!M56+'5'!M56+'6'!M56+'7'!M56+'8'!M56+'9'!M56+'13'!M56+'10'!M56+'12'!M56+'11'!M56+'14'!M56+'15'!M56+'16'!M56+'17'!M56+'18'!M56+'19'!M56+'20'!M56+'21'!M56+'22'!M56+'23'!M56+'24'!M56+'25'!M56+'26'!M56+'28'!M56+'27'!M56+'29'!M56+'30'!M56+'31'!M56</f>
        <v>0</v>
      </c>
      <c r="N56" s="22">
        <f>+'1'!N56+'2'!N56+'4'!N56+'3'!N56+'5'!N56+'6'!N56+'7'!N56+'8'!N56+'9'!N56+'13'!N56+'10'!N56+'12'!N56+'11'!N56+'14'!N56+'15'!N56+'16'!N56+'17'!N56+'18'!N56+'19'!N56+'20'!N56+'21'!N56+'22'!N56+'23'!N56+'24'!N56+'25'!N56+'26'!N56+'28'!N56+'27'!N56+'29'!N56+'30'!N56+'31'!N56</f>
        <v>0</v>
      </c>
      <c r="O56" s="22">
        <f>+'1'!O56+'2'!O56+'4'!O56+'3'!O56+'5'!O56+'6'!O56+'7'!O56+'8'!O56+'9'!O56+'13'!O56+'10'!O56+'12'!O56+'11'!O56+'14'!O56+'15'!O56+'16'!O56+'17'!O56+'18'!O56+'19'!O56+'20'!O56+'21'!O56+'22'!O56+'23'!O56+'24'!O56+'25'!O56+'26'!O56+'28'!O56+'27'!O56+'29'!O56+'30'!O56+'31'!O56</f>
        <v>0</v>
      </c>
      <c r="P56" s="22">
        <f>+'1'!P56+'2'!P56+'4'!P56+'3'!P56+'5'!P56+'6'!P56+'7'!P56+'8'!P56+'9'!P56+'13'!P56+'10'!P56+'12'!P56+'11'!P56+'14'!P56+'15'!P56+'16'!P56+'17'!P56+'18'!P56+'19'!P56+'20'!P56+'21'!P56+'22'!P56+'23'!P56+'24'!P56+'25'!P56+'26'!P56+'28'!P56+'27'!P56+'29'!P56+'30'!P56+'31'!P56</f>
        <v>0</v>
      </c>
      <c r="Q56" s="22">
        <f>+'1'!Q56+'2'!Q56+'4'!Q56+'3'!Q56+'5'!Q56+'6'!Q56+'7'!Q56+'8'!Q56+'9'!Q56+'13'!Q56+'10'!Q56+'12'!Q56+'11'!Q56+'14'!Q56+'15'!Q56+'16'!Q56+'17'!Q56+'18'!Q56+'19'!Q56+'20'!Q56+'21'!Q56+'22'!Q56+'23'!Q56+'24'!Q56+'25'!Q56+'26'!Q56+'28'!Q56+'27'!Q56+'29'!Q56+'30'!Q56+'31'!Q56</f>
        <v>0</v>
      </c>
      <c r="R56" s="36">
        <f>+'1'!R56+'2'!R56+'4'!R56+'3'!R56+'5'!R56+'6'!R56+'7'!R56+'8'!R56+'9'!R56+'13'!R56+'10'!R56+'12'!R56+'11'!R56+'14'!R56+'15'!R56+'16'!R56+'17'!R56+'18'!R56+'19'!R56+'20'!R56+'21'!R56+'22'!R56+'23'!R56+'24'!R56+'25'!R56+'26'!R56+'28'!R56+'27'!R56+'29'!R56+'30'!R56+'31'!R56</f>
        <v>0</v>
      </c>
      <c r="S56" s="44">
        <f>+'1'!S56+'2'!S56+'4'!S56+'3'!S56+'5'!S56+'6'!S56+'7'!S56+'8'!S56+'9'!S56+'13'!S56+'10'!S56+'12'!S56+'11'!S56+'14'!S56+'15'!S56+'16'!S56+'17'!S56+'18'!S56+'19'!S56+'20'!S56+'21'!S56+'22'!S56+'23'!S56+'24'!S56+'25'!S56+'26'!S56+'28'!S56+'27'!S56+'29'!S56+'30'!S56+'31'!S56</f>
        <v>0</v>
      </c>
      <c r="T56" s="47">
        <f>+'1'!T56+'2'!T56+'4'!T56+'3'!T56+'5'!T56+'6'!T56+'7'!T56+'8'!T56+'9'!T56+'13'!T56+'10'!T56+'12'!T56+'11'!T56+'14'!T56+'15'!T56+'16'!T56+'17'!T56+'18'!T56+'19'!T56+'20'!T56+'21'!T56+'22'!T56+'23'!T56+'24'!T56+'25'!T56+'26'!T56+'28'!T56+'27'!T56+'29'!T56+'30'!T56+'31'!T56</f>
        <v>0</v>
      </c>
      <c r="U56" s="52">
        <f t="shared" si="8"/>
        <v>0</v>
      </c>
      <c r="V56" s="95" t="str">
        <f t="shared" si="9"/>
        <v>OK</v>
      </c>
    </row>
    <row r="57" spans="1:22" x14ac:dyDescent="0.3">
      <c r="A57" s="76" t="s">
        <v>77</v>
      </c>
      <c r="B57" s="76">
        <v>11381</v>
      </c>
      <c r="C57" s="77" t="s">
        <v>68</v>
      </c>
      <c r="D57" s="72"/>
      <c r="E57" s="72"/>
      <c r="F57" s="72"/>
      <c r="G57" s="73"/>
      <c r="H57" s="81"/>
      <c r="I57" s="82">
        <f>+'1'!I57+'2'!I57+'4'!I57+'3'!I57+'5'!I57+'6'!I57+'7'!I57+'8'!I57+'9'!I57+'13'!I57+'10'!I57+'12'!I57+'11'!I57+'14'!I57+'15'!I57+'16'!I57+'17'!I57+'18'!I57+'19'!I57+'20'!I57+'21'!I57+'22'!I57+'23'!I57+'24'!I57+'25'!I57+'26'!I57+'28'!I57+'27'!I57+'29'!I57+'30'!I57+'31'!I57</f>
        <v>18</v>
      </c>
      <c r="J57" s="82"/>
      <c r="K57" s="11"/>
      <c r="L57" s="82">
        <f>+'1'!L57+'2'!L57+'4'!L57+'3'!L57+'5'!L57+'6'!L57+'7'!L57+'8'!L57+'9'!L57+'13'!L57+'10'!L57+'12'!L57+'11'!L57+'14'!L57+'15'!L57+'16'!L57+'17'!L57+'18'!L57+'19'!L57+'20'!L57+'21'!L57+'22'!L57+'23'!L57+'24'!L57+'25'!L57+'26'!L57+'28'!L57+'27'!L57+'29'!L57+'30'!L57+'31'!L57</f>
        <v>0</v>
      </c>
      <c r="M57" s="82">
        <f>+'1'!M57+'2'!M57+'4'!M57+'3'!M57+'5'!M57+'6'!M57+'7'!M57+'8'!M57+'9'!M57+'13'!M57+'10'!M57+'12'!M57+'11'!M57+'14'!M57+'15'!M57+'16'!M57+'17'!M57+'18'!M57+'19'!M57+'20'!M57+'21'!M57+'22'!M57+'23'!M57+'24'!M57+'25'!M57+'26'!M57+'28'!M57+'27'!M57+'29'!M57+'30'!M57+'31'!M57</f>
        <v>18</v>
      </c>
      <c r="N57" s="82">
        <f>+'1'!N57+'2'!N57+'4'!N57+'3'!N57+'5'!N57+'6'!N57+'7'!N57+'8'!N57+'9'!N57+'13'!N57+'10'!N57+'12'!N57+'11'!N57+'14'!N57+'15'!N57+'16'!N57+'17'!N57+'18'!N57+'19'!N57+'20'!N57+'21'!N57+'22'!N57+'23'!N57+'24'!N57+'25'!N57+'26'!N57+'28'!N57+'27'!N57+'29'!N57+'30'!N57+'31'!N57</f>
        <v>0</v>
      </c>
      <c r="O57" s="82">
        <f>+'1'!O57+'2'!O57+'4'!O57+'3'!O57+'5'!O57+'6'!O57+'7'!O57+'8'!O57+'9'!O57+'13'!O57+'10'!O57+'12'!O57+'11'!O57+'14'!O57+'15'!O57+'16'!O57+'17'!O57+'18'!O57+'19'!O57+'20'!O57+'21'!O57+'22'!O57+'23'!O57+'24'!O57+'25'!O57+'26'!O57+'28'!O57+'27'!O57+'29'!O57+'30'!O57+'31'!O57</f>
        <v>0</v>
      </c>
      <c r="P57" s="82">
        <f>+'1'!P57+'2'!P57+'4'!P57+'3'!P57+'5'!P57+'6'!P57+'7'!P57+'8'!P57+'9'!P57+'13'!P57+'10'!P57+'12'!P57+'11'!P57+'14'!P57+'15'!P57+'16'!P57+'17'!P57+'18'!P57+'19'!P57+'20'!P57+'21'!P57+'22'!P57+'23'!P57+'24'!P57+'25'!P57+'26'!P57+'28'!P57+'27'!P57+'29'!P57+'30'!P57+'31'!P57</f>
        <v>0</v>
      </c>
      <c r="Q57" s="82">
        <f>+'1'!Q57+'2'!Q57+'4'!Q57+'3'!Q57+'5'!Q57+'6'!Q57+'7'!Q57+'8'!Q57+'9'!Q57+'13'!Q57+'10'!Q57+'12'!Q57+'11'!Q57+'14'!Q57+'15'!Q57+'16'!Q57+'17'!Q57+'18'!Q57+'19'!Q57+'20'!Q57+'21'!Q57+'22'!Q57+'23'!Q57+'24'!Q57+'25'!Q57+'26'!Q57+'28'!Q57+'27'!Q57+'29'!Q57+'30'!Q57+'31'!Q57</f>
        <v>0</v>
      </c>
      <c r="R57" s="83">
        <f>+'1'!R57+'2'!R57+'4'!R57+'3'!R57+'5'!R57+'6'!R57+'7'!R57+'8'!R57+'9'!R57+'13'!R57+'10'!R57+'12'!R57+'11'!R57+'14'!R57+'15'!R57+'16'!R57+'17'!R57+'18'!R57+'19'!R57+'20'!R57+'21'!R57+'22'!R57+'23'!R57+'24'!R57+'25'!R57+'26'!R57+'28'!R57+'27'!R57+'29'!R57+'30'!R57+'31'!R57</f>
        <v>0</v>
      </c>
      <c r="S57" s="84">
        <f>+'1'!S57+'2'!S57+'4'!S57+'3'!S57+'5'!S57+'6'!S57+'7'!S57+'8'!S57+'9'!S57+'13'!S57+'10'!S57+'12'!S57+'11'!S57+'14'!S57+'15'!S57+'16'!S57+'17'!S57+'18'!S57+'19'!S57+'20'!S57+'21'!S57+'22'!S57+'23'!S57+'24'!S57+'25'!S57+'26'!S57+'28'!S57+'27'!S57+'29'!S57+'30'!S57+'31'!S57</f>
        <v>0</v>
      </c>
      <c r="T57" s="85">
        <f>+'1'!T57+'2'!T57+'4'!T57+'3'!T57+'5'!T57+'6'!T57+'7'!T57+'8'!T57+'9'!T57+'13'!T57+'10'!T57+'12'!T57+'11'!T57+'14'!T57+'15'!T57+'16'!T57+'17'!T57+'18'!T57+'19'!T57+'20'!T57+'21'!T57+'22'!T57+'23'!T57+'24'!T57+'25'!T57+'26'!T57+'28'!T57+'27'!T57+'29'!T57+'30'!T57+'31'!T57</f>
        <v>0</v>
      </c>
      <c r="U57" s="75">
        <f t="shared" si="8"/>
        <v>18</v>
      </c>
      <c r="V57" s="93" t="str">
        <f t="shared" si="9"/>
        <v>OK</v>
      </c>
    </row>
    <row r="58" spans="1:22" x14ac:dyDescent="0.3">
      <c r="A58" s="54" t="s">
        <v>69</v>
      </c>
      <c r="B58" s="63">
        <v>11382</v>
      </c>
      <c r="C58" s="18" t="s">
        <v>68</v>
      </c>
      <c r="D58" s="67"/>
      <c r="E58" s="67"/>
      <c r="F58" s="67"/>
      <c r="G58" s="68"/>
      <c r="H58" s="21"/>
      <c r="I58" s="22">
        <f>+'1'!I58+'2'!I58+'4'!I58+'3'!I58+'5'!I58+'6'!I58+'7'!I58+'8'!I58+'9'!I58+'13'!I58+'10'!I58+'12'!I58+'11'!I58+'14'!I58+'15'!I58+'16'!I58+'17'!I58+'18'!I58+'19'!I58+'20'!I58+'21'!I58+'22'!I58+'23'!I58+'24'!I58+'25'!I58+'26'!I58+'28'!I58+'27'!I58+'29'!I58+'30'!I58+'31'!I58</f>
        <v>38</v>
      </c>
      <c r="J58" s="22"/>
      <c r="K58" s="11"/>
      <c r="L58" s="22">
        <f>+'1'!L58+'2'!L58+'4'!L58+'3'!L58+'5'!L58+'6'!L58+'7'!L58+'8'!L58+'9'!L58+'13'!L58+'10'!L58+'12'!L58+'11'!L58+'14'!L58+'15'!L58+'16'!L58+'17'!L58+'18'!L58+'19'!L58+'20'!L58+'21'!L58+'22'!L58+'23'!L58+'24'!L58+'25'!L58+'26'!L58+'28'!L58+'27'!L58+'29'!L58+'30'!L58+'31'!L58</f>
        <v>0</v>
      </c>
      <c r="M58" s="22">
        <f>+'1'!M58+'2'!M58+'4'!M58+'3'!M58+'5'!M58+'6'!M58+'7'!M58+'8'!M58+'9'!M58+'13'!M58+'10'!M58+'12'!M58+'11'!M58+'14'!M58+'15'!M58+'16'!M58+'17'!M58+'18'!M58+'19'!M58+'20'!M58+'21'!M58+'22'!M58+'23'!M58+'24'!M58+'25'!M58+'26'!M58+'28'!M58+'27'!M58+'29'!M58+'30'!M58+'31'!M58</f>
        <v>18</v>
      </c>
      <c r="N58" s="22">
        <f>+'1'!N58+'2'!N58+'4'!N58+'3'!N58+'5'!N58+'6'!N58+'7'!N58+'8'!N58+'9'!N58+'13'!N58+'10'!N58+'12'!N58+'11'!N58+'14'!N58+'15'!N58+'16'!N58+'17'!N58+'18'!N58+'19'!N58+'20'!N58+'21'!N58+'22'!N58+'23'!N58+'24'!N58+'25'!N58+'26'!N58+'28'!N58+'27'!N58+'29'!N58+'30'!N58+'31'!N58</f>
        <v>0</v>
      </c>
      <c r="O58" s="22">
        <f>+'1'!O58+'2'!O58+'4'!O58+'3'!O58+'5'!O58+'6'!O58+'7'!O58+'8'!O58+'9'!O58+'13'!O58+'10'!O58+'12'!O58+'11'!O58+'14'!O58+'15'!O58+'16'!O58+'17'!O58+'18'!O58+'19'!O58+'20'!O58+'21'!O58+'22'!O58+'23'!O58+'24'!O58+'25'!O58+'26'!O58+'28'!O58+'27'!O58+'29'!O58+'30'!O58+'31'!O58</f>
        <v>0</v>
      </c>
      <c r="P58" s="22">
        <f>+'1'!P58+'2'!P58+'4'!P58+'3'!P58+'5'!P58+'6'!P58+'7'!P58+'8'!P58+'9'!P58+'13'!P58+'10'!P58+'12'!P58+'11'!P58+'14'!P58+'15'!P58+'16'!P58+'17'!P58+'18'!P58+'19'!P58+'20'!P58+'21'!P58+'22'!P58+'23'!P58+'24'!P58+'25'!P58+'26'!P58+'28'!P58+'27'!P58+'29'!P58+'30'!P58+'31'!P58</f>
        <v>0</v>
      </c>
      <c r="Q58" s="22">
        <f>+'1'!Q58+'2'!Q58+'4'!Q58+'3'!Q58+'5'!Q58+'6'!Q58+'7'!Q58+'8'!Q58+'9'!Q58+'13'!Q58+'10'!Q58+'12'!Q58+'11'!Q58+'14'!Q58+'15'!Q58+'16'!Q58+'17'!Q58+'18'!Q58+'19'!Q58+'20'!Q58+'21'!Q58+'22'!Q58+'23'!Q58+'24'!Q58+'25'!Q58+'26'!Q58+'28'!Q58+'27'!Q58+'29'!Q58+'30'!Q58+'31'!Q58</f>
        <v>0</v>
      </c>
      <c r="R58" s="36">
        <f>+'1'!R58+'2'!R58+'4'!R58+'3'!R58+'5'!R58+'6'!R58+'7'!R58+'8'!R58+'9'!R58+'13'!R58+'10'!R58+'12'!R58+'11'!R58+'14'!R58+'15'!R58+'16'!R58+'17'!R58+'18'!R58+'19'!R58+'20'!R58+'21'!R58+'22'!R58+'23'!R58+'24'!R58+'25'!R58+'26'!R58+'28'!R58+'27'!R58+'29'!R58+'30'!R58+'31'!R58</f>
        <v>0</v>
      </c>
      <c r="S58" s="44">
        <f>+'1'!S58+'2'!S58+'4'!S58+'3'!S58+'5'!S58+'6'!S58+'7'!S58+'8'!S58+'9'!S58+'13'!S58+'10'!S58+'12'!S58+'11'!S58+'14'!S58+'15'!S58+'16'!S58+'17'!S58+'18'!S58+'19'!S58+'20'!S58+'21'!S58+'22'!S58+'23'!S58+'24'!S58+'25'!S58+'26'!S58+'28'!S58+'27'!S58+'29'!S58+'30'!S58+'31'!S58</f>
        <v>20</v>
      </c>
      <c r="T58" s="47">
        <f>+'1'!T58+'2'!T58+'4'!T58+'3'!T58+'5'!T58+'6'!T58+'7'!T58+'8'!T58+'9'!T58+'13'!T58+'10'!T58+'12'!T58+'11'!T58+'14'!T58+'15'!T58+'16'!T58+'17'!T58+'18'!T58+'19'!T58+'20'!T58+'21'!T58+'22'!T58+'23'!T58+'24'!T58+'25'!T58+'26'!T58+'28'!T58+'27'!T58+'29'!T58+'30'!T58+'31'!T58</f>
        <v>0</v>
      </c>
      <c r="U58" s="52">
        <f t="shared" si="8"/>
        <v>38</v>
      </c>
      <c r="V58" s="95" t="str">
        <f t="shared" si="9"/>
        <v>OK</v>
      </c>
    </row>
    <row r="59" spans="1:22" x14ac:dyDescent="0.3">
      <c r="A59" s="96" t="s">
        <v>105</v>
      </c>
      <c r="B59" s="76">
        <v>16586</v>
      </c>
      <c r="C59" s="70" t="s">
        <v>78</v>
      </c>
      <c r="D59" s="72"/>
      <c r="E59" s="72"/>
      <c r="F59" s="72"/>
      <c r="G59" s="73"/>
      <c r="H59" s="81"/>
      <c r="I59" s="82">
        <f>+'1'!I59+'2'!I59+'4'!I59+'3'!I59+'5'!I59+'6'!I59+'7'!I59+'8'!I59+'9'!I59+'13'!I59+'10'!I59+'12'!I59+'11'!I59+'14'!I59+'15'!I59+'16'!I59+'17'!I59+'18'!I59+'19'!I59+'20'!I59+'21'!I59+'22'!I59+'23'!I59+'24'!I59+'25'!I59+'26'!I59+'28'!I59+'27'!I59+'29'!I59+'30'!I59+'31'!I59</f>
        <v>0</v>
      </c>
      <c r="J59" s="82"/>
      <c r="K59" s="11"/>
      <c r="L59" s="82">
        <f>+'1'!L59+'2'!L59+'4'!L59+'3'!L59+'5'!L59+'6'!L59+'7'!L59+'8'!L59+'9'!L59+'13'!L59+'10'!L59+'12'!L59+'11'!L59+'14'!L59+'15'!L59+'16'!L59+'17'!L59+'18'!L59+'19'!L59+'20'!L59+'21'!L59+'22'!L59+'23'!L59+'24'!L59+'25'!L59+'26'!L59+'28'!L59+'27'!L59+'29'!L59+'30'!L59+'31'!L59</f>
        <v>0</v>
      </c>
      <c r="M59" s="82">
        <f>+'1'!M59+'2'!M59+'4'!M59+'3'!M59+'5'!M59+'6'!M59+'7'!M59+'8'!M59+'9'!M59+'13'!M59+'10'!M59+'12'!M59+'11'!M59+'14'!M59+'15'!M59+'16'!M59+'17'!M59+'18'!M59+'19'!M59+'20'!M59+'21'!M59+'22'!M59+'23'!M59+'24'!M59+'25'!M59+'26'!M59+'28'!M59+'27'!M59+'29'!M59+'30'!M59+'31'!M59</f>
        <v>0</v>
      </c>
      <c r="N59" s="82">
        <f>+'1'!N59+'2'!N59+'4'!N59+'3'!N59+'5'!N59+'6'!N59+'7'!N59+'8'!N59+'9'!N59+'13'!N59+'10'!N59+'12'!N59+'11'!N59+'14'!N59+'15'!N59+'16'!N59+'17'!N59+'18'!N59+'19'!N59+'20'!N59+'21'!N59+'22'!N59+'23'!N59+'24'!N59+'25'!N59+'26'!N59+'28'!N59+'27'!N59+'29'!N59+'30'!N59+'31'!N59</f>
        <v>0</v>
      </c>
      <c r="O59" s="82">
        <f>+'1'!O59+'2'!O59+'4'!O59+'3'!O59+'5'!O59+'6'!O59+'7'!O59+'8'!O59+'9'!O59+'13'!O59+'10'!O59+'12'!O59+'11'!O59+'14'!O59+'15'!O59+'16'!O59+'17'!O59+'18'!O59+'19'!O59+'20'!O59+'21'!O59+'22'!O59+'23'!O59+'24'!O59+'25'!O59+'26'!O59+'28'!O59+'27'!O59+'29'!O59+'30'!O59+'31'!O59</f>
        <v>0</v>
      </c>
      <c r="P59" s="82">
        <f>+'1'!P59+'2'!P59+'4'!P59+'3'!P59+'5'!P59+'6'!P59+'7'!P59+'8'!P59+'9'!P59+'13'!P59+'10'!P59+'12'!P59+'11'!P59+'14'!P59+'15'!P59+'16'!P59+'17'!P59+'18'!P59+'19'!P59+'20'!P59+'21'!P59+'22'!P59+'23'!P59+'24'!P59+'25'!P59+'26'!P59+'28'!P59+'27'!P59+'29'!P59+'30'!P59+'31'!P59</f>
        <v>0</v>
      </c>
      <c r="Q59" s="82">
        <f>+'1'!Q59+'2'!Q59+'4'!Q59+'3'!Q59+'5'!Q59+'6'!Q59+'7'!Q59+'8'!Q59+'9'!Q59+'13'!Q59+'10'!Q59+'12'!Q59+'11'!Q59+'14'!Q59+'15'!Q59+'16'!Q59+'17'!Q59+'18'!Q59+'19'!Q59+'20'!Q59+'21'!Q59+'22'!Q59+'23'!Q59+'24'!Q59+'25'!Q59+'26'!Q59+'28'!Q59+'27'!Q59+'29'!Q59+'30'!Q59+'31'!Q59</f>
        <v>0</v>
      </c>
      <c r="R59" s="83">
        <f>+'1'!R59+'2'!R59+'4'!R59+'3'!R59+'5'!R59+'6'!R59+'7'!R59+'8'!R59+'9'!R59+'13'!R59+'10'!R59+'12'!R59+'11'!R59+'14'!R59+'15'!R59+'16'!R59+'17'!R59+'18'!R59+'19'!R59+'20'!R59+'21'!R59+'22'!R59+'23'!R59+'24'!R59+'25'!R59+'26'!R59+'28'!R59+'27'!R59+'29'!R59+'30'!R59+'31'!R59</f>
        <v>0</v>
      </c>
      <c r="S59" s="84">
        <f>+'1'!S59+'2'!S59+'4'!S59+'3'!S59+'5'!S59+'6'!S59+'7'!S59+'8'!S59+'9'!S59+'13'!S59+'10'!S59+'12'!S59+'11'!S59+'14'!S59+'15'!S59+'16'!S59+'17'!S59+'18'!S59+'19'!S59+'20'!S59+'21'!S59+'22'!S59+'23'!S59+'24'!S59+'25'!S59+'26'!S59+'28'!S59+'27'!S59+'29'!S59+'30'!S59+'31'!S59</f>
        <v>0</v>
      </c>
      <c r="T59" s="85">
        <f>+'1'!T59+'2'!T59+'4'!T59+'3'!T59+'5'!T59+'6'!T59+'7'!T59+'8'!T59+'9'!T59+'13'!T59+'10'!T59+'12'!T59+'11'!T59+'14'!T59+'15'!T59+'16'!T59+'17'!T59+'18'!T59+'19'!T59+'20'!T59+'21'!T59+'22'!T59+'23'!T59+'24'!T59+'25'!T59+'26'!T59+'28'!T59+'27'!T59+'29'!T59+'30'!T59+'31'!T59</f>
        <v>0</v>
      </c>
      <c r="U59" s="75">
        <f t="shared" ref="U59:U60" si="10">SUM(L59:T59)</f>
        <v>0</v>
      </c>
      <c r="V59" s="93" t="str">
        <f t="shared" ref="V59:V68" si="11">IF(U59=I59,"OK","NG")</f>
        <v>OK</v>
      </c>
    </row>
    <row r="60" spans="1:22" x14ac:dyDescent="0.3">
      <c r="A60" s="54" t="s">
        <v>90</v>
      </c>
      <c r="B60" s="63">
        <v>16587</v>
      </c>
      <c r="C60" s="18" t="s">
        <v>78</v>
      </c>
      <c r="D60" s="67"/>
      <c r="E60" s="67"/>
      <c r="F60" s="67"/>
      <c r="G60" s="68"/>
      <c r="H60" s="21"/>
      <c r="I60" s="22">
        <f>+'1'!I60+'2'!I60+'4'!I60+'3'!I60+'5'!I60+'6'!I60+'7'!I60+'8'!I60+'9'!I60+'13'!I60+'10'!I60+'12'!I60+'11'!I60+'14'!I60+'15'!I60+'16'!I60+'17'!I60+'18'!I60+'19'!I60+'20'!I60+'21'!I60+'22'!I60+'23'!I60+'24'!I60+'25'!I60+'26'!I60+'28'!I60+'27'!I60+'29'!I60+'30'!I60+'31'!I60</f>
        <v>4</v>
      </c>
      <c r="J60" s="22"/>
      <c r="K60" s="11"/>
      <c r="L60" s="22">
        <f>+'1'!L60+'2'!L60+'4'!L60+'3'!L60+'5'!L60+'6'!L60+'7'!L60+'8'!L60+'9'!L60+'13'!L60+'10'!L60+'12'!L60+'11'!L60+'14'!L60+'15'!L60+'16'!L60+'17'!L60+'18'!L60+'19'!L60+'20'!L60+'21'!L60+'22'!L60+'23'!L60+'24'!L60+'25'!L60+'26'!L60+'28'!L60+'27'!L60+'29'!L60+'30'!L60+'31'!L60</f>
        <v>0</v>
      </c>
      <c r="M60" s="22">
        <f>+'1'!M60+'2'!M60+'4'!M60+'3'!M60+'5'!M60+'6'!M60+'7'!M60+'8'!M60+'9'!M60+'13'!M60+'10'!M60+'12'!M60+'11'!M60+'14'!M60+'15'!M60+'16'!M60+'17'!M60+'18'!M60+'19'!M60+'20'!M60+'21'!M60+'22'!M60+'23'!M60+'24'!M60+'25'!M60+'26'!M60+'28'!M60+'27'!M60+'29'!M60+'30'!M60+'31'!M60</f>
        <v>4</v>
      </c>
      <c r="N60" s="22">
        <f>+'1'!N60+'2'!N60+'4'!N60+'3'!N60+'5'!N60+'6'!N60+'7'!N60+'8'!N60+'9'!N60+'13'!N60+'10'!N60+'12'!N60+'11'!N60+'14'!N60+'15'!N60+'16'!N60+'17'!N60+'18'!N60+'19'!N60+'20'!N60+'21'!N60+'22'!N60+'23'!N60+'24'!N60+'25'!N60+'26'!N60+'28'!N60+'27'!N60+'29'!N60+'30'!N60+'31'!N60</f>
        <v>0</v>
      </c>
      <c r="O60" s="22">
        <f>+'1'!O60+'2'!O60+'4'!O60+'3'!O60+'5'!O60+'6'!O60+'7'!O60+'8'!O60+'9'!O60+'13'!O60+'10'!O60+'12'!O60+'11'!O60+'14'!O60+'15'!O60+'16'!O60+'17'!O60+'18'!O60+'19'!O60+'20'!O60+'21'!O60+'22'!O60+'23'!O60+'24'!O60+'25'!O60+'26'!O60+'28'!O60+'27'!O60+'29'!O60+'30'!O60+'31'!O60</f>
        <v>0</v>
      </c>
      <c r="P60" s="22">
        <f>+'1'!P60+'2'!P60+'4'!P60+'3'!P60+'5'!P60+'6'!P60+'7'!P60+'8'!P60+'9'!P60+'13'!P60+'10'!P60+'12'!P60+'11'!P60+'14'!P60+'15'!P60+'16'!P60+'17'!P60+'18'!P60+'19'!P60+'20'!P60+'21'!P60+'22'!P60+'23'!P60+'24'!P60+'25'!P60+'26'!P60+'28'!P60+'27'!P60+'29'!P60+'30'!P60+'31'!P60</f>
        <v>0</v>
      </c>
      <c r="Q60" s="22">
        <f>+'1'!Q60+'2'!Q60+'4'!Q60+'3'!Q60+'5'!Q60+'6'!Q60+'7'!Q60+'8'!Q60+'9'!Q60+'13'!Q60+'10'!Q60+'12'!Q60+'11'!Q60+'14'!Q60+'15'!Q60+'16'!Q60+'17'!Q60+'18'!Q60+'19'!Q60+'20'!Q60+'21'!Q60+'22'!Q60+'23'!Q60+'24'!Q60+'25'!Q60+'26'!Q60+'28'!Q60+'27'!Q60+'29'!Q60+'30'!Q60+'31'!Q60</f>
        <v>0</v>
      </c>
      <c r="R60" s="36">
        <f>+'1'!R60+'2'!R60+'4'!R60+'3'!R60+'5'!R60+'6'!R60+'7'!R60+'8'!R60+'9'!R60+'13'!R60+'10'!R60+'12'!R60+'11'!R60+'14'!R60+'15'!R60+'16'!R60+'17'!R60+'18'!R60+'19'!R60+'20'!R60+'21'!R60+'22'!R60+'23'!R60+'24'!R60+'25'!R60+'26'!R60+'28'!R60+'27'!R60+'29'!R60+'30'!R60+'31'!R60</f>
        <v>0</v>
      </c>
      <c r="S60" s="44">
        <f>+'1'!S60+'2'!S60+'4'!S60+'3'!S60+'5'!S60+'6'!S60+'7'!S60+'8'!S60+'9'!S60+'13'!S60+'10'!S60+'12'!S60+'11'!S60+'14'!S60+'15'!S60+'16'!S60+'17'!S60+'18'!S60+'19'!S60+'20'!S60+'21'!S60+'22'!S60+'23'!S60+'24'!S60+'25'!S60+'26'!S60+'28'!S60+'27'!S60+'29'!S60+'30'!S60+'31'!S60</f>
        <v>0</v>
      </c>
      <c r="T60" s="47">
        <f>+'1'!T60+'2'!T60+'4'!T60+'3'!T60+'5'!T60+'6'!T60+'7'!T60+'8'!T60+'9'!T60+'13'!T60+'10'!T60+'12'!T60+'11'!T60+'14'!T60+'15'!T60+'16'!T60+'17'!T60+'18'!T60+'19'!T60+'20'!T60+'21'!T60+'22'!T60+'23'!T60+'24'!T60+'25'!T60+'26'!T60+'28'!T60+'27'!T60+'29'!T60+'30'!T60+'31'!T60</f>
        <v>0</v>
      </c>
      <c r="U60" s="52">
        <f t="shared" si="10"/>
        <v>4</v>
      </c>
      <c r="V60" s="95" t="str">
        <f t="shared" si="11"/>
        <v>OK</v>
      </c>
    </row>
    <row r="61" spans="1:22" x14ac:dyDescent="0.3">
      <c r="A61" s="90" t="s">
        <v>91</v>
      </c>
      <c r="B61" s="76">
        <v>17121</v>
      </c>
      <c r="C61" s="70" t="s">
        <v>92</v>
      </c>
      <c r="D61" s="72"/>
      <c r="E61" s="72"/>
      <c r="F61" s="72"/>
      <c r="G61" s="73"/>
      <c r="H61" s="81"/>
      <c r="I61" s="82">
        <f>+'1'!I61+'2'!I61+'4'!I61+'3'!I61+'5'!I61+'6'!I61+'7'!I61+'8'!I61+'9'!I61+'13'!I61+'10'!I61+'12'!I61+'11'!I61+'14'!I61+'15'!I61+'16'!I61+'17'!I61+'18'!I61+'19'!I61+'20'!I61+'21'!I61+'22'!I61+'23'!I61+'24'!I61+'25'!I61+'26'!I61+'28'!I61+'27'!I61+'29'!I61+'30'!I61+'31'!I61</f>
        <v>5</v>
      </c>
      <c r="J61" s="82"/>
      <c r="K61" s="11"/>
      <c r="L61" s="82">
        <f>+'1'!L61+'2'!L61+'4'!L61+'3'!L61+'5'!L61+'6'!L61+'7'!L61+'8'!L61+'9'!L61+'13'!L61+'10'!L61+'12'!L61+'11'!L61+'14'!L61+'15'!L61+'16'!L61+'17'!L61+'18'!L61+'19'!L61+'20'!L61+'21'!L61+'22'!L61+'23'!L61+'24'!L61+'25'!L61+'26'!L61+'28'!L61+'27'!L61+'29'!L61+'30'!L61+'31'!L61</f>
        <v>0</v>
      </c>
      <c r="M61" s="82">
        <f>+'1'!M61+'2'!M61+'4'!M61+'3'!M61+'5'!M61+'6'!M61+'7'!M61+'8'!M61+'9'!M61+'13'!M61+'10'!M61+'12'!M61+'11'!M61+'14'!M61+'15'!M61+'16'!M61+'17'!M61+'18'!M61+'19'!M61+'20'!M61+'21'!M61+'22'!M61+'23'!M61+'24'!M61+'25'!M61+'26'!M61+'28'!M61+'27'!M61+'29'!M61+'30'!M61+'31'!M61</f>
        <v>5</v>
      </c>
      <c r="N61" s="82">
        <f>+'1'!N61+'2'!N61+'4'!N61+'3'!N61+'5'!N61+'6'!N61+'7'!N61+'8'!N61+'9'!N61+'13'!N61+'10'!N61+'12'!N61+'11'!N61+'14'!N61+'15'!N61+'16'!N61+'17'!N61+'18'!N61+'19'!N61+'20'!N61+'21'!N61+'22'!N61+'23'!N61+'24'!N61+'25'!N61+'26'!N61+'28'!N61+'27'!N61+'29'!N61+'30'!N61+'31'!N61</f>
        <v>0</v>
      </c>
      <c r="O61" s="82">
        <f>+'1'!O61+'2'!O61+'4'!O61+'3'!O61+'5'!O61+'6'!O61+'7'!O61+'8'!O61+'9'!O61+'13'!O61+'10'!O61+'12'!O61+'11'!O61+'14'!O61+'15'!O61+'16'!O61+'17'!O61+'18'!O61+'19'!O61+'20'!O61+'21'!O61+'22'!O61+'23'!O61+'24'!O61+'25'!O61+'26'!O61+'28'!O61+'27'!O61+'29'!O61+'30'!O61+'31'!O61</f>
        <v>0</v>
      </c>
      <c r="P61" s="82">
        <f>+'1'!P61+'2'!P61+'4'!P61+'3'!P61+'5'!P61+'6'!P61+'7'!P61+'8'!P61+'9'!P61+'13'!P61+'10'!P61+'12'!P61+'11'!P61+'14'!P61+'15'!P61+'16'!P61+'17'!P61+'18'!P61+'19'!P61+'20'!P61+'21'!P61+'22'!P61+'23'!P61+'24'!P61+'25'!P61+'26'!P61+'28'!P61+'27'!P61+'29'!P61+'30'!P61+'31'!P61</f>
        <v>0</v>
      </c>
      <c r="Q61" s="82">
        <f>+'1'!Q61+'2'!Q61+'4'!Q61+'3'!Q61+'5'!Q61+'6'!Q61+'7'!Q61+'8'!Q61+'9'!Q61+'13'!Q61+'10'!Q61+'12'!Q61+'11'!Q61+'14'!Q61+'15'!Q61+'16'!Q61+'17'!Q61+'18'!Q61+'19'!Q61+'20'!Q61+'21'!Q61+'22'!Q61+'23'!Q61+'24'!Q61+'25'!Q61+'26'!Q61+'28'!Q61+'27'!Q61+'29'!Q61+'30'!Q61+'31'!Q61</f>
        <v>0</v>
      </c>
      <c r="R61" s="83">
        <f>+'1'!R61+'2'!R61+'4'!R61+'3'!R61+'5'!R61+'6'!R61+'7'!R61+'8'!R61+'9'!R61+'13'!R61+'10'!R61+'12'!R61+'11'!R61+'14'!R61+'15'!R61+'16'!R61+'17'!R61+'18'!R61+'19'!R61+'20'!R61+'21'!R61+'22'!R61+'23'!R61+'24'!R61+'25'!R61+'26'!R61+'28'!R61+'27'!R61+'29'!R61+'30'!R61+'31'!R61</f>
        <v>0</v>
      </c>
      <c r="S61" s="84">
        <f>+'1'!S61+'2'!S61+'4'!S61+'3'!S61+'5'!S61+'6'!S61+'7'!S61+'8'!S61+'9'!S61+'13'!S61+'10'!S61+'12'!S61+'11'!S61+'14'!S61+'15'!S61+'16'!S61+'17'!S61+'18'!S61+'19'!S61+'20'!S61+'21'!S61+'22'!S61+'23'!S61+'24'!S61+'25'!S61+'26'!S61+'28'!S61+'27'!S61+'29'!S61+'30'!S61+'31'!S61</f>
        <v>0</v>
      </c>
      <c r="T61" s="85">
        <f>+'1'!T61+'2'!T61+'4'!T61+'3'!T61+'5'!T61+'6'!T61+'7'!T61+'8'!T61+'9'!T61+'13'!T61+'10'!T61+'12'!T61+'11'!T61+'14'!T61+'15'!T61+'16'!T61+'17'!T61+'18'!T61+'19'!T61+'20'!T61+'21'!T61+'22'!T61+'23'!T61+'24'!T61+'25'!T61+'26'!T61+'28'!T61+'27'!T61+'29'!T61+'30'!T61+'31'!T61</f>
        <v>0</v>
      </c>
      <c r="U61" s="75">
        <f t="shared" ref="U61:U68" si="12">SUM(L61:T61)</f>
        <v>5</v>
      </c>
      <c r="V61" s="93" t="str">
        <f t="shared" ref="V61:V66" si="13">IF(U61=I61,"OK","NG")</f>
        <v>OK</v>
      </c>
    </row>
    <row r="62" spans="1:22" x14ac:dyDescent="0.3">
      <c r="A62" s="54" t="s">
        <v>106</v>
      </c>
      <c r="B62" s="63">
        <v>19270</v>
      </c>
      <c r="C62" s="18" t="s">
        <v>68</v>
      </c>
      <c r="D62" s="67"/>
      <c r="E62" s="67"/>
      <c r="F62" s="67"/>
      <c r="G62" s="68"/>
      <c r="H62" s="21"/>
      <c r="I62" s="22">
        <f>+'1'!I62+'2'!I62+'4'!I62+'3'!I62+'5'!I62+'6'!I62+'7'!I62+'8'!I62+'9'!I62+'13'!I62+'10'!I62+'12'!I62+'11'!I62+'14'!I62+'15'!I62+'16'!I62+'17'!I62+'18'!I62+'19'!I62+'20'!I62+'21'!I62+'22'!I62+'23'!I62+'24'!I62+'25'!I62+'26'!I62+'28'!I62+'27'!I62+'29'!I62+'30'!I62+'31'!I62</f>
        <v>6</v>
      </c>
      <c r="J62" s="22"/>
      <c r="K62" s="11"/>
      <c r="L62" s="22">
        <f>+'1'!L62+'2'!L62+'4'!L62+'3'!L62+'5'!L62+'6'!L62+'7'!L62+'8'!L62+'9'!L62+'13'!L62+'10'!L62+'12'!L62+'11'!L62+'14'!L62+'15'!L62+'16'!L62+'17'!L62+'18'!L62+'19'!L62+'20'!L62+'21'!L62+'22'!L62+'23'!L62+'24'!L62+'25'!L62+'26'!L62+'28'!L62+'27'!L62+'29'!L62+'30'!L62+'31'!L62</f>
        <v>0</v>
      </c>
      <c r="M62" s="22">
        <f>+'1'!M62+'2'!M62+'4'!M62+'3'!M62+'5'!M62+'6'!M62+'7'!M62+'8'!M62+'9'!M62+'13'!M62+'10'!M62+'12'!M62+'11'!M62+'14'!M62+'15'!M62+'16'!M62+'17'!M62+'18'!M62+'19'!M62+'20'!M62+'21'!M62+'22'!M62+'23'!M62+'24'!M62+'25'!M62+'26'!M62+'28'!M62+'27'!M62+'29'!M62+'30'!M62+'31'!M62</f>
        <v>6</v>
      </c>
      <c r="N62" s="22">
        <f>+'1'!N62+'2'!N62+'4'!N62+'3'!N62+'5'!N62+'6'!N62+'7'!N62+'8'!N62+'9'!N62+'13'!N62+'10'!N62+'12'!N62+'11'!N62+'14'!N62+'15'!N62+'16'!N62+'17'!N62+'18'!N62+'19'!N62+'20'!N62+'21'!N62+'22'!N62+'23'!N62+'24'!N62+'25'!N62+'26'!N62+'28'!N62+'27'!N62+'29'!N62+'30'!N62+'31'!N62</f>
        <v>0</v>
      </c>
      <c r="O62" s="22">
        <f>+'1'!O62+'2'!O62+'4'!O62+'3'!O62+'5'!O62+'6'!O62+'7'!O62+'8'!O62+'9'!O62+'13'!O62+'10'!O62+'12'!O62+'11'!O62+'14'!O62+'15'!O62+'16'!O62+'17'!O62+'18'!O62+'19'!O62+'20'!O62+'21'!O62+'22'!O62+'23'!O62+'24'!O62+'25'!O62+'26'!O62+'28'!O62+'27'!O62+'29'!O62+'30'!O62+'31'!O62</f>
        <v>0</v>
      </c>
      <c r="P62" s="22">
        <f>+'1'!P62+'2'!P62+'4'!P62+'3'!P62+'5'!P62+'6'!P62+'7'!P62+'8'!P62+'9'!P62+'13'!P62+'10'!P62+'12'!P62+'11'!P62+'14'!P62+'15'!P62+'16'!P62+'17'!P62+'18'!P62+'19'!P62+'20'!P62+'21'!P62+'22'!P62+'23'!P62+'24'!P62+'25'!P62+'26'!P62+'28'!P62+'27'!P62+'29'!P62+'30'!P62+'31'!P62</f>
        <v>0</v>
      </c>
      <c r="Q62" s="22">
        <f>+'1'!Q62+'2'!Q62+'4'!Q62+'3'!Q62+'5'!Q62+'6'!Q62+'7'!Q62+'8'!Q62+'9'!Q62+'13'!Q62+'10'!Q62+'12'!Q62+'11'!Q62+'14'!Q62+'15'!Q62+'16'!Q62+'17'!Q62+'18'!Q62+'19'!Q62+'20'!Q62+'21'!Q62+'22'!Q62+'23'!Q62+'24'!Q62+'25'!Q62+'26'!Q62+'28'!Q62+'27'!Q62+'29'!Q62+'30'!Q62+'31'!Q62</f>
        <v>0</v>
      </c>
      <c r="R62" s="36">
        <f>+'1'!R62+'2'!R62+'4'!R62+'3'!R62+'5'!R62+'6'!R62+'7'!R62+'8'!R62+'9'!R62+'13'!R62+'10'!R62+'12'!R62+'11'!R62+'14'!R62+'15'!R62+'16'!R62+'17'!R62+'18'!R62+'19'!R62+'20'!R62+'21'!R62+'22'!R62+'23'!R62+'24'!R62+'25'!R62+'26'!R62+'28'!R62+'27'!R62+'29'!R62+'30'!R62+'31'!R62</f>
        <v>0</v>
      </c>
      <c r="S62" s="44">
        <f>+'1'!S62+'2'!S62+'4'!S62+'3'!S62+'5'!S62+'6'!S62+'7'!S62+'8'!S62+'9'!S62+'13'!S62+'10'!S62+'12'!S62+'11'!S62+'14'!S62+'15'!S62+'16'!S62+'17'!S62+'18'!S62+'19'!S62+'20'!S62+'21'!S62+'22'!S62+'23'!S62+'24'!S62+'25'!S62+'26'!S62+'28'!S62+'27'!S62+'29'!S62+'30'!S62+'31'!S62</f>
        <v>0</v>
      </c>
      <c r="T62" s="47">
        <f>+'1'!T62+'2'!T62+'4'!T62+'3'!T62+'5'!T62+'6'!T62+'7'!T62+'8'!T62+'9'!T62+'13'!T62+'10'!T62+'12'!T62+'11'!T62+'14'!T62+'15'!T62+'16'!T62+'17'!T62+'18'!T62+'19'!T62+'20'!T62+'21'!T62+'22'!T62+'23'!T62+'24'!T62+'25'!T62+'26'!T62+'28'!T62+'27'!T62+'29'!T62+'30'!T62+'31'!T62</f>
        <v>0</v>
      </c>
      <c r="U62" s="52">
        <f t="shared" si="12"/>
        <v>6</v>
      </c>
      <c r="V62" s="95" t="str">
        <f t="shared" si="13"/>
        <v>OK</v>
      </c>
    </row>
    <row r="63" spans="1:22" x14ac:dyDescent="0.3">
      <c r="A63" s="90" t="s">
        <v>107</v>
      </c>
      <c r="B63" s="76">
        <v>19276</v>
      </c>
      <c r="C63" s="70" t="s">
        <v>68</v>
      </c>
      <c r="D63" s="72"/>
      <c r="E63" s="72"/>
      <c r="F63" s="72"/>
      <c r="G63" s="73"/>
      <c r="H63" s="81"/>
      <c r="I63" s="82">
        <f>+'1'!I63+'2'!I63+'4'!I63+'3'!I63+'5'!I63+'6'!I63+'7'!I63+'8'!I63+'9'!I63+'13'!I63+'10'!I63+'12'!I63+'11'!I63+'14'!I63+'15'!I63+'16'!I63+'17'!I63+'18'!I63+'19'!I63+'20'!I63+'21'!I63+'22'!I63+'23'!I63+'24'!I63+'25'!I63+'26'!I63+'28'!I63+'27'!I63+'29'!I63+'30'!I63+'31'!I63</f>
        <v>10</v>
      </c>
      <c r="J63" s="82"/>
      <c r="K63" s="11"/>
      <c r="L63" s="82">
        <f>+'1'!L63+'2'!L63+'4'!L63+'3'!L63+'5'!L63+'6'!L63+'7'!L63+'8'!L63+'9'!L63+'13'!L63+'10'!L63+'12'!L63+'11'!L63+'14'!L63+'15'!L63+'16'!L63+'17'!L63+'18'!L63+'19'!L63+'20'!L63+'21'!L63+'22'!L63+'23'!L63+'24'!L63+'25'!L63+'26'!L63+'28'!L63+'27'!L63+'29'!L63+'30'!L63+'31'!L63</f>
        <v>0</v>
      </c>
      <c r="M63" s="82">
        <f>+'1'!M63+'2'!M63+'4'!M63+'3'!M63+'5'!M63+'6'!M63+'7'!M63+'8'!M63+'9'!M63+'13'!M63+'10'!M63+'12'!M63+'11'!M63+'14'!M63+'15'!M63+'16'!M63+'17'!M63+'18'!M63+'19'!M63+'20'!M63+'21'!M63+'22'!M63+'23'!M63+'24'!M63+'25'!M63+'26'!M63+'28'!M63+'27'!M63+'29'!M63+'30'!M63+'31'!M63</f>
        <v>10</v>
      </c>
      <c r="N63" s="82">
        <f>+'1'!N63+'2'!N63+'4'!N63+'3'!N63+'5'!N63+'6'!N63+'7'!N63+'8'!N63+'9'!N63+'13'!N63+'10'!N63+'12'!N63+'11'!N63+'14'!N63+'15'!N63+'16'!N63+'17'!N63+'18'!N63+'19'!N63+'20'!N63+'21'!N63+'22'!N63+'23'!N63+'24'!N63+'25'!N63+'26'!N63+'28'!N63+'27'!N63+'29'!N63+'30'!N63+'31'!N63</f>
        <v>0</v>
      </c>
      <c r="O63" s="82">
        <f>+'1'!O63+'2'!O63+'4'!O63+'3'!O63+'5'!O63+'6'!O63+'7'!O63+'8'!O63+'9'!O63+'13'!O63+'10'!O63+'12'!O63+'11'!O63+'14'!O63+'15'!O63+'16'!O63+'17'!O63+'18'!O63+'19'!O63+'20'!O63+'21'!O63+'22'!O63+'23'!O63+'24'!O63+'25'!O63+'26'!O63+'28'!O63+'27'!O63+'29'!O63+'30'!O63+'31'!O63</f>
        <v>0</v>
      </c>
      <c r="P63" s="82">
        <f>+'1'!P63+'2'!P63+'4'!P63+'3'!P63+'5'!P63+'6'!P63+'7'!P63+'8'!P63+'9'!P63+'13'!P63+'10'!P63+'12'!P63+'11'!P63+'14'!P63+'15'!P63+'16'!P63+'17'!P63+'18'!P63+'19'!P63+'20'!P63+'21'!P63+'22'!P63+'23'!P63+'24'!P63+'25'!P63+'26'!P63+'28'!P63+'27'!P63+'29'!P63+'30'!P63+'31'!P63</f>
        <v>0</v>
      </c>
      <c r="Q63" s="82">
        <f>+'1'!Q63+'2'!Q63+'4'!Q63+'3'!Q63+'5'!Q63+'6'!Q63+'7'!Q63+'8'!Q63+'9'!Q63+'13'!Q63+'10'!Q63+'12'!Q63+'11'!Q63+'14'!Q63+'15'!Q63+'16'!Q63+'17'!Q63+'18'!Q63+'19'!Q63+'20'!Q63+'21'!Q63+'22'!Q63+'23'!Q63+'24'!Q63+'25'!Q63+'26'!Q63+'28'!Q63+'27'!Q63+'29'!Q63+'30'!Q63+'31'!Q63</f>
        <v>0</v>
      </c>
      <c r="R63" s="83">
        <f>+'1'!R63+'2'!R63+'4'!R63+'3'!R63+'5'!R63+'6'!R63+'7'!R63+'8'!R63+'9'!R63+'13'!R63+'10'!R63+'12'!R63+'11'!R63+'14'!R63+'15'!R63+'16'!R63+'17'!R63+'18'!R63+'19'!R63+'20'!R63+'21'!R63+'22'!R63+'23'!R63+'24'!R63+'25'!R63+'26'!R63+'28'!R63+'27'!R63+'29'!R63+'30'!R63+'31'!R63</f>
        <v>0</v>
      </c>
      <c r="S63" s="84">
        <f>+'1'!S63+'2'!S63+'4'!S63+'3'!S63+'5'!S63+'6'!S63+'7'!S63+'8'!S63+'9'!S63+'13'!S63+'10'!S63+'12'!S63+'11'!S63+'14'!S63+'15'!S63+'16'!S63+'17'!S63+'18'!S63+'19'!S63+'20'!S63+'21'!S63+'22'!S63+'23'!S63+'24'!S63+'25'!S63+'26'!S63+'28'!S63+'27'!S63+'29'!S63+'30'!S63+'31'!S63</f>
        <v>0</v>
      </c>
      <c r="T63" s="85">
        <f>+'1'!T63+'2'!T63+'4'!T63+'3'!T63+'5'!T63+'6'!T63+'7'!T63+'8'!T63+'9'!T63+'13'!T63+'10'!T63+'12'!T63+'11'!T63+'14'!T63+'15'!T63+'16'!T63+'17'!T63+'18'!T63+'19'!T63+'20'!T63+'21'!T63+'22'!T63+'23'!T63+'24'!T63+'25'!T63+'26'!T63+'28'!T63+'27'!T63+'29'!T63+'30'!T63+'31'!T63</f>
        <v>0</v>
      </c>
      <c r="U63" s="75">
        <f t="shared" si="12"/>
        <v>10</v>
      </c>
      <c r="V63" s="93" t="str">
        <f t="shared" si="13"/>
        <v>OK</v>
      </c>
    </row>
    <row r="64" spans="1:22" x14ac:dyDescent="0.3">
      <c r="A64" s="54" t="s">
        <v>108</v>
      </c>
      <c r="B64" s="63">
        <v>19836</v>
      </c>
      <c r="C64" s="18" t="s">
        <v>45</v>
      </c>
      <c r="D64" s="67"/>
      <c r="E64" s="67"/>
      <c r="F64" s="67"/>
      <c r="G64" s="68"/>
      <c r="H64" s="21"/>
      <c r="I64" s="22">
        <f>+'1'!I64+'2'!I64+'4'!I64+'3'!I64+'5'!I64+'6'!I64+'7'!I64+'8'!I64+'9'!I64+'13'!I64+'10'!I64+'12'!I64+'11'!I64+'14'!I64+'15'!I64+'16'!I64+'17'!I64+'18'!I64+'19'!I64+'20'!I64+'21'!I64+'22'!I64+'23'!I64+'24'!I64+'25'!I64+'26'!I64+'28'!I64+'27'!I64+'29'!I64+'30'!I64+'31'!I64</f>
        <v>29</v>
      </c>
      <c r="J64" s="22"/>
      <c r="K64" s="11"/>
      <c r="L64" s="22">
        <f>+'1'!L64+'2'!L64+'4'!L64+'3'!L64+'5'!L64+'6'!L64+'7'!L64+'8'!L64+'9'!L64+'13'!L64+'10'!L64+'12'!L64+'11'!L64+'14'!L64+'15'!L64+'16'!L64+'17'!L64+'18'!L64+'19'!L64+'20'!L64+'21'!L64+'22'!L64+'23'!L64+'24'!L64+'25'!L64+'26'!L64+'28'!L64+'27'!L64+'29'!L64+'30'!L64+'31'!L64</f>
        <v>0</v>
      </c>
      <c r="M64" s="22">
        <f>+'1'!M64+'2'!M64+'4'!M64+'3'!M64+'5'!M64+'6'!M64+'7'!M64+'8'!M64+'9'!M64+'13'!M64+'10'!M64+'12'!M64+'11'!M64+'14'!M64+'15'!M64+'16'!M64+'17'!M64+'18'!M64+'19'!M64+'20'!M64+'21'!M64+'22'!M64+'23'!M64+'24'!M64+'25'!M64+'26'!M64+'28'!M64+'27'!M64+'29'!M64+'30'!M64+'31'!M64</f>
        <v>16</v>
      </c>
      <c r="N64" s="22">
        <f>+'1'!N64+'2'!N64+'4'!N64+'3'!N64+'5'!N64+'6'!N64+'7'!N64+'8'!N64+'9'!N64+'13'!N64+'10'!N64+'12'!N64+'11'!N64+'14'!N64+'15'!N64+'16'!N64+'17'!N64+'18'!N64+'19'!N64+'20'!N64+'21'!N64+'22'!N64+'23'!N64+'24'!N64+'25'!N64+'26'!N64+'28'!N64+'27'!N64+'29'!N64+'30'!N64+'31'!N64</f>
        <v>0</v>
      </c>
      <c r="O64" s="22">
        <f>+'1'!O64+'2'!O64+'4'!O64+'3'!O64+'5'!O64+'6'!O64+'7'!O64+'8'!O64+'9'!O64+'13'!O64+'10'!O64+'12'!O64+'11'!O64+'14'!O64+'15'!O64+'16'!O64+'17'!O64+'18'!O64+'19'!O64+'20'!O64+'21'!O64+'22'!O64+'23'!O64+'24'!O64+'25'!O64+'26'!O64+'28'!O64+'27'!O64+'29'!O64+'30'!O64+'31'!O64</f>
        <v>0</v>
      </c>
      <c r="P64" s="22">
        <f>+'1'!P64+'2'!P64+'4'!P64+'3'!P64+'5'!P64+'6'!P64+'7'!P64+'8'!P64+'9'!P64+'13'!P64+'10'!P64+'12'!P64+'11'!P64+'14'!P64+'15'!P64+'16'!P64+'17'!P64+'18'!P64+'19'!P64+'20'!P64+'21'!P64+'22'!P64+'23'!P64+'24'!P64+'25'!P64+'26'!P64+'28'!P64+'27'!P64+'29'!P64+'30'!P64+'31'!P64</f>
        <v>0</v>
      </c>
      <c r="Q64" s="22">
        <f>+'1'!Q64+'2'!Q64+'4'!Q64+'3'!Q64+'5'!Q64+'6'!Q64+'7'!Q64+'8'!Q64+'9'!Q64+'13'!Q64+'10'!Q64+'12'!Q64+'11'!Q64+'14'!Q64+'15'!Q64+'16'!Q64+'17'!Q64+'18'!Q64+'19'!Q64+'20'!Q64+'21'!Q64+'22'!Q64+'23'!Q64+'24'!Q64+'25'!Q64+'26'!Q64+'28'!Q64+'27'!Q64+'29'!Q64+'30'!Q64+'31'!Q64</f>
        <v>0</v>
      </c>
      <c r="R64" s="36">
        <f>+'1'!R64+'2'!R64+'4'!R64+'3'!R64+'5'!R64+'6'!R64+'7'!R64+'8'!R64+'9'!R64+'13'!R64+'10'!R64+'12'!R64+'11'!R64+'14'!R64+'15'!R64+'16'!R64+'17'!R64+'18'!R64+'19'!R64+'20'!R64+'21'!R64+'22'!R64+'23'!R64+'24'!R64+'25'!R64+'26'!R64+'28'!R64+'27'!R64+'29'!R64+'30'!R64+'31'!R64</f>
        <v>0</v>
      </c>
      <c r="S64" s="44">
        <f>+'1'!S64+'2'!S64+'4'!S64+'3'!S64+'5'!S64+'6'!S64+'7'!S64+'8'!S64+'9'!S64+'13'!S64+'10'!S64+'12'!S64+'11'!S64+'14'!S64+'15'!S64+'16'!S64+'17'!S64+'18'!S64+'19'!S64+'20'!S64+'21'!S64+'22'!S64+'23'!S64+'24'!S64+'25'!S64+'26'!S64+'28'!S64+'27'!S64+'29'!S64+'30'!S64+'31'!S64</f>
        <v>13</v>
      </c>
      <c r="T64" s="47">
        <f>+'1'!T64+'2'!T64+'4'!T64+'3'!T64+'5'!T64+'6'!T64+'7'!T64+'8'!T64+'9'!T64+'13'!T64+'10'!T64+'12'!T64+'11'!T64+'14'!T64+'15'!T64+'16'!T64+'17'!T64+'18'!T64+'19'!T64+'20'!T64+'21'!T64+'22'!T64+'23'!T64+'24'!T64+'25'!T64+'26'!T64+'28'!T64+'27'!T64+'29'!T64+'30'!T64+'31'!T64</f>
        <v>0</v>
      </c>
      <c r="U64" s="52">
        <f t="shared" si="12"/>
        <v>29</v>
      </c>
      <c r="V64" s="95" t="str">
        <f t="shared" si="13"/>
        <v>OK</v>
      </c>
    </row>
    <row r="65" spans="1:22" x14ac:dyDescent="0.3">
      <c r="A65" s="90" t="s">
        <v>109</v>
      </c>
      <c r="B65" s="76">
        <v>20278</v>
      </c>
      <c r="C65" s="70" t="s">
        <v>110</v>
      </c>
      <c r="D65" s="72"/>
      <c r="E65" s="72"/>
      <c r="F65" s="72"/>
      <c r="G65" s="73"/>
      <c r="H65" s="81"/>
      <c r="I65" s="82">
        <f>+'1'!I65+'2'!I65+'4'!I65+'3'!I65+'5'!I65+'6'!I65+'7'!I65+'8'!I65+'9'!I65+'13'!I65+'10'!I65+'12'!I65+'11'!I65+'14'!I65+'15'!I65+'16'!I65+'17'!I65+'18'!I65+'19'!I65+'20'!I65+'21'!I65+'22'!I65+'23'!I65+'24'!I65+'25'!I65+'26'!I65+'28'!I65+'27'!I65+'29'!I65+'30'!I65+'31'!I65</f>
        <v>9</v>
      </c>
      <c r="J65" s="82"/>
      <c r="K65" s="11"/>
      <c r="L65" s="82">
        <f>+'1'!L65+'2'!L65+'4'!L65+'3'!L65+'5'!L65+'6'!L65+'7'!L65+'8'!L65+'9'!L65+'13'!L65+'10'!L65+'12'!L65+'11'!L65+'14'!L65+'15'!L65+'16'!L65+'17'!L65+'18'!L65+'19'!L65+'20'!L65+'21'!L65+'22'!L65+'23'!L65+'24'!L65+'25'!L65+'26'!L65+'28'!L65+'27'!L65+'29'!L65+'30'!L65+'31'!L65</f>
        <v>0</v>
      </c>
      <c r="M65" s="82">
        <f>+'1'!M65+'2'!M65+'4'!M65+'3'!M65+'5'!M65+'6'!M65+'7'!M65+'8'!M65+'9'!M65+'13'!M65+'10'!M65+'12'!M65+'11'!M65+'14'!M65+'15'!M65+'16'!M65+'17'!M65+'18'!M65+'19'!M65+'20'!M65+'21'!M65+'22'!M65+'23'!M65+'24'!M65+'25'!M65+'26'!M65+'28'!M65+'27'!M65+'29'!M65+'30'!M65+'31'!M65</f>
        <v>9</v>
      </c>
      <c r="N65" s="82">
        <f>+'1'!N65+'2'!N65+'4'!N65+'3'!N65+'5'!N65+'6'!N65+'7'!N65+'8'!N65+'9'!N65+'13'!N65+'10'!N65+'12'!N65+'11'!N65+'14'!N65+'15'!N65+'16'!N65+'17'!N65+'18'!N65+'19'!N65+'20'!N65+'21'!N65+'22'!N65+'23'!N65+'24'!N65+'25'!N65+'26'!N65+'28'!N65+'27'!N65+'29'!N65+'30'!N65+'31'!N65</f>
        <v>0</v>
      </c>
      <c r="O65" s="82">
        <f>+'1'!O65+'2'!O65+'4'!O65+'3'!O65+'5'!O65+'6'!O65+'7'!O65+'8'!O65+'9'!O65+'13'!O65+'10'!O65+'12'!O65+'11'!O65+'14'!O65+'15'!O65+'16'!O65+'17'!O65+'18'!O65+'19'!O65+'20'!O65+'21'!O65+'22'!O65+'23'!O65+'24'!O65+'25'!O65+'26'!O65+'28'!O65+'27'!O65+'29'!O65+'30'!O65+'31'!O65</f>
        <v>0</v>
      </c>
      <c r="P65" s="82">
        <f>+'1'!P65+'2'!P65+'4'!P65+'3'!P65+'5'!P65+'6'!P65+'7'!P65+'8'!P65+'9'!P65+'13'!P65+'10'!P65+'12'!P65+'11'!P65+'14'!P65+'15'!P65+'16'!P65+'17'!P65+'18'!P65+'19'!P65+'20'!P65+'21'!P65+'22'!P65+'23'!P65+'24'!P65+'25'!P65+'26'!P65+'28'!P65+'27'!P65+'29'!P65+'30'!P65+'31'!P65</f>
        <v>0</v>
      </c>
      <c r="Q65" s="82">
        <f>+'1'!Q65+'2'!Q65+'4'!Q65+'3'!Q65+'5'!Q65+'6'!Q65+'7'!Q65+'8'!Q65+'9'!Q65+'13'!Q65+'10'!Q65+'12'!Q65+'11'!Q65+'14'!Q65+'15'!Q65+'16'!Q65+'17'!Q65+'18'!Q65+'19'!Q65+'20'!Q65+'21'!Q65+'22'!Q65+'23'!Q65+'24'!Q65+'25'!Q65+'26'!Q65+'28'!Q65+'27'!Q65+'29'!Q65+'30'!Q65+'31'!Q65</f>
        <v>0</v>
      </c>
      <c r="R65" s="83">
        <f>+'1'!R65+'2'!R65+'4'!R65+'3'!R65+'5'!R65+'6'!R65+'7'!R65+'8'!R65+'9'!R65+'13'!R65+'10'!R65+'12'!R65+'11'!R65+'14'!R65+'15'!R65+'16'!R65+'17'!R65+'18'!R65+'19'!R65+'20'!R65+'21'!R65+'22'!R65+'23'!R65+'24'!R65+'25'!R65+'26'!R65+'28'!R65+'27'!R65+'29'!R65+'30'!R65+'31'!R65</f>
        <v>0</v>
      </c>
      <c r="S65" s="84">
        <f>+'1'!S65+'2'!S65+'4'!S65+'3'!S65+'5'!S65+'6'!S65+'7'!S65+'8'!S65+'9'!S65+'13'!S65+'10'!S65+'12'!S65+'11'!S65+'14'!S65+'15'!S65+'16'!S65+'17'!S65+'18'!S65+'19'!S65+'20'!S65+'21'!S65+'22'!S65+'23'!S65+'24'!S65+'25'!S65+'26'!S65+'28'!S65+'27'!S65+'29'!S65+'30'!S65+'31'!S65</f>
        <v>0</v>
      </c>
      <c r="T65" s="85">
        <f>+'1'!T65+'2'!T65+'4'!T65+'3'!T65+'5'!T65+'6'!T65+'7'!T65+'8'!T65+'9'!T65+'13'!T65+'10'!T65+'12'!T65+'11'!T65+'14'!T65+'15'!T65+'16'!T65+'17'!T65+'18'!T65+'19'!T65+'20'!T65+'21'!T65+'22'!T65+'23'!T65+'24'!T65+'25'!T65+'26'!T65+'28'!T65+'27'!T65+'29'!T65+'30'!T65+'31'!T65</f>
        <v>0</v>
      </c>
      <c r="U65" s="75">
        <f t="shared" si="12"/>
        <v>9</v>
      </c>
      <c r="V65" s="93" t="str">
        <f t="shared" si="13"/>
        <v>OK</v>
      </c>
    </row>
    <row r="66" spans="1:22" x14ac:dyDescent="0.3">
      <c r="A66" s="54" t="s">
        <v>111</v>
      </c>
      <c r="B66" s="63">
        <v>20272</v>
      </c>
      <c r="C66" s="18" t="s">
        <v>110</v>
      </c>
      <c r="D66" s="67"/>
      <c r="E66" s="67"/>
      <c r="F66" s="67"/>
      <c r="G66" s="68"/>
      <c r="H66" s="21"/>
      <c r="I66" s="22">
        <f>+'1'!I66+'2'!I66+'4'!I66+'3'!I66+'5'!I66+'6'!I66+'7'!I66+'8'!I66+'9'!I66+'13'!I66+'10'!I66+'12'!I66+'11'!I66+'14'!I66+'15'!I66+'16'!I66+'17'!I66+'18'!I66+'19'!I66+'20'!I66+'21'!I66+'22'!I66+'23'!I66+'24'!I66+'25'!I66+'26'!I66+'28'!I66+'27'!I66+'29'!I66+'30'!I66+'31'!I66</f>
        <v>7</v>
      </c>
      <c r="J66" s="22"/>
      <c r="K66" s="11"/>
      <c r="L66" s="22">
        <f>+'1'!L66+'2'!L66+'4'!L66+'3'!L66+'5'!L66+'6'!L66+'7'!L66+'8'!L66+'9'!L66+'13'!L66+'10'!L66+'12'!L66+'11'!L66+'14'!L66+'15'!L66+'16'!L66+'17'!L66+'18'!L66+'19'!L66+'20'!L66+'21'!L66+'22'!L66+'23'!L66+'24'!L66+'25'!L66+'26'!L66+'28'!L66+'27'!L66+'29'!L66+'30'!L66+'31'!L66</f>
        <v>0</v>
      </c>
      <c r="M66" s="22">
        <f>+'1'!M66+'2'!M66+'4'!M66+'3'!M66+'5'!M66+'6'!M66+'7'!M66+'8'!M66+'9'!M66+'13'!M66+'10'!M66+'12'!M66+'11'!M66+'14'!M66+'15'!M66+'16'!M66+'17'!M66+'18'!M66+'19'!M66+'20'!M66+'21'!M66+'22'!M66+'23'!M66+'24'!M66+'25'!M66+'26'!M66+'28'!M66+'27'!M66+'29'!M66+'30'!M66+'31'!M66</f>
        <v>7</v>
      </c>
      <c r="N66" s="22">
        <f>+'1'!N66+'2'!N66+'4'!N66+'3'!N66+'5'!N66+'6'!N66+'7'!N66+'8'!N66+'9'!N66+'13'!N66+'10'!N66+'12'!N66+'11'!N66+'14'!N66+'15'!N66+'16'!N66+'17'!N66+'18'!N66+'19'!N66+'20'!N66+'21'!N66+'22'!N66+'23'!N66+'24'!N66+'25'!N66+'26'!N66+'28'!N66+'27'!N66+'29'!N66+'30'!N66+'31'!N66</f>
        <v>0</v>
      </c>
      <c r="O66" s="22">
        <f>+'1'!O66+'2'!O66+'4'!O66+'3'!O66+'5'!O66+'6'!O66+'7'!O66+'8'!O66+'9'!O66+'13'!O66+'10'!O66+'12'!O66+'11'!O66+'14'!O66+'15'!O66+'16'!O66+'17'!O66+'18'!O66+'19'!O66+'20'!O66+'21'!O66+'22'!O66+'23'!O66+'24'!O66+'25'!O66+'26'!O66+'28'!O66+'27'!O66+'29'!O66+'30'!O66+'31'!O66</f>
        <v>0</v>
      </c>
      <c r="P66" s="22">
        <f>+'1'!P66+'2'!P66+'4'!P66+'3'!P66+'5'!P66+'6'!P66+'7'!P66+'8'!P66+'9'!P66+'13'!P66+'10'!P66+'12'!P66+'11'!P66+'14'!P66+'15'!P66+'16'!P66+'17'!P66+'18'!P66+'19'!P66+'20'!P66+'21'!P66+'22'!P66+'23'!P66+'24'!P66+'25'!P66+'26'!P66+'28'!P66+'27'!P66+'29'!P66+'30'!P66+'31'!P66</f>
        <v>0</v>
      </c>
      <c r="Q66" s="22">
        <f>+'1'!Q66+'2'!Q66+'4'!Q66+'3'!Q66+'5'!Q66+'6'!Q66+'7'!Q66+'8'!Q66+'9'!Q66+'13'!Q66+'10'!Q66+'12'!Q66+'11'!Q66+'14'!Q66+'15'!Q66+'16'!Q66+'17'!Q66+'18'!Q66+'19'!Q66+'20'!Q66+'21'!Q66+'22'!Q66+'23'!Q66+'24'!Q66+'25'!Q66+'26'!Q66+'28'!Q66+'27'!Q66+'29'!Q66+'30'!Q66+'31'!Q66</f>
        <v>0</v>
      </c>
      <c r="R66" s="36">
        <f>+'1'!R66+'2'!R66+'4'!R66+'3'!R66+'5'!R66+'6'!R66+'7'!R66+'8'!R66+'9'!R66+'13'!R66+'10'!R66+'12'!R66+'11'!R66+'14'!R66+'15'!R66+'16'!R66+'17'!R66+'18'!R66+'19'!R66+'20'!R66+'21'!R66+'22'!R66+'23'!R66+'24'!R66+'25'!R66+'26'!R66+'28'!R66+'27'!R66+'29'!R66+'30'!R66+'31'!R66</f>
        <v>0</v>
      </c>
      <c r="S66" s="44">
        <f>+'1'!S66+'2'!S66+'4'!S66+'3'!S66+'5'!S66+'6'!S66+'7'!S66+'8'!S66+'9'!S66+'13'!S66+'10'!S66+'12'!S66+'11'!S66+'14'!S66+'15'!S66+'16'!S66+'17'!S66+'18'!S66+'19'!S66+'20'!S66+'21'!S66+'22'!S66+'23'!S66+'24'!S66+'25'!S66+'26'!S66+'28'!S66+'27'!S66+'29'!S66+'30'!S66+'31'!S66</f>
        <v>0</v>
      </c>
      <c r="T66" s="47">
        <f>+'1'!T66+'2'!T66+'4'!T66+'3'!T66+'5'!T66+'6'!T66+'7'!T66+'8'!T66+'9'!T66+'13'!T66+'10'!T66+'12'!T66+'11'!T66+'14'!T66+'15'!T66+'16'!T66+'17'!T66+'18'!T66+'19'!T66+'20'!T66+'21'!T66+'22'!T66+'23'!T66+'24'!T66+'25'!T66+'26'!T66+'28'!T66+'27'!T66+'29'!T66+'30'!T66+'31'!T66</f>
        <v>0</v>
      </c>
      <c r="U66" s="52">
        <f t="shared" si="12"/>
        <v>7</v>
      </c>
      <c r="V66" s="95" t="str">
        <f t="shared" si="13"/>
        <v>OK</v>
      </c>
    </row>
    <row r="67" spans="1:22" x14ac:dyDescent="0.3">
      <c r="A67" s="90" t="s">
        <v>112</v>
      </c>
      <c r="B67" s="76">
        <v>20956</v>
      </c>
      <c r="C67" s="70" t="s">
        <v>110</v>
      </c>
      <c r="D67" s="72"/>
      <c r="E67" s="72"/>
      <c r="F67" s="72"/>
      <c r="G67" s="73"/>
      <c r="H67" s="81"/>
      <c r="I67" s="82">
        <f>+'1'!I67+'2'!I67+'4'!I67+'3'!I67+'5'!I67+'6'!I67+'7'!I67+'8'!I67+'9'!I67+'13'!I67+'10'!I67+'12'!I67+'11'!I67+'14'!I67+'15'!I67+'16'!I67+'17'!I67+'18'!I67+'19'!I67+'20'!I67+'21'!I67+'22'!I67+'23'!I67+'24'!I67+'25'!I67+'26'!I67+'28'!I67+'27'!I67+'29'!I67+'30'!I67+'31'!I67</f>
        <v>61</v>
      </c>
      <c r="J67" s="82"/>
      <c r="K67" s="11"/>
      <c r="L67" s="82">
        <f>+'1'!L67+'2'!L67+'4'!L67+'3'!L67+'5'!L67+'6'!L67+'7'!L67+'8'!L67+'9'!L67+'13'!L67+'10'!L67+'12'!L67+'11'!L67+'14'!L67+'15'!L67+'16'!L67+'17'!L67+'18'!L67+'19'!L67+'20'!L67+'21'!L67+'22'!L67+'23'!L67+'24'!L67+'25'!L67+'26'!L67+'28'!L67+'27'!L67+'29'!L67+'30'!L67+'31'!L67</f>
        <v>0</v>
      </c>
      <c r="M67" s="82">
        <f>+'1'!M67+'2'!M67+'4'!M67+'3'!M67+'5'!M67+'6'!M67+'7'!M67+'8'!M67+'9'!M67+'13'!M67+'10'!M67+'12'!M67+'11'!M67+'14'!M67+'15'!M67+'16'!M67+'17'!M67+'18'!M67+'19'!M67+'20'!M67+'21'!M67+'22'!M67+'23'!M67+'24'!M67+'25'!M67+'26'!M67+'28'!M67+'27'!M67+'29'!M67+'30'!M67+'31'!M67</f>
        <v>46</v>
      </c>
      <c r="N67" s="82">
        <f>+'1'!N67+'2'!N67+'4'!N67+'3'!N67+'5'!N67+'6'!N67+'7'!N67+'8'!N67+'9'!N67+'13'!N67+'10'!N67+'12'!N67+'11'!N67+'14'!N67+'15'!N67+'16'!N67+'17'!N67+'18'!N67+'19'!N67+'20'!N67+'21'!N67+'22'!N67+'23'!N67+'24'!N67+'25'!N67+'26'!N67+'28'!N67+'27'!N67+'29'!N67+'30'!N67+'31'!N67</f>
        <v>0</v>
      </c>
      <c r="O67" s="82">
        <f>+'1'!O67+'2'!O67+'4'!O67+'3'!O67+'5'!O67+'6'!O67+'7'!O67+'8'!O67+'9'!O67+'13'!O67+'10'!O67+'12'!O67+'11'!O67+'14'!O67+'15'!O67+'16'!O67+'17'!O67+'18'!O67+'19'!O67+'20'!O67+'21'!O67+'22'!O67+'23'!O67+'24'!O67+'25'!O67+'26'!O67+'28'!O67+'27'!O67+'29'!O67+'30'!O67+'31'!O67</f>
        <v>15</v>
      </c>
      <c r="P67" s="82">
        <f>+'1'!P67+'2'!P67+'4'!P67+'3'!P67+'5'!P67+'6'!P67+'7'!P67+'8'!P67+'9'!P67+'13'!P67+'10'!P67+'12'!P67+'11'!P67+'14'!P67+'15'!P67+'16'!P67+'17'!P67+'18'!P67+'19'!P67+'20'!P67+'21'!P67+'22'!P67+'23'!P67+'24'!P67+'25'!P67+'26'!P67+'28'!P67+'27'!P67+'29'!P67+'30'!P67+'31'!P67</f>
        <v>0</v>
      </c>
      <c r="Q67" s="82">
        <f>+'1'!Q67+'2'!Q67+'4'!Q67+'3'!Q67+'5'!Q67+'6'!Q67+'7'!Q67+'8'!Q67+'9'!Q67+'13'!Q67+'10'!Q67+'12'!Q67+'11'!Q67+'14'!Q67+'15'!Q67+'16'!Q67+'17'!Q67+'18'!Q67+'19'!Q67+'20'!Q67+'21'!Q67+'22'!Q67+'23'!Q67+'24'!Q67+'25'!Q67+'26'!Q67+'28'!Q67+'27'!Q67+'29'!Q67+'30'!Q67+'31'!Q67</f>
        <v>0</v>
      </c>
      <c r="R67" s="83">
        <f>+'1'!R67+'2'!R67+'4'!R67+'3'!R67+'5'!R67+'6'!R67+'7'!R67+'8'!R67+'9'!R67+'13'!R67+'10'!R67+'12'!R67+'11'!R67+'14'!R67+'15'!R67+'16'!R67+'17'!R67+'18'!R67+'19'!R67+'20'!R67+'21'!R67+'22'!R67+'23'!R67+'24'!R67+'25'!R67+'26'!R67+'28'!R67+'27'!R67+'29'!R67+'30'!R67+'31'!R67</f>
        <v>0</v>
      </c>
      <c r="S67" s="84">
        <f>+'1'!S67+'2'!S67+'4'!S67+'3'!S67+'5'!S67+'6'!S67+'7'!S67+'8'!S67+'9'!S67+'13'!S67+'10'!S67+'12'!S67+'11'!S67+'14'!S67+'15'!S67+'16'!S67+'17'!S67+'18'!S67+'19'!S67+'20'!S67+'21'!S67+'22'!S67+'23'!S67+'24'!S67+'25'!S67+'26'!S67+'28'!S67+'27'!S67+'29'!S67+'30'!S67+'31'!S67</f>
        <v>0</v>
      </c>
      <c r="T67" s="85">
        <f>+'1'!T67+'2'!T67+'4'!T67+'3'!T67+'5'!T67+'6'!T67+'7'!T67+'8'!T67+'9'!T67+'13'!T67+'10'!T67+'12'!T67+'11'!T67+'14'!T67+'15'!T67+'16'!T67+'17'!T67+'18'!T67+'19'!T67+'20'!T67+'21'!T67+'22'!T67+'23'!T67+'24'!T67+'25'!T67+'26'!T67+'28'!T67+'27'!T67+'29'!T67+'30'!T67+'31'!T67</f>
        <v>0</v>
      </c>
      <c r="U67" s="75">
        <f t="shared" si="12"/>
        <v>61</v>
      </c>
      <c r="V67" s="93" t="str">
        <f t="shared" si="11"/>
        <v>OK</v>
      </c>
    </row>
    <row r="68" spans="1:22" x14ac:dyDescent="0.3">
      <c r="A68" s="103" t="s">
        <v>113</v>
      </c>
      <c r="B68" s="104">
        <v>21299</v>
      </c>
      <c r="C68" s="105" t="s">
        <v>78</v>
      </c>
      <c r="D68" s="106"/>
      <c r="E68" s="106"/>
      <c r="F68" s="106"/>
      <c r="G68" s="107"/>
      <c r="H68" s="108"/>
      <c r="I68" s="105">
        <f>+'1'!I68+'2'!I68+'4'!I68+'3'!I68+'5'!I68+'6'!I68+'7'!I68+'8'!I68+'9'!I68+'13'!I68+'10'!I68+'12'!I68+'11'!I68+'14'!I68+'15'!I68+'16'!I68+'17'!I68+'18'!I68+'19'!I68+'20'!I68+'21'!I68+'22'!I68+'23'!I68+'24'!I68+'25'!I68+'26'!I68+'28'!I68+'27'!I68+'29'!I68+'30'!I68+'31'!I68</f>
        <v>5</v>
      </c>
      <c r="J68" s="105"/>
      <c r="K68" s="11"/>
      <c r="L68" s="105">
        <f>+'1'!L68+'2'!L68+'4'!L68+'3'!L68+'5'!L68+'6'!L68+'7'!L68+'8'!L68+'9'!L68+'13'!L68+'10'!L68+'12'!L68+'11'!L68+'14'!L68+'15'!L68+'16'!L68+'17'!L68+'18'!L68+'19'!L68+'20'!L68+'21'!L68+'22'!L68+'23'!L68+'24'!L68+'25'!L68+'26'!L68+'28'!L68+'27'!L68+'29'!L68+'30'!L68+'31'!L68</f>
        <v>0</v>
      </c>
      <c r="M68" s="105">
        <f>+'1'!M68+'2'!M68+'4'!M68+'3'!M68+'5'!M68+'6'!M68+'7'!M68+'8'!M68+'9'!M68+'13'!M68+'10'!M68+'12'!M68+'11'!M68+'14'!M68+'15'!M68+'16'!M68+'17'!M68+'18'!M68+'19'!M68+'20'!M68+'21'!M68+'22'!M68+'23'!M68+'24'!M68+'25'!M68+'26'!M68+'28'!M68+'27'!M68+'29'!M68+'30'!M68+'31'!M68</f>
        <v>5</v>
      </c>
      <c r="N68" s="105">
        <f>+'1'!N68+'2'!N68+'4'!N68+'3'!N68+'5'!N68+'6'!N68+'7'!N68+'8'!N68+'9'!N68+'13'!N68+'10'!N68+'12'!N68+'11'!N68+'14'!N68+'15'!N68+'16'!N68+'17'!N68+'18'!N68+'19'!N68+'20'!N68+'21'!N68+'22'!N68+'23'!N68+'24'!N68+'25'!N68+'26'!N68+'28'!N68+'27'!N68+'29'!N68+'30'!N68+'31'!N68</f>
        <v>0</v>
      </c>
      <c r="O68" s="105">
        <f>+'1'!O68+'2'!O68+'4'!O68+'3'!O68+'5'!O68+'6'!O68+'7'!O68+'8'!O68+'9'!O68+'13'!O68+'10'!O68+'12'!O68+'11'!O68+'14'!O68+'15'!O68+'16'!O68+'17'!O68+'18'!O68+'19'!O68+'20'!O68+'21'!O68+'22'!O68+'23'!O68+'24'!O68+'25'!O68+'26'!O68+'28'!O68+'27'!O68+'29'!O68+'30'!O68+'31'!O68</f>
        <v>0</v>
      </c>
      <c r="P68" s="105">
        <f>+'1'!P68+'2'!P68+'4'!P68+'3'!P68+'5'!P68+'6'!P68+'7'!P68+'8'!P68+'9'!P68+'13'!P68+'10'!P68+'12'!P68+'11'!P68+'14'!P68+'15'!P68+'16'!P68+'17'!P68+'18'!P68+'19'!P68+'20'!P68+'21'!P68+'22'!P68+'23'!P68+'24'!P68+'25'!P68+'26'!P68+'28'!P68+'27'!P68+'29'!P68+'30'!P68+'31'!P68</f>
        <v>0</v>
      </c>
      <c r="Q68" s="105">
        <f>+'1'!Q68+'2'!Q68+'4'!Q68+'3'!Q68+'5'!Q68+'6'!Q68+'7'!Q68+'8'!Q68+'9'!Q68+'13'!Q68+'10'!Q68+'12'!Q68+'11'!Q68+'14'!Q68+'15'!Q68+'16'!Q68+'17'!Q68+'18'!Q68+'19'!Q68+'20'!Q68+'21'!Q68+'22'!Q68+'23'!Q68+'24'!Q68+'25'!Q68+'26'!Q68+'28'!Q68+'27'!Q68+'29'!Q68+'30'!Q68+'31'!Q68</f>
        <v>0</v>
      </c>
      <c r="R68" s="109">
        <f>+'1'!R68+'2'!R68+'4'!R68+'3'!R68+'5'!R68+'6'!R68+'7'!R68+'8'!R68+'9'!R68+'13'!R68+'10'!R68+'12'!R68+'11'!R68+'14'!R68+'15'!R68+'16'!R68+'17'!R68+'18'!R68+'19'!R68+'20'!R68+'21'!R68+'22'!R68+'23'!R68+'24'!R68+'25'!R68+'26'!R68+'28'!R68+'27'!R68+'29'!R68+'30'!R68+'31'!R68</f>
        <v>0</v>
      </c>
      <c r="S68" s="110">
        <f>+'1'!S68+'2'!S68+'4'!S68+'3'!S68+'5'!S68+'6'!S68+'7'!S68+'8'!S68+'9'!S68+'13'!S68+'10'!S68+'12'!S68+'11'!S68+'14'!S68+'15'!S68+'16'!S68+'17'!S68+'18'!S68+'19'!S68+'20'!S68+'21'!S68+'22'!S68+'23'!S68+'24'!S68+'25'!S68+'26'!S68+'28'!S68+'27'!S68+'29'!S68+'30'!S68+'31'!S68</f>
        <v>0</v>
      </c>
      <c r="T68" s="111">
        <f>+'1'!T68+'2'!T68+'4'!T68+'3'!T68+'5'!T68+'6'!T68+'7'!T68+'8'!T68+'9'!T68+'13'!T68+'10'!T68+'12'!T68+'11'!T68+'14'!T68+'15'!T68+'16'!T68+'17'!T68+'18'!T68+'19'!T68+'20'!T68+'21'!T68+'22'!T68+'23'!T68+'24'!T68+'25'!T68+'26'!T68+'28'!T68+'27'!T68+'29'!T68+'30'!T68+'31'!T68</f>
        <v>0</v>
      </c>
      <c r="U68" s="71">
        <f t="shared" si="12"/>
        <v>5</v>
      </c>
      <c r="V68" s="95" t="str">
        <f t="shared" si="11"/>
        <v>OK</v>
      </c>
    </row>
    <row r="69" spans="1:22" x14ac:dyDescent="0.3">
      <c r="A69" s="99" t="s">
        <v>117</v>
      </c>
      <c r="B69" s="76">
        <v>22115</v>
      </c>
      <c r="C69" s="82" t="s">
        <v>118</v>
      </c>
      <c r="D69" s="72"/>
      <c r="E69" s="72"/>
      <c r="F69" s="72"/>
      <c r="G69" s="73"/>
      <c r="H69" s="81"/>
      <c r="I69" s="82">
        <f>+'1'!I69+'2'!I69+'4'!I69+'3'!I69+'5'!I69+'6'!I69+'7'!I69+'8'!I69+'9'!I69+'13'!I69+'10'!I69+'12'!I69+'11'!I69+'14'!I69+'15'!I69+'16'!I69+'17'!I69+'18'!I69+'19'!I69+'20'!I69+'21'!I69+'22'!I69+'23'!I69+'24'!I69+'25'!I69+'26'!I69+'28'!I69+'27'!I69+'29'!I69+'30'!I69+'31'!I69</f>
        <v>14</v>
      </c>
      <c r="J69" s="82"/>
      <c r="K69" s="11"/>
      <c r="L69" s="82">
        <f>+'1'!L69+'2'!L69+'4'!L69+'3'!L69+'5'!L69+'6'!L69+'7'!L69+'8'!L69+'9'!L69+'13'!L69+'10'!L69+'12'!L69+'11'!L69+'14'!L69+'15'!L69+'16'!L69+'17'!L69+'18'!L69+'19'!L69+'20'!L69+'21'!L69+'22'!L69+'23'!L69+'24'!L69+'25'!L69+'26'!L69+'28'!L69+'27'!L69+'29'!L69+'30'!L69+'31'!L69</f>
        <v>0</v>
      </c>
      <c r="M69" s="82">
        <f>+'1'!M69+'2'!M69+'4'!M69+'3'!M69+'5'!M69+'6'!M69+'7'!M69+'8'!M69+'9'!M69+'13'!M69+'10'!M69+'12'!M69+'11'!M69+'14'!M69+'15'!M69+'16'!M69+'17'!M69+'18'!M69+'19'!M69+'20'!M69+'21'!M69+'22'!M69+'23'!M69+'24'!M69+'25'!M69+'26'!M69+'28'!M69+'27'!M69+'29'!M69+'30'!M69+'31'!M69</f>
        <v>14</v>
      </c>
      <c r="N69" s="82">
        <f>+'1'!N69+'2'!N69+'4'!N69+'3'!N69+'5'!N69+'6'!N69+'7'!N69+'8'!N69+'9'!N69+'13'!N69+'10'!N69+'12'!N69+'11'!N69+'14'!N69+'15'!N69+'16'!N69+'17'!N69+'18'!N69+'19'!N69+'20'!N69+'21'!N69+'22'!N69+'23'!N69+'24'!N69+'25'!N69+'26'!N69+'28'!N69+'27'!N69+'29'!N69+'30'!N69+'31'!N69</f>
        <v>0</v>
      </c>
      <c r="O69" s="82">
        <f>+'1'!O69+'2'!O69+'4'!O69+'3'!O69+'5'!O69+'6'!O69+'7'!O69+'8'!O69+'9'!O69+'13'!O69+'10'!O69+'12'!O69+'11'!O69+'14'!O69+'15'!O69+'16'!O69+'17'!O69+'18'!O69+'19'!O69+'20'!O69+'21'!O69+'22'!O69+'23'!O69+'24'!O69+'25'!O69+'26'!O69+'28'!O69+'27'!O69+'29'!O69+'30'!O69+'31'!O69</f>
        <v>0</v>
      </c>
      <c r="P69" s="82">
        <f>+'1'!P69+'2'!P69+'4'!P69+'3'!P69+'5'!P69+'6'!P69+'7'!P69+'8'!P69+'9'!P69+'13'!P69+'10'!P69+'12'!P69+'11'!P69+'14'!P69+'15'!P69+'16'!P69+'17'!P69+'18'!P69+'19'!P69+'20'!P69+'21'!P69+'22'!P69+'23'!P69+'24'!P69+'25'!P69+'26'!P69+'28'!P69+'27'!P69+'29'!P69+'30'!P69+'31'!P69</f>
        <v>0</v>
      </c>
      <c r="Q69" s="82">
        <f>+'1'!Q69+'2'!Q69+'4'!Q69+'3'!Q69+'5'!Q69+'6'!Q69+'7'!Q69+'8'!Q69+'9'!Q69+'13'!Q69+'10'!Q69+'12'!Q69+'11'!Q69+'14'!Q69+'15'!Q69+'16'!Q69+'17'!Q69+'18'!Q69+'19'!Q69+'20'!Q69+'21'!Q69+'22'!Q69+'23'!Q69+'24'!Q69+'25'!Q69+'26'!Q69+'28'!Q69+'27'!Q69+'29'!Q69+'30'!Q69+'31'!Q69</f>
        <v>0</v>
      </c>
      <c r="R69" s="83">
        <f>+'1'!R69+'2'!R69+'4'!R69+'3'!R69+'5'!R69+'6'!R69+'7'!R69+'8'!R69+'9'!R69+'13'!R69+'10'!R69+'12'!R69+'11'!R69+'14'!R69+'15'!R69+'16'!R69+'17'!R69+'18'!R69+'19'!R69+'20'!R69+'21'!R69+'22'!R69+'23'!R69+'24'!R69+'25'!R69+'26'!R69+'28'!R69+'27'!R69+'29'!R69+'30'!R69+'31'!R69</f>
        <v>0</v>
      </c>
      <c r="S69" s="84">
        <f>+'1'!S69+'2'!S69+'4'!S69+'3'!S69+'5'!S69+'6'!S69+'7'!S69+'8'!S69+'9'!S69+'13'!S69+'10'!S69+'12'!S69+'11'!S69+'14'!S69+'15'!S69+'16'!S69+'17'!S69+'18'!S69+'19'!S69+'20'!S69+'21'!S69+'22'!S69+'23'!S69+'24'!S69+'25'!S69+'26'!S69+'28'!S69+'27'!S69+'29'!S69+'30'!S69+'31'!S69</f>
        <v>0</v>
      </c>
      <c r="T69" s="85">
        <f>+'1'!T69+'2'!T69+'4'!T69+'3'!T69+'5'!T69+'6'!T69+'7'!T69+'8'!T69+'9'!T69+'13'!T69+'10'!T69+'12'!T69+'11'!T69+'14'!T69+'15'!T69+'16'!T69+'17'!T69+'18'!T69+'19'!T69+'20'!T69+'21'!T69+'22'!T69+'23'!T69+'24'!T69+'25'!T69+'26'!T69+'28'!T69+'27'!T69+'29'!T69+'30'!T69+'31'!T69</f>
        <v>0</v>
      </c>
      <c r="U69" s="75">
        <f t="shared" ref="U69" si="14">SUM(L69:T69)</f>
        <v>14</v>
      </c>
      <c r="V69" s="93" t="str">
        <f t="shared" ref="V69" si="15">IF(U69=I69,"OK","NG")</f>
        <v>OK</v>
      </c>
    </row>
    <row r="70" spans="1:22" x14ac:dyDescent="0.3">
      <c r="A70" s="54" t="s">
        <v>120</v>
      </c>
      <c r="B70" s="63">
        <v>22706</v>
      </c>
      <c r="C70" s="18" t="s">
        <v>119</v>
      </c>
      <c r="D70" s="67"/>
      <c r="E70" s="67"/>
      <c r="F70" s="67"/>
      <c r="G70" s="68"/>
      <c r="H70" s="21"/>
      <c r="I70" s="22">
        <f>+'1'!I70+'2'!I70+'4'!I70+'3'!I70+'5'!I70+'6'!I70+'7'!I70+'8'!I70+'9'!I70+'13'!I70+'10'!I70+'12'!I70+'11'!I70+'14'!I70+'15'!I70+'16'!I70+'17'!I70+'18'!I70+'19'!I70+'20'!I70+'21'!I70+'22'!I70+'23'!I70+'24'!I70+'25'!I70+'26'!I70+'28'!I70+'27'!I70+'29'!I70+'30'!I70+'31'!I70</f>
        <v>15</v>
      </c>
      <c r="J70" s="22"/>
      <c r="K70" s="11"/>
      <c r="L70" s="22">
        <f>+'1'!L70+'2'!L70+'4'!L70+'3'!L70+'5'!L70+'6'!L70+'7'!L70+'8'!L70+'9'!L70+'13'!L70+'10'!L70+'12'!L70+'11'!L70+'14'!L70+'15'!L70+'16'!L70+'17'!L70+'18'!L70+'19'!L70+'20'!L70+'21'!L70+'22'!L70+'23'!L70+'24'!L70+'25'!L70+'26'!L70+'28'!L70+'27'!L70+'29'!L70+'30'!L70+'31'!L70</f>
        <v>0</v>
      </c>
      <c r="M70" s="22">
        <f>+'1'!M70+'2'!M70+'4'!M70+'3'!M70+'5'!M70+'6'!M70+'7'!M70+'8'!M70+'9'!M70+'13'!M70+'10'!M70+'12'!M70+'11'!M70+'14'!M70+'15'!M70+'16'!M70+'17'!M70+'18'!M70+'19'!M70+'20'!M70+'21'!M70+'22'!M70+'23'!M70+'24'!M70+'25'!M70+'26'!M70+'28'!M70+'27'!M70+'29'!M70+'30'!M70+'31'!M70</f>
        <v>15</v>
      </c>
      <c r="N70" s="22">
        <f>+'1'!N70+'2'!N70+'4'!N70+'3'!N70+'5'!N70+'6'!N70+'7'!N70+'8'!N70+'9'!N70+'13'!N70+'10'!N70+'12'!N70+'11'!N70+'14'!N70+'15'!N70+'16'!N70+'17'!N70+'18'!N70+'19'!N70+'20'!N70+'21'!N70+'22'!N70+'23'!N70+'24'!N70+'25'!N70+'26'!N70+'28'!N70+'27'!N70+'29'!N70+'30'!N70+'31'!N70</f>
        <v>0</v>
      </c>
      <c r="O70" s="22">
        <f>+'1'!O70+'2'!O70+'4'!O70+'3'!O70+'5'!O70+'6'!O70+'7'!O70+'8'!O70+'9'!O70+'13'!O70+'10'!O70+'12'!O70+'11'!O70+'14'!O70+'15'!O70+'16'!O70+'17'!O70+'18'!O70+'19'!O70+'20'!O70+'21'!O70+'22'!O70+'23'!O70+'24'!O70+'25'!O70+'26'!O70+'28'!O70+'27'!O70+'29'!O70+'30'!O70+'31'!O70</f>
        <v>0</v>
      </c>
      <c r="P70" s="22">
        <f>+'1'!P70+'2'!P70+'4'!P70+'3'!P70+'5'!P70+'6'!P70+'7'!P70+'8'!P70+'9'!P70+'13'!P70+'10'!P70+'12'!P70+'11'!P70+'14'!P70+'15'!P70+'16'!P70+'17'!P70+'18'!P70+'19'!P70+'20'!P70+'21'!P70+'22'!P70+'23'!P70+'24'!P70+'25'!P70+'26'!P70+'28'!P70+'27'!P70+'29'!P70+'30'!P70+'31'!P70</f>
        <v>0</v>
      </c>
      <c r="Q70" s="22">
        <f>+'1'!Q70+'2'!Q70+'4'!Q70+'3'!Q70+'5'!Q70+'6'!Q70+'7'!Q70+'8'!Q70+'9'!Q70+'13'!Q70+'10'!Q70+'12'!Q70+'11'!Q70+'14'!Q70+'15'!Q70+'16'!Q70+'17'!Q70+'18'!Q70+'19'!Q70+'20'!Q70+'21'!Q70+'22'!Q70+'23'!Q70+'24'!Q70+'25'!Q70+'26'!Q70+'28'!Q70+'27'!Q70+'29'!Q70+'30'!Q70+'31'!Q70</f>
        <v>0</v>
      </c>
      <c r="R70" s="36">
        <f>+'1'!R70+'2'!R70+'4'!R70+'3'!R70+'5'!R70+'6'!R70+'7'!R70+'8'!R70+'9'!R70+'13'!R70+'10'!R70+'12'!R70+'11'!R70+'14'!R70+'15'!R70+'16'!R70+'17'!R70+'18'!R70+'19'!R70+'20'!R70+'21'!R70+'22'!R70+'23'!R70+'24'!R70+'25'!R70+'26'!R70+'28'!R70+'27'!R70+'29'!R70+'30'!R70+'31'!R70</f>
        <v>0</v>
      </c>
      <c r="S70" s="44">
        <f>+'1'!S70+'2'!S70+'4'!S70+'3'!S70+'5'!S70+'6'!S70+'7'!S70+'8'!S70+'9'!S70+'13'!S70+'10'!S70+'12'!S70+'11'!S70+'14'!S70+'15'!S70+'16'!S70+'17'!S70+'18'!S70+'19'!S70+'20'!S70+'21'!S70+'22'!S70+'23'!S70+'24'!S70+'25'!S70+'26'!S70+'28'!S70+'27'!S70+'29'!S70+'30'!S70+'31'!S70</f>
        <v>0</v>
      </c>
      <c r="T70" s="47">
        <f>+'1'!T70+'2'!T70+'4'!T70+'3'!T70+'5'!T70+'6'!T70+'7'!T70+'8'!T70+'9'!T70+'13'!T70+'10'!T70+'12'!T70+'11'!T70+'14'!T70+'15'!T70+'16'!T70+'17'!T70+'18'!T70+'19'!T70+'20'!T70+'21'!T70+'22'!T70+'23'!T70+'24'!T70+'25'!T70+'26'!T70+'28'!T70+'27'!T70+'29'!T70+'30'!T70+'31'!T70</f>
        <v>0</v>
      </c>
      <c r="U70" s="52">
        <f t="shared" ref="U70" si="16">SUM(L70:T70)</f>
        <v>15</v>
      </c>
      <c r="V70" s="95" t="str">
        <f t="shared" ref="V70:V80" si="17">IF(U70=I70,"OK","NG")</f>
        <v>OK</v>
      </c>
    </row>
    <row r="71" spans="1:22" x14ac:dyDescent="0.3">
      <c r="A71" s="99" t="s">
        <v>121</v>
      </c>
      <c r="B71" s="76">
        <v>22886</v>
      </c>
      <c r="C71" s="82" t="s">
        <v>46</v>
      </c>
      <c r="D71" s="72"/>
      <c r="E71" s="72"/>
      <c r="F71" s="72"/>
      <c r="G71" s="73"/>
      <c r="H71" s="81"/>
      <c r="I71" s="82">
        <f>+'1'!I71+'2'!I71+'4'!I71+'3'!I71+'5'!I71+'6'!I71+'7'!I71+'8'!I71+'9'!I71+'13'!I71+'10'!I71+'12'!I71+'11'!I71+'14'!I71+'15'!I71+'16'!I71+'17'!I71+'18'!I71+'19'!I71+'20'!I71+'21'!I71+'22'!I71+'23'!I71+'24'!I71+'25'!I71+'26'!I71+'28'!I71+'27'!I71+'29'!I71+'30'!I71+'31'!I71</f>
        <v>0</v>
      </c>
      <c r="J71" s="82"/>
      <c r="K71" s="11"/>
      <c r="L71" s="82">
        <f>+'1'!L71+'2'!L71+'4'!L71+'3'!L71+'5'!L71+'6'!L71+'7'!L71+'8'!L71+'9'!L71+'13'!L71+'10'!L71+'12'!L71+'11'!L71+'14'!L71+'15'!L71+'16'!L71+'17'!L71+'18'!L71+'19'!L71+'20'!L71+'21'!L71+'22'!L71+'23'!L71+'24'!L71+'25'!L71+'26'!L71+'28'!L71+'27'!L71+'29'!L71+'30'!L71+'31'!L71</f>
        <v>0</v>
      </c>
      <c r="M71" s="82">
        <f>+'1'!M71+'2'!M71+'4'!M71+'3'!M71+'5'!M71+'6'!M71+'7'!M71+'8'!M71+'9'!M71+'13'!M71+'10'!M71+'12'!M71+'11'!M71+'14'!M71+'15'!M71+'16'!M71+'17'!M71+'18'!M71+'19'!M71+'20'!M71+'21'!M71+'22'!M71+'23'!M71+'24'!M71+'25'!M71+'26'!M71+'28'!M71+'27'!M71+'29'!M71+'30'!M71+'31'!M71</f>
        <v>0</v>
      </c>
      <c r="N71" s="82">
        <f>+'1'!N71+'2'!N71+'4'!N71+'3'!N71+'5'!N71+'6'!N71+'7'!N71+'8'!N71+'9'!N71+'13'!N71+'10'!N71+'12'!N71+'11'!N71+'14'!N71+'15'!N71+'16'!N71+'17'!N71+'18'!N71+'19'!N71+'20'!N71+'21'!N71+'22'!N71+'23'!N71+'24'!N71+'25'!N71+'26'!N71+'28'!N71+'27'!N71+'29'!N71+'30'!N71+'31'!N71</f>
        <v>0</v>
      </c>
      <c r="O71" s="82">
        <f>+'1'!O71+'2'!O71+'4'!O71+'3'!O71+'5'!O71+'6'!O71+'7'!O71+'8'!O71+'9'!O71+'13'!O71+'10'!O71+'12'!O71+'11'!O71+'14'!O71+'15'!O71+'16'!O71+'17'!O71+'18'!O71+'19'!O71+'20'!O71+'21'!O71+'22'!O71+'23'!O71+'24'!O71+'25'!O71+'26'!O71+'28'!O71+'27'!O71+'29'!O71+'30'!O71+'31'!O71</f>
        <v>0</v>
      </c>
      <c r="P71" s="82">
        <f>+'1'!P71+'2'!P71+'4'!P71+'3'!P71+'5'!P71+'6'!P71+'7'!P71+'8'!P71+'9'!P71+'13'!P71+'10'!P71+'12'!P71+'11'!P71+'14'!P71+'15'!P71+'16'!P71+'17'!P71+'18'!P71+'19'!P71+'20'!P71+'21'!P71+'22'!P71+'23'!P71+'24'!P71+'25'!P71+'26'!P71+'28'!P71+'27'!P71+'29'!P71+'30'!P71+'31'!P71</f>
        <v>0</v>
      </c>
      <c r="Q71" s="82">
        <f>+'1'!Q71+'2'!Q71+'4'!Q71+'3'!Q71+'5'!Q71+'6'!Q71+'7'!Q71+'8'!Q71+'9'!Q71+'13'!Q71+'10'!Q71+'12'!Q71+'11'!Q71+'14'!Q71+'15'!Q71+'16'!Q71+'17'!Q71+'18'!Q71+'19'!Q71+'20'!Q71+'21'!Q71+'22'!Q71+'23'!Q71+'24'!Q71+'25'!Q71+'26'!Q71+'28'!Q71+'27'!Q71+'29'!Q71+'30'!Q71+'31'!Q71</f>
        <v>0</v>
      </c>
      <c r="R71" s="83">
        <f>+'1'!R71+'2'!R71+'4'!R71+'3'!R71+'5'!R71+'6'!R71+'7'!R71+'8'!R71+'9'!R71+'13'!R71+'10'!R71+'12'!R71+'11'!R71+'14'!R71+'15'!R71+'16'!R71+'17'!R71+'18'!R71+'19'!R71+'20'!R71+'21'!R71+'22'!R71+'23'!R71+'24'!R71+'25'!R71+'26'!R71+'28'!R71+'27'!R71+'29'!R71+'30'!R71+'31'!R71</f>
        <v>0</v>
      </c>
      <c r="S71" s="84">
        <f>+'1'!S71+'2'!S71+'4'!S71+'3'!S71+'5'!S71+'6'!S71+'7'!S71+'8'!S71+'9'!S71+'13'!S71+'10'!S71+'12'!S71+'11'!S71+'14'!S71+'15'!S71+'16'!S71+'17'!S71+'18'!S71+'19'!S71+'20'!S71+'21'!S71+'22'!S71+'23'!S71+'24'!S71+'25'!S71+'26'!S71+'28'!S71+'27'!S71+'29'!S71+'30'!S71+'31'!S71</f>
        <v>0</v>
      </c>
      <c r="T71" s="85">
        <f>+'1'!T71+'2'!T71+'4'!T71+'3'!T71+'5'!T71+'6'!T71+'7'!T71+'8'!T71+'9'!T71+'13'!T71+'10'!T71+'12'!T71+'11'!T71+'14'!T71+'15'!T71+'16'!T71+'17'!T71+'18'!T71+'19'!T71+'20'!T71+'21'!T71+'22'!T71+'23'!T71+'24'!T71+'25'!T71+'26'!T71+'28'!T71+'27'!T71+'29'!T71+'30'!T71+'31'!T71</f>
        <v>0</v>
      </c>
      <c r="U71" s="75">
        <f>SUM(L71:T71)</f>
        <v>0</v>
      </c>
      <c r="V71" s="93" t="str">
        <f t="shared" si="17"/>
        <v>OK</v>
      </c>
    </row>
    <row r="72" spans="1:22" x14ac:dyDescent="0.3">
      <c r="A72" s="54" t="s">
        <v>122</v>
      </c>
      <c r="B72" s="63">
        <v>17528</v>
      </c>
      <c r="C72" s="18" t="s">
        <v>123</v>
      </c>
      <c r="D72" s="67"/>
      <c r="E72" s="67"/>
      <c r="F72" s="67"/>
      <c r="G72" s="68"/>
      <c r="H72" s="21"/>
      <c r="I72" s="105">
        <f>+'1'!I72+'2'!I72+'4'!I72+'3'!I72+'5'!I72+'6'!I72+'7'!I72+'8'!I72+'9'!I72+'13'!I72+'10'!I72+'12'!I72+'11'!I72+'14'!I72+'15'!I72+'16'!I72+'17'!I72+'18'!I72+'19'!I72+'20'!I72+'21'!I72+'22'!I72+'23'!I72+'24'!I72+'25'!I72+'26'!I72+'28'!I72+'27'!I72+'29'!I72+'30'!I72+'31'!I72</f>
        <v>0</v>
      </c>
      <c r="J72" s="105"/>
      <c r="K72" s="11"/>
      <c r="L72" s="105">
        <f>+'1'!L72+'2'!L72+'4'!L72+'3'!L72+'5'!L72+'6'!L72+'7'!L72+'8'!L72+'9'!L72+'13'!L72+'10'!L72+'12'!L72+'11'!L72+'14'!L72+'15'!L72+'16'!L72+'17'!L72+'18'!L72+'19'!L72+'20'!L72+'21'!L72+'22'!L72+'23'!L72+'24'!L72+'25'!L72+'26'!L72+'28'!L72+'27'!L72+'29'!L72+'30'!L72+'31'!L72</f>
        <v>0</v>
      </c>
      <c r="M72" s="105">
        <f>+'1'!M72+'2'!M72+'4'!M72+'3'!M72+'5'!M72+'6'!M72+'7'!M72+'8'!M72+'9'!M72+'13'!M72+'10'!M72+'12'!M72+'11'!M72+'14'!M72+'15'!M72+'16'!M72+'17'!M72+'18'!M72+'19'!M72+'20'!M72+'21'!M72+'22'!M72+'23'!M72+'24'!M72+'25'!M72+'26'!M72+'28'!M72+'27'!M72+'29'!M72+'30'!M72+'31'!M72</f>
        <v>0</v>
      </c>
      <c r="N72" s="105">
        <f>+'1'!N72+'2'!N72+'4'!N72+'3'!N72+'5'!N72+'6'!N72+'7'!N72+'8'!N72+'9'!N72+'13'!N72+'10'!N72+'12'!N72+'11'!N72+'14'!N72+'15'!N72+'16'!N72+'17'!N72+'18'!N72+'19'!N72+'20'!N72+'21'!N72+'22'!N72+'23'!N72+'24'!N72+'25'!N72+'26'!N72+'28'!N72+'27'!N72+'29'!N72+'30'!N72+'31'!N72</f>
        <v>0</v>
      </c>
      <c r="O72" s="105">
        <f>+'1'!O72+'2'!O72+'4'!O72+'3'!O72+'5'!O72+'6'!O72+'7'!O72+'8'!O72+'9'!O72+'13'!O72+'10'!O72+'12'!O72+'11'!O72+'14'!O72+'15'!O72+'16'!O72+'17'!O72+'18'!O72+'19'!O72+'20'!O72+'21'!O72+'22'!O72+'23'!O72+'24'!O72+'25'!O72+'26'!O72+'28'!O72+'27'!O72+'29'!O72+'30'!O72+'31'!O72</f>
        <v>0</v>
      </c>
      <c r="P72" s="105">
        <f>+'1'!P72+'2'!P72+'4'!P72+'3'!P72+'5'!P72+'6'!P72+'7'!P72+'8'!P72+'9'!P72+'13'!P72+'10'!P72+'12'!P72+'11'!P72+'14'!P72+'15'!P72+'16'!P72+'17'!P72+'18'!P72+'19'!P72+'20'!P72+'21'!P72+'22'!P72+'23'!P72+'24'!P72+'25'!P72+'26'!P72+'28'!P72+'27'!P72+'29'!P72+'30'!P72+'31'!P72</f>
        <v>0</v>
      </c>
      <c r="Q72" s="105">
        <f>+'1'!Q72+'2'!Q72+'4'!Q72+'3'!Q72+'5'!Q72+'6'!Q72+'7'!Q72+'8'!Q72+'9'!Q72+'13'!Q72+'10'!Q72+'12'!Q72+'11'!Q72+'14'!Q72+'15'!Q72+'16'!Q72+'17'!Q72+'18'!Q72+'19'!Q72+'20'!Q72+'21'!Q72+'22'!Q72+'23'!Q72+'24'!Q72+'25'!Q72+'26'!Q72+'28'!Q72+'27'!Q72+'29'!Q72+'30'!Q72+'31'!Q72</f>
        <v>0</v>
      </c>
      <c r="R72" s="109">
        <f>+'1'!R72+'2'!R72+'4'!R72+'3'!R72+'5'!R72+'6'!R72+'7'!R72+'8'!R72+'9'!R72+'13'!R72+'10'!R72+'12'!R72+'11'!R72+'14'!R72+'15'!R72+'16'!R72+'17'!R72+'18'!R72+'19'!R72+'20'!R72+'21'!R72+'22'!R72+'23'!R72+'24'!R72+'25'!R72+'26'!R72+'28'!R72+'27'!R72+'29'!R72+'30'!R72+'31'!R72</f>
        <v>0</v>
      </c>
      <c r="S72" s="110">
        <f>+'1'!S72+'2'!S72+'4'!S72+'3'!S72+'5'!S72+'6'!S72+'7'!S72+'8'!S72+'9'!S72+'13'!S72+'10'!S72+'12'!S72+'11'!S72+'14'!S72+'15'!S72+'16'!S72+'17'!S72+'18'!S72+'19'!S72+'20'!S72+'21'!S72+'22'!S72+'23'!S72+'24'!S72+'25'!S72+'26'!S72+'28'!S72+'27'!S72+'29'!S72+'30'!S72+'31'!S72</f>
        <v>0</v>
      </c>
      <c r="T72" s="111">
        <f>+'1'!T72+'2'!T72+'4'!T72+'3'!T72+'5'!T72+'6'!T72+'7'!T72+'8'!T72+'9'!T72+'13'!T72+'10'!T72+'12'!T72+'11'!T72+'14'!T72+'15'!T72+'16'!T72+'17'!T72+'18'!T72+'19'!T72+'20'!T72+'21'!T72+'22'!T72+'23'!T72+'24'!T72+'25'!T72+'26'!T72+'28'!T72+'27'!T72+'29'!T72+'30'!T72+'31'!T72</f>
        <v>0</v>
      </c>
      <c r="U72" s="71">
        <f t="shared" ref="U72:U76" si="18">SUM(L72:T72)</f>
        <v>0</v>
      </c>
      <c r="V72" s="95" t="str">
        <f t="shared" si="17"/>
        <v>OK</v>
      </c>
    </row>
    <row r="73" spans="1:22" x14ac:dyDescent="0.3">
      <c r="A73" s="99" t="s">
        <v>124</v>
      </c>
      <c r="B73" s="76">
        <v>22380</v>
      </c>
      <c r="C73" s="82" t="s">
        <v>47</v>
      </c>
      <c r="D73" s="72"/>
      <c r="E73" s="72"/>
      <c r="F73" s="72"/>
      <c r="G73" s="73"/>
      <c r="H73" s="81"/>
      <c r="I73" s="82">
        <f>+'1'!I73+'2'!I73+'4'!I73+'3'!I73+'5'!I73+'6'!I73+'7'!I73+'8'!I73+'9'!I73+'13'!I73+'10'!I73+'12'!I73+'11'!I73+'14'!I73+'15'!I73+'16'!I73+'17'!I73+'18'!I73+'19'!I73+'20'!I73+'21'!I73+'22'!I73+'23'!I73+'24'!I73+'25'!I73+'26'!I73+'28'!I73+'27'!I73+'29'!I73+'30'!I73+'31'!I73</f>
        <v>0</v>
      </c>
      <c r="J73" s="82"/>
      <c r="K73" s="11"/>
      <c r="L73" s="82">
        <f>+'1'!L73+'2'!L73+'4'!L73+'3'!L73+'5'!L73+'6'!L73+'7'!L73+'8'!L73+'9'!L73+'13'!L73+'10'!L73+'12'!L73+'11'!L73+'14'!L73+'15'!L73+'16'!L73+'17'!L73+'18'!L73+'19'!L73+'20'!L73+'21'!L73+'22'!L73+'23'!L73+'24'!L73+'25'!L73+'26'!L73+'28'!L73+'27'!L73+'29'!L73+'30'!L73+'31'!L73</f>
        <v>0</v>
      </c>
      <c r="M73" s="82">
        <f>+'1'!M73+'2'!M73+'4'!M73+'3'!M73+'5'!M73+'6'!M73+'7'!M73+'8'!M73+'9'!M73+'13'!M73+'10'!M73+'12'!M73+'11'!M73+'14'!M73+'15'!M73+'16'!M73+'17'!M73+'18'!M73+'19'!M73+'20'!M73+'21'!M73+'22'!M73+'23'!M73+'24'!M73+'25'!M73+'26'!M73+'28'!M73+'27'!M73+'29'!M73+'30'!M73+'31'!M73</f>
        <v>0</v>
      </c>
      <c r="N73" s="82">
        <f>+'1'!N73+'2'!N73+'4'!N73+'3'!N73+'5'!N73+'6'!N73+'7'!N73+'8'!N73+'9'!N73+'13'!N73+'10'!N73+'12'!N73+'11'!N73+'14'!N73+'15'!N73+'16'!N73+'17'!N73+'18'!N73+'19'!N73+'20'!N73+'21'!N73+'22'!N73+'23'!N73+'24'!N73+'25'!N73+'26'!N73+'28'!N73+'27'!N73+'29'!N73+'30'!N73+'31'!N73</f>
        <v>0</v>
      </c>
      <c r="O73" s="82">
        <f>+'1'!O73+'2'!O73+'4'!O73+'3'!O73+'5'!O73+'6'!O73+'7'!O73+'8'!O73+'9'!O73+'13'!O73+'10'!O73+'12'!O73+'11'!O73+'14'!O73+'15'!O73+'16'!O73+'17'!O73+'18'!O73+'19'!O73+'20'!O73+'21'!O73+'22'!O73+'23'!O73+'24'!O73+'25'!O73+'26'!O73+'28'!O73+'27'!O73+'29'!O73+'30'!O73+'31'!O73</f>
        <v>0</v>
      </c>
      <c r="P73" s="82">
        <f>+'1'!P73+'2'!P73+'4'!P73+'3'!P73+'5'!P73+'6'!P73+'7'!P73+'8'!P73+'9'!P73+'13'!P73+'10'!P73+'12'!P73+'11'!P73+'14'!P73+'15'!P73+'16'!P73+'17'!P73+'18'!P73+'19'!P73+'20'!P73+'21'!P73+'22'!P73+'23'!P73+'24'!P73+'25'!P73+'26'!P73+'28'!P73+'27'!P73+'29'!P73+'30'!P73+'31'!P73</f>
        <v>0</v>
      </c>
      <c r="Q73" s="82">
        <f>+'1'!Q73+'2'!Q73+'4'!Q73+'3'!Q73+'5'!Q73+'6'!Q73+'7'!Q73+'8'!Q73+'9'!Q73+'13'!Q73+'10'!Q73+'12'!Q73+'11'!Q73+'14'!Q73+'15'!Q73+'16'!Q73+'17'!Q73+'18'!Q73+'19'!Q73+'20'!Q73+'21'!Q73+'22'!Q73+'23'!Q73+'24'!Q73+'25'!Q73+'26'!Q73+'28'!Q73+'27'!Q73+'29'!Q73+'30'!Q73+'31'!Q73</f>
        <v>0</v>
      </c>
      <c r="R73" s="83">
        <f>+'1'!R73+'2'!R73+'4'!R73+'3'!R73+'5'!R73+'6'!R73+'7'!R73+'8'!R73+'9'!R73+'13'!R73+'10'!R73+'12'!R73+'11'!R73+'14'!R73+'15'!R73+'16'!R73+'17'!R73+'18'!R73+'19'!R73+'20'!R73+'21'!R73+'22'!R73+'23'!R73+'24'!R73+'25'!R73+'26'!R73+'28'!R73+'27'!R73+'29'!R73+'30'!R73+'31'!R73</f>
        <v>0</v>
      </c>
      <c r="S73" s="84">
        <f>+'1'!S73+'2'!S73+'4'!S73+'3'!S73+'5'!S73+'6'!S73+'7'!S73+'8'!S73+'9'!S73+'13'!S73+'10'!S73+'12'!S73+'11'!S73+'14'!S73+'15'!S73+'16'!S73+'17'!S73+'18'!S73+'19'!S73+'20'!S73+'21'!S73+'22'!S73+'23'!S73+'24'!S73+'25'!S73+'26'!S73+'28'!S73+'27'!S73+'29'!S73+'30'!S73+'31'!S73</f>
        <v>0</v>
      </c>
      <c r="T73" s="85">
        <f>+'1'!T73+'2'!T73+'4'!T73+'3'!T73+'5'!T73+'6'!T73+'7'!T73+'8'!T73+'9'!T73+'13'!T73+'10'!T73+'12'!T73+'11'!T73+'14'!T73+'15'!T73+'16'!T73+'17'!T73+'18'!T73+'19'!T73+'20'!T73+'21'!T73+'22'!T73+'23'!T73+'24'!T73+'25'!T73+'26'!T73+'28'!T73+'27'!T73+'29'!T73+'30'!T73+'31'!T73</f>
        <v>0</v>
      </c>
      <c r="U73" s="75">
        <f t="shared" si="18"/>
        <v>0</v>
      </c>
      <c r="V73" s="93" t="str">
        <f t="shared" si="17"/>
        <v>OK</v>
      </c>
    </row>
    <row r="74" spans="1:22" x14ac:dyDescent="0.3">
      <c r="A74" s="54" t="s">
        <v>125</v>
      </c>
      <c r="B74" s="63">
        <v>19279</v>
      </c>
      <c r="C74" s="18" t="s">
        <v>126</v>
      </c>
      <c r="D74" s="67"/>
      <c r="E74" s="67"/>
      <c r="F74" s="67"/>
      <c r="G74" s="68"/>
      <c r="H74" s="21"/>
      <c r="I74" s="105">
        <f>+'1'!I74+'2'!I74+'4'!I74+'3'!I74+'5'!I74+'6'!I74+'7'!I74+'8'!I74+'9'!I74+'13'!I74+'10'!I74+'12'!I74+'11'!I74+'14'!I74+'15'!I74+'16'!I74+'17'!I74+'18'!I74+'19'!I74+'20'!I74+'21'!I74+'22'!I74+'23'!I74+'24'!I74+'25'!I74+'26'!I74+'28'!I74+'27'!I74+'29'!I74+'30'!I74+'31'!I74</f>
        <v>0</v>
      </c>
      <c r="J74" s="105"/>
      <c r="K74" s="11"/>
      <c r="L74" s="105">
        <f>+'1'!L74+'2'!L74+'4'!L74+'3'!L74+'5'!L74+'6'!L74+'7'!L74+'8'!L74+'9'!L74+'13'!L74+'10'!L74+'12'!L74+'11'!L74+'14'!L74+'15'!L74+'16'!L74+'17'!L74+'18'!L74+'19'!L74+'20'!L74+'21'!L74+'22'!L74+'23'!L74+'24'!L74+'25'!L74+'26'!L74+'28'!L74+'27'!L74+'29'!L74+'30'!L74+'31'!L74</f>
        <v>0</v>
      </c>
      <c r="M74" s="105">
        <f>+'1'!M74+'2'!M74+'4'!M74+'3'!M74+'5'!M74+'6'!M74+'7'!M74+'8'!M74+'9'!M74+'13'!M74+'10'!M74+'12'!M74+'11'!M74+'14'!M74+'15'!M74+'16'!M74+'17'!M74+'18'!M74+'19'!M74+'20'!M74+'21'!M74+'22'!M74+'23'!M74+'24'!M74+'25'!M74+'26'!M74+'28'!M74+'27'!M74+'29'!M74+'30'!M74+'31'!M74</f>
        <v>0</v>
      </c>
      <c r="N74" s="105">
        <f>+'1'!N74+'2'!N74+'4'!N74+'3'!N74+'5'!N74+'6'!N74+'7'!N74+'8'!N74+'9'!N74+'13'!N74+'10'!N74+'12'!N74+'11'!N74+'14'!N74+'15'!N74+'16'!N74+'17'!N74+'18'!N74+'19'!N74+'20'!N74+'21'!N74+'22'!N74+'23'!N74+'24'!N74+'25'!N74+'26'!N74+'28'!N74+'27'!N74+'29'!N74+'30'!N74+'31'!N74</f>
        <v>0</v>
      </c>
      <c r="O74" s="105">
        <f>+'1'!O74+'2'!O74+'4'!O74+'3'!O74+'5'!O74+'6'!O74+'7'!O74+'8'!O74+'9'!O74+'13'!O74+'10'!O74+'12'!O74+'11'!O74+'14'!O74+'15'!O74+'16'!O74+'17'!O74+'18'!O74+'19'!O74+'20'!O74+'21'!O74+'22'!O74+'23'!O74+'24'!O74+'25'!O74+'26'!O74+'28'!O74+'27'!O74+'29'!O74+'30'!O74+'31'!O74</f>
        <v>0</v>
      </c>
      <c r="P74" s="105">
        <f>+'1'!P74+'2'!P74+'4'!P74+'3'!P74+'5'!P74+'6'!P74+'7'!P74+'8'!P74+'9'!P74+'13'!P74+'10'!P74+'12'!P74+'11'!P74+'14'!P74+'15'!P74+'16'!P74+'17'!P74+'18'!P74+'19'!P74+'20'!P74+'21'!P74+'22'!P74+'23'!P74+'24'!P74+'25'!P74+'26'!P74+'28'!P74+'27'!P74+'29'!P74+'30'!P74+'31'!P74</f>
        <v>0</v>
      </c>
      <c r="Q74" s="105">
        <f>+'1'!Q74+'2'!Q74+'4'!Q74+'3'!Q74+'5'!Q74+'6'!Q74+'7'!Q74+'8'!Q74+'9'!Q74+'13'!Q74+'10'!Q74+'12'!Q74+'11'!Q74+'14'!Q74+'15'!Q74+'16'!Q74+'17'!Q74+'18'!Q74+'19'!Q74+'20'!Q74+'21'!Q74+'22'!Q74+'23'!Q74+'24'!Q74+'25'!Q74+'26'!Q74+'28'!Q74+'27'!Q74+'29'!Q74+'30'!Q74+'31'!Q74</f>
        <v>0</v>
      </c>
      <c r="R74" s="109">
        <f>+'1'!R74+'2'!R74+'4'!R74+'3'!R74+'5'!R74+'6'!R74+'7'!R74+'8'!R74+'9'!R74+'13'!R74+'10'!R74+'12'!R74+'11'!R74+'14'!R74+'15'!R74+'16'!R74+'17'!R74+'18'!R74+'19'!R74+'20'!R74+'21'!R74+'22'!R74+'23'!R74+'24'!R74+'25'!R74+'26'!R74+'28'!R74+'27'!R74+'29'!R74+'30'!R74+'31'!R74</f>
        <v>0</v>
      </c>
      <c r="S74" s="110">
        <f>+'1'!S74+'2'!S74+'4'!S74+'3'!S74+'5'!S74+'6'!S74+'7'!S74+'8'!S74+'9'!S74+'13'!S74+'10'!S74+'12'!S74+'11'!S74+'14'!S74+'15'!S74+'16'!S74+'17'!S74+'18'!S74+'19'!S74+'20'!S74+'21'!S74+'22'!S74+'23'!S74+'24'!S74+'25'!S74+'26'!S74+'28'!S74+'27'!S74+'29'!S74+'30'!S74+'31'!S74</f>
        <v>0</v>
      </c>
      <c r="T74" s="111">
        <f>+'1'!T74+'2'!T74+'4'!T74+'3'!T74+'5'!T74+'6'!T74+'7'!T74+'8'!T74+'9'!T74+'13'!T74+'10'!T74+'12'!T74+'11'!T74+'14'!T74+'15'!T74+'16'!T74+'17'!T74+'18'!T74+'19'!T74+'20'!T74+'21'!T74+'22'!T74+'23'!T74+'24'!T74+'25'!T74+'26'!T74+'28'!T74+'27'!T74+'29'!T74+'30'!T74+'31'!T74</f>
        <v>0</v>
      </c>
      <c r="U74" s="71">
        <f t="shared" si="18"/>
        <v>0</v>
      </c>
      <c r="V74" s="95" t="str">
        <f t="shared" si="17"/>
        <v>OK</v>
      </c>
    </row>
    <row r="75" spans="1:22" x14ac:dyDescent="0.3">
      <c r="A75" s="99" t="s">
        <v>130</v>
      </c>
      <c r="B75" s="76">
        <v>22724</v>
      </c>
      <c r="C75" s="82" t="s">
        <v>119</v>
      </c>
      <c r="D75" s="72"/>
      <c r="E75" s="72"/>
      <c r="F75" s="72"/>
      <c r="G75" s="73"/>
      <c r="H75" s="81"/>
      <c r="I75" s="82">
        <f>+'1'!I75+'2'!I75+'4'!I75+'3'!I75+'5'!I75+'6'!I75+'7'!I75+'8'!I75+'9'!I75+'13'!I75+'10'!I75+'12'!I75+'11'!I75+'14'!I75+'15'!I75+'16'!I75+'17'!I75+'18'!I75+'19'!I75+'20'!I75+'21'!I75+'22'!I75+'23'!I75+'24'!I75+'25'!I75+'26'!I75+'28'!I75+'27'!I75+'29'!I75+'30'!I75+'31'!I75</f>
        <v>6</v>
      </c>
      <c r="J75" s="82"/>
      <c r="K75" s="11"/>
      <c r="L75" s="82">
        <f>+'1'!L75+'2'!L75+'4'!L75+'3'!L75+'5'!L75+'6'!L75+'7'!L75+'8'!L75+'9'!L75+'13'!L75+'10'!L75+'12'!L75+'11'!L75+'14'!L75+'15'!L75+'16'!L75+'17'!L75+'18'!L75+'19'!L75+'20'!L75+'21'!L75+'22'!L75+'23'!L75+'24'!L75+'25'!L75+'26'!L75+'28'!L75+'27'!L75+'29'!L75+'30'!L75+'31'!L75</f>
        <v>0</v>
      </c>
      <c r="M75" s="82">
        <f>+'1'!M75+'2'!M75+'4'!M75+'3'!M75+'5'!M75+'6'!M75+'7'!M75+'8'!M75+'9'!M75+'13'!M75+'10'!M75+'12'!M75+'11'!M75+'14'!M75+'15'!M75+'16'!M75+'17'!M75+'18'!M75+'19'!M75+'20'!M75+'21'!M75+'22'!M75+'23'!M75+'24'!M75+'25'!M75+'26'!M75+'28'!M75+'27'!M75+'29'!M75+'30'!M75+'31'!M75</f>
        <v>6</v>
      </c>
      <c r="N75" s="82">
        <f>+'1'!N75+'2'!N75+'4'!N75+'3'!N75+'5'!N75+'6'!N75+'7'!N75+'8'!N75+'9'!N75+'13'!N75+'10'!N75+'12'!N75+'11'!N75+'14'!N75+'15'!N75+'16'!N75+'17'!N75+'18'!N75+'19'!N75+'20'!N75+'21'!N75+'22'!N75+'23'!N75+'24'!N75+'25'!N75+'26'!N75+'28'!N75+'27'!N75+'29'!N75+'30'!N75+'31'!N75</f>
        <v>0</v>
      </c>
      <c r="O75" s="82">
        <f>+'1'!O75+'2'!O75+'4'!O75+'3'!O75+'5'!O75+'6'!O75+'7'!O75+'8'!O75+'9'!O75+'13'!O75+'10'!O75+'12'!O75+'11'!O75+'14'!O75+'15'!O75+'16'!O75+'17'!O75+'18'!O75+'19'!O75+'20'!O75+'21'!O75+'22'!O75+'23'!O75+'24'!O75+'25'!O75+'26'!O75+'28'!O75+'27'!O75+'29'!O75+'30'!O75+'31'!O75</f>
        <v>0</v>
      </c>
      <c r="P75" s="82">
        <f>+'1'!P75+'2'!P75+'4'!P75+'3'!P75+'5'!P75+'6'!P75+'7'!P75+'8'!P75+'9'!P75+'13'!P75+'10'!P75+'12'!P75+'11'!P75+'14'!P75+'15'!P75+'16'!P75+'17'!P75+'18'!P75+'19'!P75+'20'!P75+'21'!P75+'22'!P75+'23'!P75+'24'!P75+'25'!P75+'26'!P75+'28'!P75+'27'!P75+'29'!P75+'30'!P75+'31'!P75</f>
        <v>0</v>
      </c>
      <c r="Q75" s="82">
        <f>+'1'!Q75+'2'!Q75+'4'!Q75+'3'!Q75+'5'!Q75+'6'!Q75+'7'!Q75+'8'!Q75+'9'!Q75+'13'!Q75+'10'!Q75+'12'!Q75+'11'!Q75+'14'!Q75+'15'!Q75+'16'!Q75+'17'!Q75+'18'!Q75+'19'!Q75+'20'!Q75+'21'!Q75+'22'!Q75+'23'!Q75+'24'!Q75+'25'!Q75+'26'!Q75+'28'!Q75+'27'!Q75+'29'!Q75+'30'!Q75+'31'!Q75</f>
        <v>0</v>
      </c>
      <c r="R75" s="83">
        <f>+'1'!R75+'2'!R75+'4'!R75+'3'!R75+'5'!R75+'6'!R75+'7'!R75+'8'!R75+'9'!R75+'13'!R75+'10'!R75+'12'!R75+'11'!R75+'14'!R75+'15'!R75+'16'!R75+'17'!R75+'18'!R75+'19'!R75+'20'!R75+'21'!R75+'22'!R75+'23'!R75+'24'!R75+'25'!R75+'26'!R75+'28'!R75+'27'!R75+'29'!R75+'30'!R75+'31'!R75</f>
        <v>0</v>
      </c>
      <c r="S75" s="84">
        <f>+'1'!S75+'2'!S75+'4'!S75+'3'!S75+'5'!S75+'6'!S75+'7'!S75+'8'!S75+'9'!S75+'13'!S75+'10'!S75+'12'!S75+'11'!S75+'14'!S75+'15'!S75+'16'!S75+'17'!S75+'18'!S75+'19'!S75+'20'!S75+'21'!S75+'22'!S75+'23'!S75+'24'!S75+'25'!S75+'26'!S75+'28'!S75+'27'!S75+'29'!S75+'30'!S75+'31'!S75</f>
        <v>0</v>
      </c>
      <c r="T75" s="85">
        <f>+'1'!T75+'2'!T75+'4'!T75+'3'!T75+'5'!T75+'6'!T75+'7'!T75+'8'!T75+'9'!T75+'13'!T75+'10'!T75+'12'!T75+'11'!T75+'14'!T75+'15'!T75+'16'!T75+'17'!T75+'18'!T75+'19'!T75+'20'!T75+'21'!T75+'22'!T75+'23'!T75+'24'!T75+'25'!T75+'26'!T75+'28'!T75+'27'!T75+'29'!T75+'30'!T75+'31'!T75</f>
        <v>0</v>
      </c>
      <c r="U75" s="75">
        <f t="shared" ref="U75:U78" si="19">SUM(L75:T75)</f>
        <v>6</v>
      </c>
      <c r="V75" s="93" t="str">
        <f t="shared" ref="V75:V78" si="20">IF(U75=I75,"OK","NG")</f>
        <v>OK</v>
      </c>
    </row>
    <row r="76" spans="1:22" customFormat="1" x14ac:dyDescent="0.3">
      <c r="A76" s="54" t="s">
        <v>133</v>
      </c>
      <c r="B76" s="63">
        <v>22705</v>
      </c>
      <c r="C76" s="18" t="s">
        <v>119</v>
      </c>
      <c r="D76" s="18"/>
      <c r="E76" s="18"/>
      <c r="F76" s="18"/>
      <c r="G76" s="92"/>
      <c r="H76" s="22"/>
      <c r="I76" s="105">
        <f>+'1'!I76+'2'!I76+'4'!I76+'3'!I76+'5'!I76+'6'!I76+'7'!I76+'8'!I76+'9'!I76+'13'!I76+'10'!I76+'12'!I76+'11'!I76+'14'!I76+'15'!I76+'16'!I76+'17'!I76+'18'!I76+'19'!I76+'20'!I76+'21'!I76+'22'!I76+'23'!I76+'24'!I76+'25'!I76+'26'!I76+'28'!I76+'27'!I76+'29'!I76+'30'!I76+'31'!I76</f>
        <v>29</v>
      </c>
      <c r="J76" s="22"/>
      <c r="K76" s="11"/>
      <c r="L76" s="105">
        <f>+'1'!L76+'2'!L76+'4'!L76+'3'!L76+'5'!L76+'6'!L76+'7'!L76+'8'!L76+'9'!L76+'13'!L76+'10'!L76+'12'!L76+'11'!L76+'14'!L76+'15'!L76+'16'!L76+'17'!L76+'18'!L76+'19'!L76+'20'!L76+'21'!L76+'22'!L76+'23'!L76+'24'!L76+'25'!L76+'26'!L76+'28'!L76+'27'!L76+'29'!L76+'30'!L76+'31'!L76</f>
        <v>0</v>
      </c>
      <c r="M76" s="105">
        <f>+'1'!M76+'2'!M76+'4'!M76+'3'!M76+'5'!M76+'6'!M76+'7'!M76+'8'!M76+'9'!M76+'13'!M76+'10'!M76+'12'!M76+'11'!M76+'14'!M76+'15'!M76+'16'!M76+'17'!M76+'18'!M76+'19'!M76+'20'!M76+'21'!M76+'22'!M76+'23'!M76+'24'!M76+'25'!M76+'26'!M76+'28'!M76+'27'!M76+'29'!M76+'30'!M76+'31'!M76</f>
        <v>29</v>
      </c>
      <c r="N76" s="105">
        <f>+'1'!N76+'2'!N76+'4'!N76+'3'!N76+'5'!N76+'6'!N76+'7'!N76+'8'!N76+'9'!N76+'13'!N76+'10'!N76+'12'!N76+'11'!N76+'14'!N76+'15'!N76+'16'!N76+'17'!N76+'18'!N76+'19'!N76+'20'!N76+'21'!N76+'22'!N76+'23'!N76+'24'!N76+'25'!N76+'26'!N76+'28'!N76+'27'!N76+'29'!N76+'30'!N76+'31'!N76</f>
        <v>0</v>
      </c>
      <c r="O76" s="105">
        <f>+'1'!O76+'2'!O76+'4'!O76+'3'!O76+'5'!O76+'6'!O76+'7'!O76+'8'!O76+'9'!O76+'13'!O76+'10'!O76+'12'!O76+'11'!O76+'14'!O76+'15'!O76+'16'!O76+'17'!O76+'18'!O76+'19'!O76+'20'!O76+'21'!O76+'22'!O76+'23'!O76+'24'!O76+'25'!O76+'26'!O76+'28'!O76+'27'!O76+'29'!O76+'30'!O76+'31'!O76</f>
        <v>0</v>
      </c>
      <c r="P76" s="105">
        <f>+'1'!P76+'2'!P76+'4'!P76+'3'!P76+'5'!P76+'6'!P76+'7'!P76+'8'!P76+'9'!P76+'13'!P76+'10'!P76+'12'!P76+'11'!P76+'14'!P76+'15'!P76+'16'!P76+'17'!P76+'18'!P76+'19'!P76+'20'!P76+'21'!P76+'22'!P76+'23'!P76+'24'!P76+'25'!P76+'26'!P76+'28'!P76+'27'!P76+'29'!P76+'30'!P76+'31'!P76</f>
        <v>0</v>
      </c>
      <c r="Q76" s="105">
        <f>+'1'!Q76+'2'!Q76+'4'!Q76+'3'!Q76+'5'!Q76+'6'!Q76+'7'!Q76+'8'!Q76+'9'!Q76+'13'!Q76+'10'!Q76+'12'!Q76+'11'!Q76+'14'!Q76+'15'!Q76+'16'!Q76+'17'!Q76+'18'!Q76+'19'!Q76+'20'!Q76+'21'!Q76+'22'!Q76+'23'!Q76+'24'!Q76+'25'!Q76+'26'!Q76+'28'!Q76+'27'!Q76+'29'!Q76+'30'!Q76+'31'!Q76</f>
        <v>0</v>
      </c>
      <c r="R76" s="109">
        <f>+'1'!R76+'2'!R76+'4'!R76+'3'!R76+'5'!R76+'6'!R76+'7'!R76+'8'!R76+'9'!R76+'13'!R76+'10'!R76+'12'!R76+'11'!R76+'14'!R76+'15'!R76+'16'!R76+'17'!R76+'18'!R76+'19'!R76+'20'!R76+'21'!R76+'22'!R76+'23'!R76+'24'!R76+'25'!R76+'26'!R76+'28'!R76+'27'!R76+'29'!R76+'30'!R76+'31'!R76</f>
        <v>0</v>
      </c>
      <c r="S76" s="110">
        <f>+'1'!S76+'2'!S76+'4'!S76+'3'!S76+'5'!S76+'6'!S76+'7'!S76+'8'!S76+'9'!S76+'13'!S76+'10'!S76+'12'!S76+'11'!S76+'14'!S76+'15'!S76+'16'!S76+'17'!S76+'18'!S76+'19'!S76+'20'!S76+'21'!S76+'22'!S76+'23'!S76+'24'!S76+'25'!S76+'26'!S76+'28'!S76+'27'!S76+'29'!S76+'30'!S76+'31'!S76</f>
        <v>0</v>
      </c>
      <c r="T76" s="111">
        <f>+'1'!T76+'2'!T76+'4'!T76+'3'!T76+'5'!T76+'6'!T76+'7'!T76+'8'!T76+'9'!T76+'13'!T76+'10'!T76+'12'!T76+'11'!T76+'14'!T76+'15'!T76+'16'!T76+'17'!T76+'18'!T76+'19'!T76+'20'!T76+'21'!T76+'22'!T76+'23'!T76+'24'!T76+'25'!T76+'26'!T76+'28'!T76+'27'!T76+'29'!T76+'30'!T76+'31'!T76</f>
        <v>0</v>
      </c>
      <c r="U76" s="71">
        <f t="shared" si="18"/>
        <v>29</v>
      </c>
      <c r="V76" s="95" t="str">
        <f t="shared" si="17"/>
        <v>OK</v>
      </c>
    </row>
    <row r="77" spans="1:22" x14ac:dyDescent="0.3">
      <c r="A77" s="90" t="s">
        <v>27</v>
      </c>
      <c r="B77" s="76">
        <v>5655</v>
      </c>
      <c r="C77" s="70" t="s">
        <v>54</v>
      </c>
      <c r="D77" s="72"/>
      <c r="E77" s="72"/>
      <c r="F77" s="72"/>
      <c r="G77" s="73"/>
      <c r="H77" s="81"/>
      <c r="I77" s="82">
        <f>+'1'!I77+'2'!I77+'4'!I77+'3'!I77+'5'!I77+'6'!I77+'7'!I77+'8'!I77+'9'!I77+'13'!I77+'10'!I77+'12'!I77+'11'!I77+'14'!I77+'15'!I77+'16'!I77+'17'!I77+'18'!I77+'19'!I77+'20'!I77+'21'!I77+'22'!I77+'23'!I77+'24'!I77+'25'!I77+'26'!I77+'28'!I77+'27'!I77+'29'!I77+'30'!I77+'31'!I77</f>
        <v>20</v>
      </c>
      <c r="J77" s="82"/>
      <c r="K77" s="11"/>
      <c r="L77" s="82">
        <f>+'1'!L77+'2'!L77+'4'!L77+'3'!L77+'5'!L77+'6'!L77+'7'!L77+'8'!L77+'9'!L77+'13'!L77+'10'!L77+'12'!L77+'11'!L77+'14'!L77+'15'!L77+'16'!L77+'17'!L77+'18'!L77+'19'!L77+'20'!L77+'21'!L77+'22'!L77+'23'!L77+'24'!L77+'25'!L77+'26'!L77+'28'!L77+'27'!L77+'29'!L77+'30'!L77+'31'!L77</f>
        <v>0</v>
      </c>
      <c r="M77" s="82">
        <f>+'1'!M77+'2'!M77+'4'!M77+'3'!M77+'5'!M77+'6'!M77+'7'!M77+'8'!M77+'9'!M77+'13'!M77+'10'!M77+'12'!M77+'11'!M77+'14'!M77+'15'!M77+'16'!M77+'17'!M77+'18'!M77+'19'!M77+'20'!M77+'21'!M77+'22'!M77+'23'!M77+'24'!M77+'25'!M77+'26'!M77+'28'!M77+'27'!M77+'29'!M77+'30'!M77+'31'!M77</f>
        <v>9</v>
      </c>
      <c r="N77" s="82">
        <f>+'1'!N77+'2'!N77+'4'!N77+'3'!N77+'5'!N77+'6'!N77+'7'!N77+'8'!N77+'9'!N77+'13'!N77+'10'!N77+'12'!N77+'11'!N77+'14'!N77+'15'!N77+'16'!N77+'17'!N77+'18'!N77+'19'!N77+'20'!N77+'21'!N77+'22'!N77+'23'!N77+'24'!N77+'25'!N77+'26'!N77+'28'!N77+'27'!N77+'29'!N77+'30'!N77+'31'!N77</f>
        <v>0</v>
      </c>
      <c r="O77" s="82">
        <f>+'1'!O77+'2'!O77+'4'!O77+'3'!O77+'5'!O77+'6'!O77+'7'!O77+'8'!O77+'9'!O77+'13'!O77+'10'!O77+'12'!O77+'11'!O77+'14'!O77+'15'!O77+'16'!O77+'17'!O77+'18'!O77+'19'!O77+'20'!O77+'21'!O77+'22'!O77+'23'!O77+'24'!O77+'25'!O77+'26'!O77+'28'!O77+'27'!O77+'29'!O77+'30'!O77+'31'!O77</f>
        <v>11</v>
      </c>
      <c r="P77" s="82">
        <f>+'1'!P77+'2'!P77+'4'!P77+'3'!P77+'5'!P77+'6'!P77+'7'!P77+'8'!P77+'9'!P77+'13'!P77+'10'!P77+'12'!P77+'11'!P77+'14'!P77+'15'!P77+'16'!P77+'17'!P77+'18'!P77+'19'!P77+'20'!P77+'21'!P77+'22'!P77+'23'!P77+'24'!P77+'25'!P77+'26'!P77+'28'!P77+'27'!P77+'29'!P77+'30'!P77+'31'!P77</f>
        <v>0</v>
      </c>
      <c r="Q77" s="82">
        <f>+'1'!Q77+'2'!Q77+'4'!Q77+'3'!Q77+'5'!Q77+'6'!Q77+'7'!Q77+'8'!Q77+'9'!Q77+'13'!Q77+'10'!Q77+'12'!Q77+'11'!Q77+'14'!Q77+'15'!Q77+'16'!Q77+'17'!Q77+'18'!Q77+'19'!Q77+'20'!Q77+'21'!Q77+'22'!Q77+'23'!Q77+'24'!Q77+'25'!Q77+'26'!Q77+'28'!Q77+'27'!Q77+'29'!Q77+'30'!Q77+'31'!Q77</f>
        <v>0</v>
      </c>
      <c r="R77" s="83">
        <f>+'1'!R77+'2'!R77+'4'!R77+'3'!R77+'5'!R77+'6'!R77+'7'!R77+'8'!R77+'9'!R77+'13'!R77+'10'!R77+'12'!R77+'11'!R77+'14'!R77+'15'!R77+'16'!R77+'17'!R77+'18'!R77+'19'!R77+'20'!R77+'21'!R77+'22'!R77+'23'!R77+'24'!R77+'25'!R77+'26'!R77+'28'!R77+'27'!R77+'29'!R77+'30'!R77+'31'!R77</f>
        <v>0</v>
      </c>
      <c r="S77" s="84">
        <f>+'1'!S77+'2'!S77+'4'!S77+'3'!S77+'5'!S77+'6'!S77+'7'!S77+'8'!S77+'9'!S77+'13'!S77+'10'!S77+'12'!S77+'11'!S77+'14'!S77+'15'!S77+'16'!S77+'17'!S77+'18'!S77+'19'!S77+'20'!S77+'21'!S77+'22'!S77+'23'!S77+'24'!S77+'25'!S77+'26'!S77+'28'!S77+'27'!S77+'29'!S77+'30'!S77+'31'!S77</f>
        <v>0</v>
      </c>
      <c r="T77" s="85">
        <f>+'1'!T77+'2'!T77+'4'!T77+'3'!T77+'5'!T77+'6'!T77+'7'!T77+'8'!T77+'9'!T77+'13'!T77+'10'!T77+'12'!T77+'11'!T77+'14'!T77+'15'!T77+'16'!T77+'17'!T77+'18'!T77+'19'!T77+'20'!T77+'21'!T77+'22'!T77+'23'!T77+'24'!T77+'25'!T77+'26'!T77+'28'!T77+'27'!T77+'29'!T77+'30'!T77+'31'!T77</f>
        <v>0</v>
      </c>
      <c r="U77" s="75">
        <f t="shared" si="19"/>
        <v>20</v>
      </c>
      <c r="V77" s="93" t="str">
        <f t="shared" si="20"/>
        <v>OK</v>
      </c>
    </row>
    <row r="78" spans="1:22" customFormat="1" x14ac:dyDescent="0.3">
      <c r="A78" s="54" t="s">
        <v>136</v>
      </c>
      <c r="B78" s="63">
        <v>22704</v>
      </c>
      <c r="C78" s="18" t="s">
        <v>137</v>
      </c>
      <c r="D78" s="18"/>
      <c r="E78" s="18"/>
      <c r="F78" s="18"/>
      <c r="G78" s="92"/>
      <c r="H78" s="22"/>
      <c r="I78" s="105">
        <f>+'1'!I78+'2'!I78+'4'!I78+'3'!I78+'5'!I78+'6'!I78+'7'!I78+'8'!I78+'9'!I78+'13'!I78+'10'!I78+'12'!I78+'11'!I78+'14'!I78+'15'!I78+'16'!I78+'17'!I78+'18'!I78+'19'!I78+'20'!I78+'21'!I78+'22'!I78+'23'!I78+'24'!I78+'25'!I78+'26'!I78+'28'!I78+'27'!I78+'29'!I78+'30'!I78+'31'!I78</f>
        <v>7</v>
      </c>
      <c r="J78" s="22"/>
      <c r="K78" s="11"/>
      <c r="L78" s="105">
        <f>+'1'!L78+'2'!L78+'4'!L78+'3'!L78+'5'!L78+'6'!L78+'7'!L78+'8'!L78+'9'!L78+'13'!L78+'10'!L78+'12'!L78+'11'!L78+'14'!L78+'15'!L78+'16'!L78+'17'!L78+'18'!L78+'19'!L78+'20'!L78+'21'!L78+'22'!L78+'23'!L78+'24'!L78+'25'!L78+'26'!L78+'28'!L78+'27'!L78+'29'!L78+'30'!L78+'31'!L78</f>
        <v>0</v>
      </c>
      <c r="M78" s="105">
        <f>+'1'!M78+'2'!M78+'4'!M78+'3'!M78+'5'!M78+'6'!M78+'7'!M78+'8'!M78+'9'!M78+'13'!M78+'10'!M78+'12'!M78+'11'!M78+'14'!M78+'15'!M78+'16'!M78+'17'!M78+'18'!M78+'19'!M78+'20'!M78+'21'!M78+'22'!M78+'23'!M78+'24'!M78+'25'!M78+'26'!M78+'28'!M78+'27'!M78+'29'!M78+'30'!M78+'31'!M78</f>
        <v>7</v>
      </c>
      <c r="N78" s="105">
        <f>+'1'!N78+'2'!N78+'4'!N78+'3'!N78+'5'!N78+'6'!N78+'7'!N78+'8'!N78+'9'!N78+'13'!N78+'10'!N78+'12'!N78+'11'!N78+'14'!N78+'15'!N78+'16'!N78+'17'!N78+'18'!N78+'19'!N78+'20'!N78+'21'!N78+'22'!N78+'23'!N78+'24'!N78+'25'!N78+'26'!N78+'28'!N78+'27'!N78+'29'!N78+'30'!N78+'31'!N78</f>
        <v>0</v>
      </c>
      <c r="O78" s="105">
        <f>+'1'!O78+'2'!O78+'4'!O78+'3'!O78+'5'!O78+'6'!O78+'7'!O78+'8'!O78+'9'!O78+'13'!O78+'10'!O78+'12'!O78+'11'!O78+'14'!O78+'15'!O78+'16'!O78+'17'!O78+'18'!O78+'19'!O78+'20'!O78+'21'!O78+'22'!O78+'23'!O78+'24'!O78+'25'!O78+'26'!O78+'28'!O78+'27'!O78+'29'!O78+'30'!O78+'31'!O78</f>
        <v>0</v>
      </c>
      <c r="P78" s="105">
        <f>+'1'!P78+'2'!P78+'4'!P78+'3'!P78+'5'!P78+'6'!P78+'7'!P78+'8'!P78+'9'!P78+'13'!P78+'10'!P78+'12'!P78+'11'!P78+'14'!P78+'15'!P78+'16'!P78+'17'!P78+'18'!P78+'19'!P78+'20'!P78+'21'!P78+'22'!P78+'23'!P78+'24'!P78+'25'!P78+'26'!P78+'28'!P78+'27'!P78+'29'!P78+'30'!P78+'31'!P78</f>
        <v>0</v>
      </c>
      <c r="Q78" s="105">
        <f>+'1'!Q78+'2'!Q78+'4'!Q78+'3'!Q78+'5'!Q78+'6'!Q78+'7'!Q78+'8'!Q78+'9'!Q78+'13'!Q78+'10'!Q78+'12'!Q78+'11'!Q78+'14'!Q78+'15'!Q78+'16'!Q78+'17'!Q78+'18'!Q78+'19'!Q78+'20'!Q78+'21'!Q78+'22'!Q78+'23'!Q78+'24'!Q78+'25'!Q78+'26'!Q78+'28'!Q78+'27'!Q78+'29'!Q78+'30'!Q78+'31'!Q78</f>
        <v>0</v>
      </c>
      <c r="R78" s="109">
        <f>+'1'!R78+'2'!R78+'4'!R78+'3'!R78+'5'!R78+'6'!R78+'7'!R78+'8'!R78+'9'!R78+'13'!R78+'10'!R78+'12'!R78+'11'!R78+'14'!R78+'15'!R78+'16'!R78+'17'!R78+'18'!R78+'19'!R78+'20'!R78+'21'!R78+'22'!R78+'23'!R78+'24'!R78+'25'!R78+'26'!R78+'28'!R78+'27'!R78+'29'!R78+'30'!R78+'31'!R78</f>
        <v>0</v>
      </c>
      <c r="S78" s="110">
        <f>+'1'!S78+'2'!S78+'4'!S78+'3'!S78+'5'!S78+'6'!S78+'7'!S78+'8'!S78+'9'!S78+'13'!S78+'10'!S78+'12'!S78+'11'!S78+'14'!S78+'15'!S78+'16'!S78+'17'!S78+'18'!S78+'19'!S78+'20'!S78+'21'!S78+'22'!S78+'23'!S78+'24'!S78+'25'!S78+'26'!S78+'28'!S78+'27'!S78+'29'!S78+'30'!S78+'31'!S78</f>
        <v>0</v>
      </c>
      <c r="T78" s="111">
        <f>+'1'!T78+'2'!T78+'4'!T78+'3'!T78+'5'!T78+'6'!T78+'7'!T78+'8'!T78+'9'!T78+'13'!T78+'10'!T78+'12'!T78+'11'!T78+'14'!T78+'15'!T78+'16'!T78+'17'!T78+'18'!T78+'19'!T78+'20'!T78+'21'!T78+'22'!T78+'23'!T78+'24'!T78+'25'!T78+'26'!T78+'28'!T78+'27'!T78+'29'!T78+'30'!T78+'31'!T78</f>
        <v>0</v>
      </c>
      <c r="U78" s="71">
        <f t="shared" si="19"/>
        <v>7</v>
      </c>
      <c r="V78" s="95" t="str">
        <f t="shared" si="20"/>
        <v>OK</v>
      </c>
    </row>
    <row r="79" spans="1:22" customFormat="1" x14ac:dyDescent="0.3">
      <c r="A79" s="90" t="s">
        <v>138</v>
      </c>
      <c r="B79" s="76">
        <v>22722</v>
      </c>
      <c r="C79" s="70" t="s">
        <v>119</v>
      </c>
      <c r="D79" s="70"/>
      <c r="E79" s="70"/>
      <c r="F79" s="70"/>
      <c r="G79" s="91"/>
      <c r="H79" s="82"/>
      <c r="I79" s="82">
        <f>+'1'!I79+'2'!I79+'4'!I79+'3'!I79+'5'!I79+'6'!I79+'7'!I79+'8'!I79+'9'!I79+'13'!I79+'10'!I79+'12'!I79+'11'!I79+'14'!I79+'15'!I79+'16'!I79+'17'!I79+'18'!I79+'19'!I79+'20'!I79+'21'!I79+'22'!I79+'23'!I79+'24'!I79+'25'!I79+'26'!I79+'28'!I79+'27'!I79+'29'!I79+'30'!I79+'31'!I79</f>
        <v>10</v>
      </c>
      <c r="J79" s="82"/>
      <c r="K79" s="118"/>
      <c r="L79" s="82">
        <f>+'1'!L79+'2'!L79+'4'!L79+'3'!L79+'5'!L79+'6'!L79+'7'!L79+'8'!L79+'9'!L79+'13'!L79+'10'!L79+'12'!L79+'11'!L79+'14'!L79+'15'!L79+'16'!L79+'17'!L79+'18'!L79+'19'!L79+'20'!L79+'21'!L79+'22'!L79+'23'!L79+'24'!L79+'25'!L79+'26'!L79+'28'!L79+'27'!L79+'29'!L79+'30'!L79+'31'!L79</f>
        <v>0</v>
      </c>
      <c r="M79" s="82">
        <f>+'1'!M79+'2'!M79+'4'!M79+'3'!M79+'5'!M79+'6'!M79+'7'!M79+'8'!M79+'9'!M79+'13'!M79+'10'!M79+'12'!M79+'11'!M79+'14'!M79+'15'!M79+'16'!M79+'17'!M79+'18'!M79+'19'!M79+'20'!M79+'21'!M79+'22'!M79+'23'!M79+'24'!M79+'25'!M79+'26'!M79+'28'!M79+'27'!M79+'29'!M79+'30'!M79+'31'!M79</f>
        <v>10</v>
      </c>
      <c r="N79" s="82">
        <f>+'1'!N79+'2'!N79+'4'!N79+'3'!N79+'5'!N79+'6'!N79+'7'!N79+'8'!N79+'9'!N79+'13'!N79+'10'!N79+'12'!N79+'11'!N79+'14'!N79+'15'!N79+'16'!N79+'17'!N79+'18'!N79+'19'!N79+'20'!N79+'21'!N79+'22'!N79+'23'!N79+'24'!N79+'25'!N79+'26'!N79+'28'!N79+'27'!N79+'29'!N79+'30'!N79+'31'!N79</f>
        <v>0</v>
      </c>
      <c r="O79" s="82">
        <f>+'1'!O79+'2'!O79+'4'!O79+'3'!O79+'5'!O79+'6'!O79+'7'!O79+'8'!O79+'9'!O79+'13'!O79+'10'!O79+'12'!O79+'11'!O79+'14'!O79+'15'!O79+'16'!O79+'17'!O79+'18'!O79+'19'!O79+'20'!O79+'21'!O79+'22'!O79+'23'!O79+'24'!O79+'25'!O79+'26'!O79+'28'!O79+'27'!O79+'29'!O79+'30'!O79+'31'!O79</f>
        <v>0</v>
      </c>
      <c r="P79" s="82">
        <f>+'1'!P79+'2'!P79+'4'!P79+'3'!P79+'5'!P79+'6'!P79+'7'!P79+'8'!P79+'9'!P79+'13'!P79+'10'!P79+'12'!P79+'11'!P79+'14'!P79+'15'!P79+'16'!P79+'17'!P79+'18'!P79+'19'!P79+'20'!P79+'21'!P79+'22'!P79+'23'!P79+'24'!P79+'25'!P79+'26'!P79+'28'!P79+'27'!P79+'29'!P79+'30'!P79+'31'!P79</f>
        <v>0</v>
      </c>
      <c r="Q79" s="82">
        <f>+'1'!Q79+'2'!Q79+'4'!Q79+'3'!Q79+'5'!Q79+'6'!Q79+'7'!Q79+'8'!Q79+'9'!Q79+'13'!Q79+'10'!Q79+'12'!Q79+'11'!Q79+'14'!Q79+'15'!Q79+'16'!Q79+'17'!Q79+'18'!Q79+'19'!Q79+'20'!Q79+'21'!Q79+'22'!Q79+'23'!Q79+'24'!Q79+'25'!Q79+'26'!Q79+'28'!Q79+'27'!Q79+'29'!Q79+'30'!Q79+'31'!Q79</f>
        <v>0</v>
      </c>
      <c r="R79" s="83">
        <f>+'1'!R79+'2'!R79+'4'!R79+'3'!R79+'5'!R79+'6'!R79+'7'!R79+'8'!R79+'9'!R79+'13'!R79+'10'!R79+'12'!R79+'11'!R79+'14'!R79+'15'!R79+'16'!R79+'17'!R79+'18'!R79+'19'!R79+'20'!R79+'21'!R79+'22'!R79+'23'!R79+'24'!R79+'25'!R79+'26'!R79+'28'!R79+'27'!R79+'29'!R79+'30'!R79+'31'!R79</f>
        <v>0</v>
      </c>
      <c r="S79" s="84">
        <f>+'1'!S79+'2'!S79+'4'!S79+'3'!S79+'5'!S79+'6'!S79+'7'!S79+'8'!S79+'9'!S79+'13'!S79+'10'!S79+'12'!S79+'11'!S79+'14'!S79+'15'!S79+'16'!S79+'17'!S79+'18'!S79+'19'!S79+'20'!S79+'21'!S79+'22'!S79+'23'!S79+'24'!S79+'25'!S79+'26'!S79+'28'!S79+'27'!S79+'29'!S79+'30'!S79+'31'!S79</f>
        <v>0</v>
      </c>
      <c r="T79" s="85">
        <f>+'1'!T79+'2'!T79+'4'!T79+'3'!T79+'5'!T79+'6'!T79+'7'!T79+'8'!T79+'9'!T79+'13'!T79+'10'!T79+'12'!T79+'11'!T79+'14'!T79+'15'!T79+'16'!T79+'17'!T79+'18'!T79+'19'!T79+'20'!T79+'21'!T79+'22'!T79+'23'!T79+'24'!T79+'25'!T79+'26'!T79+'28'!T79+'27'!T79+'29'!T79+'30'!T79+'31'!T79</f>
        <v>0</v>
      </c>
      <c r="U79" s="75">
        <f t="shared" ref="U79" si="21">SUM(L79:T79)</f>
        <v>10</v>
      </c>
      <c r="V79" s="93" t="str">
        <f t="shared" ref="V79" si="22">IF(U79=I79,"OK","NG")</f>
        <v>OK</v>
      </c>
    </row>
    <row r="80" spans="1:22" customFormat="1" ht="17.25" thickBot="1" x14ac:dyDescent="0.35">
      <c r="A80" s="54" t="s">
        <v>134</v>
      </c>
      <c r="B80" s="63">
        <v>22723</v>
      </c>
      <c r="C80" s="18" t="s">
        <v>119</v>
      </c>
      <c r="D80" s="67"/>
      <c r="E80" s="67"/>
      <c r="F80" s="67"/>
      <c r="G80" s="68"/>
      <c r="H80" s="21"/>
      <c r="I80" s="22">
        <f>+'1'!I80+'2'!I80+'4'!I80+'3'!I80+'5'!I80+'6'!I80+'7'!I80+'8'!I80+'9'!I80+'13'!I80+'10'!I80+'12'!I80+'11'!I80+'14'!I80+'15'!I80+'16'!I80+'17'!I80+'18'!I80+'19'!I80+'20'!I80+'21'!I80+'22'!I80+'23'!I80+'24'!I80+'25'!I80+'26'!I80+'28'!I80+'27'!I80+'29'!I80+'30'!I80+'31'!I80</f>
        <v>7</v>
      </c>
      <c r="J80" s="22"/>
      <c r="K80" s="11"/>
      <c r="L80" s="22">
        <f>+'1'!L80+'2'!L80+'4'!L80+'3'!L80+'5'!L80+'6'!L80+'7'!L80+'8'!L80+'9'!L80+'13'!L80+'10'!L80+'12'!L80+'11'!L80+'14'!L80+'15'!L80+'16'!L80+'17'!L80+'18'!L80+'19'!L80+'20'!L80+'21'!L80+'22'!L80+'23'!L80+'24'!L80+'25'!L80+'26'!L80+'28'!L80+'27'!L80+'29'!L80+'30'!L80+'31'!L80</f>
        <v>0</v>
      </c>
      <c r="M80" s="22">
        <f>+'1'!M80+'2'!M80+'4'!M80+'3'!M80+'5'!M80+'6'!M80+'7'!M80+'8'!M80+'9'!M80+'13'!M80+'10'!M80+'12'!M80+'11'!M80+'14'!M80+'15'!M80+'16'!M80+'17'!M80+'18'!M80+'19'!M80+'20'!M80+'21'!M80+'22'!M80+'23'!M80+'24'!M80+'25'!M80+'26'!M80+'28'!M80+'27'!M80+'29'!M80+'30'!M80+'31'!M80</f>
        <v>7</v>
      </c>
      <c r="N80" s="22">
        <f>+'1'!N80+'2'!N80+'4'!N80+'3'!N80+'5'!N80+'6'!N80+'7'!N80+'8'!N80+'9'!N80+'13'!N80+'10'!N80+'12'!N80+'11'!N80+'14'!N80+'15'!N80+'16'!N80+'17'!N80+'18'!N80+'19'!N80+'20'!N80+'21'!N80+'22'!N80+'23'!N80+'24'!N80+'25'!N80+'26'!N80+'28'!N80+'27'!N80+'29'!N80+'30'!N80+'31'!N80</f>
        <v>0</v>
      </c>
      <c r="O80" s="22">
        <f>+'1'!O80+'2'!O80+'4'!O80+'3'!O80+'5'!O80+'6'!O80+'7'!O80+'8'!O80+'9'!O80+'13'!O80+'10'!O80+'12'!O80+'11'!O80+'14'!O80+'15'!O80+'16'!O80+'17'!O80+'18'!O80+'19'!O80+'20'!O80+'21'!O80+'22'!O80+'23'!O80+'24'!O80+'25'!O80+'26'!O80+'28'!O80+'27'!O80+'29'!O80+'30'!O80+'31'!O80</f>
        <v>0</v>
      </c>
      <c r="P80" s="22">
        <f>+'1'!P80+'2'!P80+'4'!P80+'3'!P80+'5'!P80+'6'!P80+'7'!P80+'8'!P80+'9'!P80+'13'!P80+'10'!P80+'12'!P80+'11'!P80+'14'!P80+'15'!P80+'16'!P80+'17'!P80+'18'!P80+'19'!P80+'20'!P80+'21'!P80+'22'!P80+'23'!P80+'24'!P80+'25'!P80+'26'!P80+'28'!P80+'27'!P80+'29'!P80+'30'!P80+'31'!P80</f>
        <v>0</v>
      </c>
      <c r="Q80" s="22">
        <f>+'1'!Q80+'2'!Q80+'4'!Q80+'3'!Q80+'5'!Q80+'6'!Q80+'7'!Q80+'8'!Q80+'9'!Q80+'13'!Q80+'10'!Q80+'12'!Q80+'11'!Q80+'14'!Q80+'15'!Q80+'16'!Q80+'17'!Q80+'18'!Q80+'19'!Q80+'20'!Q80+'21'!Q80+'22'!Q80+'23'!Q80+'24'!Q80+'25'!Q80+'26'!Q80+'28'!Q80+'27'!Q80+'29'!Q80+'30'!Q80+'31'!Q80</f>
        <v>0</v>
      </c>
      <c r="R80" s="36">
        <f>+'1'!R80+'2'!R80+'4'!R80+'3'!R80+'5'!R80+'6'!R80+'7'!R80+'8'!R80+'9'!R80+'13'!R80+'10'!R80+'12'!R80+'11'!R80+'14'!R80+'15'!R80+'16'!R80+'17'!R80+'18'!R80+'19'!R80+'20'!R80+'21'!R80+'22'!R80+'23'!R80+'24'!R80+'25'!R80+'26'!R80+'28'!R80+'27'!R80+'29'!R80+'30'!R80+'31'!R80</f>
        <v>0</v>
      </c>
      <c r="S80" s="44">
        <f>+'1'!S80+'2'!S80+'4'!S80+'3'!S80+'5'!S80+'6'!S80+'7'!S80+'8'!S80+'9'!S80+'13'!S80+'10'!S80+'12'!S80+'11'!S80+'14'!S80+'15'!S80+'16'!S80+'17'!S80+'18'!S80+'19'!S80+'20'!S80+'21'!S80+'22'!S80+'23'!S80+'24'!S80+'25'!S80+'26'!S80+'28'!S80+'27'!S80+'29'!S80+'30'!S80+'31'!S80</f>
        <v>0</v>
      </c>
      <c r="T80" s="47">
        <f>+'1'!T80+'2'!T80+'4'!T80+'3'!T80+'5'!T80+'6'!T80+'7'!T80+'8'!T80+'9'!T80+'13'!T80+'10'!T80+'12'!T80+'11'!T80+'14'!T80+'15'!T80+'16'!T80+'17'!T80+'18'!T80+'19'!T80+'20'!T80+'21'!T80+'22'!T80+'23'!T80+'24'!T80+'25'!T80+'26'!T80+'28'!T80+'27'!T80+'29'!T80+'30'!T80+'31'!T80</f>
        <v>0</v>
      </c>
      <c r="U80" s="52">
        <f t="shared" ref="U80" si="23">SUM(L80:T80)</f>
        <v>7</v>
      </c>
      <c r="V80" s="23" t="str">
        <f t="shared" si="17"/>
        <v>OK</v>
      </c>
    </row>
    <row r="81" spans="1:22" x14ac:dyDescent="0.3">
      <c r="A81" s="24"/>
      <c r="B81" s="25"/>
      <c r="C81" s="37" t="s">
        <v>9</v>
      </c>
      <c r="D81" s="37"/>
      <c r="E81" s="37"/>
      <c r="F81" s="37"/>
      <c r="G81" s="38">
        <f>SUM(G6:G49)</f>
        <v>0</v>
      </c>
      <c r="H81" s="39">
        <f>SUM(H6:H77)</f>
        <v>0</v>
      </c>
      <c r="I81" s="39">
        <f>SUM(I6:I80)</f>
        <v>557</v>
      </c>
      <c r="J81" s="39">
        <f>SUM(J6:J80)</f>
        <v>0</v>
      </c>
      <c r="K81" s="5"/>
      <c r="L81" s="39">
        <f t="shared" ref="L81:U81" si="24">SUM(L6:L80)</f>
        <v>0</v>
      </c>
      <c r="M81" s="39">
        <f t="shared" si="24"/>
        <v>498</v>
      </c>
      <c r="N81" s="39">
        <f t="shared" si="24"/>
        <v>0</v>
      </c>
      <c r="O81" s="39">
        <f t="shared" si="24"/>
        <v>26</v>
      </c>
      <c r="P81" s="39">
        <f t="shared" si="24"/>
        <v>0</v>
      </c>
      <c r="Q81" s="39">
        <f t="shared" si="24"/>
        <v>0</v>
      </c>
      <c r="R81" s="39">
        <f t="shared" si="24"/>
        <v>0</v>
      </c>
      <c r="S81" s="39">
        <f t="shared" si="24"/>
        <v>33</v>
      </c>
      <c r="T81" s="39">
        <f t="shared" si="24"/>
        <v>0</v>
      </c>
      <c r="U81" s="39">
        <f t="shared" si="24"/>
        <v>557</v>
      </c>
      <c r="V81" s="41" t="str">
        <f>IF(U81=SUM(I81),"OK","NG")</f>
        <v>OK</v>
      </c>
    </row>
    <row r="83" spans="1:22" x14ac:dyDescent="0.3">
      <c r="C83" s="65"/>
    </row>
    <row r="84" spans="1:22" x14ac:dyDescent="0.3">
      <c r="C84" s="66"/>
    </row>
    <row r="85" spans="1:22" x14ac:dyDescent="0.3">
      <c r="J85" s="66"/>
    </row>
  </sheetData>
  <mergeCells count="20">
    <mergeCell ref="O4:O5"/>
    <mergeCell ref="P4:P5"/>
    <mergeCell ref="B3:C3"/>
    <mergeCell ref="N4:N5"/>
    <mergeCell ref="B1:C1"/>
    <mergeCell ref="F1:G1"/>
    <mergeCell ref="H1:J3"/>
    <mergeCell ref="B2:C2"/>
    <mergeCell ref="A4:D4"/>
    <mergeCell ref="E4:G4"/>
    <mergeCell ref="H4:J4"/>
    <mergeCell ref="L4:L5"/>
    <mergeCell ref="M4:M5"/>
    <mergeCell ref="Q4:Q5"/>
    <mergeCell ref="R4:R5"/>
    <mergeCell ref="S4:S5"/>
    <mergeCell ref="T4:T5"/>
    <mergeCell ref="V2:V3"/>
    <mergeCell ref="U4:U5"/>
    <mergeCell ref="V4:V5"/>
  </mergeCells>
  <phoneticPr fontId="3" type="noConversion"/>
  <conditionalFormatting sqref="A4 V6:V81">
    <cfRule type="containsText" dxfId="1" priority="11" operator="containsText" text="NG">
      <formula>NOT(ISERROR(SEARCH("NG",A4)))</formula>
    </cfRule>
    <cfRule type="containsText" dxfId="0" priority="12" operator="containsText" text="OK">
      <formula>NOT(ISERROR(SEARCH("OK",A4)))</formula>
    </cfRule>
  </conditionalFormatting>
  <pageMargins left="0.70866141732283472" right="0.70866141732283472" top="0.74803149606299213" bottom="0.74803149606299213" header="0.31496062992125984" footer="0.31496062992125984"/>
  <pageSetup paperSize="8" scale="1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32</vt:i4>
      </vt:variant>
    </vt:vector>
  </HeadingPairs>
  <TitlesOfParts>
    <vt:vector size="32" baseType="lpstr"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종합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정기호</dc:creator>
  <cp:lastModifiedBy>HeeJi Choi</cp:lastModifiedBy>
  <cp:lastPrinted>2024-07-11T04:09:51Z</cp:lastPrinted>
  <dcterms:created xsi:type="dcterms:W3CDTF">2014-12-22T04:38:41Z</dcterms:created>
  <dcterms:modified xsi:type="dcterms:W3CDTF">2026-07-30T01:08:33Z</dcterms:modified>
</cp:coreProperties>
</file>